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sheetId="1" r:id="rId1"/>
    <sheet name="Cal-Diario con Preventivos" sheetId="2" r:id="rId2"/>
    <sheet name="Cal-Diario" sheetId="3" r:id="rId3"/>
    <sheet name="3 Por Sem" sheetId="4" r:id="rId4"/>
    <sheet name="2 Por Sem con Preventivos" sheetId="5" r:id="rId5"/>
    <sheet name="2 Por Sem" sheetId="6" r:id="rId6"/>
    <sheet name="1 Por Sem" sheetId="7" r:id="rId7"/>
    <sheet name="14 Dias" sheetId="8" r:id="rId8"/>
    <sheet name="ReDiarioFert" sheetId="9" r:id="rId9"/>
    <sheet name="Req. Diario" sheetId="10" r:id="rId10"/>
    <sheet name="Fertilizantes" sheetId="11" r:id="rId11"/>
  </sheets>
  <definedNames>
    <definedName name="_xlnm._FilterDatabase" localSheetId="0">Main!$H$80</definedName>
    <definedName name="Activadorresge">Fertilizantes!$A$76:$A$78</definedName>
    <definedName name="Activadorresoom">Fertilizantes!$A$81:$A$90</definedName>
    <definedName name="Baselist">Base!$A$3:$E$250</definedName>
    <definedName name="Boro">Fertilizantes!$A$42:$A$47</definedName>
    <definedName name="Calcio">Fertilizantes!$A$36:$A$40</definedName>
    <definedName name="Fertilizante1">Fertilizantes!$A$3:$J$55</definedName>
    <definedName name="Fertilizante2">Fertilizantes!$A$3:$M$47</definedName>
    <definedName name="Fosforo">Fertilizantes!$A$3:$A$10</definedName>
    <definedName name="Insecticidaspostransplante">Fertilizantes!$A$57:$A$64</definedName>
    <definedName name="Magnecio">Fertilizantes!$A$28:$A$34</definedName>
    <definedName name="Materiaorg">Fertilizantes!$A$50:$A$54</definedName>
    <definedName name="Materiaprima" localSheetId="10">#REF!</definedName>
    <definedName name="materiaprima">Main!$D$31</definedName>
    <definedName name="MateriaPrima1" localSheetId="10">#REF!</definedName>
    <definedName name="Nitrogeno">Fertilizantes!$A$12:$A$17</definedName>
    <definedName name="Potacio">Fertilizantes!$A$19:$A$26</definedName>
    <definedName name="Prevencionvirus">Fertilizantes!$A$67:$A$73</definedName>
    <definedName name="_xlnm.Print_Area" localSheetId="6">'1 Por Sem'!$A$1:$S$57</definedName>
    <definedName name="_xlnm.Print_Area" localSheetId="7">'14 Dias'!$A$1:$T$45</definedName>
    <definedName name="_xlnm.Print_Area" localSheetId="5">'2 Por Sem'!$A$1:$S$85</definedName>
    <definedName name="_xlnm.Print_Area" localSheetId="4">'2 Por Sem con Preventivos'!$A$1:$S$85</definedName>
    <definedName name="_xlnm.Print_Area" localSheetId="3">'3 Por Sem'!$A$1:$S$112</definedName>
    <definedName name="_xlnm.Print_Area" localSheetId="2">'Cal-Diario'!$A$1:$S$221</definedName>
    <definedName name="_xlnm.Print_Area" localSheetId="1">'Cal-Diario con Preventivos'!$A$1:$S$221</definedName>
    <definedName name="_xlnm.Print_Area" localSheetId="0">Main!$A$1:$M$112</definedName>
    <definedName name="_xlnm.Print_Titles" localSheetId="6">'1 Por Sem'!$1:$15</definedName>
    <definedName name="_xlnm.Print_Titles" localSheetId="5">'2 Por Sem'!$1:$15</definedName>
    <definedName name="_xlnm.Print_Titles" localSheetId="4">'2 Por Sem con Preventivos'!$1:$15</definedName>
    <definedName name="_xlnm.Print_Titles" localSheetId="3">'3 Por Sem'!$1:$15</definedName>
    <definedName name="_xlnm.Print_Titles" localSheetId="2">'Cal-Diario'!$1:$17</definedName>
    <definedName name="_xlnm.Print_Titles" localSheetId="1">'Cal-Diario con Preventivos'!$1:$17</definedName>
    <definedName name="Proinssue">Fertilizantes!$A$100:$A$104</definedName>
    <definedName name="Protecinssue">Fertilizantes!$A$100:$E$104</definedName>
    <definedName name="Protecinssue1">Fertilizantes!$A$100:$E$104</definedName>
    <definedName name="Tricoderma">Fertilizantes!$A$93:$A$97</definedName>
  </definedNames>
</workbook>
</file>

<file path=xl/comments1.xml><?xml version="1.0" encoding="utf-8"?>
<comments xmlns="http://schemas.openxmlformats.org/spreadsheetml/2006/main">
  <authors>
    <author>Andy Medlicot</author>
    <author>Ricardo Lardizabal</author>
    <author>LFINTRAC4</author>
    <author>RACA</author>
  </authors>
  <commentList>
    <comment ref="E21" authorId="0">
      <text>
        <t>Nombre de Cultivo</t>
      </text>
    </comment>
    <comment ref="G21" authorId="0">
      <text>
        <t>Variedad</t>
      </text>
    </comment>
    <comment ref="E22" authorId="1">
      <text>
        <t xml:space="preserve">Ricardo Lardizabal:
La Manzana es de 7,000 mts2</t>
      </text>
    </comment>
    <comment ref="E23" authorId="2">
      <text>
        <t xml:space="preserve">Mes/Día/Año
</t>
      </text>
    </comment>
    <comment ref="E25" authorId="3">
      <text>
        <t xml:space="preserve">RACA:
Tienen que cambiar manualmente este dato de moneda local</t>
      </text>
    </comment>
    <comment ref="D32" authorId="3">
      <text>
        <t xml:space="preserve">RACA:
En esta ventana cambiar por el fertilizante que deseamos usar. La ultima Pagina de fertilizantes tiene para actualizar el precio de su zona y agregar los que no estén en el listado</t>
      </text>
    </comment>
    <comment ref="D37" authorId="3">
      <text>
        <t xml:space="preserve">RACA:
En esta ventana cambiar por el fertilizante que deseamos usar. La ultima Pagina de fertilizantes tiene para actualizar el precio de su zona y agregar los que no estén en el listado</t>
      </text>
    </comment>
    <comment ref="D42" authorId="3">
      <text>
        <t xml:space="preserve">RACA:
En esta ventana cambiar por el fertilizante que deseamos usar. La ultima Pagina de fertilizantes tiene para actualizar el precio de su zona y agregar los que no estén en el listado</t>
      </text>
    </comment>
    <comment ref="D47" authorId="3">
      <text>
        <t xml:space="preserve">RACA:
En esta ventana cambiar por el fertilizante que deseamos usar. La ultima Pagina de fertilizantes tiene para actualizar el precio de su zona y agregar los que no estén en el listado</t>
      </text>
    </comment>
    <comment ref="D52" authorId="3">
      <text>
        <t xml:space="preserve">RACA:
En esta ventana cambiar por el fertilizante que deseamos usar. La ultima Pagina de fertilizantes tiene para actualizar el precio de su zona y agregar los que no estén en el listado</t>
      </text>
    </comment>
    <comment ref="D57" authorId="3">
      <text>
        <t xml:space="preserve">RACA:
En esta ventana cambiar por el fertilizante que deseamos usar. La ultima Pagina de fertilizantes tiene para actualizar el precio de su zona y agregar los que no estén en el listado</t>
      </text>
    </comment>
    <comment ref="D61" authorId="3">
      <text>
        <t xml:space="preserve">RACA:
En esta ventana cambiar por el fertilizante que deseamos usar. La ultima Pagina de fertilizantes tiene para actualizar el precio de su zona y agregar los que no estén en el listado</t>
      </text>
    </comment>
    <comment ref="C81" authorId="1">
      <text>
        <t xml:space="preserve">Ricardo Lardizabal:
Los químicos siempre usar adherente.
Si usa Break Thru usar 100 ml por cada hora de riego. (22 Mts3 de agua de riego)
Si es adherente normal usar 700 ml por cada hora de riego. </t>
      </text>
    </comment>
    <comment ref="C82" authorId="1">
      <text>
        <t xml:space="preserve">Ricardo Lardizabal:
Los químicos siempre usar adherente.
Si usa Break Thru usar 100 ml por cada hora de riego. (22 Mts3 de agua de riego)
Si es adherente normal usar 700 ml por cada hora de riego. _x0000_)_x0000_b_x0000__x000c__x0000__x0013__x0000_(_x0000__x0002__x0000__x000c__x0000__x0014__x0000_&gt;_x0000_Î_x0003__x0018__x0000_v_x0000_X_x0000__x0008__x0000__x001b__x0000_w_x0000_&gt;_x0000_ý_x0002__x0018__x0000_Å_x0000_î_x0000_\(¤_x0000_</t>
      </text>
    </comment>
    <comment ref="C83" authorId="1">
      <text>
        <t xml:space="preserve">Ricardo Lardizabal:
Los químicos siempre usar adherente.
Si usa Break Thru usar 100 ml por cada hora de riego. (22 Mts3 de agua de riego)
Si es adherente normal usar 700 ml por cada hora de riego. _x0000_)_x0000_b_x0000__x000c__x0000__x0013__x0000_(_x0000__x0002__x0000__x000c__x0000__x0014__x0000_&gt;_x0000_Î_x0003__x0018__x0000_v_x0000_X_x0000__x0008__x0000__x001b__x0000_w_x0000_&gt;_x0000_ý_x0002__x0018__x0000_Å_x0000_î_x0000_\(¤_x0000_</t>
      </text>
    </comment>
    <comment ref="C84" authorId="1">
      <text>
        <t xml:space="preserve">Ricardo Lardizabal:
Los químicos siempre usar adherente.
Si usa Break Thru usar 100 ml por cada hora de riego. (22 Mts3 de agua de riego)
Si es adherente normal usar 700 ml por cada hora de riego. _x0000_)_x0000_b_x0000__x000c__x0000__x0013__x0000_(_x0000__x0002__x0000__x000c__x0000__x0014__x0000_&gt;_x0000_Î_x0003__x0018__x0000_v_x0000_X_x0000__x0008__x0000__x001b__x0000_w_x0000_&gt;_x0000_ý_x0002__x0018__x0000_Å_x0000_î_x0000_\(¤_x0000_</t>
      </text>
    </comment>
    <comment ref="C85" authorId="1">
      <text>
        <t xml:space="preserve">Ricardo Lardizabal:
Los químicos siempre usar adherente.
Si usa Break Thru usar 100 ml por cada hora de riego. (22 Mts3 de agua de riego)
Si es adherente normal usar 700 ml por cada hora de riego. _x0000_)_x0000_b_x0000__x000c__x0000__x0013__x0000_(_x0000__x0002__x0000__x000c__x0000__x0014__x0000_&gt;_x0000_Î_x0003__x0018__x0000_v_x0000_X_x0000__x0008__x0000__x001b__x0000_w_x0000_&gt;_x0000_ý_x0002__x0018__x0000_Å_x0000_î_x0000_\(¤_x0000_</t>
      </text>
    </comment>
    <comment ref="C86" authorId="1">
      <text>
        <t xml:space="preserve">Ricardo Lardizabal:
Los químicos siempre usar adherente.
Si usa Break Thru usar 100 ml por cada hora de riego. (22 Mts3 de agua de riego)
Si es adherente normal usar 700 ml por cada hora de riego. </t>
      </text>
    </comment>
  </commentList>
</comments>
</file>

<file path=xl/comments2.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3.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4.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5.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6.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7.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8.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10.xml><?xml version="1.0" encoding="utf-8"?>
<comments xmlns="http://schemas.openxmlformats.org/spreadsheetml/2006/main">
  <authors>
    <author>Ricardo Lardizabal</author>
    <author>RACA</author>
  </authors>
  <commentList>
    <comment ref="A4" authorId="0">
      <text>
        <t xml:space="preserve">Ricardo Lardizabal:
Fase si es vegetativa o Generativa</t>
      </text>
    </comment>
    <comment ref="J4" authorId="1">
      <text>
        <t xml:space="preserve">RACA:
La relación de Nitrógeno-Potasio es la relación mas importante ya que es la que controla el tipo de crecimiento y la dureza de la planta a situaciones adversas. Revise la relación ideal de cada cultivo ya que son específicos.
Cultivo                                         Relación N:K
Apio Veg       2.2 a 1.8
Apio Prod      1.7 a 1.4
Brócoli, Coliflor y Repollo Veg   2.8 a 2.3
Brócoli, Coliflor y Repollo Prod  1.9 a 1.5
Camote Veg Hasta 28 DDS                    3.0 a 2.6
Camote Veg de 29 DDS Hasta 70 DDS    2.0 a 1.6
Camote Prod de 71 DDS Hasta Cosecha  1.5 a 1.1
Cebolla veg Hasta 65 DDS             2.7 a 2.2
Cebolla Prod de 66 hasta cosecha  1.8 a 1.4
Chile veg       3.1 a 2.7
Chile Prod     2.4 a 1.9
Chive     2.0 a 1.7
Clavel      2.1 a 1.7
Crisantemo veg                       2.3 a 2.0
Crisantemo salida Botón floral  1.6 a 1.9
Forestales vivero    3.8 a 4.5
Fresa Veg                   2.2 a 1.9
Fresa Fruta mediana    1.8 a 1.6
Frijol Seco Veg            4.4 a 3.6
Frijol Seco Agujeando   2.8 a 2.3
Gerbera     2.4 a 2.0
Ginger y Heliconias en producción  2.5 a 2.1
Grama      3.0 a 2.6
Helecho Hoja de cuero   3.0 a 2.7
Lechuga veg (0 a 30 DDT)   2.2 a 2.0
Lechuga Cabeza                1.9 a 1.6
Maíz Dulce hasta 21 DDT                  3.1 a 2.7
Maíz Dulce de 22 DDT hasta cosecha 1.9 a 1.6
Okra      3.0 a 2.7
Papa Veg (0 a 45 DDS)             2.5 a 2.1
Papa Prod (46 DDS a cosecha)  1.5 a 1.1
Papaya veg (0 a 5 meses DDS)                 3.0 a 2.7
Papaya Floración a cosecha (5 a 8 M DDS) 1.9 a 1.6
Papaya cosecha    1.6 a 1.3
Pepino Veg           3.1 a 2.7
Pepino Cosecha    2.4 a 2.1
Piña Veg                          2.6 a 2.2
Piña Floración a Cosecha   1.6 a 1.2
Plátano Veg (0 a 5 meses)                 3.2 a 2.8
Plátano Formación Fruto (5 a 8 M)      2.0 a 1.7
Plátano Engorde Fruta (8 a Cosecha)  1.5 a 1.2
Tabaco      3.0 a 1.7
Tomate Proceso 0 a 45 DDT     2.2 a 1.9
Tomate Proceso 46 a 65 DDT   1.9 a 1.7
Tomate Proceso 66 a 80 DDT   1.6 a 1.4
Tomate Proceso 81 DDT hasta final  1.5 a 1.3
Tomate Mesa 0 a 45 DDT            2.4 a 2.0
Tomate Mesa 46 a 65 DDT          1.9 a 1.7
Tomate Mesa 66 a 80 DDT          1.6 a 1.4
Tomate Mesa 81 DDT hasta final  1.7 a 1.5
Sandia Hasta 1.5 mts de guía (0-18 DDS) 3.0 a 2.7
Sandia Cuaje de fruta (19 a 30 DDS)       1.8 a 1.6
Sandia Engorde (31 a 45 DDS)                2.8 a 2.5
Sandia Llenado (46 a 50 DDS)                 2.6 a 2.4
Sandia Subir Brix (51 a 60 DDS)              1.6 a 1.3
Zanahoria Veg                                           3.0 a 2.6
Zanahoria últimos 21 a 30 antes de cosecha 1.5 a 1.1
Zucchini Veg     3.0 a 2.6
Zucchini prod     2.4 a 2.0</t>
      </text>
    </comment>
    <comment ref="K4" authorId="1">
      <text>
        <t xml:space="preserve">RACA:
La relación correcta del Magnesio es la mitad del Calcio que se aplica. Si tienen el análisis del agua de riego y esta contiene Calcio eso cuenta como nutriente de calcio y esta completamente disponible para la planta.</t>
      </text>
    </comment>
    <comment ref="L4" authorId="1">
      <text>
        <t xml:space="preserve">RACA:
La relación Calcio-Potasio es 1 a 1  de manera ideal. Para niveles no tan altos de producción usamos menos ya que el costo de este elemento (Calcio) es caro. Pero si desea modifique la columna de Calcio en el requerimiento diario hasta que llegue 1 a 1 pero ojo que no se pase de Nitrógeno ya que afecta la relación Nitrógeno-Potasio y esta relación es la mas importante (la relación Nitrógeno-Potasio). Así que suba el Calcio hasta donde lo permita el total de Nitrógeno, si puede consiga Cloruro de Calcio que así no aporta Nitrógeno pero cuidado también si usa el Cloruro de Calcio no puede usar el Kcl soluble y solo de puede usar en zonas donde hay mas de 800 mm de lluvia al año. Bajo ningún punto en invernadero.</t>
      </text>
    </comment>
    <comment ref="D5" authorId="0">
      <text>
        <t xml:space="preserve">Ricardo Lardizabal:
Los Anión Nitrato y Catión Amonio</t>
      </text>
    </comment>
    <comment ref="E5" authorId="0">
      <text>
        <t xml:space="preserve">Ricardo Lardizabal:
El Catión Fosfato es el que mas se absorbe y en mucho menos grado el anión.</t>
      </text>
    </comment>
    <comment ref="F5" authorId="0">
      <text>
        <t xml:space="preserve">Ricardo Lardizabal:
El potasio se absorbe como catión K</t>
      </text>
    </comment>
    <comment ref="G5" authorId="0">
      <text>
        <t xml:space="preserve">Ricardo Lardizabal:
El magnesio se absorbe como catión Mg</t>
      </text>
    </comment>
    <comment ref="H5" authorId="0">
      <text>
        <t xml:space="preserve">Ricardo Lardizabal:
El calcio se absorbe como catión Ca</t>
      </text>
    </comment>
    <comment ref="I5" authorId="0">
      <text>
        <t xml:space="preserve">Ricardo Lardizabal:
El Boro en la planta se absorbe como Ácido Bórico</t>
      </text>
    </comment>
    <comment ref="K5" authorId="0">
      <text>
        <t xml:space="preserve">Ricardo Lardizabal:
Introduzca en este cuadro la relación que desee mantener entre el Mg y Ca. Lo ideal es de 0.25 al 0.5 de magnesio al calcio.</t>
      </text>
    </comment>
    <comment ref="L5" authorId="0">
      <text>
        <t xml:space="preserve">Ricardo Lardizabal:
Introduzca en este cuadro la relación que desee mantener entre el Ca y K. Lo ideal es de 0.5 al 1 de Calcio al Potasio.</t>
      </text>
    </comment>
  </commentList>
</comments>
</file>

<file path=xl/comments11.xml><?xml version="1.0" encoding="utf-8"?>
<comments xmlns="http://schemas.openxmlformats.org/spreadsheetml/2006/main">
  <authors>
    <author>RACA</author>
  </authors>
  <commentList>
    <comment ref="C3" authorId="0">
      <text>
        <t xml:space="preserve">RACA:
Actualizar precio de acuerdo a su zona.
Cuando es liquido ponga el precio de 46 litros de producto. Para los sólidos es el precio de 46 kilos o 100 Lbs</t>
      </text>
    </comment>
    <comment ref="K3" authorId="0">
      <text>
        <t xml:space="preserve">RACA:
Ver explicación en la columna lateral. Se debe de poner la unidad en que se va trabajar si es litro, libra, kilo, gramo, etc.</t>
      </text>
    </comment>
    <comment ref="C4" authorId="0">
      <text>
        <t xml:space="preserve">RACA:
Actualizar precio de acuerdo a su zona.
Cuando es liquido ponga el precio de 46 litros de producto. Para los sólidos es el precio de 46 kilos o 100 Lbs</t>
      </text>
    </comment>
    <comment ref="K4" authorId="0">
      <text>
        <t xml:space="preserve">RACA:
Ver explicación en la columna lateral. Se debe de poner la unidad en que se va trabajar si es litro, libra, kilo, gramo, etc.</t>
      </text>
    </comment>
    <comment ref="C5" authorId="0">
      <text>
        <t xml:space="preserve">RACA:
Actualizar precio de acuerdo a su zona.
Cuando es liquido ponga el precio de 46 litros de producto. Para los sólidos es el precio de 46 kilos o 100 Lbs</t>
      </text>
    </comment>
    <comment ref="C6" authorId="0">
      <text>
        <t xml:space="preserve">RACA:
Actualizar precio de acuerdo a su zona.
Cuando es liquido ponga el precio de 46 litros de producto. Para los sólidos es el precio de 46 kilos o 100 Lbs</t>
      </text>
    </comment>
    <comment ref="K6" authorId="0">
      <text>
        <t xml:space="preserve">RACA:
Ver explicación en la columna lateral. Se debe de poner la unidad en que se va trabajar si es litro, libra, kilo, gramo, etc.</t>
      </text>
    </comment>
    <comment ref="C7" authorId="0">
      <text>
        <t xml:space="preserve">RACA:
Actualizar precio de acuerdo a su zona.
Cuando es liquido ponga el precio de 46 litros de producto. Para los sólidos es el precio de 46 kilos o 100 Lbs</t>
      </text>
    </comment>
    <comment ref="K7" authorId="0">
      <text>
        <t xml:space="preserve">RACA:
Ver explicación en la columna lateral. Se debe de poner la unidad en que se va trabajar si es litro, libra, kilo, gramo, etc.</t>
      </text>
    </comment>
    <comment ref="C8" authorId="0">
      <text>
        <t xml:space="preserve">RACA:
Actualizar precio de acuerdo a su zona.
Cuando es liquido ponga el precio de 46 litros de producto. Para los sólidos es el precio de 46 kilos o 100 Lbs</t>
      </text>
    </comment>
    <comment ref="K8" authorId="0">
      <text>
        <t xml:space="preserve">RACA:
Ver explicación en la columna lateral. Se debe de poner la unidad en que se va trabajar si es litro, libra, kilo, gramo, etc.</t>
      </text>
    </comment>
    <comment ref="C9" authorId="0">
      <text>
        <t xml:space="preserve">RACA:
Actualizar precio de acuerdo a su zona.
Cuando es liquido ponga el precio de 46 litros de producto. Para los sólidos es el precio de 46 kilos o 100 Lbs</t>
      </text>
    </comment>
    <comment ref="C10" authorId="0">
      <text>
        <t xml:space="preserve">RACA:
Actualizar precio de acuerdo a su zona.
Cuando es liquido ponga el precio de 46 litros de producto. Para los sólidos es el precio de 46 kilos o 100 Lbs</t>
      </text>
    </comment>
    <comment ref="K10" authorId="0">
      <text>
        <t xml:space="preserve">RACA:
Ver explicación en la columna lateral. Se debe de poner la unidad en que se va trabajar si es litro, libra, kilo, gramo, etc.</t>
      </text>
    </comment>
    <comment ref="C12" authorId="0">
      <text>
        <t xml:space="preserve">RACA:
Actualizar precio de acuerdo a su zona.
Cuando es liquido ponga el precio de 46 litros de producto. Para los sólidos es el precio de 46 kilos o 100 Lbs</t>
      </text>
    </comment>
    <comment ref="K12" authorId="0">
      <text>
        <t xml:space="preserve">RACA:
Ver explicación en la columna lateral. Se debe de poner la unidad en que se va trabajar si es litro, libra, kilo, gramo, etc.</t>
      </text>
    </comment>
    <comment ref="C13" authorId="0">
      <text>
        <t xml:space="preserve">RACA:
Actualizar precio de acuerdo a su zona.
Cuando es liquido ponga el precio de 46 litros de producto. Para los sólidos es el precio de 46 kilos o 100 Lbs</t>
      </text>
    </comment>
    <comment ref="K13" authorId="0">
      <text>
        <t xml:space="preserve">RACA:
Ver explicación en la columna lateral. Se debe de poner la unidad en que se va trabajar si es litro, libra, kilo, gramo, etc.</t>
      </text>
    </comment>
    <comment ref="C14" authorId="0">
      <text>
        <t xml:space="preserve">RACA:
Actualizar precio de acuerdo a su zona.
Cuando es liquido ponga el precio de 46 litros de producto. Para los sólidos es el precio de 46 kilos o 100 Lbs</t>
      </text>
    </comment>
    <comment ref="K14" authorId="0">
      <text>
        <t xml:space="preserve">RACA:
Ver explicación en la columna lateral. Se debe de poner la unidad en que se va trabajar si es litro, libra, kilo, gramo, etc.</t>
      </text>
    </comment>
    <comment ref="C15" authorId="0">
      <text>
        <t xml:space="preserve">RACA:
Actualizar precio de acuerdo a su zona.
Cuando es liquido ponga el precio de 46 litros de producto. Para los sólidos es el precio de 46 kilos o 100 Lbs</t>
      </text>
    </comment>
    <comment ref="K15" authorId="0">
      <text>
        <t xml:space="preserve">RACA:
Ver explicación en la columna lateral. Se debe de poner la unidad en que se va trabajar si es litro, libra, kilo, gramo, etc.</t>
      </text>
    </comment>
    <comment ref="C16" authorId="0">
      <text>
        <t xml:space="preserve">RACA:
Actualizar precio de acuerdo a su zona.
Cuando es liquido ponga el precio de 46 litros de producto. Para los sólidos es el precio de 46 kilos o 100 Lbs</t>
      </text>
    </comment>
    <comment ref="K16" authorId="0">
      <text>
        <t xml:space="preserve">RACA:
Ver explicación en la columna lateral. Se debe de poner la unidad en que se va trabajar si es litro, libra, kilo, gramo, etc.</t>
      </text>
    </comment>
    <comment ref="C17" authorId="0">
      <text>
        <t xml:space="preserve">RACA:
Actualizar precio de acuerdo a su zona.
Cuando es liquido ponga el precio de 46 litros de producto. Para los sólidos es el precio de 46 kilos o 100 Lbs</t>
      </text>
    </comment>
    <comment ref="K17" authorId="0">
      <text>
        <t xml:space="preserve">RACA:
Ver explicación en la columna lateral. Se debe de poner la unidad en que se va trabajar si es litro, libra, kilo, gramo, etc.</t>
      </text>
    </comment>
    <comment ref="C19" authorId="0">
      <text>
        <t xml:space="preserve">RACA:
Actualizar precio de acuerdo a su zona.
Cuando es liquido ponga el precio de 46 litros de producto. Para los sólidos es el precio de 46 kilos o 100 Lbs</t>
      </text>
    </comment>
    <comment ref="K19" authorId="0">
      <text>
        <t xml:space="preserve">RACA:
Ver explicación en la columna lateral. Se debe de poner la unidad en que se va trabajar si es litro, libra, kilo, gramo, etc.</t>
      </text>
    </comment>
    <comment ref="C20" authorId="0">
      <text>
        <t xml:space="preserve">RACA:
Actualizar precio de acuerdo a su zona.
Cuando es liquido ponga el precio de 46 litros de producto. Para los sólidos es el precio de 46 kilos o 100 Lbs</t>
      </text>
    </comment>
    <comment ref="K20" authorId="0">
      <text>
        <t xml:space="preserve">RACA:
Ver explicación en la columna lateral. Se debe de poner la unidad en que se va trabajar si es litro, libra, kilo, gramo, etc.</t>
      </text>
    </comment>
    <comment ref="C21" authorId="0">
      <text>
        <t xml:space="preserve">RACA:
Actualizar precio de acuerdo a su zona.
Cuando es liquido ponga el precio de 46 litros de producto. Para los sólidos es el precio de 46 kilos o 100 Lbs</t>
      </text>
    </comment>
    <comment ref="K21" authorId="0">
      <text>
        <t xml:space="preserve">RACA:
Ver explicación en la columna lateral. Se debe de poner la unidad en que se va trabajar si es litro, libra, kilo, gramo, etc.</t>
      </text>
    </comment>
    <comment ref="C22" authorId="0">
      <text>
        <t xml:space="preserve">RACA:
Actualizar precio de acuerdo a su zona.
Cuando es liquido ponga el precio de 46 litros de producto. Para los sólidos es el precio de 46 kilos o 100 Lbs</t>
      </text>
    </comment>
    <comment ref="K22" authorId="0">
      <text>
        <t xml:space="preserve">RACA:
Ver explicación en la columna lateral. Se debe de poner la unidad en que se va trabajar si es litro, libra, kilo, gramo, etc.</t>
      </text>
    </comment>
    <comment ref="C23"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3" authorId="0">
      <text>
        <t xml:space="preserve">RACA:
Ver explicación en la columna lateral. Se debe de poner la unidad en que se va trabajar si es litro, libra, kilo, gramo, etc.</t>
      </text>
    </comment>
    <comment ref="C24"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25"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26"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6" authorId="0">
      <text>
        <t xml:space="preserve">RACA:
Ver explicación en la columna lateral. Se debe de poner la unidad en que se va trabajar si es litro, libra, kilo, gramo, etc.</t>
      </text>
    </comment>
    <comment ref="C28"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8" authorId="0">
      <text>
        <t xml:space="preserve">RACA:
Ver explicación en la columna lateral. Se debe de poner la unidad en que se va trabajar si es litro, libra, kilo, gramo, etc.</t>
      </text>
    </comment>
    <comment ref="C29"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9" authorId="0">
      <text>
        <t xml:space="preserve">RACA:
Ver explicación en la columna lateral. Se debe de poner la unidad en que se va trabajar si es litro, libra, kilo, gramo, etc.</t>
      </text>
    </comment>
    <comment ref="C30"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0" authorId="0">
      <text>
        <t xml:space="preserve">RACA:
Ver explicación en la columna lateral. Se debe de poner la unidad en que se va trabajar si es litro, libra, kilo, gramo, etc.</t>
      </text>
    </comment>
    <comment ref="C31"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2"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3"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3" authorId="0">
      <text>
        <t xml:space="preserve">RACA:
Ver explicación en la columna lateral. Se debe de poner la unidad en que se va trabajar si es litro, libra, kilo, gramo, etc.</t>
      </text>
    </comment>
    <comment ref="C34"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4" authorId="0">
      <text>
        <t xml:space="preserve">RACA:
Ver explicación en la columna lateral. Se debe de poner la unidad en que se va trabajar si es litro, libra, kilo, gramo, etc.</t>
      </text>
    </comment>
    <comment ref="C36"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6" authorId="0">
      <text>
        <t xml:space="preserve">RACA:
Ver explicación en la columna lateral. Se debe de poner la unidad en que se va trabajar si es litro, libra, kilo, gramo, etc.</t>
      </text>
    </comment>
    <comment ref="C37"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7" authorId="0">
      <text>
        <t xml:space="preserve">RACA:
Ver explicación en la columna lateral. Se debe de poner la unidad en que se va trabajar si es litro, libra, kilo, gramo, etc.</t>
      </text>
    </comment>
    <comment ref="C38"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9"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9" authorId="0">
      <text>
        <t xml:space="preserve">RACA:
Ver explicación en la columna lateral. Se debe de poner la unidad en que se va trabajar si es litro, libra, kilo, gramo, etc.</t>
      </text>
    </comment>
    <comment ref="C40" authorId="0">
      <text>
        <t xml:space="preserve">RACA:
Actualizar precio de acuerdo a su zona.
Cuando es liquido ponga el precio de 46 litros de producto. Para los sólidos es el precio de 46 kilos o 100 Lbs</t>
      </text>
    </comment>
    <comment ref="K40" authorId="0">
      <text>
        <t xml:space="preserve">RACA:
Ver explicación en la columna lateral. Se debe de poner la unidad en que se va trabajar si es litro, libra, kilo, gramo, etc.</t>
      </text>
    </comment>
    <comment ref="C42" authorId="0">
      <text>
        <t xml:space="preserve">RACA:
Actualizar precio de acuerdo a su zona.
Estos fertilizantes el precio es por gramo y si es liquido por mililitro.</t>
      </text>
    </comment>
    <comment ref="K42" authorId="0">
      <text>
        <t xml:space="preserve">RACA:
Ver explicación en la columna lateral. Se debe de poner la unidad en que se va trabajar si es litro, libra, kilo, gramo, etc.</t>
      </text>
    </comment>
    <comment ref="C43" authorId="0">
      <text>
        <t xml:space="preserve">RACA:
Actualizar precio de acuerdo a su zona.
Estos fertilizantes el precio es por gramo y si es liquido por mililitro.</t>
      </text>
    </comment>
    <comment ref="K43" authorId="0">
      <text>
        <t xml:space="preserve">RACA:
Ver explicación en la columna lateral. Se debe de poner la unidad en que se va trabajar si es litro, libra, kilo, gramo, etc.</t>
      </text>
    </comment>
    <comment ref="C44" authorId="0">
      <text>
        <t xml:space="preserve">RACA:
Actualizar precio de acuerdo a su zona.
Estos fertilizantes el precio es por gramo y si es liquido por mililitro.</t>
      </text>
    </comment>
    <comment ref="K44" authorId="0">
      <text>
        <t xml:space="preserve">RACA:
Ver explicación en la columna lateral. Se debe de poner la unidad en que se va trabajar si es litro, libra, kilo, gramo, etc.</t>
      </text>
    </comment>
    <comment ref="C45" authorId="0">
      <text>
        <t xml:space="preserve">RACA:
Actualizar precio de acuerdo a su zona.
Estos fertilizantes el precio es por gramo y si es liquido por mililitro.</t>
      </text>
    </comment>
    <comment ref="K45" authorId="0">
      <text>
        <t xml:space="preserve">RACA:
Ver explicación en la columna lateral. Se debe de poner la unidad en que se va trabajar si es litro, libra, kilo, gramo, etc.</t>
      </text>
    </comment>
    <comment ref="C46" authorId="0">
      <text>
        <t xml:space="preserve">RACA:
Actualizar precio de acuerdo a su zona.
Estos fertilizantes el precio es por gramo y si es liquido por mililitro.</t>
      </text>
    </comment>
    <comment ref="K46" authorId="0">
      <text>
        <t xml:space="preserve">RACA:
Ver explicación en la columna lateral. Se debe de poner la unidad en que se va trabajar si es litro, libra, kilo, gramo, etc.</t>
      </text>
    </comment>
    <comment ref="C47" authorId="0">
      <text>
        <t xml:space="preserve">RACA:
Actualizar precio de acuerdo a su zona.
Estos fertilizantes el precio es por gramo y si es liquido por mililitro.</t>
      </text>
    </comment>
    <comment ref="K47" authorId="0">
      <text>
        <t xml:space="preserve">RACA:
Ver explicación en la columna lateral. Se debe de poner la unidad en que se va trabajar si es litro, libra, kilo, gramo, etc.</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2">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 numFmtId="164" formatCode="#,##0\ &quot;$&quot;;\-#,##0\ &quot;$&quot;"/>
    <numFmt numFmtId="165" formatCode="#,##0\ &quot;$&quot;;[Red]\-#,##0\ &quot;$&quot;"/>
    <numFmt numFmtId="166" formatCode="#,##0.00\ &quot;$&quot;;\-#,##0.00\ &quot;$&quot;"/>
    <numFmt numFmtId="167" formatCode="#,##0.00\ &quot;$&quot;;[Red]\-#,##0.00\ &quot;$&quot;"/>
    <numFmt numFmtId="168" formatCode="_-* #,##0\ &quot;$&quot;_-;\-* #,##0\ &quot;$&quot;_-;_-* &quot;-&quot;\ &quot;$&quot;_-;_-@_-"/>
    <numFmt numFmtId="169" formatCode="_-* #,##0\ _$_-;\-* #,##0\ _$_-;_-* &quot;-&quot;\ _$_-;_-@_-"/>
    <numFmt numFmtId="170" formatCode="_-* #,##0.00\ &quot;$&quot;_-;\-* #,##0.00\ &quot;$&quot;_-;_-* &quot;-&quot;??\ &quot;$&quot;_-;_-@_-"/>
    <numFmt numFmtId="171" formatCode="_-* #,##0.00\ _$_-;\-* #,##0.00\ _$_-;_-* &quot;-&quot;??\ _$_-;_-@_-"/>
    <numFmt numFmtId="172" formatCode="&quot;Q&quot;#,##0_);\(&quot;Q&quot;#,##0\)"/>
    <numFmt numFmtId="173" formatCode="&quot;Q&quot;#,##0_);[Red]\(&quot;Q&quot;#,##0\)"/>
    <numFmt numFmtId="174" formatCode="&quot;Q&quot;#,##0.00_);\(&quot;Q&quot;#,##0.00\)"/>
    <numFmt numFmtId="175" formatCode="&quot;Q&quot;#,##0.00_);[Red]\(&quot;Q&quot;#,##0.00\)"/>
    <numFmt numFmtId="176" formatCode="_(&quot;Q&quot;* #,##0_);_(&quot;Q&quot;* \(#,##0\);_(&quot;Q&quot;* &quot;-&quot;_);_(@_)"/>
    <numFmt numFmtId="177" formatCode="_(&quot;Q&quot;* #,##0.00_);_(&quot;Q&quot;* \(#,##0.00\);_(&quot;Q&quot;* &quot;-&quot;??_);_(@_)"/>
    <numFmt numFmtId="178" formatCode="d/m/yy"/>
    <numFmt numFmtId="179" formatCode="#,##0.0"/>
    <numFmt numFmtId="180" formatCode="0.000"/>
    <numFmt numFmtId="181" formatCode="&quot;Yes&quot;;&quot;Yes&quot;;&quot;No&quot;"/>
    <numFmt numFmtId="182" formatCode="&quot;True&quot;;&quot;True&quot;;&quot;False&quot;"/>
    <numFmt numFmtId="183" formatCode="&quot;On&quot;;&quot;On&quot;;&quot;Off&quot;"/>
    <numFmt numFmtId="184" formatCode="[$€-2]\ #,##0.00_);[Red]\([$€-2]\ #,##0.00\)"/>
    <numFmt numFmtId="185" formatCode="0.0"/>
    <numFmt numFmtId="186" formatCode="0.0000"/>
    <numFmt numFmtId="187" formatCode="[$-409]dddd\,\ mmmm\ dd\,\ yyyy"/>
    <numFmt numFmtId="188" formatCode="[$-409]d\-mmm\-yy;@"/>
    <numFmt numFmtId="189" formatCode="dd/mm/yyyy;@"/>
    <numFmt numFmtId="190" formatCode="m/d/yy;@"/>
    <numFmt numFmtId="191" formatCode="mm/dd/yy;@"/>
    <numFmt numFmtId="192" formatCode="0.00000"/>
    <numFmt numFmtId="193" formatCode="#\ &quot;Lbs/Ha&quot;"/>
    <numFmt numFmtId="194" formatCode="#\ &quot;Lbs&quot;"/>
    <numFmt numFmtId="195" formatCode="#,##0.000"/>
    <numFmt numFmtId="196" formatCode="_(* #,##0.0_);_(* \(#,##0.0\);_(* &quot;-&quot;??_);_(@_)"/>
    <numFmt numFmtId="197" formatCode="_(* #,##0_);_(* \(#,##0\);_(* &quot;-&quot;??_);_(@_)"/>
    <numFmt numFmtId="198" formatCode="#,##0.0_);\(#,##0.0\)"/>
    <numFmt numFmtId="199" formatCode="_(* #,##0_);_(* \(#,##0\);_(* &quot; &quot;??_);_(@_)"/>
    <numFmt numFmtId="200" formatCode="#\ &quot;Lts&quot;"/>
    <numFmt numFmtId="201" formatCode="#.#\ &quot;Lts&quot;"/>
    <numFmt numFmtId="202" formatCode="#\ &quot;g&quot;"/>
    <numFmt numFmtId="203" formatCode="#\ &quot;Dosis&quot;"/>
    <numFmt numFmtId="204" formatCode="#.##\ &quot;Dosis&quot;"/>
    <numFmt numFmtId="205" formatCode="#.##\ &quot;Lts&quot;"/>
    <numFmt numFmtId="206" formatCode="##\ &quot;Qintales&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sheet1.xml><?xml version="1.0" encoding="utf-8"?>
<worksheet xmlns="http://schemas.openxmlformats.org/spreadsheetml/2006/main" xmlns:r="http://schemas.openxmlformats.org/officeDocument/2006/relationships">
  <dimension ref="A1:R117"/>
  <sheetViews>
    <sheetView workbookViewId="0" rightToLeft="0"/>
  </sheetViews>
  <sheetData>
    <row r="1" ht="28.95" customHeight="1"/>
    <row r="2" ht="28.95" customHeight="1"/>
    <row r="3" ht="28.95" customHeight="1"/>
    <row r="4" ht="28.95" customHeight="1"/>
    <row r="5" ht="28.95" customHeight="1"/>
    <row r="6" ht="28.95" customHeight="1"/>
    <row r="7" ht="28.95" customHeight="1"/>
    <row r="12" ht="9" customHeight="1"/>
    <row r="13" ht="33.6" customHeight="1">
      <c r="C13" t="str">
        <v>"Sin Fertilización Base"</v>
      </c>
    </row>
    <row r="14" ht="21" customHeight="1">
      <c r="C14" t="str">
        <v>SEGUIR LOS 5 PASOS EN ESTA PAGINA EN LAS ÁREAS GRISES</v>
      </c>
    </row>
    <row r="15">
      <c r="C15" t="str">
        <v>Paso 1. Completar los datos básicos</v>
      </c>
    </row>
    <row r="17" ht="18" customHeight="1">
      <c r="C17" t="str">
        <v>Nombre de Productor:</v>
      </c>
      <c r="E17" t="str">
        <v>Pancho Pérez</v>
      </c>
    </row>
    <row r="18" ht="18" customHeight="1">
      <c r="C18" t="str">
        <v>Zona:</v>
      </c>
      <c r="E18" t="str">
        <v>Cantarranas</v>
      </c>
    </row>
    <row r="19" ht="18" customHeight="1">
      <c r="C19" t="str">
        <v>Parcela #:</v>
      </c>
      <c r="E19" t="str">
        <v>La Frondosa</v>
      </c>
    </row>
    <row r="20" ht="18" customHeight="1">
      <c r="C20" t="str">
        <v>Nombre del Técnico:</v>
      </c>
      <c r="E20" t="str">
        <v>Nelson Galindo</v>
      </c>
    </row>
    <row r="21" ht="33" customHeight="1">
      <c r="C21" t="str">
        <v xml:space="preserve">Nombre del Cultivo / Variedad </v>
      </c>
      <c r="E21" t="str">
        <v>Cunde</v>
      </c>
      <c r="G21" t="str">
        <v>Shingai</v>
      </c>
    </row>
    <row r="22" ht="18" customHeight="1">
      <c r="C22" t="str">
        <v>Área en Manzanas</v>
      </c>
      <c r="E22">
        <v>1.43</v>
      </c>
      <c r="F22" t="str">
        <v>Área en Hectáreas</v>
      </c>
      <c r="I22">
        <f>E22*0.7</f>
        <v>1.001</v>
      </c>
    </row>
    <row r="23" ht="18" customHeight="1">
      <c r="C23" t="str">
        <v>Fecha de Siembra:</v>
      </c>
      <c r="E23">
        <v>39605</v>
      </c>
    </row>
    <row r="24">
      <c r="C24" t="str">
        <v>Cosecha - Días DDT:</v>
      </c>
      <c r="E24">
        <v>65</v>
      </c>
    </row>
    <row r="25">
      <c r="C25" t="str">
        <v>Moneda Local</v>
      </c>
      <c r="E25" t="str">
        <v>Lempiras</v>
      </c>
    </row>
    <row r="28">
      <c r="C28" t="str">
        <v>Paso 2. Completar la información de los fertilizantes para usar y los precios en la ultima pagina</v>
      </c>
    </row>
    <row r="30">
      <c r="C30" t="str">
        <v>Fósforo</v>
      </c>
      <c r="E30" t="str">
        <v>N</v>
      </c>
      <c r="F30" t="str">
        <v>P2O5</v>
      </c>
      <c r="G30" t="str">
        <v>K2O</v>
      </c>
      <c r="H30" t="str">
        <v>Este cuadro es para el fertilizante usado como fuente de fósforo</v>
      </c>
    </row>
    <row r="31" ht="12.75" customHeight="1">
      <c r="C31" t="str">
        <v>Formula:</v>
      </c>
      <c r="D31" t="str">
        <f>VLOOKUP(D32,Fertilizante1,2,FALSE)</f>
        <v>18-46-0</v>
      </c>
      <c r="E31">
        <f>IF(+$D$32&lt;&gt;0,VLOOKUP(+$D$32,Fertilizante1,4,FALSE),"")</f>
        <v>18</v>
      </c>
      <c r="F31">
        <f>IF(+$D$32&lt;&gt;0,VLOOKUP(+$D$32,Fertilizante1,5,FALSE),"")</f>
        <v>46</v>
      </c>
      <c r="G31">
        <f>IF(+$D$32&lt;&gt;0,VLOOKUP(+$D$32,Fertilizante1,6,FALSE),"")</f>
        <v>0</v>
      </c>
    </row>
    <row r="32">
      <c r="C32" t="str">
        <v>Nombre:</v>
      </c>
      <c r="D32" t="str">
        <v>DAP 18-46-0</v>
      </c>
      <c r="E32" t="str">
        <f>VLOOKUP(D32,Fertilizante2,11,FALSE)</f>
        <v>Lbs</v>
      </c>
    </row>
    <row r="33" ht="20.25" customHeight="1">
      <c r="C33" t="str">
        <f>E25</f>
        <v>Lempiras</v>
      </c>
      <c r="D33">
        <f>IF(+D32&lt;&gt;0,VLOOKUP(+D32,Fertilizante1,3,FALSE),"")</f>
        <v>1200</v>
      </c>
    </row>
    <row r="35">
      <c r="C35" t="str">
        <v>Potasio</v>
      </c>
      <c r="E35" t="str">
        <v>N</v>
      </c>
      <c r="F35" t="str">
        <v>P2O5</v>
      </c>
      <c r="G35" t="str">
        <v>K2O</v>
      </c>
      <c r="H35" t="str">
        <v>Este cuadro es para el fertilizante usado como fuente de potasio</v>
      </c>
    </row>
    <row r="36">
      <c r="C36" t="str">
        <v>Formula:</v>
      </c>
      <c r="D36" t="str">
        <f>IF(+$D$37&lt;&gt;0,VLOOKUP(+$D$37,Fertilizante1,2,FALSE),"")</f>
        <v>0-0-60</v>
      </c>
      <c r="E36">
        <f>IF(+$D$37&lt;&gt;0,VLOOKUP(+$D$37,Fertilizante1,4,FALSE),"")</f>
        <v>0</v>
      </c>
      <c r="F36">
        <f>IF(+$D$37&lt;&gt;0,VLOOKUP(+$D$37,Fertilizante1,5,FALSE),"")</f>
        <v>0</v>
      </c>
      <c r="G36">
        <f>IF(+$D$37&lt;&gt;0,VLOOKUP(+$D$37,Fertilizante1,6,FALSE),"")</f>
        <v>60</v>
      </c>
    </row>
    <row r="37">
      <c r="C37" t="str">
        <v>Nombre:</v>
      </c>
      <c r="D37" t="str">
        <v>Kcl</v>
      </c>
      <c r="E37" t="str">
        <f>VLOOKUP(D37,Fertilizante2,11,FALSE)</f>
        <v>Lbs</v>
      </c>
    </row>
    <row r="38" ht="21.75" customHeight="1">
      <c r="C38" t="str">
        <f>E25</f>
        <v>Lempiras</v>
      </c>
      <c r="D38">
        <f>IF(+$D$37&lt;&gt;0,VLOOKUP(+$D$37,Fertilizante1,3,FALSE),"")</f>
        <v>580</v>
      </c>
    </row>
    <row r="40">
      <c r="C40" t="str">
        <v>Nitrógeno</v>
      </c>
      <c r="E40" t="str">
        <v>N</v>
      </c>
      <c r="F40" t="str">
        <v>P2O5</v>
      </c>
      <c r="G40" t="str">
        <v>K2O</v>
      </c>
      <c r="H40" t="str">
        <v>Este cuadro es para el fertilizante usado como fuente de nitrógeno</v>
      </c>
    </row>
    <row r="41">
      <c r="C41" t="str">
        <v>Formula:</v>
      </c>
      <c r="D41" t="str">
        <f>IF(+$D$42&lt;&gt;0,VLOOKUP(+$D$42,Fertilizante1,2,FALSE),"")</f>
        <v>46-0-0</v>
      </c>
      <c r="E41">
        <f>IF(+$D$42&lt;&gt;0,VLOOKUP(+$D$42,Fertilizante1,4,FALSE),"")</f>
        <v>46</v>
      </c>
      <c r="F41">
        <f>IF(+$D$42&lt;&gt;0,VLOOKUP(+$D$42,Fertilizante1,5,FALSE),"")</f>
        <v>0</v>
      </c>
      <c r="G41">
        <f>IF(+$D$42&lt;&gt;0,VLOOKUP(+$D$42,Fertilizante1,6,FALSE),"")</f>
        <v>0</v>
      </c>
    </row>
    <row r="42">
      <c r="C42" t="str">
        <v>Nombre:</v>
      </c>
      <c r="D42" t="str">
        <v>Urea</v>
      </c>
      <c r="E42" t="str">
        <f>VLOOKUP(D42,Fertilizante2,11,FALSE)</f>
        <v>Lbs</v>
      </c>
    </row>
    <row r="43" ht="21" customHeight="1">
      <c r="C43" t="str">
        <f>E25</f>
        <v>Lempiras</v>
      </c>
      <c r="D43">
        <f>IF(+$D$42&lt;&gt;0,VLOOKUP(+$D$42,Fertilizante1,3,FALSE),"")</f>
        <v>650</v>
      </c>
    </row>
    <row r="45" ht="15.75" customHeight="1">
      <c r="C45" t="str">
        <v>Magnesio</v>
      </c>
      <c r="E45" t="str">
        <v>N</v>
      </c>
      <c r="F45" t="str">
        <v>P2O5</v>
      </c>
      <c r="G45" t="str">
        <v>K2O</v>
      </c>
      <c r="H45" t="str">
        <v>S</v>
      </c>
      <c r="I45" t="str">
        <v>MgO</v>
      </c>
      <c r="J45" t="str">
        <v>Este cuadro es para el fertilizante usado como fuente de magnesio</v>
      </c>
    </row>
    <row r="46">
      <c r="C46" t="str">
        <v>Formula:</v>
      </c>
      <c r="D46" t="str">
        <f>IF(+$D$47&lt;&gt;0,VLOOKUP(+$D$47,Fertilizante1,2,FALSE),"")</f>
        <v>0-0-0-31.7-16</v>
      </c>
      <c r="E46">
        <f>IF(+$D$47&lt;&gt;0,VLOOKUP(+$D$47,Fertilizante1,4,FALSE),"")</f>
        <v>0</v>
      </c>
      <c r="F46">
        <f>IF(+$D$47&lt;&gt;0,VLOOKUP(+$D$47,Fertilizante1,5,FALSE),"")</f>
        <v>0</v>
      </c>
      <c r="G46">
        <f>IF(+$D$47&lt;&gt;0,VLOOKUP(+$D$47,Fertilizante1,6,FALSE),"")</f>
        <v>0</v>
      </c>
      <c r="H46">
        <f>IF(+$D$47&lt;&gt;0,VLOOKUP(+$D$47,Fertilizante1,9,FALSE),"")</f>
        <v>31.7</v>
      </c>
      <c r="I46">
        <f>IF(+$D$47&lt;&gt;0,VLOOKUP(+$D$47,Fertilizante1,7,FALSE),"")</f>
        <v>16</v>
      </c>
    </row>
    <row r="47">
      <c r="C47" t="str">
        <v>Nombre:</v>
      </c>
      <c r="D47" t="str">
        <v>Sulfato de Magnesio</v>
      </c>
      <c r="E47" t="str">
        <f>VLOOKUP(D47,Fertilizante2,11,FALSE)</f>
        <v>Lbs</v>
      </c>
    </row>
    <row r="48" ht="20.25" customHeight="1">
      <c r="C48" t="str">
        <f>E25</f>
        <v>Lempiras</v>
      </c>
      <c r="D48">
        <f>IF(+$D$47&lt;&gt;0,VLOOKUP(+$D$47,Fertilizante1,3,FALSE),"")</f>
        <v>951</v>
      </c>
    </row>
    <row r="50">
      <c r="C50" t="str">
        <v>Calcio</v>
      </c>
      <c r="E50" t="str">
        <v>N</v>
      </c>
      <c r="F50" t="str">
        <v>P2O5</v>
      </c>
      <c r="G50" t="str">
        <v>K2O</v>
      </c>
      <c r="H50" t="str">
        <v>Ca</v>
      </c>
      <c r="I50" t="str">
        <v>Este cuadro es para el fertilizante usado como fuente de calcio</v>
      </c>
    </row>
    <row r="51">
      <c r="C51" t="str">
        <v>Formula:</v>
      </c>
      <c r="D51" t="str">
        <f>IF(+$D$52&lt;&gt;0,VLOOKUP(+$D$52,Fertilizante1,2,FALSE),"")</f>
        <v>0-0-0-0</v>
      </c>
      <c r="E51">
        <f>IF(+$D$52&lt;&gt;0,VLOOKUP(+$D$52,Fertilizante1,4,FALSE),"")</f>
        <v>0</v>
      </c>
      <c r="F51">
        <f>IF(+$D$52&lt;&gt;0,VLOOKUP(+$D$52,Fertilizante1,5,FALSE),"")</f>
        <v>0</v>
      </c>
      <c r="G51">
        <f>IF(+$D$52&lt;&gt;0,VLOOKUP(+$D$52,Fertilizante1,6,FALSE),"")</f>
        <v>0</v>
      </c>
      <c r="H51">
        <f>IF(+$D$52&lt;&gt;0,VLOOKUP(+$D$52,Fertilizante1,8,FALSE),"")</f>
        <v>1000000</v>
      </c>
    </row>
    <row r="52">
      <c r="C52" t="str">
        <v>Nombre:</v>
      </c>
      <c r="D52" t="str">
        <v>Sin Calcio</v>
      </c>
      <c r="E52">
        <f>VLOOKUP(D52,Fertilizante2,11,FALSE)</f>
        <v>0</v>
      </c>
    </row>
    <row r="53" ht="20.25" customHeight="1">
      <c r="C53" t="str">
        <f>E25</f>
        <v>Lempiras</v>
      </c>
      <c r="D53">
        <f>IF(+$D$52&lt;&gt;0,VLOOKUP(+$D$52,Fertilizante1,3,FALSE),"")</f>
        <v>0</v>
      </c>
    </row>
    <row r="55">
      <c r="C55" t="str">
        <v>Boro</v>
      </c>
      <c r="E55" t="str">
        <v>N</v>
      </c>
      <c r="F55" t="str">
        <v>P2O5</v>
      </c>
      <c r="G55" t="str">
        <v>K2O</v>
      </c>
      <c r="H55" t="str">
        <v>Ca</v>
      </c>
      <c r="I55" t="str">
        <v>S</v>
      </c>
      <c r="J55" t="str">
        <v>MgO</v>
      </c>
      <c r="K55" t="str">
        <v>B</v>
      </c>
    </row>
    <row r="56">
      <c r="C56" t="str">
        <v>Formula:</v>
      </c>
      <c r="D56" t="str">
        <f>VLOOKUP(D57,Fertilizante2,2,FALSE)</f>
        <v>0-0-0-0-0-0-20.5</v>
      </c>
      <c r="E56">
        <f>VLOOKUP(D57,Fertilizante2,4,FALSE)</f>
        <v>0</v>
      </c>
      <c r="F56">
        <f>VLOOKUP(D57,Fertilizante2,5,FALSE)</f>
        <v>0</v>
      </c>
      <c r="G56">
        <f>VLOOKUP(D57,Fertilizante2,6,FALSE)</f>
        <v>0</v>
      </c>
      <c r="H56">
        <f>VLOOKUP(D57,Fertilizante2,7,FALSE)</f>
        <v>0</v>
      </c>
      <c r="I56">
        <f>VLOOKUP(D57,Fertilizante2,8,FALSE)</f>
        <v>0</v>
      </c>
      <c r="J56">
        <f>VLOOKUP(D57,Fertilizante2,9,FALSE)</f>
        <v>0</v>
      </c>
      <c r="K56">
        <f>VLOOKUP(D57,Fertilizante2,10,FALSE)</f>
        <v>20.5</v>
      </c>
    </row>
    <row r="57">
      <c r="C57" t="str">
        <v>Nombre:</v>
      </c>
      <c r="D57" t="str">
        <v>Solubor</v>
      </c>
      <c r="E57" t="str">
        <f>VLOOKUP(D57,Fertilizante2,11,FALSE)</f>
        <v>Gramos</v>
      </c>
    </row>
    <row r="58">
      <c r="C58" t="str">
        <f>E25</f>
        <v>Lempiras</v>
      </c>
      <c r="D58">
        <f>VLOOKUP(D57,Fertilizante2,3,FALSE)</f>
        <v>0.04</v>
      </c>
    </row>
    <row r="60">
      <c r="C60" t="str">
        <v>Materia Orgánica</v>
      </c>
    </row>
    <row r="61" ht="13.199999999999998" customHeight="1">
      <c r="C61" t="str">
        <v>Nombre:</v>
      </c>
      <c r="D61" t="str">
        <v>Melaza</v>
      </c>
      <c r="E61" t="str">
        <f>Fertilizantes!D50</f>
        <v>Lts</v>
      </c>
    </row>
    <row r="62" ht="13.199999999999998" customHeight="1">
      <c r="C62" t="str">
        <f>E25</f>
        <v>Lempiras</v>
      </c>
      <c r="D62">
        <f>VLOOKUP(D61,Fertilizantes!A49:E53,3,FALSE)</f>
        <v>2.8</v>
      </c>
    </row>
    <row r="63" ht="13.199999999999998" customHeight="1">
      <c r="C63" t="str">
        <v>Dosis/Hectárea</v>
      </c>
      <c r="D63">
        <f>VLOOKUP(D61,Fertilizantes!A50:E54,2,FALSE)</f>
        <v>20</v>
      </c>
    </row>
    <row r="67">
      <c r="Q67">
        <v>1</v>
      </c>
    </row>
    <row r="68" ht="36" customHeight="1">
      <c r="C68" t="str">
        <v>Paso 3. Completar la información de los análisis de suelos (Si no tiene análisis dejarlo en muy bajo)</v>
      </c>
    </row>
    <row r="70">
      <c r="C70" t="str">
        <v>Mehlich-1 (doble ácido)</v>
      </c>
    </row>
    <row r="71">
      <c r="C71" t="str">
        <v>Elemento</v>
      </c>
      <c r="D71" t="str">
        <v>Resultado Análisis ppm</v>
      </c>
      <c r="E71" t="str">
        <v>Estatus del Elemento</v>
      </c>
      <c r="F71" t="str">
        <v>Tipo de Fertilización a Usar</v>
      </c>
    </row>
    <row r="72">
      <c r="C72" t="str">
        <v>P</v>
      </c>
      <c r="D72">
        <v>13</v>
      </c>
      <c r="E72" t="str">
        <f>IF($D$72&lt;14,"Muy Bajo",IF($D$72&lt;28,"Bajo",IF($D$72&lt;46,"Medio",IF($D$72&lt;91,"Alto",IF($D$72&gt;=91,"Muy Alto")))))</f>
        <v>Muy Bajo</v>
      </c>
      <c r="F72" t="str">
        <f>IF(D72&lt;14,"100%",IF(D72&lt;28,"85%",IF(D72&lt;46,"65%",IF(D72&lt;91,"45%",IF(D72&gt;=91,"25%")))))</f>
        <v>100%</v>
      </c>
    </row>
    <row r="73">
      <c r="C73" t="str">
        <v>K</v>
      </c>
      <c r="D73">
        <v>29</v>
      </c>
      <c r="E73" t="str">
        <f>IF($D$73&lt;30,"Muy Bajo",IF($D$73&lt;71,"Bajo",IF($D$73&lt;135,"Medio",IF($D$73&lt;268,"Alto",IF($D$73&gt;=268,"Muy Alto")))))</f>
        <v>Muy Bajo</v>
      </c>
      <c r="F73" t="str">
        <f>IF(D73&lt;30,"100%",IF(D73&lt;71,"85%",IF(D73&lt;135,"65%",IF(D73&lt;268,"45%",IF(D73&gt;=268,"25%")))))</f>
        <v>100%</v>
      </c>
    </row>
    <row r="74">
      <c r="C74" t="str">
        <v>Mg</v>
      </c>
      <c r="D74">
        <v>35</v>
      </c>
      <c r="E74" t="str">
        <f>IF($D$74&lt;36,"Muy Bajo",IF($D$74&lt;71,"Bajo",IF($D$74&lt;125,"Medio",IF($D$74&lt;265,"Alto",IF($D$74&gt;=265,"Muy Alto")))))</f>
        <v>Muy Bajo</v>
      </c>
      <c r="F74" t="str">
        <f>IF(D74&lt;36,"100%",IF(D74&lt;71,"85%",IF(D74&lt;125,"65%",IF(D74&lt;265,"45%",IF(D74&gt;=265,"25%")))))</f>
        <v>100%</v>
      </c>
    </row>
    <row r="75">
      <c r="C75" t="str">
        <v>Ca</v>
      </c>
      <c r="D75">
        <v>400</v>
      </c>
      <c r="E75" t="str">
        <f>IF($D$75&lt;401,"Muy Bajo",IF($D$75&lt;801,"Bajo",IF($D$75&lt;1201,"Medio",IF($D$75&lt;1600,"Alto",IF($D$75&gt;=1600,"Muy Alto")))))</f>
        <v>Muy Bajo</v>
      </c>
      <c r="F75" t="str">
        <f>IF(D75&lt;401,"100%",IF(D75&lt;801,"85%",IF(D75&lt;1201,"65%",IF(D75&lt;1600,"45%",IF(D75&gt;=1600,"25%")))))</f>
        <v>100%</v>
      </c>
    </row>
    <row r="78" ht="36" customHeight="1">
      <c r="C78" t="str">
        <v>Paso 4. Completar la información para el uso de los preventivos            (Los productos están en la ultima pagina puede agregar los que usted requiera y cambiar los precios)</v>
      </c>
    </row>
    <row r="80">
      <c r="C80" t="str">
        <v>Controles Preventivos</v>
      </c>
      <c r="H80" t="str">
        <v>Producto</v>
      </c>
      <c r="J80" t="str">
        <v>Precio</v>
      </c>
      <c r="K80" t="str">
        <v>Dosis Por Hectárea</v>
      </c>
      <c r="M80" t="str">
        <v>Unidades</v>
      </c>
    </row>
    <row r="81">
      <c r="C81" t="str">
        <v>Insecticida Inmediatamente después de Trasplante</v>
      </c>
      <c r="H81" t="str">
        <v>Furadan 48 SC</v>
      </c>
      <c r="J81">
        <f>VLOOKUP(H81,Fertilizantes!A57:E64,3,FALSE)</f>
        <v>383</v>
      </c>
      <c r="K81">
        <f>VLOOKUP(H81,Fertilizantes!A57:E64,2,FALSE)</f>
        <v>3.785</v>
      </c>
      <c r="M81" t="str">
        <f>VLOOKUP(H81,Fertilizantes!A57:E64,4,FALSE)</f>
        <v>Lts</v>
      </c>
    </row>
    <row r="82">
      <c r="C82" t="str">
        <v>Insecticida para la prevención de virus</v>
      </c>
      <c r="H82" t="str">
        <v>Actara 25 WG</v>
      </c>
      <c r="J82">
        <f>VLOOKUP(H82,Fertilizantes!A67:E73,3,FALSE)</f>
        <v>3.25</v>
      </c>
      <c r="K82">
        <f>VLOOKUP(H82,Fertilizantes!A67:D73,2,FALSE)</f>
        <v>400</v>
      </c>
      <c r="M82" t="str">
        <f>VLOOKUP(H82,Fertilizantes!A67:E73,4,FALSE)</f>
        <v>g</v>
      </c>
    </row>
    <row r="83">
      <c r="C83" t="str">
        <v>Activador de Resistencia General</v>
      </c>
      <c r="H83" t="str">
        <v>Acido Salicílico</v>
      </c>
      <c r="J83">
        <f>VLOOKUP(H83,Fertilizantes!A76:E78,3,FALSE)</f>
        <v>0.17</v>
      </c>
      <c r="K83">
        <f>VLOOKUP(H83,Fertilizantes!A76:E78,2,FALSE)</f>
        <v>250</v>
      </c>
      <c r="M83" t="str">
        <f>VLOOKUP(H83,Fertilizantes!A76:E78,4,FALSE)</f>
        <v>g</v>
      </c>
    </row>
    <row r="84">
      <c r="C84" t="str">
        <v>Activador de Resistencia de Oomicetos</v>
      </c>
      <c r="H84" t="str">
        <v>Acido Fosforoso</v>
      </c>
      <c r="J84">
        <f>VLOOKUP(H84,Fertilizantes!A81:E90,3,FALSE)</f>
        <v>80</v>
      </c>
      <c r="K84">
        <f>VLOOKUP(H84,Fertilizantes!A81:E90,2,FALSE)</f>
        <v>5</v>
      </c>
      <c r="M84" t="str">
        <f>VLOOKUP(H84,Fertilizantes!A81:E90,4,FALSE)</f>
        <v>Lts</v>
      </c>
    </row>
    <row r="85">
      <c r="C85" t="str">
        <v>Protectante de Enfermedades de Suelo</v>
      </c>
      <c r="H85" t="str">
        <v>TricoZam</v>
      </c>
      <c r="J85">
        <f>VLOOKUP(H85,Fertilizantes!A93:E97,3,FALSE)</f>
        <v>380</v>
      </c>
      <c r="K85">
        <f>VLOOKUP(H85,Fertilizantes!A93:E97,2,FALSE)</f>
        <v>1</v>
      </c>
      <c r="M85" t="str">
        <f>VLOOKUP(H85,Fertilizantes!A93:E97,4,FALSE)</f>
        <v>g</v>
      </c>
    </row>
    <row r="86">
      <c r="C86" t="str">
        <v>Protectante de Insectos de Suelo</v>
      </c>
      <c r="H86" t="str">
        <v>BaZam</v>
      </c>
      <c r="J86">
        <f>VLOOKUP(H86,Protecinssue,3,FALSE)</f>
        <v>380</v>
      </c>
      <c r="K86">
        <f>VLOOKUP(H86,Fertilizantes!A100:E104,2,FALSE)</f>
        <v>1</v>
      </c>
      <c r="M86" t="str">
        <f>VLOOKUP(H86,Protecinssue,4,FALSE)</f>
        <v>g</v>
      </c>
    </row>
    <row r="90" ht="18" customHeight="1"/>
    <row r="91">
      <c r="C91" t="str">
        <v>Paso 5. IMPRIMIR EL CALENDARIO REQUERIDO</v>
      </c>
    </row>
    <row r="92" ht="19.5" customHeight="1"/>
    <row r="93" ht="19.5" customHeight="1"/>
    <row r="94" ht="19.5" customHeight="1">
      <c r="C94" t="str">
        <v>Imprimir Calendario de Fertilización por Goteo Diario CON Preventivos</v>
      </c>
    </row>
    <row r="95" ht="19.5" customHeight="1"/>
    <row r="96" ht="20.1" customHeight="1"/>
    <row r="97" ht="20.1" customHeight="1">
      <c r="C97" t="str">
        <v>Imprimir Calendario de Fertilización por Goteo Diario</v>
      </c>
    </row>
    <row r="98" ht="20.1" customHeight="1"/>
    <row r="99" ht="20.1" customHeight="1"/>
    <row r="100" ht="20.1" customHeight="1">
      <c r="C100" t="str">
        <v>Imprimir Calendario de Fertilización por Goteo 3 Veces Por Semana</v>
      </c>
    </row>
    <row r="101" ht="20.1" customHeight="1"/>
    <row r="102" ht="20.1" customHeight="1"/>
    <row r="103" ht="20.1" customHeight="1">
      <c r="C103" t="str">
        <v>Imprimir Cal. de Fert. por Goteo 2 Veces Por Semana CON Preventivos</v>
      </c>
    </row>
    <row r="104" ht="20.1" customHeight="1"/>
    <row r="105" ht="20.1" customHeight="1"/>
    <row r="106" ht="20.1" customHeight="1">
      <c r="C106" t="str">
        <v>Imprimir Calendario de Fertilización por Goteo 2 Veces Por Semana</v>
      </c>
    </row>
    <row r="107" ht="20.1" customHeight="1"/>
    <row r="108" ht="20.1" customHeight="1"/>
    <row r="109" ht="20.1" customHeight="1">
      <c r="C109" t="str">
        <v>Imprimir Calendario de Fertilización por Goteo 1 Vez Por Semana</v>
      </c>
    </row>
    <row r="110" ht="20.1" customHeight="1"/>
    <row r="111" ht="20.1" customHeight="1"/>
    <row r="112" ht="20.1" customHeight="1">
      <c r="C112" t="str">
        <v>Imprimir Calendario de Fertilización Cada 14 Días o a Mano</v>
      </c>
    </row>
    <row r="113" ht="20.1" customHeight="1"/>
    <row r="114" ht="20.1" customHeight="1"/>
    <row r="115" ht="20.1" customHeight="1"/>
    <row r="116" ht="20.1" customHeight="1"/>
    <row r="117" ht="20.1" customHeight="1"/>
  </sheetData>
  <sheetProtection sheet="1"/>
  <mergeCells count="73">
    <mergeCell ref="K86:L86"/>
    <mergeCell ref="K87:L87"/>
    <mergeCell ref="H82:I82"/>
    <mergeCell ref="K82:L82"/>
    <mergeCell ref="K83:L83"/>
    <mergeCell ref="K84:L84"/>
    <mergeCell ref="K85:L85"/>
    <mergeCell ref="H87:I87"/>
    <mergeCell ref="E21:F21"/>
    <mergeCell ref="C13:J13"/>
    <mergeCell ref="C15:M15"/>
    <mergeCell ref="E17:I17"/>
    <mergeCell ref="E18:I18"/>
    <mergeCell ref="C17:D17"/>
    <mergeCell ref="C14:J14"/>
    <mergeCell ref="G21:I21"/>
    <mergeCell ref="C23:D23"/>
    <mergeCell ref="E19:I19"/>
    <mergeCell ref="C18:D18"/>
    <mergeCell ref="E23:I23"/>
    <mergeCell ref="F22:H22"/>
    <mergeCell ref="C19:D19"/>
    <mergeCell ref="C22:D22"/>
    <mergeCell ref="E20:I20"/>
    <mergeCell ref="C20:D20"/>
    <mergeCell ref="C21:D21"/>
    <mergeCell ref="C112:I112"/>
    <mergeCell ref="C24:D24"/>
    <mergeCell ref="C28:M28"/>
    <mergeCell ref="C40:D40"/>
    <mergeCell ref="H40:M41"/>
    <mergeCell ref="J45:M46"/>
    <mergeCell ref="C100:I100"/>
    <mergeCell ref="C106:I106"/>
    <mergeCell ref="C109:I109"/>
    <mergeCell ref="F71:G71"/>
    <mergeCell ref="E24:I24"/>
    <mergeCell ref="H30:M31"/>
    <mergeCell ref="H35:M36"/>
    <mergeCell ref="C35:D35"/>
    <mergeCell ref="C30:D30"/>
    <mergeCell ref="C25:D25"/>
    <mergeCell ref="E25:I25"/>
    <mergeCell ref="C78:M78"/>
    <mergeCell ref="H81:I81"/>
    <mergeCell ref="H80:I80"/>
    <mergeCell ref="K80:L80"/>
    <mergeCell ref="K81:L81"/>
    <mergeCell ref="C68:M68"/>
    <mergeCell ref="F74:G74"/>
    <mergeCell ref="F75:G75"/>
    <mergeCell ref="F72:G72"/>
    <mergeCell ref="F73:G73"/>
    <mergeCell ref="C45:D45"/>
    <mergeCell ref="H83:I83"/>
    <mergeCell ref="C80:G80"/>
    <mergeCell ref="C82:G82"/>
    <mergeCell ref="C81:G81"/>
    <mergeCell ref="C83:G83"/>
    <mergeCell ref="I50:M51"/>
    <mergeCell ref="C60:D60"/>
    <mergeCell ref="C50:D50"/>
    <mergeCell ref="C55:D55"/>
    <mergeCell ref="C103:I103"/>
    <mergeCell ref="C84:G84"/>
    <mergeCell ref="C85:G85"/>
    <mergeCell ref="C86:G86"/>
    <mergeCell ref="C97:I97"/>
    <mergeCell ref="H84:I84"/>
    <mergeCell ref="H85:I85"/>
    <mergeCell ref="C91:M91"/>
    <mergeCell ref="C94:I94"/>
    <mergeCell ref="H86:I86"/>
  </mergeCells>
  <pageMargins left="0" right="0" top="0" bottom="0" header="0" footer="0"/>
  <ignoredErrors>
    <ignoredError numberStoredAsText="1" sqref="A1:R117"/>
  </ignoredErrors>
  <legacyDrawing r:id="rId1"/>
</worksheet>
</file>

<file path=xl/worksheets/sheet2.xml><?xml version="1.0" encoding="utf-8"?>
<worksheet xmlns="http://schemas.openxmlformats.org/spreadsheetml/2006/main" xmlns:r="http://schemas.openxmlformats.org/officeDocument/2006/relationships">
  <dimension ref="A1:Z222"/>
  <sheetViews>
    <sheetView workbookViewId="0" rightToLeft="0"/>
  </sheetViews>
  <sheetData>
    <row r="1" ht="23.399999999999995" customHeight="1">
      <c r="P1" t="str">
        <v>Calendario de Fertilización para Goteo Diario con los Preventivos</v>
      </c>
    </row>
    <row r="2" ht="29.25" customHeight="1"/>
    <row r="3" ht="26.25" customHeight="1"/>
    <row r="4" ht="26.25" customHeight="1"/>
    <row r="5" ht="26.25" customHeight="1">
      <c r="P5" t="str">
        <f>Main!$E$21</f>
        <v>Cunde</v>
      </c>
    </row>
    <row r="6" ht="26.25" customHeight="1"/>
    <row r="7" ht="26.25" customHeight="1"/>
    <row r="8" ht="8.4" customHeight="1"/>
    <row r="9" ht="26.25" customHeight="1">
      <c r="A9" t="str">
        <f>Main!$C$13</f>
        <v>"Sin Fertilización Base"</v>
      </c>
      <c r="P9" t="str">
        <f>Main!$G$21</f>
        <v>Shingai</v>
      </c>
    </row>
    <row r="10" ht="4.2" customHeight="1"/>
    <row r="11" ht="20.1" customHeight="1">
      <c r="A11" t="str">
        <v>Productor</v>
      </c>
      <c r="C11" t="str">
        <f>Main!E17</f>
        <v>Pancho Pérez</v>
      </c>
      <c r="F11" t="str">
        <v>Parcela</v>
      </c>
      <c r="I11" t="str">
        <f>Main!E19</f>
        <v>La Frondosa</v>
      </c>
    </row>
    <row r="12" ht="20.1" customHeight="1">
      <c r="A12" t="str">
        <v>Zona</v>
      </c>
      <c r="C12" t="str">
        <f>Main!E18</f>
        <v>Cantarranas</v>
      </c>
      <c r="F12" t="str">
        <v>Técnico</v>
      </c>
      <c r="I12" t="str">
        <f>Main!E20</f>
        <v>Nelson Galindo</v>
      </c>
    </row>
    <row r="13" ht="20.1" customHeight="1">
      <c r="A13" t="str">
        <v>Área Mz.</v>
      </c>
      <c r="C13">
        <f>Main!E22</f>
        <v>1.43</v>
      </c>
      <c r="F13" t="str">
        <v>Fecha:</v>
      </c>
      <c r="I13">
        <f>Main!E23</f>
        <v>39605</v>
      </c>
    </row>
    <row r="14" ht="20.1" customHeight="1">
      <c r="A14" t="str">
        <v>Área Ha.</v>
      </c>
      <c r="C14">
        <f>Main!I22</f>
        <v>1.001</v>
      </c>
      <c r="F14" t="str">
        <v>Fecha de Cosecha:</v>
      </c>
      <c r="I14">
        <f>I13+Main!E24</f>
        <v>39670</v>
      </c>
    </row>
    <row r="15" ht="19.5" customHeight="1"/>
    <row r="16" ht="28.5" customHeight="1">
      <c r="A16" t="str">
        <v>Semana</v>
      </c>
      <c r="B16" t="str">
        <v>DDT</v>
      </c>
      <c r="C16" t="str">
        <v>FECHA</v>
      </c>
      <c r="E16" t="str">
        <f>Main!$D$42</f>
        <v>Urea</v>
      </c>
      <c r="G16" t="str">
        <f>Main!$D$32</f>
        <v>DAP 18-46-0</v>
      </c>
      <c r="I16" t="str">
        <f>Main!$D$37</f>
        <v>Kcl</v>
      </c>
      <c r="K16" t="str">
        <f>Main!$D$47</f>
        <v>Sulfato de Magnesio</v>
      </c>
      <c r="M16" t="str">
        <f>Main!$D$52</f>
        <v>Sin Calcio</v>
      </c>
      <c r="O16" t="str">
        <f>Main!$D$57</f>
        <v>Solubor</v>
      </c>
      <c r="Q16" t="str">
        <f>Main!$D$61</f>
        <v>Melaza</v>
      </c>
      <c r="S16" t="str">
        <v>Costo / Aplicación</v>
      </c>
    </row>
    <row r="17">
      <c r="D17" t="str">
        <v>Cambios</v>
      </c>
      <c r="E17" t="str">
        <f>Main!E42</f>
        <v>Lbs</v>
      </c>
      <c r="F17" t="str">
        <v>Cambios</v>
      </c>
      <c r="G17" t="str">
        <f>Main!E32</f>
        <v>Lbs</v>
      </c>
      <c r="H17" t="str">
        <v>Cambios</v>
      </c>
      <c r="I17" t="str">
        <f>Main!E37</f>
        <v>Lbs</v>
      </c>
      <c r="J17" t="str">
        <v>Cambios</v>
      </c>
      <c r="K17" t="str">
        <f>Main!E47</f>
        <v>Lbs</v>
      </c>
      <c r="L17" t="str">
        <v>Cambios</v>
      </c>
      <c r="M17">
        <f>Main!E52</f>
        <v>0</v>
      </c>
      <c r="N17" t="str">
        <v>Cambios</v>
      </c>
      <c r="O17" t="str">
        <f>Main!E57</f>
        <v>Gramos</v>
      </c>
      <c r="P17" t="str">
        <v>Cambios</v>
      </c>
      <c r="Q17" t="str">
        <f>Main!$E$61</f>
        <v>Lts</v>
      </c>
      <c r="R17" t="str">
        <v>Cambios</v>
      </c>
    </row>
    <row r="18" ht="18.75" customHeight="1">
      <c r="A18">
        <v>1</v>
      </c>
      <c r="B18">
        <v>1</v>
      </c>
      <c r="C18">
        <f>$I$13+B18</f>
        <v>39606</v>
      </c>
      <c r="E18">
        <f>IF($C$14*ReDiarioFert!C7&lt;=0,"0",$C$14*ReDiarioFert!C7)</f>
        <v>4.19683236427221</v>
      </c>
      <c r="G18">
        <f>$C$14*ReDiarioFert!E7</f>
        <v>2.0653172913043476</v>
      </c>
      <c r="I18">
        <f>$C$14*ReDiarioFert!G7</f>
        <v>4.328141974823334</v>
      </c>
      <c r="K18">
        <f>$C$14*ReDiarioFert!I7</f>
        <v>2.7778701736935174</v>
      </c>
      <c r="M18">
        <f>$C$14*ReDiarioFert!K7</f>
        <v>0.00015459958664673903</v>
      </c>
      <c r="O18">
        <f>$C$14*ReDiarioFert!M7</f>
        <v>24.866793170731707</v>
      </c>
      <c r="Q18">
        <f>$C$14*Main!$D$63</f>
        <v>20.019999999999996</v>
      </c>
      <c r="S18">
        <f>((E18/100)*$G$211+(G18/100)*$G$212+(I18/100)*$G$213+(K18/100)*$G$214+(M18/100)*$G$215+(O18)*$G$216+(Q18*$G$217))</f>
        <v>160.63465839605146</v>
      </c>
    </row>
    <row r="19" ht="18.75" customHeight="1">
      <c r="B19">
        <v>2</v>
      </c>
      <c r="C19">
        <f>$I$13+B19</f>
        <v>39607</v>
      </c>
      <c r="E19">
        <f>IF($C$14*ReDiarioFert!C8&lt;=0,"0",$C$14*ReDiarioFert!C8)</f>
        <v>4.19683236427221</v>
      </c>
      <c r="G19">
        <f>$C$14*ReDiarioFert!E8</f>
        <v>2.0653172913043476</v>
      </c>
      <c r="I19">
        <f>$C$14*ReDiarioFert!G8</f>
        <v>4.328141974823334</v>
      </c>
      <c r="K19">
        <f>$C$14*ReDiarioFert!I8</f>
        <v>2.7778701736935174</v>
      </c>
      <c r="M19">
        <f>$C$14*ReDiarioFert!K8</f>
        <v>0.00015459958664673903</v>
      </c>
      <c r="O19">
        <f>$C$14*ReDiarioFert!M8</f>
        <v>24.866793170731707</v>
      </c>
      <c r="Q19" t="str">
        <f>Main!$H$81</f>
        <v>Furadan 48 SC</v>
      </c>
      <c r="R19">
        <f>Main!$K$81*Main!$I$22</f>
        <v>3.788785</v>
      </c>
      <c r="S19">
        <f>((E19/100)*$G$211+(G19/100)*$G$212+(I19/100)*$G$213+(K19/100)*$G$214+(M19/100)*$G$215+(O19)*$G$216+(R19*Main!$J$81))</f>
        <v>1555.6833133960513</v>
      </c>
    </row>
    <row r="20" ht="18.75" customHeight="1">
      <c r="B20">
        <v>3</v>
      </c>
      <c r="C20">
        <f>$I$13+B20</f>
        <v>39608</v>
      </c>
      <c r="E20">
        <f>IF($C$14*ReDiarioFert!C9&lt;=0,"0",$C$14*ReDiarioFert!C9)</f>
        <v>4.19683236427221</v>
      </c>
      <c r="G20">
        <f>$C$14*ReDiarioFert!E9</f>
        <v>2.0653172913043476</v>
      </c>
      <c r="I20">
        <f>$C$14*ReDiarioFert!G9</f>
        <v>4.328141974823334</v>
      </c>
      <c r="K20">
        <f>$C$14*ReDiarioFert!I9</f>
        <v>2.7778701736935174</v>
      </c>
      <c r="M20">
        <f>$C$14*ReDiarioFert!K9</f>
        <v>0.00015459958664673903</v>
      </c>
      <c r="O20">
        <f>$C$14*ReDiarioFert!M9</f>
        <v>24.866793170731707</v>
      </c>
      <c r="S20">
        <f>((E20/100)*$G$211+(G20/100)*$G$212+(I20/100)*$G$213+(K20/100)*$G$214+(M20/100)*$G$215+(O20)*$G$216+(Q20*$G$217))</f>
        <v>104.5786583960515</v>
      </c>
    </row>
    <row r="21" ht="18.75" customHeight="1">
      <c r="B21">
        <v>4</v>
      </c>
      <c r="C21">
        <f>$I$13+B21</f>
        <v>39609</v>
      </c>
      <c r="E21">
        <f>IF($C$14*ReDiarioFert!C10&lt;=0,"0",$C$14*ReDiarioFert!C10)</f>
        <v>4.19683236427221</v>
      </c>
      <c r="G21">
        <f>$C$14*ReDiarioFert!E10</f>
        <v>2.0653172913043476</v>
      </c>
      <c r="I21">
        <f>$C$14*ReDiarioFert!G10</f>
        <v>4.328141974823334</v>
      </c>
      <c r="K21">
        <f>$C$14*ReDiarioFert!I10</f>
        <v>2.7778701736935174</v>
      </c>
      <c r="M21">
        <f>$C$14*ReDiarioFert!K10</f>
        <v>0.00015459958664673903</v>
      </c>
      <c r="O21">
        <f>$C$14*ReDiarioFert!M10</f>
        <v>24.866793170731707</v>
      </c>
      <c r="S21">
        <f>((E21/100)*$G$211+(G21/100)*$G$212+(I21/100)*$G$213+(K21/100)*$G$214+(M21/100)*$G$215+(O21)*$G$216+(Q21*$G$217))</f>
        <v>104.5786583960515</v>
      </c>
    </row>
    <row r="22" ht="18.75" customHeight="1">
      <c r="B22">
        <v>5</v>
      </c>
      <c r="C22">
        <f>$I$13+B22</f>
        <v>39610</v>
      </c>
      <c r="E22">
        <f>IF($C$14*ReDiarioFert!C11&lt;=0,"0",$C$14*ReDiarioFert!C11)</f>
        <v>4.19683236427221</v>
      </c>
      <c r="G22">
        <f>$C$14*ReDiarioFert!E11</f>
        <v>2.0653172913043476</v>
      </c>
      <c r="I22">
        <f>$C$14*ReDiarioFert!G11</f>
        <v>4.328141974823334</v>
      </c>
      <c r="K22">
        <f>$C$14*ReDiarioFert!I11</f>
        <v>2.7778701736935174</v>
      </c>
      <c r="M22">
        <f>$C$14*ReDiarioFert!K11</f>
        <v>0.00015459958664673903</v>
      </c>
      <c r="O22">
        <f>$C$14*ReDiarioFert!M11</f>
        <v>24.866793170731707</v>
      </c>
      <c r="S22">
        <f>((E22/100)*$G$211+(G22/100)*$G$212+(I22/100)*$G$213+(K22/100)*$G$214+(M22/100)*$G$215+(O22)*$G$216+(Q22*$G$217))</f>
        <v>104.5786583960515</v>
      </c>
    </row>
    <row r="23" ht="18.75" customHeight="1">
      <c r="B23">
        <v>6</v>
      </c>
      <c r="C23">
        <f>$I$13+B23</f>
        <v>39611</v>
      </c>
      <c r="E23">
        <f>IF($C$14*ReDiarioFert!C12&lt;=0,"0",$C$14*ReDiarioFert!C12)</f>
        <v>4.19683236427221</v>
      </c>
      <c r="G23">
        <f>$C$14*ReDiarioFert!E12</f>
        <v>2.0653172913043476</v>
      </c>
      <c r="I23">
        <f>$C$14*ReDiarioFert!G12</f>
        <v>4.328141974823334</v>
      </c>
      <c r="K23">
        <f>$C$14*ReDiarioFert!I12</f>
        <v>2.7778701736935174</v>
      </c>
      <c r="M23">
        <f>$C$14*ReDiarioFert!K12</f>
        <v>0.00015459958664673903</v>
      </c>
      <c r="O23">
        <f>$C$14*ReDiarioFert!M12</f>
        <v>24.866793170731707</v>
      </c>
      <c r="S23">
        <f>((E23/100)*$G$211+(G23/100)*$G$212+(I23/100)*$G$213+(K23/100)*$G$214+(M23/100)*$G$215+(O23)*$G$216+(Q23*$G$217))</f>
        <v>104.5786583960515</v>
      </c>
    </row>
    <row r="24" ht="18.75" customHeight="1">
      <c r="B24">
        <v>7</v>
      </c>
      <c r="C24">
        <f>$I$13+B24</f>
        <v>39612</v>
      </c>
      <c r="E24">
        <f>IF($C$14*ReDiarioFert!C13&lt;=0,"0",$C$14*ReDiarioFert!C13)</f>
        <v>4.19683236427221</v>
      </c>
      <c r="G24">
        <f>$C$14*ReDiarioFert!E13</f>
        <v>2.0653172913043476</v>
      </c>
      <c r="I24">
        <f>$C$14*ReDiarioFert!G13</f>
        <v>4.328141974823334</v>
      </c>
      <c r="K24">
        <f>$C$14*ReDiarioFert!I13</f>
        <v>2.7778701736935174</v>
      </c>
      <c r="M24">
        <f>$C$14*ReDiarioFert!K13</f>
        <v>0.00015459958664673903</v>
      </c>
      <c r="O24">
        <f>$C$14*ReDiarioFert!M13</f>
        <v>24.866793170731707</v>
      </c>
      <c r="S24">
        <f>((E24/100)*$G$211+(G24/100)*$G$212+(I24/100)*$G$213+(K24/100)*$G$214+(M24/100)*$G$215+(O24)*$G$216+(R24*Main!$J$84))</f>
        <v>104.5786583960515</v>
      </c>
    </row>
    <row r="25">
      <c r="A25">
        <v>2</v>
      </c>
      <c r="B25">
        <v>8</v>
      </c>
      <c r="C25">
        <f>$I$13+B25</f>
        <v>39613</v>
      </c>
      <c r="E25">
        <f>IF($C$14*ReDiarioFert!C14&lt;=0,"0",$C$14*ReDiarioFert!C14)</f>
        <v>6.7033931500026736</v>
      </c>
      <c r="G25">
        <f>$C$14*ReDiarioFert!E14</f>
        <v>2.0653172913043476</v>
      </c>
      <c r="I25">
        <f>$C$14*ReDiarioFert!G14</f>
        <v>6.493614789595266</v>
      </c>
      <c r="K25">
        <f>$C$14*ReDiarioFert!I14</f>
        <v>4.1677049755762905</v>
      </c>
      <c r="M25">
        <f>$C$14*ReDiarioFert!K14</f>
        <v>0.00023194945271072287</v>
      </c>
      <c r="O25">
        <f>$C$14*ReDiarioFert!M14</f>
        <v>24.866793170731707</v>
      </c>
      <c r="Q25">
        <f>$C$14*Main!$D$63</f>
        <v>20.019999999999996</v>
      </c>
      <c r="S25">
        <f>((E25/100)*$G$211+(G25/100)*$G$212+(I25/100)*$G$213+(K25/100)*$G$214+(M25/100)*$G$215+(O25)*$G$216+(Q25*$G$217))</f>
        <v>202.70437479488186</v>
      </c>
    </row>
    <row r="26">
      <c r="B26">
        <v>9</v>
      </c>
      <c r="C26">
        <f>$I$13+B26</f>
        <v>39614</v>
      </c>
      <c r="E26">
        <f>IF($C$14*ReDiarioFert!C15&lt;=0,"0",$C$14*ReDiarioFert!C15)</f>
        <v>6.7033931500026736</v>
      </c>
      <c r="G26">
        <f>$C$14*ReDiarioFert!E15</f>
        <v>2.0653172913043476</v>
      </c>
      <c r="I26">
        <f>$C$14*ReDiarioFert!G15</f>
        <v>6.493614789595266</v>
      </c>
      <c r="K26">
        <f>$C$14*ReDiarioFert!I15</f>
        <v>4.1677049755762905</v>
      </c>
      <c r="M26">
        <f>$C$14*ReDiarioFert!K15</f>
        <v>0.00023194945271072287</v>
      </c>
      <c r="O26">
        <f>$C$14*ReDiarioFert!M15</f>
        <v>24.866793170731707</v>
      </c>
      <c r="S26">
        <f>((E26/100)*$G$211+(G26/100)*$G$212+(I26/100)*$G$213+(K26/100)*$G$214+(M26/100)*$G$215+(O26)*$G$216+(Q26*$G$217))</f>
        <v>146.64837479488187</v>
      </c>
    </row>
    <row r="27">
      <c r="B27">
        <v>10</v>
      </c>
      <c r="C27">
        <f>$I$13+B27</f>
        <v>39615</v>
      </c>
      <c r="E27">
        <f>IF($C$14*ReDiarioFert!C16&lt;=0,"0",$C$14*ReDiarioFert!C16)</f>
        <v>6.7033931500026736</v>
      </c>
      <c r="G27">
        <f>$C$14*ReDiarioFert!E16</f>
        <v>2.0653172913043476</v>
      </c>
      <c r="I27">
        <f>$C$14*ReDiarioFert!G16</f>
        <v>6.493614789595266</v>
      </c>
      <c r="K27">
        <f>$C$14*ReDiarioFert!I16</f>
        <v>4.1677049755762905</v>
      </c>
      <c r="M27">
        <f>$C$14*ReDiarioFert!K16</f>
        <v>0.00023194945271072287</v>
      </c>
      <c r="O27">
        <f>$C$14*ReDiarioFert!M16</f>
        <v>24.866793170731707</v>
      </c>
      <c r="S27">
        <f>((E27/100)*$G$211+(G27/100)*$G$212+(I27/100)*$G$213+(K27/100)*$G$214+(M27/100)*$G$215+(O27)*$G$216+(Q27*$G$217))</f>
        <v>146.64837479488187</v>
      </c>
    </row>
    <row r="28">
      <c r="B28">
        <v>11</v>
      </c>
      <c r="C28">
        <f>$I$13+B28</f>
        <v>39616</v>
      </c>
      <c r="E28">
        <f>IF($C$14*ReDiarioFert!C17&lt;=0,"0",$C$14*ReDiarioFert!C17)</f>
        <v>6.7033931500026736</v>
      </c>
      <c r="G28">
        <f>$C$14*ReDiarioFert!E17</f>
        <v>2.0653172913043476</v>
      </c>
      <c r="I28">
        <f>$C$14*ReDiarioFert!G17</f>
        <v>6.493614789595266</v>
      </c>
      <c r="K28">
        <f>$C$14*ReDiarioFert!I17</f>
        <v>4.1677049755762905</v>
      </c>
      <c r="M28">
        <f>$C$14*ReDiarioFert!K17</f>
        <v>0.00023194945271072287</v>
      </c>
      <c r="O28">
        <f>$C$14*ReDiarioFert!M17</f>
        <v>44.76032536585365</v>
      </c>
      <c r="S28">
        <f>((E28/100)*$G$211+(G28/100)*$G$212+(I28/100)*$G$213+(K28/100)*$G$214+(M28/100)*$G$215+(O28)*$G$216+(Q28*$G$217))</f>
        <v>147.44411608268675</v>
      </c>
    </row>
    <row r="29">
      <c r="B29">
        <v>12</v>
      </c>
      <c r="C29">
        <f>$I$13+B29</f>
        <v>39617</v>
      </c>
      <c r="E29">
        <f>IF($C$14*ReDiarioFert!C18&lt;=0,"0",$C$14*ReDiarioFert!C18)</f>
        <v>6.7033931500026736</v>
      </c>
      <c r="G29">
        <f>$C$14*ReDiarioFert!E18</f>
        <v>2.0653172913043476</v>
      </c>
      <c r="I29">
        <f>$C$14*ReDiarioFert!G18</f>
        <v>6.493614789595266</v>
      </c>
      <c r="K29">
        <f>$C$14*ReDiarioFert!I18</f>
        <v>4.1677049755762905</v>
      </c>
      <c r="M29">
        <f>$C$14*ReDiarioFert!K18</f>
        <v>0.00023194945271072287</v>
      </c>
      <c r="O29">
        <f>$C$14*ReDiarioFert!M18</f>
        <v>44.76032536585365</v>
      </c>
      <c r="S29">
        <f>((E29/100)*$G$211+(G29/100)*$G$212+(I29/100)*$G$213+(K29/100)*$G$214+(M29/100)*$G$215+(O29)*$G$216+(Q29*$G$217))</f>
        <v>147.44411608268675</v>
      </c>
    </row>
    <row r="30">
      <c r="B30">
        <v>13</v>
      </c>
      <c r="C30">
        <f>$I$13+B30</f>
        <v>39618</v>
      </c>
      <c r="E30">
        <f>IF($C$14*ReDiarioFert!C19&lt;=0,"0",$C$14*ReDiarioFert!C19)</f>
        <v>6.7033931500026736</v>
      </c>
      <c r="G30">
        <f>$C$14*ReDiarioFert!E19</f>
        <v>2.0653172913043476</v>
      </c>
      <c r="I30">
        <f>$C$14*ReDiarioFert!G19</f>
        <v>6.493614789595266</v>
      </c>
      <c r="K30">
        <f>$C$14*ReDiarioFert!I19</f>
        <v>4.1677049755762905</v>
      </c>
      <c r="M30">
        <f>$C$14*ReDiarioFert!K19</f>
        <v>0.00023194945271072287</v>
      </c>
      <c r="O30">
        <f>$C$14*ReDiarioFert!M19</f>
        <v>44.76032536585365</v>
      </c>
      <c r="S30">
        <f>((E30/100)*$G$211+(G30/100)*$G$212+(I30/100)*$G$213+(K30/100)*$G$214+(M30/100)*$G$215+(O30)*$G$216+(Q30*$G$217))</f>
        <v>147.44411608268675</v>
      </c>
    </row>
    <row r="31">
      <c r="B31">
        <v>14</v>
      </c>
      <c r="C31">
        <f>$I$13+B31</f>
        <v>39619</v>
      </c>
      <c r="E31">
        <f>IF($C$14*ReDiarioFert!C20&lt;=0,"0",$C$14*ReDiarioFert!C20)</f>
        <v>6.7033931500026736</v>
      </c>
      <c r="G31">
        <f>$C$14*ReDiarioFert!E20</f>
        <v>2.0653172913043476</v>
      </c>
      <c r="I31">
        <f>$C$14*ReDiarioFert!G20</f>
        <v>6.493614789595266</v>
      </c>
      <c r="K31">
        <f>$C$14*ReDiarioFert!I20</f>
        <v>4.1677049755762905</v>
      </c>
      <c r="M31">
        <f>$C$14*ReDiarioFert!K20</f>
        <v>0.00023194945271072287</v>
      </c>
      <c r="O31">
        <f>$C$14*ReDiarioFert!M20</f>
        <v>44.76032536585365</v>
      </c>
      <c r="S31">
        <f>((E31/100)*$G$211+(G31/100)*$G$212+(I31/100)*$G$213+(K31/100)*$G$214+(M31/100)*$G$215+(O31)*$G$216+(Q31*$G$217))</f>
        <v>147.44411608268675</v>
      </c>
    </row>
    <row r="32">
      <c r="A32">
        <v>3</v>
      </c>
      <c r="B32">
        <v>15</v>
      </c>
      <c r="C32">
        <f>$I$13+B32</f>
        <v>39620</v>
      </c>
      <c r="E32">
        <f>IF($C$14*ReDiarioFert!C21&lt;=0,"0",$C$14*ReDiarioFert!C21)</f>
        <v>6.7033931500026736</v>
      </c>
      <c r="G32">
        <f>$C$14*ReDiarioFert!E21</f>
        <v>2.0653172913043476</v>
      </c>
      <c r="I32">
        <f>$C$14*ReDiarioFert!G21</f>
        <v>6.493614789595266</v>
      </c>
      <c r="K32">
        <f>$C$14*ReDiarioFert!I21</f>
        <v>4.1677049755762905</v>
      </c>
      <c r="M32">
        <f>$C$14*ReDiarioFert!K21</f>
        <v>0.00023194945271072287</v>
      </c>
      <c r="O32">
        <f>$C$14*ReDiarioFert!M21</f>
        <v>44.76032536585365</v>
      </c>
      <c r="Q32">
        <f>$C$14*Main!$D$63</f>
        <v>20.019999999999996</v>
      </c>
      <c r="S32">
        <f>((E32/100)*$G$211+(G32/100)*$G$212+(I32/100)*$G$213+(K32/100)*$G$214+(M32/100)*$G$215+(O32)*$G$216+(Q32*$G$217))</f>
        <v>203.50011608268673</v>
      </c>
    </row>
    <row r="33">
      <c r="B33">
        <v>16</v>
      </c>
      <c r="C33">
        <f>$I$13+B33</f>
        <v>39621</v>
      </c>
      <c r="E33">
        <f>IF($C$14*ReDiarioFert!C22&lt;=0,"0",$C$14*ReDiarioFert!C22)</f>
        <v>6.7033931500026736</v>
      </c>
      <c r="G33">
        <f>$C$14*ReDiarioFert!E22</f>
        <v>2.0653172913043476</v>
      </c>
      <c r="I33">
        <f>$C$14*ReDiarioFert!G22</f>
        <v>6.493614789595266</v>
      </c>
      <c r="K33">
        <f>$C$14*ReDiarioFert!I22</f>
        <v>4.1677049755762905</v>
      </c>
      <c r="M33">
        <f>$C$14*ReDiarioFert!K22</f>
        <v>0.00023194945271072287</v>
      </c>
      <c r="O33">
        <f>$C$14*ReDiarioFert!M22</f>
        <v>44.76032536585365</v>
      </c>
      <c r="S33">
        <f>((E33/100)*$G$211+(G33/100)*$G$212+(I33/100)*$G$213+(K33/100)*$G$214+(M33/100)*$G$215+(O33)*$G$216+(Q33*$G$217))</f>
        <v>147.44411608268675</v>
      </c>
    </row>
    <row r="34">
      <c r="B34">
        <v>17</v>
      </c>
      <c r="C34">
        <f>$I$13+B34</f>
        <v>39622</v>
      </c>
      <c r="E34">
        <f>IF($C$14*ReDiarioFert!C23&lt;=0,"0",$C$14*ReDiarioFert!C23)</f>
        <v>6.7033931500026736</v>
      </c>
      <c r="G34">
        <f>$C$14*ReDiarioFert!E23</f>
        <v>2.0653172913043476</v>
      </c>
      <c r="I34">
        <f>$C$14*ReDiarioFert!G23</f>
        <v>6.493614789595266</v>
      </c>
      <c r="K34">
        <f>$C$14*ReDiarioFert!I23</f>
        <v>4.1677049755762905</v>
      </c>
      <c r="M34">
        <f>$C$14*ReDiarioFert!K23</f>
        <v>0.00023194945271072287</v>
      </c>
      <c r="O34">
        <f>$C$14*ReDiarioFert!M23</f>
        <v>44.76032536585365</v>
      </c>
      <c r="S34">
        <f>((E34/100)*$G$211+(G34/100)*$G$212+(I34/100)*$G$213+(K34/100)*$G$214+(M34/100)*$G$215+(O34)*$G$216+(Q34*$G$217))</f>
        <v>147.44411608268675</v>
      </c>
    </row>
    <row r="35">
      <c r="B35">
        <v>18</v>
      </c>
      <c r="C35">
        <f>$I$13+B35</f>
        <v>39623</v>
      </c>
      <c r="E35">
        <f>IF($C$14*ReDiarioFert!C24&lt;=0,"0",$C$14*ReDiarioFert!C24)</f>
        <v>6.7033931500026736</v>
      </c>
      <c r="G35">
        <f>$C$14*ReDiarioFert!E24</f>
        <v>2.0653172913043476</v>
      </c>
      <c r="I35">
        <f>$C$14*ReDiarioFert!G24</f>
        <v>6.493614789595266</v>
      </c>
      <c r="K35">
        <f>$C$14*ReDiarioFert!I24</f>
        <v>4.1677049755762905</v>
      </c>
      <c r="M35">
        <f>$C$14*ReDiarioFert!K24</f>
        <v>0.00023194945271072287</v>
      </c>
      <c r="O35">
        <f>$C$14*ReDiarioFert!M24</f>
        <v>59.680108292682924</v>
      </c>
      <c r="S35">
        <f>((E35/100)*$G$211+(G35/100)*$G$212+(I35/100)*$G$213+(K35/100)*$G$214+(M35/100)*$G$215+(O35)*$G$216+(Q35*$G$217))</f>
        <v>148.04090739975993</v>
      </c>
    </row>
    <row r="36">
      <c r="B36">
        <v>19</v>
      </c>
      <c r="C36">
        <f>$I$13+B36</f>
        <v>39624</v>
      </c>
      <c r="E36">
        <f>IF($C$14*ReDiarioFert!C25&lt;=0,"0",$C$14*ReDiarioFert!C25)</f>
        <v>6.7033931500026736</v>
      </c>
      <c r="G36">
        <f>$C$14*ReDiarioFert!E25</f>
        <v>2.0653172913043476</v>
      </c>
      <c r="I36">
        <f>$C$14*ReDiarioFert!G25</f>
        <v>6.493614789595266</v>
      </c>
      <c r="K36">
        <f>$C$14*ReDiarioFert!I25</f>
        <v>4.1677049755762905</v>
      </c>
      <c r="M36">
        <f>$C$14*ReDiarioFert!K25</f>
        <v>0.00023194945271072287</v>
      </c>
      <c r="O36">
        <f>$C$14*ReDiarioFert!M25</f>
        <v>59.680108292682924</v>
      </c>
      <c r="S36">
        <f>((E36/100)*$G$211+(G36/100)*$G$212+(I36/100)*$G$213+(K36/100)*$G$214+(M36/100)*$G$215+(O36)*$G$216+(Q36*$G$217))</f>
        <v>148.04090739975993</v>
      </c>
    </row>
    <row r="37">
      <c r="B37">
        <v>20</v>
      </c>
      <c r="C37">
        <f>$I$13+B37</f>
        <v>39625</v>
      </c>
      <c r="E37">
        <f>IF($C$14*ReDiarioFert!C26&lt;=0,"0",$C$14*ReDiarioFert!C26)</f>
        <v>6.7033931500026736</v>
      </c>
      <c r="G37">
        <f>$C$14*ReDiarioFert!E26</f>
        <v>2.0653172913043476</v>
      </c>
      <c r="I37">
        <f>$C$14*ReDiarioFert!G26</f>
        <v>6.493614789595266</v>
      </c>
      <c r="K37">
        <f>$C$14*ReDiarioFert!I26</f>
        <v>4.1677049755762905</v>
      </c>
      <c r="M37">
        <f>$C$14*ReDiarioFert!K26</f>
        <v>0.00023194945271072287</v>
      </c>
      <c r="O37">
        <f>$C$14*ReDiarioFert!M26</f>
        <v>59.680108292682924</v>
      </c>
      <c r="S37">
        <f>((E37/100)*$G$211+(G37/100)*$G$212+(I37/100)*$G$213+(K37/100)*$G$214+(M37/100)*$G$215+(O37)*$G$216+(Q37*$G$217))</f>
        <v>148.04090739975993</v>
      </c>
    </row>
    <row r="38">
      <c r="B38">
        <v>21</v>
      </c>
      <c r="C38">
        <f>$I$13+B38</f>
        <v>39626</v>
      </c>
      <c r="E38">
        <f>IF($C$14*ReDiarioFert!C27&lt;=0,"0",$C$14*ReDiarioFert!C27)</f>
        <v>6.7033931500026736</v>
      </c>
      <c r="G38">
        <f>$C$14*ReDiarioFert!E27</f>
        <v>2.0653172913043476</v>
      </c>
      <c r="I38">
        <f>$C$14*ReDiarioFert!G27</f>
        <v>6.493614789595266</v>
      </c>
      <c r="K38">
        <f>$C$14*ReDiarioFert!I27</f>
        <v>4.1677049755762905</v>
      </c>
      <c r="M38">
        <f>$C$14*ReDiarioFert!K27</f>
        <v>0.00023194945271072287</v>
      </c>
      <c r="O38">
        <f>$C$14*ReDiarioFert!M27</f>
        <v>59.680108292682924</v>
      </c>
      <c r="S38">
        <f>((E38/100)*$G$211+(G38/100)*$G$212+(I38/100)*$G$213+(K38/100)*$G$214+(M38/100)*$G$215+(O38)*$G$216+(Q38*$G$217))</f>
        <v>148.04090739975993</v>
      </c>
    </row>
    <row r="39">
      <c r="A39">
        <v>4</v>
      </c>
      <c r="B39">
        <v>22</v>
      </c>
      <c r="C39">
        <f>$I$13+B39</f>
        <v>39627</v>
      </c>
      <c r="E39">
        <f>IF($C$14*ReDiarioFert!C28&lt;=0,"0",$C$14*ReDiarioFert!C28)</f>
        <v>9.258394059499478</v>
      </c>
      <c r="G39">
        <f>$C$14*ReDiarioFert!E28</f>
        <v>2.0653172913043476</v>
      </c>
      <c r="I39">
        <f>$C$14*ReDiarioFert!G28</f>
        <v>8.702369024115434</v>
      </c>
      <c r="K39">
        <f>$C$14*ReDiarioFert!I28</f>
        <v>5.585318479195999</v>
      </c>
      <c r="M39">
        <f>$C$14*ReDiarioFert!K28</f>
        <v>0.00031084531464117414</v>
      </c>
      <c r="O39">
        <f>$C$14*ReDiarioFert!M28</f>
        <v>59.680108292682924</v>
      </c>
      <c r="Q39">
        <f>$C$14*Main!$D$63</f>
        <v>20.019999999999996</v>
      </c>
      <c r="S39">
        <f>((E39/100)*$G$211+(G39/100)*$G$212+(I39/100)*$G$213+(K39/100)*$G$214+(M39/100)*$G$215+(O39)*$G$216+(Q39*$G$217))</f>
        <v>246.99669229112956</v>
      </c>
    </row>
    <row r="40">
      <c r="B40">
        <v>23</v>
      </c>
      <c r="C40">
        <f>$I$13+B40</f>
        <v>39628</v>
      </c>
      <c r="E40">
        <f>IF($C$14*ReDiarioFert!C29&lt;=0,"0",$C$14*ReDiarioFert!C29)</f>
        <v>9.258394059499478</v>
      </c>
      <c r="G40">
        <f>$C$14*ReDiarioFert!E29</f>
        <v>2.0653172913043476</v>
      </c>
      <c r="I40">
        <f>$C$14*ReDiarioFert!G29</f>
        <v>8.702369024115434</v>
      </c>
      <c r="K40">
        <f>$C$14*ReDiarioFert!I29</f>
        <v>5.585318479195999</v>
      </c>
      <c r="M40">
        <f>$C$14*ReDiarioFert!K29</f>
        <v>0.00031084531464117414</v>
      </c>
      <c r="O40">
        <f>$C$14*ReDiarioFert!M29</f>
        <v>59.680108292682924</v>
      </c>
      <c r="S40">
        <f>((E40/100)*$G$211+(G40/100)*$G$212+(I40/100)*$G$213+(K40/100)*$G$214+(M40/100)*$G$215+(O40)*$G$216+(Q40*$G$217))</f>
        <v>190.94069229112958</v>
      </c>
    </row>
    <row r="41">
      <c r="B41">
        <v>24</v>
      </c>
      <c r="C41">
        <f>$I$13+B41</f>
        <v>39629</v>
      </c>
      <c r="E41">
        <f>IF($C$14*ReDiarioFert!C30&lt;=0,"0",$C$14*ReDiarioFert!C30)</f>
        <v>9.258394059499478</v>
      </c>
      <c r="G41">
        <f>$C$14*ReDiarioFert!E30</f>
        <v>2.0653172913043476</v>
      </c>
      <c r="I41">
        <f>$C$14*ReDiarioFert!G30</f>
        <v>8.702369024115434</v>
      </c>
      <c r="K41">
        <f>$C$14*ReDiarioFert!I30</f>
        <v>5.585318479195999</v>
      </c>
      <c r="M41">
        <f>$C$14*ReDiarioFert!K30</f>
        <v>0.00031084531464117414</v>
      </c>
      <c r="O41">
        <f>$C$14*ReDiarioFert!M30</f>
        <v>59.680108292682924</v>
      </c>
      <c r="S41">
        <f>((E41/100)*$G$211+(G41/100)*$G$212+(I41/100)*$G$213+(K41/100)*$G$214+(M41/100)*$G$215+(O41)*$G$216+(Q41*$G$217))</f>
        <v>190.94069229112958</v>
      </c>
    </row>
    <row r="42">
      <c r="B42">
        <v>25</v>
      </c>
      <c r="C42">
        <f>$I$13+B42</f>
        <v>39630</v>
      </c>
      <c r="E42">
        <f>IF($C$14*ReDiarioFert!C31&lt;=0,"0",$C$14*ReDiarioFert!C31)</f>
        <v>9.258394059499478</v>
      </c>
      <c r="G42">
        <f>$C$14*ReDiarioFert!E31</f>
        <v>2.0653172913043476</v>
      </c>
      <c r="I42">
        <f>$C$14*ReDiarioFert!G31</f>
        <v>8.702369024115434</v>
      </c>
      <c r="K42">
        <f>$C$14*ReDiarioFert!I31</f>
        <v>5.585318479195999</v>
      </c>
      <c r="M42">
        <f>$C$14*ReDiarioFert!K31</f>
        <v>0.00031084531464117414</v>
      </c>
      <c r="O42">
        <f>$C$14*ReDiarioFert!M31</f>
        <v>59.680108292682924</v>
      </c>
      <c r="S42">
        <f>((E42/100)*$G$211+(G42/100)*$G$212+(I42/100)*$G$213+(K42/100)*$G$214+(M42/100)*$G$215+(O42)*$G$216+(Q42*$G$217))</f>
        <v>190.94069229112958</v>
      </c>
    </row>
    <row r="43">
      <c r="B43">
        <v>26</v>
      </c>
      <c r="C43">
        <f>$I$13+B43</f>
        <v>39631</v>
      </c>
      <c r="E43">
        <f>IF($C$14*ReDiarioFert!C32&lt;=0,"0",$C$14*ReDiarioFert!C32)</f>
        <v>9.258394059499478</v>
      </c>
      <c r="G43">
        <f>$C$14*ReDiarioFert!E32</f>
        <v>2.0653172913043476</v>
      </c>
      <c r="I43">
        <f>$C$14*ReDiarioFert!G32</f>
        <v>8.702369024115434</v>
      </c>
      <c r="K43">
        <f>$C$14*ReDiarioFert!I32</f>
        <v>5.585318479195999</v>
      </c>
      <c r="M43">
        <f>$C$14*ReDiarioFert!K32</f>
        <v>0.00031084531464117414</v>
      </c>
      <c r="O43">
        <f>$C$14*ReDiarioFert!M32</f>
        <v>59.680108292682924</v>
      </c>
      <c r="S43">
        <f>((E43/100)*$G$211+(G43/100)*$G$212+(I43/100)*$G$213+(K43/100)*$G$214+(M43/100)*$G$215+(O43)*$G$216+(Q43*$G$217))</f>
        <v>190.94069229112958</v>
      </c>
    </row>
    <row r="44">
      <c r="B44">
        <v>27</v>
      </c>
      <c r="C44">
        <f>$I$13+B44</f>
        <v>39632</v>
      </c>
      <c r="E44">
        <f>IF($C$14*ReDiarioFert!C33&lt;=0,"0",$C$14*ReDiarioFert!C33)</f>
        <v>9.258394059499478</v>
      </c>
      <c r="G44">
        <f>$C$14*ReDiarioFert!E33</f>
        <v>2.0653172913043476</v>
      </c>
      <c r="I44">
        <f>$C$14*ReDiarioFert!G33</f>
        <v>8.702369024115434</v>
      </c>
      <c r="K44">
        <f>$C$14*ReDiarioFert!I33</f>
        <v>5.585318479195999</v>
      </c>
      <c r="M44">
        <f>$C$14*ReDiarioFert!K33</f>
        <v>0.00031084531464117414</v>
      </c>
      <c r="O44">
        <f>$C$14*ReDiarioFert!M33</f>
        <v>59.680108292682924</v>
      </c>
      <c r="S44">
        <f>((E44/100)*$G$211+(G44/100)*$G$212+(I44/100)*$G$213+(K44/100)*$G$214+(M44/100)*$G$215+(O44)*$G$216+(Q44*$G$217))</f>
        <v>190.94069229112958</v>
      </c>
    </row>
    <row r="45">
      <c r="B45">
        <v>28</v>
      </c>
      <c r="C45">
        <f>$I$13+B45</f>
        <v>39633</v>
      </c>
      <c r="E45">
        <f>IF($C$14*ReDiarioFert!C34&lt;=0,"0",$C$14*ReDiarioFert!C34)</f>
        <v>9.258394059499478</v>
      </c>
      <c r="G45">
        <f>$C$14*ReDiarioFert!E34</f>
        <v>2.0653172913043476</v>
      </c>
      <c r="I45">
        <f>$C$14*ReDiarioFert!G34</f>
        <v>8.702369024115434</v>
      </c>
      <c r="K45">
        <f>$C$14*ReDiarioFert!I34</f>
        <v>5.585318479195999</v>
      </c>
      <c r="M45">
        <f>$C$14*ReDiarioFert!K34</f>
        <v>0.00031084531464117414</v>
      </c>
      <c r="O45">
        <f>$C$14*ReDiarioFert!M34</f>
        <v>59.680108292682924</v>
      </c>
      <c r="Q45" t="str">
        <f>Main!$H$83</f>
        <v>Acido Salicílico</v>
      </c>
      <c r="R45">
        <f>Main!$K$83*Main!$I$22</f>
        <v>250.24999999999997</v>
      </c>
      <c r="S45">
        <f>((E45/100)*$G$211+(G45/100)*$G$212+(I45/100)*$G$213+(K45/100)*$G$214+(M45/100)*$G$215+(O45)*$G$216+(R45*Main!$J$83))</f>
        <v>233.48319229112957</v>
      </c>
    </row>
    <row r="46">
      <c r="A46">
        <v>5</v>
      </c>
      <c r="B46">
        <v>29</v>
      </c>
      <c r="C46">
        <f>$I$13+B46</f>
        <v>39634</v>
      </c>
      <c r="D46" t="str">
        <f>Main!$H$86</f>
        <v>BaZam</v>
      </c>
      <c r="E46">
        <f>IF($C$14*ReDiarioFert!C35&lt;=0,"0",$C$14*ReDiarioFert!C35)</f>
        <v>9.258394059499478</v>
      </c>
      <c r="G46">
        <f>$C$14*ReDiarioFert!E35</f>
        <v>2.0653172913043476</v>
      </c>
      <c r="I46">
        <f>$C$14*ReDiarioFert!G35</f>
        <v>8.702369024115434</v>
      </c>
      <c r="K46">
        <f>$C$14*ReDiarioFert!I35</f>
        <v>5.585318479195999</v>
      </c>
      <c r="M46">
        <f>$C$14*ReDiarioFert!K35</f>
        <v>0.00031084531464117414</v>
      </c>
      <c r="O46">
        <f>$C$14*ReDiarioFert!M35</f>
        <v>59.680108292682924</v>
      </c>
      <c r="Q46">
        <f>$C$14*Main!$D$63</f>
        <v>20.019999999999996</v>
      </c>
      <c r="R46">
        <f>Main!$K$86*Main!$I$22</f>
        <v>1.001</v>
      </c>
      <c r="S46">
        <f>((E46/100)*$G$211+(G46/100)*$G$212+(I46/100)*$G$213+(K46/100)*$G$214+(M46/100)*$G$215+(O46)*$G$216+(Q46*$G$217)+(R46*Main!$J$86))</f>
        <v>627.3766922911295</v>
      </c>
    </row>
    <row r="47">
      <c r="B47">
        <v>30</v>
      </c>
      <c r="C47">
        <f>$I$13+B47</f>
        <v>39635</v>
      </c>
      <c r="E47">
        <f>IF($C$14*ReDiarioFert!C36&lt;=0,"0",$C$14*ReDiarioFert!C36)</f>
        <v>9.258394059499478</v>
      </c>
      <c r="G47">
        <f>$C$14*ReDiarioFert!E36</f>
        <v>2.0653172913043476</v>
      </c>
      <c r="I47">
        <f>$C$14*ReDiarioFert!G36</f>
        <v>8.702369024115434</v>
      </c>
      <c r="K47">
        <f>$C$14*ReDiarioFert!I36</f>
        <v>5.585318479195999</v>
      </c>
      <c r="M47">
        <f>$C$14*ReDiarioFert!K36</f>
        <v>0.00031084531464117414</v>
      </c>
      <c r="O47">
        <f>$C$14*ReDiarioFert!M36</f>
        <v>59.680108292682924</v>
      </c>
      <c r="S47">
        <f>((E47/100)*$G$211+(G47/100)*$G$212+(I47/100)*$G$213+(K47/100)*$G$214+(M47/100)*$G$215+(O47)*$G$216+(Q47*$G$217))</f>
        <v>190.94069229112958</v>
      </c>
    </row>
    <row r="48">
      <c r="B48">
        <v>31</v>
      </c>
      <c r="C48">
        <f>$I$13+B48</f>
        <v>39636</v>
      </c>
      <c r="E48">
        <f>IF($C$14*ReDiarioFert!C37&lt;=0,"0",$C$14*ReDiarioFert!C37)</f>
        <v>9.258394059499478</v>
      </c>
      <c r="G48">
        <f>$C$14*ReDiarioFert!E37</f>
        <v>2.0653172913043476</v>
      </c>
      <c r="I48">
        <f>$C$14*ReDiarioFert!G37</f>
        <v>8.702369024115434</v>
      </c>
      <c r="K48">
        <f>$C$14*ReDiarioFert!I37</f>
        <v>5.585318479195999</v>
      </c>
      <c r="M48">
        <f>$C$14*ReDiarioFert!K37</f>
        <v>0.00031084531464117414</v>
      </c>
      <c r="O48">
        <f>$C$14*ReDiarioFert!M37</f>
        <v>59.680108292682924</v>
      </c>
      <c r="S48">
        <f>((E48/100)*$G$211+(G48/100)*$G$212+(I48/100)*$G$213+(K48/100)*$G$214+(M48/100)*$G$215+(O48)*$G$216+(Q48*$G$217))</f>
        <v>190.94069229112958</v>
      </c>
    </row>
    <row r="49">
      <c r="B49">
        <v>32</v>
      </c>
      <c r="C49">
        <f>$I$13+B49</f>
        <v>39637</v>
      </c>
      <c r="E49">
        <f>IF($C$14*ReDiarioFert!C38&lt;=0,"0",$C$14*ReDiarioFert!C38)</f>
        <v>9.258394059499478</v>
      </c>
      <c r="G49">
        <f>$C$14*ReDiarioFert!E38</f>
        <v>2.0653172913043476</v>
      </c>
      <c r="I49">
        <f>$C$14*ReDiarioFert!G38</f>
        <v>8.702369024115434</v>
      </c>
      <c r="K49">
        <f>$C$14*ReDiarioFert!I38</f>
        <v>5.585318479195999</v>
      </c>
      <c r="M49">
        <f>$C$14*ReDiarioFert!K38</f>
        <v>0.00031084531464117414</v>
      </c>
      <c r="O49">
        <f>$C$14*ReDiarioFert!M38</f>
        <v>59.680108292682924</v>
      </c>
      <c r="S49">
        <f>((E49/100)*$G$211+(G49/100)*$G$212+(I49/100)*$G$213+(K49/100)*$G$214+(M49/100)*$G$215+(O49)*$G$216+(Q49*$G$217))</f>
        <v>190.94069229112958</v>
      </c>
    </row>
    <row r="50">
      <c r="B50">
        <v>33</v>
      </c>
      <c r="C50">
        <f>$I$13+B50</f>
        <v>39638</v>
      </c>
      <c r="E50">
        <f>IF($C$14*ReDiarioFert!C39&lt;=0,"0",$C$14*ReDiarioFert!C39)</f>
        <v>9.258394059499478</v>
      </c>
      <c r="G50">
        <f>$C$14*ReDiarioFert!E39</f>
        <v>2.0653172913043476</v>
      </c>
      <c r="I50">
        <f>$C$14*ReDiarioFert!G39</f>
        <v>8.702369024115434</v>
      </c>
      <c r="K50">
        <f>$C$14*ReDiarioFert!I39</f>
        <v>5.585318479195999</v>
      </c>
      <c r="M50">
        <f>$C$14*ReDiarioFert!K39</f>
        <v>0.00031084531464117414</v>
      </c>
      <c r="O50">
        <f>$C$14*ReDiarioFert!M39</f>
        <v>84.54738975609757</v>
      </c>
      <c r="S50">
        <f>((E50/100)*$G$211+(G50/100)*$G$212+(I50/100)*$G$213+(K50/100)*$G$214+(M50/100)*$G$215+(O50)*$G$216+(Q50*$G$217))</f>
        <v>191.93538354966617</v>
      </c>
    </row>
    <row r="51">
      <c r="B51">
        <v>34</v>
      </c>
      <c r="C51">
        <f>$I$13+B51</f>
        <v>39639</v>
      </c>
      <c r="E51">
        <f>IF($C$14*ReDiarioFert!C40&lt;=0,"0",$C$14*ReDiarioFert!C40)</f>
        <v>9.258394059499478</v>
      </c>
      <c r="G51">
        <f>$C$14*ReDiarioFert!E40</f>
        <v>2.0653172913043476</v>
      </c>
      <c r="I51">
        <f>$C$14*ReDiarioFert!G40</f>
        <v>8.702369024115434</v>
      </c>
      <c r="K51">
        <f>$C$14*ReDiarioFert!I40</f>
        <v>5.585318479195999</v>
      </c>
      <c r="M51">
        <f>$C$14*ReDiarioFert!K40</f>
        <v>0.00031084531464117414</v>
      </c>
      <c r="O51">
        <f>$C$14*ReDiarioFert!M40</f>
        <v>84.54738975609757</v>
      </c>
      <c r="S51">
        <f>((E51/100)*$G$211+(G51/100)*$G$212+(I51/100)*$G$213+(K51/100)*$G$214+(M51/100)*$G$215+(O51)*$G$216+(Q51*$G$217))</f>
        <v>191.93538354966617</v>
      </c>
    </row>
    <row r="52">
      <c r="B52">
        <v>35</v>
      </c>
      <c r="C52">
        <f>$I$13+B52</f>
        <v>39640</v>
      </c>
      <c r="E52">
        <f>IF($C$14*ReDiarioFert!C41&lt;=0,"0",$C$14*ReDiarioFert!C41)</f>
        <v>9.258394059499478</v>
      </c>
      <c r="G52">
        <f>$C$14*ReDiarioFert!E41</f>
        <v>2.0653172913043476</v>
      </c>
      <c r="I52">
        <f>$C$14*ReDiarioFert!G41</f>
        <v>8.702369024115434</v>
      </c>
      <c r="K52">
        <f>$C$14*ReDiarioFert!I41</f>
        <v>5.585318479195999</v>
      </c>
      <c r="M52">
        <f>$C$14*ReDiarioFert!K41</f>
        <v>0.00031084531464117414</v>
      </c>
      <c r="O52">
        <f>$C$14*ReDiarioFert!M41</f>
        <v>84.54738975609757</v>
      </c>
      <c r="Q52" t="str">
        <f>Main!$H$84</f>
        <v>Acido Fosforoso</v>
      </c>
      <c r="R52">
        <f>Main!$K$84*Main!$I$22</f>
        <v>5.004999999999999</v>
      </c>
      <c r="S52">
        <f>((E52/100)*$G$211+(G52/100)*$G$212+(I52/100)*$G$213+(K52/100)*$G$214+(M52/100)*$G$215+(O52)*$G$216+(R52*Main!$J$84))</f>
        <v>592.3353835496661</v>
      </c>
    </row>
    <row r="53">
      <c r="A53">
        <v>6</v>
      </c>
      <c r="B53">
        <v>36</v>
      </c>
      <c r="C53">
        <f>$I$13+B53</f>
        <v>39641</v>
      </c>
      <c r="E53">
        <f>IF($C$14*ReDiarioFert!C42&lt;=0,"0",$C$14*ReDiarioFert!C42)</f>
        <v>9.258394059499478</v>
      </c>
      <c r="G53">
        <f>$C$14*ReDiarioFert!E42</f>
        <v>2.0653172913043476</v>
      </c>
      <c r="I53">
        <f>$C$14*ReDiarioFert!G42</f>
        <v>8.702369024115434</v>
      </c>
      <c r="K53">
        <f>$C$14*ReDiarioFert!I42</f>
        <v>5.585318479195999</v>
      </c>
      <c r="M53">
        <f>$C$14*ReDiarioFert!K42</f>
        <v>0.00031084531464117414</v>
      </c>
      <c r="O53">
        <f>$C$14*ReDiarioFert!M42</f>
        <v>84.54738975609757</v>
      </c>
      <c r="Q53">
        <f>$C$14*Main!$D$63</f>
        <v>20.019999999999996</v>
      </c>
      <c r="S53">
        <f>((E53/100)*$G$211+(G53/100)*$G$212+(I53/100)*$G$213+(K53/100)*$G$214+(M53/100)*$G$215+(O53)*$G$216+(Q53*$G$217))</f>
        <v>247.99138354966615</v>
      </c>
    </row>
    <row r="54">
      <c r="B54">
        <v>37</v>
      </c>
      <c r="C54">
        <f>$I$13+B54</f>
        <v>39642</v>
      </c>
      <c r="E54">
        <f>IF($C$14*ReDiarioFert!C43&lt;=0,"0",$C$14*ReDiarioFert!C43)</f>
        <v>9.258394059499478</v>
      </c>
      <c r="G54">
        <f>$C$14*ReDiarioFert!E43</f>
        <v>2.0653172913043476</v>
      </c>
      <c r="I54">
        <f>$C$14*ReDiarioFert!G43</f>
        <v>8.702369024115434</v>
      </c>
      <c r="K54">
        <f>$C$14*ReDiarioFert!I43</f>
        <v>5.585318479195999</v>
      </c>
      <c r="M54">
        <f>$C$14*ReDiarioFert!K43</f>
        <v>0.00031084531464117414</v>
      </c>
      <c r="O54">
        <f>$C$14*ReDiarioFert!M43</f>
        <v>84.54738975609757</v>
      </c>
      <c r="S54">
        <f>((E54/100)*$G$211+(G54/100)*$G$212+(I54/100)*$G$213+(K54/100)*$G$214+(M54/100)*$G$215+(O54)*$G$216+(Q54*$G$217))</f>
        <v>191.93538354966617</v>
      </c>
    </row>
    <row r="55">
      <c r="B55">
        <v>38</v>
      </c>
      <c r="C55">
        <f>$I$13+B55</f>
        <v>39643</v>
      </c>
      <c r="E55">
        <f>IF($C$14*ReDiarioFert!C44&lt;=0,"0",$C$14*ReDiarioFert!C44)</f>
        <v>9.258394059499478</v>
      </c>
      <c r="G55">
        <f>$C$14*ReDiarioFert!E44</f>
        <v>2.0653172913043476</v>
      </c>
      <c r="I55">
        <f>$C$14*ReDiarioFert!G44</f>
        <v>8.702369024115434</v>
      </c>
      <c r="K55">
        <f>$C$14*ReDiarioFert!I44</f>
        <v>5.585318479195999</v>
      </c>
      <c r="M55">
        <f>$C$14*ReDiarioFert!K44</f>
        <v>0.00031084531464117414</v>
      </c>
      <c r="O55">
        <f>$C$14*ReDiarioFert!M44</f>
        <v>84.54738975609757</v>
      </c>
      <c r="S55">
        <f>((E55/100)*$G$211+(G55/100)*$G$212+(I55/100)*$G$213+(K55/100)*$G$214+(M55/100)*$G$215+(O55)*$G$216+(Q55*$G$217))</f>
        <v>191.93538354966617</v>
      </c>
    </row>
    <row r="56">
      <c r="B56">
        <v>39</v>
      </c>
      <c r="C56">
        <f>$I$13+B56</f>
        <v>39644</v>
      </c>
      <c r="E56">
        <f>IF($C$14*ReDiarioFert!C45&lt;=0,"0",$C$14*ReDiarioFert!C45)</f>
        <v>9.258394059499478</v>
      </c>
      <c r="G56">
        <f>$C$14*ReDiarioFert!E45</f>
        <v>2.0653172913043476</v>
      </c>
      <c r="I56">
        <f>$C$14*ReDiarioFert!G45</f>
        <v>8.702369024115434</v>
      </c>
      <c r="K56">
        <f>$C$14*ReDiarioFert!I45</f>
        <v>5.585318479195999</v>
      </c>
      <c r="M56">
        <f>$C$14*ReDiarioFert!K45</f>
        <v>0.00031084531464117414</v>
      </c>
      <c r="O56">
        <f>$C$14*ReDiarioFert!M45</f>
        <v>84.54738975609757</v>
      </c>
      <c r="S56">
        <f>((E56/100)*$G$211+(G56/100)*$G$212+(I56/100)*$G$213+(K56/100)*$G$214+(M56/100)*$G$215+(O56)*$G$216+(Q56*$G$217))</f>
        <v>191.93538354966617</v>
      </c>
    </row>
    <row r="57">
      <c r="B57">
        <v>40</v>
      </c>
      <c r="C57">
        <f>$I$13+B57</f>
        <v>39645</v>
      </c>
      <c r="E57">
        <f>IF($C$14*ReDiarioFert!C46&lt;=0,"0",$C$14*ReDiarioFert!C46)</f>
        <v>9.258394059499478</v>
      </c>
      <c r="G57">
        <f>$C$14*ReDiarioFert!E46</f>
        <v>2.0653172913043476</v>
      </c>
      <c r="I57">
        <f>$C$14*ReDiarioFert!G46</f>
        <v>8.702369024115434</v>
      </c>
      <c r="K57">
        <f>$C$14*ReDiarioFert!I46</f>
        <v>5.585318479195999</v>
      </c>
      <c r="M57">
        <f>$C$14*ReDiarioFert!K46</f>
        <v>0.00031084531464117414</v>
      </c>
      <c r="O57">
        <f>$C$14*ReDiarioFert!M46</f>
        <v>84.54738975609757</v>
      </c>
      <c r="S57">
        <f>((E57/100)*$G$211+(G57/100)*$G$212+(I57/100)*$G$213+(K57/100)*$G$214+(M57/100)*$G$215+(O57)*$G$216+(Q57*$G$217))</f>
        <v>191.93538354966617</v>
      </c>
    </row>
    <row r="58">
      <c r="B58">
        <v>41</v>
      </c>
      <c r="C58">
        <f>$I$13+B58</f>
        <v>39646</v>
      </c>
      <c r="E58">
        <f>IF($C$14*ReDiarioFert!C47&lt;=0,"0",$C$14*ReDiarioFert!C47)</f>
        <v>9.258394059499478</v>
      </c>
      <c r="G58">
        <f>$C$14*ReDiarioFert!E47</f>
        <v>2.0653172913043476</v>
      </c>
      <c r="I58">
        <f>$C$14*ReDiarioFert!G47</f>
        <v>8.702369024115434</v>
      </c>
      <c r="K58">
        <f>$C$14*ReDiarioFert!I47</f>
        <v>5.585318479195999</v>
      </c>
      <c r="M58">
        <f>$C$14*ReDiarioFert!K47</f>
        <v>0.00031084531464117414</v>
      </c>
      <c r="O58">
        <f>$C$14*ReDiarioFert!M47</f>
        <v>84.54738975609757</v>
      </c>
      <c r="S58">
        <f>((E58/100)*$G$211+(G58/100)*$G$212+(I58/100)*$G$213+(K58/100)*$G$214+(M58/100)*$G$215+(O58)*$G$216+(Q58*$G$217))</f>
        <v>191.93538354966617</v>
      </c>
    </row>
    <row r="59">
      <c r="B59">
        <v>42</v>
      </c>
      <c r="C59">
        <f>$I$13+B59</f>
        <v>39647</v>
      </c>
      <c r="E59">
        <f>IF($C$14*ReDiarioFert!C48&lt;=0,"0",$C$14*ReDiarioFert!C48)</f>
        <v>9.258394059499478</v>
      </c>
      <c r="G59">
        <f>$C$14*ReDiarioFert!E48</f>
        <v>2.0653172913043476</v>
      </c>
      <c r="I59">
        <f>$C$14*ReDiarioFert!G48</f>
        <v>8.702369024115434</v>
      </c>
      <c r="K59">
        <f>$C$14*ReDiarioFert!I48</f>
        <v>5.585318479195999</v>
      </c>
      <c r="M59">
        <f>$C$14*ReDiarioFert!K48</f>
        <v>0.00031084531464117414</v>
      </c>
      <c r="O59">
        <f>$C$14*ReDiarioFert!M48</f>
        <v>84.54738975609757</v>
      </c>
      <c r="S59">
        <f>((E59/100)*$G$211+(G59/100)*$G$212+(I59/100)*$G$213+(K59/100)*$G$214+(M59/100)*$G$215+(O59)*$G$216+(Q59*$G$217))</f>
        <v>191.93538354966617</v>
      </c>
    </row>
    <row r="60">
      <c r="A60">
        <v>7</v>
      </c>
      <c r="B60">
        <v>43</v>
      </c>
      <c r="C60">
        <f>$I$13+B60</f>
        <v>39648</v>
      </c>
      <c r="E60">
        <f>IF($C$14*ReDiarioFert!C49&lt;=0,"0",$C$14*ReDiarioFert!C49)</f>
        <v>9.258394059499478</v>
      </c>
      <c r="G60">
        <f>$C$14*ReDiarioFert!E49</f>
        <v>2.0653172913043476</v>
      </c>
      <c r="I60">
        <f>$C$14*ReDiarioFert!G49</f>
        <v>8.702369024115434</v>
      </c>
      <c r="K60">
        <f>$C$14*ReDiarioFert!I49</f>
        <v>5.585318479195999</v>
      </c>
      <c r="M60">
        <f>$C$14*ReDiarioFert!K49</f>
        <v>0.00031084531464117414</v>
      </c>
      <c r="O60">
        <f>$C$14*ReDiarioFert!M49</f>
        <v>84.54738975609757</v>
      </c>
      <c r="Q60">
        <f>$C$14*Main!$D$63</f>
        <v>20.019999999999996</v>
      </c>
      <c r="S60">
        <f>((E60/100)*$G$211+(G60/100)*$G$212+(I60/100)*$G$213+(K60/100)*$G$214+(M60/100)*$G$215+(O60)*$G$216+(Q60*$G$217))</f>
        <v>247.99138354966615</v>
      </c>
    </row>
    <row r="61">
      <c r="B61">
        <v>44</v>
      </c>
      <c r="C61">
        <f>$I$13+B61</f>
        <v>39649</v>
      </c>
      <c r="E61">
        <f>IF($C$14*ReDiarioFert!C50&lt;=0,"0",$C$14*ReDiarioFert!C50)</f>
        <v>9.258394059499478</v>
      </c>
      <c r="G61">
        <f>$C$14*ReDiarioFert!E50</f>
        <v>2.0653172913043476</v>
      </c>
      <c r="I61">
        <f>$C$14*ReDiarioFert!G50</f>
        <v>8.702369024115434</v>
      </c>
      <c r="K61">
        <f>$C$14*ReDiarioFert!I50</f>
        <v>5.585318479195999</v>
      </c>
      <c r="M61">
        <f>$C$14*ReDiarioFert!K50</f>
        <v>0.00031084531464117414</v>
      </c>
      <c r="O61">
        <f>$C$14*ReDiarioFert!M50</f>
        <v>84.54738975609757</v>
      </c>
      <c r="S61">
        <f>((E61/100)*$G$211+(G61/100)*$G$212+(I61/100)*$G$213+(K61/100)*$G$214+(M61/100)*$G$215+(O61)*$G$216+(Q61*$G$217))</f>
        <v>191.93538354966617</v>
      </c>
    </row>
    <row r="62">
      <c r="B62">
        <v>45</v>
      </c>
      <c r="C62">
        <f>$I$13+B62</f>
        <v>39650</v>
      </c>
      <c r="E62">
        <f>IF($C$14*ReDiarioFert!C51&lt;=0,"0",$C$14*ReDiarioFert!C51)</f>
        <v>9.258394059499478</v>
      </c>
      <c r="G62">
        <f>$C$14*ReDiarioFert!E51</f>
        <v>2.0653172913043476</v>
      </c>
      <c r="I62">
        <f>$C$14*ReDiarioFert!G51</f>
        <v>8.702369024115434</v>
      </c>
      <c r="K62">
        <f>$C$14*ReDiarioFert!I51</f>
        <v>5.585318479195999</v>
      </c>
      <c r="M62">
        <f>$C$14*ReDiarioFert!K51</f>
        <v>0.00031084531464117414</v>
      </c>
      <c r="O62">
        <f>$C$14*ReDiarioFert!M51</f>
        <v>84.54738975609757</v>
      </c>
      <c r="S62">
        <f>((E62/100)*$G$211+(G62/100)*$G$212+(I62/100)*$G$213+(K62/100)*$G$214+(M62/100)*$G$215+(O62)*$G$216+(Q62*$G$217))</f>
        <v>191.93538354966617</v>
      </c>
    </row>
    <row r="63">
      <c r="B63">
        <v>46</v>
      </c>
      <c r="C63">
        <f>$I$13+B63</f>
        <v>39651</v>
      </c>
      <c r="E63">
        <f>IF($C$14*ReDiarioFert!C52&lt;=0,"0",$C$14*ReDiarioFert!C52)</f>
        <v>9.258394059499478</v>
      </c>
      <c r="G63">
        <f>$C$14*ReDiarioFert!E52</f>
        <v>2.0653172913043476</v>
      </c>
      <c r="I63">
        <f>$C$14*ReDiarioFert!G52</f>
        <v>8.702369024115434</v>
      </c>
      <c r="K63">
        <f>$C$14*ReDiarioFert!I52</f>
        <v>5.585318479195999</v>
      </c>
      <c r="M63">
        <f>$C$14*ReDiarioFert!K52</f>
        <v>0.00031084531464117414</v>
      </c>
      <c r="O63">
        <f>$C$14*ReDiarioFert!M52</f>
        <v>84.54738975609757</v>
      </c>
      <c r="S63">
        <f>((E63/100)*$G$211+(G63/100)*$G$212+(I63/100)*$G$213+(K63/100)*$G$214+(M63/100)*$G$215+(O63)*$G$216+(Q63*$G$217))</f>
        <v>191.93538354966617</v>
      </c>
    </row>
    <row r="64">
      <c r="B64">
        <v>47</v>
      </c>
      <c r="C64">
        <f>$I$13+B64</f>
        <v>39652</v>
      </c>
      <c r="E64">
        <f>IF($C$14*ReDiarioFert!C53&lt;=0,"0",$C$14*ReDiarioFert!C53)</f>
        <v>9.258394059499478</v>
      </c>
      <c r="G64">
        <f>$C$14*ReDiarioFert!E53</f>
        <v>2.0653172913043476</v>
      </c>
      <c r="I64">
        <f>$C$14*ReDiarioFert!G53</f>
        <v>8.702369024115434</v>
      </c>
      <c r="K64">
        <f>$C$14*ReDiarioFert!I53</f>
        <v>5.585318479195999</v>
      </c>
      <c r="M64">
        <f>$C$14*ReDiarioFert!K53</f>
        <v>0.00031084531464117414</v>
      </c>
      <c r="O64">
        <f>$C$14*ReDiarioFert!M53</f>
        <v>84.54738975609757</v>
      </c>
      <c r="S64">
        <f>((E64/100)*$G$211+(G64/100)*$G$212+(I64/100)*$G$213+(K64/100)*$G$214+(M64/100)*$G$215+(O64)*$G$216+(Q64*$G$217))</f>
        <v>191.93538354966617</v>
      </c>
    </row>
    <row r="65">
      <c r="B65">
        <v>48</v>
      </c>
      <c r="C65">
        <f>$I$13+B65</f>
        <v>39653</v>
      </c>
      <c r="E65">
        <f>IF($C$14*ReDiarioFert!C54&lt;=0,"0",$C$14*ReDiarioFert!C54)</f>
        <v>9.258394059499478</v>
      </c>
      <c r="G65">
        <f>$C$14*ReDiarioFert!E54</f>
        <v>2.0653172913043476</v>
      </c>
      <c r="I65">
        <f>$C$14*ReDiarioFert!G54</f>
        <v>8.702369024115434</v>
      </c>
      <c r="K65">
        <f>$C$14*ReDiarioFert!I54</f>
        <v>5.585318479195999</v>
      </c>
      <c r="M65">
        <f>$C$14*ReDiarioFert!K54</f>
        <v>0.00031084531464117414</v>
      </c>
      <c r="O65">
        <f>$C$14*ReDiarioFert!M54</f>
        <v>114.387443902439</v>
      </c>
      <c r="S65">
        <f>((E65/100)*$G$211+(G65/100)*$G$212+(I65/100)*$G$213+(K65/100)*$G$214+(M65/100)*$G$215+(O65)*$G$216+(Q65*$G$217))</f>
        <v>193.1289857155198</v>
      </c>
    </row>
    <row r="66">
      <c r="B66">
        <v>49</v>
      </c>
      <c r="C66">
        <f>$I$13+B66</f>
        <v>39654</v>
      </c>
      <c r="E66">
        <f>IF($C$14*ReDiarioFert!C55&lt;=0,"0",$C$14*ReDiarioFert!C55)</f>
        <v>9.258394059499478</v>
      </c>
      <c r="G66">
        <f>$C$14*ReDiarioFert!E55</f>
        <v>2.0653172913043476</v>
      </c>
      <c r="I66">
        <f>$C$14*ReDiarioFert!G55</f>
        <v>8.702369024115434</v>
      </c>
      <c r="K66">
        <f>$C$14*ReDiarioFert!I55</f>
        <v>5.585318479195999</v>
      </c>
      <c r="M66">
        <f>$C$14*ReDiarioFert!K55</f>
        <v>0.00031084531464117414</v>
      </c>
      <c r="O66">
        <f>$C$14*ReDiarioFert!M55</f>
        <v>114.387443902439</v>
      </c>
      <c r="Q66" t="str">
        <f>Main!$H$83</f>
        <v>Acido Salicílico</v>
      </c>
      <c r="R66">
        <f>Main!$K$83*Main!$I$22</f>
        <v>250.24999999999997</v>
      </c>
      <c r="S66">
        <f>((E66/100)*$G$211+(G66/100)*$G$212+(I66/100)*$G$213+(K66/100)*$G$214+(M66/100)*$G$215+(O66)*$G$216+(R66*Main!$J$83))</f>
        <v>235.6714857155198</v>
      </c>
    </row>
    <row r="67">
      <c r="A67">
        <v>8</v>
      </c>
      <c r="B67">
        <v>50</v>
      </c>
      <c r="C67">
        <f>$I$13+B67</f>
        <v>39655</v>
      </c>
      <c r="E67">
        <f>IF($C$14*ReDiarioFert!C56&lt;=0,"0",$C$14*ReDiarioFert!C56)</f>
        <v>8.564148425345875</v>
      </c>
      <c r="G67">
        <f>$C$14*ReDiarioFert!E56</f>
        <v>2.0653172913043476</v>
      </c>
      <c r="I67">
        <f>$C$14*ReDiarioFert!G56</f>
        <v>8.702369024115434</v>
      </c>
      <c r="K67">
        <f>$C$14*ReDiarioFert!I56</f>
        <v>5.585318479195999</v>
      </c>
      <c r="M67">
        <f>$C$14*ReDiarioFert!K56</f>
        <v>0.00031084531464117414</v>
      </c>
      <c r="O67">
        <f>$C$14*ReDiarioFert!M56</f>
        <v>114.387443902439</v>
      </c>
      <c r="Q67">
        <f>$C$14*Main!$D$63</f>
        <v>20.019999999999996</v>
      </c>
      <c r="S67">
        <f>((E67/100)*$G$211+(G67/100)*$G$212+(I67/100)*$G$213+(K67/100)*$G$214+(M67/100)*$G$215+(O67)*$G$216+(Q67*$G$217))</f>
        <v>244.67238909352136</v>
      </c>
    </row>
    <row r="68">
      <c r="B68">
        <v>51</v>
      </c>
      <c r="C68">
        <f>$I$13+B68</f>
        <v>39656</v>
      </c>
      <c r="E68">
        <f>IF($C$14*ReDiarioFert!C57&lt;=0,"0",$C$14*ReDiarioFert!C57)</f>
        <v>8.564148425345875</v>
      </c>
      <c r="G68">
        <f>$C$14*ReDiarioFert!E57</f>
        <v>2.0653172913043476</v>
      </c>
      <c r="I68">
        <f>$C$14*ReDiarioFert!G57</f>
        <v>8.702369024115434</v>
      </c>
      <c r="K68">
        <f>$C$14*ReDiarioFert!I57</f>
        <v>5.585318479195999</v>
      </c>
      <c r="M68">
        <f>$C$14*ReDiarioFert!K57</f>
        <v>0.00031084531464117414</v>
      </c>
      <c r="O68">
        <f>$C$14*ReDiarioFert!M57</f>
        <v>114.387443902439</v>
      </c>
      <c r="S68">
        <f>((E68/100)*$G$211+(G68/100)*$G$212+(I68/100)*$G$213+(K68/100)*$G$214+(M68/100)*$G$215+(O68)*$G$216+(Q68*$G$217))</f>
        <v>188.61638909352138</v>
      </c>
    </row>
    <row r="69">
      <c r="B69">
        <v>52</v>
      </c>
      <c r="C69">
        <f>$I$13+B69</f>
        <v>39657</v>
      </c>
      <c r="E69">
        <f>IF($C$14*ReDiarioFert!C58&lt;=0,"0",$C$14*ReDiarioFert!C58)</f>
        <v>8.564148425345875</v>
      </c>
      <c r="G69">
        <f>$C$14*ReDiarioFert!E58</f>
        <v>2.0653172913043476</v>
      </c>
      <c r="I69">
        <f>$C$14*ReDiarioFert!G58</f>
        <v>8.702369024115434</v>
      </c>
      <c r="K69">
        <f>$C$14*ReDiarioFert!I58</f>
        <v>5.585318479195999</v>
      </c>
      <c r="M69">
        <f>$C$14*ReDiarioFert!K58</f>
        <v>0.00031084531464117414</v>
      </c>
      <c r="O69">
        <f>$C$14*ReDiarioFert!M58</f>
        <v>114.387443902439</v>
      </c>
      <c r="S69">
        <f>((E69/100)*$G$211+(G69/100)*$G$212+(I69/100)*$G$213+(K69/100)*$G$214+(M69/100)*$G$215+(O69)*$G$216+(Q69*$G$217))</f>
        <v>188.61638909352138</v>
      </c>
    </row>
    <row r="70">
      <c r="B70">
        <v>53</v>
      </c>
      <c r="C70">
        <f>$I$13+B70</f>
        <v>39658</v>
      </c>
      <c r="E70">
        <f>IF($C$14*ReDiarioFert!C59&lt;=0,"0",$C$14*ReDiarioFert!C59)</f>
        <v>8.564148425345875</v>
      </c>
      <c r="G70">
        <f>$C$14*ReDiarioFert!E59</f>
        <v>2.0653172913043476</v>
      </c>
      <c r="I70">
        <f>$C$14*ReDiarioFert!G59</f>
        <v>8.702369024115434</v>
      </c>
      <c r="K70">
        <f>$C$14*ReDiarioFert!I59</f>
        <v>5.585318479195999</v>
      </c>
      <c r="M70">
        <f>$C$14*ReDiarioFert!K59</f>
        <v>0.00031084531464117414</v>
      </c>
      <c r="O70">
        <f>$C$14*ReDiarioFert!M59</f>
        <v>114.387443902439</v>
      </c>
      <c r="S70">
        <f>((E70/100)*$G$211+(G70/100)*$G$212+(I70/100)*$G$213+(K70/100)*$G$214+(M70/100)*$G$215+(O70)*$G$216+(Q70*$G$217))</f>
        <v>188.61638909352138</v>
      </c>
    </row>
    <row r="71">
      <c r="B71">
        <v>54</v>
      </c>
      <c r="C71">
        <f>$I$13+B71</f>
        <v>39659</v>
      </c>
      <c r="E71">
        <f>IF($C$14*ReDiarioFert!C60&lt;=0,"0",$C$14*ReDiarioFert!C60)</f>
        <v>8.564148425345875</v>
      </c>
      <c r="G71">
        <f>$C$14*ReDiarioFert!E60</f>
        <v>2.0653172913043476</v>
      </c>
      <c r="I71">
        <f>$C$14*ReDiarioFert!G60</f>
        <v>8.702369024115434</v>
      </c>
      <c r="K71">
        <f>$C$14*ReDiarioFert!I60</f>
        <v>5.585318479195999</v>
      </c>
      <c r="M71">
        <f>$C$14*ReDiarioFert!K60</f>
        <v>0.00031084531464117414</v>
      </c>
      <c r="O71">
        <f>$C$14*ReDiarioFert!M60</f>
        <v>114.387443902439</v>
      </c>
      <c r="S71">
        <f>((E71/100)*$G$211+(G71/100)*$G$212+(I71/100)*$G$213+(K71/100)*$G$214+(M71/100)*$G$215+(O71)*$G$216+(Q71*$G$217))</f>
        <v>188.61638909352138</v>
      </c>
    </row>
    <row r="72">
      <c r="B72">
        <v>55</v>
      </c>
      <c r="C72">
        <f>$I$13+B72</f>
        <v>39660</v>
      </c>
      <c r="E72">
        <f>IF($C$14*ReDiarioFert!C61&lt;=0,"0",$C$14*ReDiarioFert!C61)</f>
        <v>8.564148425345875</v>
      </c>
      <c r="G72">
        <f>$C$14*ReDiarioFert!E61</f>
        <v>2.0653172913043476</v>
      </c>
      <c r="I72">
        <f>$C$14*ReDiarioFert!G61</f>
        <v>8.702369024115434</v>
      </c>
      <c r="K72">
        <f>$C$14*ReDiarioFert!I61</f>
        <v>5.585318479195999</v>
      </c>
      <c r="M72">
        <f>$C$14*ReDiarioFert!K61</f>
        <v>0.00031084531464117414</v>
      </c>
      <c r="O72">
        <f>$C$14*ReDiarioFert!M61</f>
        <v>114.387443902439</v>
      </c>
      <c r="S72">
        <f>((E72/100)*$G$211+(G72/100)*$G$212+(I72/100)*$G$213+(K72/100)*$G$214+(M72/100)*$G$215+(O72)*$G$216+(Q72*$G$217))</f>
        <v>188.61638909352138</v>
      </c>
    </row>
    <row r="73">
      <c r="B73">
        <v>56</v>
      </c>
      <c r="C73">
        <f>$I$13+B73</f>
        <v>39661</v>
      </c>
      <c r="E73">
        <f>IF($C$14*ReDiarioFert!C62&lt;=0,"0",$C$14*ReDiarioFert!C62)</f>
        <v>8.564148425345875</v>
      </c>
      <c r="G73">
        <f>$C$14*ReDiarioFert!E62</f>
        <v>2.0653172913043476</v>
      </c>
      <c r="I73">
        <f>$C$14*ReDiarioFert!G62</f>
        <v>8.702369024115434</v>
      </c>
      <c r="K73">
        <f>$C$14*ReDiarioFert!I62</f>
        <v>5.585318479195999</v>
      </c>
      <c r="M73">
        <f>$C$14*ReDiarioFert!K62</f>
        <v>0.00031084531464117414</v>
      </c>
      <c r="O73">
        <f>$C$14*ReDiarioFert!M62</f>
        <v>114.387443902439</v>
      </c>
      <c r="S73">
        <f>((E73/100)*$G$211+(G73/100)*$G$212+(I73/100)*$G$213+(K73/100)*$G$214+(M73/100)*$G$215+(O73)*$G$216+(Q73*$G$217))</f>
        <v>188.61638909352138</v>
      </c>
    </row>
    <row r="74">
      <c r="A74">
        <v>9</v>
      </c>
      <c r="B74">
        <v>57</v>
      </c>
      <c r="C74">
        <f>$I$13+B74</f>
        <v>39662</v>
      </c>
      <c r="D74" t="str">
        <f>Main!$H$85</f>
        <v>TricoZam</v>
      </c>
      <c r="E74">
        <f>IF($C$14*ReDiarioFert!C63&lt;=0,"0",$C$14*ReDiarioFert!C63)</f>
        <v>8.564148425345875</v>
      </c>
      <c r="G74">
        <f>$C$14*ReDiarioFert!E63</f>
        <v>2.0653172913043476</v>
      </c>
      <c r="I74">
        <f>$C$14*ReDiarioFert!G63</f>
        <v>8.702369024115434</v>
      </c>
      <c r="K74">
        <f>$C$14*ReDiarioFert!I63</f>
        <v>5.585318479195999</v>
      </c>
      <c r="M74">
        <f>$C$14*ReDiarioFert!K63</f>
        <v>0.00031084531464117414</v>
      </c>
      <c r="O74">
        <f>$C$14*ReDiarioFert!M63</f>
        <v>114.387443902439</v>
      </c>
      <c r="Q74">
        <f>$C$14*Main!$D$63</f>
        <v>20.019999999999996</v>
      </c>
      <c r="R74">
        <f>Main!$K$85*Main!$I$22</f>
        <v>1.001</v>
      </c>
      <c r="S74">
        <f>((E74/100)*$G$211+(G74/100)*$G$212+(I74/100)*$G$213+(K74/100)*$G$214+(M74/100)*$G$215+(O74)*$G$216+(Q74*$G$217)+(R74*Main!$J$85))</f>
        <v>625.0523890935212</v>
      </c>
    </row>
    <row r="75">
      <c r="B75">
        <v>58</v>
      </c>
      <c r="C75">
        <f>$I$13+B75</f>
        <v>39663</v>
      </c>
      <c r="E75">
        <f>IF($C$14*ReDiarioFert!C64&lt;=0,"0",$C$14*ReDiarioFert!C64)</f>
        <v>8.564148425345875</v>
      </c>
      <c r="G75">
        <f>$C$14*ReDiarioFert!E64</f>
        <v>2.0653172913043476</v>
      </c>
      <c r="I75">
        <f>$C$14*ReDiarioFert!G64</f>
        <v>8.702369024115434</v>
      </c>
      <c r="K75">
        <f>$C$14*ReDiarioFert!I64</f>
        <v>5.585318479195999</v>
      </c>
      <c r="M75">
        <f>$C$14*ReDiarioFert!K64</f>
        <v>0.00031084531464117414</v>
      </c>
      <c r="O75">
        <f>$C$14*ReDiarioFert!M64</f>
        <v>114.387443902439</v>
      </c>
      <c r="S75">
        <f>((E75/100)*$G$211+(G75/100)*$G$212+(I75/100)*$G$213+(K75/100)*$G$214+(M75/100)*$G$215+(O75)*$G$216+(Q75*$G$217))</f>
        <v>188.61638909352138</v>
      </c>
    </row>
    <row r="76">
      <c r="B76">
        <v>59</v>
      </c>
      <c r="C76">
        <f>$I$13+B76</f>
        <v>39664</v>
      </c>
      <c r="E76">
        <f>IF($C$14*ReDiarioFert!C65&lt;=0,"0",$C$14*ReDiarioFert!C65)</f>
        <v>8.564148425345875</v>
      </c>
      <c r="G76">
        <f>$C$14*ReDiarioFert!E65</f>
        <v>2.0653172913043476</v>
      </c>
      <c r="I76">
        <f>$C$14*ReDiarioFert!G65</f>
        <v>8.702369024115434</v>
      </c>
      <c r="K76">
        <f>$C$14*ReDiarioFert!I65</f>
        <v>5.585318479195999</v>
      </c>
      <c r="M76">
        <f>$C$14*ReDiarioFert!K65</f>
        <v>0.00031084531464117414</v>
      </c>
      <c r="O76">
        <f>$C$14*ReDiarioFert!M65</f>
        <v>114.387443902439</v>
      </c>
      <c r="S76">
        <f>((E76/100)*$G$211+(G76/100)*$G$212+(I76/100)*$G$213+(K76/100)*$G$214+(M76/100)*$G$215+(O76)*$G$216+(Q76*$G$217))</f>
        <v>188.61638909352138</v>
      </c>
    </row>
    <row r="77">
      <c r="B77">
        <v>60</v>
      </c>
      <c r="C77">
        <f>$I$13+B77</f>
        <v>39665</v>
      </c>
      <c r="E77">
        <f>IF($C$14*ReDiarioFert!C66&lt;=0,"0",$C$14*ReDiarioFert!C66)</f>
        <v>8.564148425345875</v>
      </c>
      <c r="G77">
        <f>$C$14*ReDiarioFert!E66</f>
        <v>2.0653172913043476</v>
      </c>
      <c r="I77">
        <f>$C$14*ReDiarioFert!G66</f>
        <v>8.702369024115434</v>
      </c>
      <c r="K77">
        <f>$C$14*ReDiarioFert!I66</f>
        <v>5.585318479195999</v>
      </c>
      <c r="M77">
        <f>$C$14*ReDiarioFert!K66</f>
        <v>0.00031084531464117414</v>
      </c>
      <c r="O77">
        <f>$C$14*ReDiarioFert!M66</f>
        <v>114.387443902439</v>
      </c>
      <c r="S77">
        <f>((E77/100)*$G$211+(G77/100)*$G$212+(I77/100)*$G$213+(K77/100)*$G$214+(M77/100)*$G$215+(O77)*$G$216+(Q77*$G$217))</f>
        <v>188.61638909352138</v>
      </c>
    </row>
    <row r="78">
      <c r="B78">
        <v>61</v>
      </c>
      <c r="C78">
        <f>$I$13+B78</f>
        <v>39666</v>
      </c>
      <c r="E78">
        <f>IF($C$14*ReDiarioFert!C67&lt;=0,"0",$C$14*ReDiarioFert!C67)</f>
        <v>8.564148425345875</v>
      </c>
      <c r="G78">
        <f>$C$14*ReDiarioFert!E67</f>
        <v>2.0653172913043476</v>
      </c>
      <c r="I78">
        <f>$C$14*ReDiarioFert!G67</f>
        <v>8.702369024115434</v>
      </c>
      <c r="K78">
        <f>$C$14*ReDiarioFert!I67</f>
        <v>5.585318479195999</v>
      </c>
      <c r="M78">
        <f>$C$14*ReDiarioFert!K67</f>
        <v>0.00031084531464117414</v>
      </c>
      <c r="O78">
        <f>$C$14*ReDiarioFert!M67</f>
        <v>114.387443902439</v>
      </c>
      <c r="S78">
        <f>((E78/100)*$G$211+(G78/100)*$G$212+(I78/100)*$G$213+(K78/100)*$G$214+(M78/100)*$G$215+(O78)*$G$216+(Q78*$G$217))</f>
        <v>188.61638909352138</v>
      </c>
    </row>
    <row r="79">
      <c r="B79">
        <v>62</v>
      </c>
      <c r="C79">
        <f>$I$13+B79</f>
        <v>39667</v>
      </c>
      <c r="E79">
        <f>IF($C$14*ReDiarioFert!C68&lt;=0,"0",$C$14*ReDiarioFert!C68)</f>
        <v>8.564148425345875</v>
      </c>
      <c r="G79">
        <f>$C$14*ReDiarioFert!E68</f>
        <v>2.0653172913043476</v>
      </c>
      <c r="I79">
        <f>$C$14*ReDiarioFert!G68</f>
        <v>8.702369024115434</v>
      </c>
      <c r="K79">
        <f>$C$14*ReDiarioFert!I68</f>
        <v>5.585318479195999</v>
      </c>
      <c r="M79">
        <f>$C$14*ReDiarioFert!K68</f>
        <v>0.00031084531464117414</v>
      </c>
      <c r="O79">
        <f>$C$14*ReDiarioFert!M68</f>
        <v>114.387443902439</v>
      </c>
      <c r="S79">
        <f>((E79/100)*$G$211+(G79/100)*$G$212+(I79/100)*$G$213+(K79/100)*$G$214+(M79/100)*$G$215+(O79)*$G$216+(Q79*$G$217))</f>
        <v>188.61638909352138</v>
      </c>
    </row>
    <row r="80">
      <c r="B80">
        <v>63</v>
      </c>
      <c r="C80">
        <f>$I$13+B80</f>
        <v>39668</v>
      </c>
      <c r="E80">
        <f>IF($C$14*ReDiarioFert!C69&lt;=0,"0",$C$14*ReDiarioFert!C69)</f>
        <v>8.564148425345875</v>
      </c>
      <c r="G80">
        <f>$C$14*ReDiarioFert!E69</f>
        <v>2.0653172913043476</v>
      </c>
      <c r="I80">
        <f>$C$14*ReDiarioFert!G69</f>
        <v>8.702369024115434</v>
      </c>
      <c r="K80">
        <f>$C$14*ReDiarioFert!I69</f>
        <v>5.585318479195999</v>
      </c>
      <c r="M80">
        <f>$C$14*ReDiarioFert!K69</f>
        <v>0.00031084531464117414</v>
      </c>
      <c r="O80">
        <f>$C$14*ReDiarioFert!M69</f>
        <v>144.2279863414634</v>
      </c>
      <c r="Q80" t="str">
        <f>Main!$H$84</f>
        <v>Acido Fosforoso</v>
      </c>
      <c r="R80">
        <f>Main!$K$84*Main!$I$22</f>
        <v>5.004999999999999</v>
      </c>
      <c r="S80">
        <f>((E80/100)*$G$211+(G80/100)*$G$212+(I80/100)*$G$213+(K80/100)*$G$214+(M80/100)*$G$215+(O80)*$G$216+(R80*Main!$J$84))</f>
        <v>590.2100107910823</v>
      </c>
    </row>
    <row r="81">
      <c r="A81">
        <v>10</v>
      </c>
      <c r="B81">
        <v>64</v>
      </c>
      <c r="C81">
        <f>$I$13+B81</f>
        <v>39669</v>
      </c>
      <c r="E81">
        <f>IF($C$14*ReDiarioFert!C70&lt;=0,"0",$C$14*ReDiarioFert!C70)</f>
        <v>6.773388753827542</v>
      </c>
      <c r="G81">
        <f>$C$14*ReDiarioFert!E70</f>
        <v>3.0979759369565216</v>
      </c>
      <c r="I81">
        <f>$C$14*ReDiarioFert!G70</f>
        <v>8.341666666666667</v>
      </c>
      <c r="K81">
        <f>$C$14*ReDiarioFert!I70</f>
        <v>5.353813984619254</v>
      </c>
      <c r="M81">
        <f>$C$14*ReDiarioFert!K70</f>
        <v>0.0002979611635</v>
      </c>
      <c r="O81">
        <f>$C$14*ReDiarioFert!M70</f>
        <v>144.2279863414634</v>
      </c>
      <c r="Q81">
        <f>$C$14*Main!$D$63</f>
        <v>20.019999999999996</v>
      </c>
      <c r="S81">
        <f>((E81/100)*$G$211+(G81/100)*$G$212+(I81/100)*$G$213+(K81/100)*$G$214+(M81/100)*$G$215+(O81)*$G$216+(Q81*$G$217))</f>
        <v>242.3242952574116</v>
      </c>
    </row>
    <row r="82">
      <c r="B82">
        <v>65</v>
      </c>
      <c r="C82">
        <f>$I$13+B82</f>
        <v>39670</v>
      </c>
      <c r="E82">
        <f>IF($C$14*ReDiarioFert!C71&lt;=0,"0",$C$14*ReDiarioFert!C71)</f>
        <v>6.773388753827542</v>
      </c>
      <c r="G82">
        <f>$C$14*ReDiarioFert!E71</f>
        <v>3.0979759369565216</v>
      </c>
      <c r="I82">
        <f>$C$14*ReDiarioFert!G71</f>
        <v>8.341666666666667</v>
      </c>
      <c r="K82">
        <f>$C$14*ReDiarioFert!I71</f>
        <v>5.353813984619254</v>
      </c>
      <c r="M82">
        <f>$C$14*ReDiarioFert!K71</f>
        <v>0.0002979611635</v>
      </c>
      <c r="O82">
        <f>$C$14*ReDiarioFert!M71</f>
        <v>144.2279863414634</v>
      </c>
      <c r="S82">
        <f>((E82/100)*$G$211+(G82/100)*$G$212+(I82/100)*$G$213+(K82/100)*$G$214+(M82/100)*$G$215+(O82)*$G$216+(Q82*$G$217))</f>
        <v>186.2682952574116</v>
      </c>
    </row>
    <row r="83">
      <c r="B83">
        <v>66</v>
      </c>
      <c r="C83">
        <f>$I$13+B83</f>
        <v>39671</v>
      </c>
      <c r="E83">
        <f>IF($C$14*ReDiarioFert!C72&lt;=0,"0",$C$14*ReDiarioFert!C72)</f>
        <v>6.773388753827542</v>
      </c>
      <c r="G83">
        <f>$C$14*ReDiarioFert!E72</f>
        <v>3.0979759369565216</v>
      </c>
      <c r="I83">
        <f>$C$14*ReDiarioFert!G72</f>
        <v>8.341666666666667</v>
      </c>
      <c r="K83">
        <f>$C$14*ReDiarioFert!I72</f>
        <v>5.353813984619254</v>
      </c>
      <c r="M83">
        <f>$C$14*ReDiarioFert!K72</f>
        <v>0.0002979611635</v>
      </c>
      <c r="O83">
        <f>$C$14*ReDiarioFert!M72</f>
        <v>144.2279863414634</v>
      </c>
      <c r="S83">
        <f>((E83/100)*$G$211+(G83/100)*$G$212+(I83/100)*$G$213+(K83/100)*$G$214+(M83/100)*$G$215+(O83)*$G$216+(Q83*$G$217))</f>
        <v>186.2682952574116</v>
      </c>
    </row>
    <row r="84">
      <c r="B84">
        <v>67</v>
      </c>
      <c r="C84">
        <f>$I$13+B84</f>
        <v>39672</v>
      </c>
      <c r="E84">
        <f>IF($C$14*ReDiarioFert!C73&lt;=0,"0",$C$14*ReDiarioFert!C73)</f>
        <v>6.773388753827542</v>
      </c>
      <c r="G84">
        <f>$C$14*ReDiarioFert!E73</f>
        <v>3.0979759369565216</v>
      </c>
      <c r="I84">
        <f>$C$14*ReDiarioFert!G73</f>
        <v>8.341666666666667</v>
      </c>
      <c r="K84">
        <f>$C$14*ReDiarioFert!I73</f>
        <v>5.353813984619254</v>
      </c>
      <c r="M84">
        <f>$C$14*ReDiarioFert!K73</f>
        <v>0.0002979611635</v>
      </c>
      <c r="O84">
        <f>$C$14*ReDiarioFert!M73</f>
        <v>144.2279863414634</v>
      </c>
      <c r="S84">
        <f>((E84/100)*$G$211+(G84/100)*$G$212+(I84/100)*$G$213+(K84/100)*$G$214+(M84/100)*$G$215+(O84)*$G$216+(Q84*$G$217))</f>
        <v>186.2682952574116</v>
      </c>
    </row>
    <row r="85">
      <c r="B85">
        <v>68</v>
      </c>
      <c r="C85">
        <f>$I$13+B85</f>
        <v>39673</v>
      </c>
      <c r="E85">
        <f>IF($C$14*ReDiarioFert!C74&lt;=0,"0",$C$14*ReDiarioFert!C74)</f>
        <v>6.773388753827542</v>
      </c>
      <c r="G85">
        <f>$C$14*ReDiarioFert!E74</f>
        <v>3.0979759369565216</v>
      </c>
      <c r="I85">
        <f>$C$14*ReDiarioFert!G74</f>
        <v>8.341666666666667</v>
      </c>
      <c r="K85">
        <f>$C$14*ReDiarioFert!I74</f>
        <v>5.353813984619254</v>
      </c>
      <c r="M85">
        <f>$C$14*ReDiarioFert!K74</f>
        <v>0.0002979611635</v>
      </c>
      <c r="O85">
        <f>$C$14*ReDiarioFert!M74</f>
        <v>144.2279863414634</v>
      </c>
      <c r="S85">
        <f>((E85/100)*$G$211+(G85/100)*$G$212+(I85/100)*$G$213+(K85/100)*$G$214+(M85/100)*$G$215+(O85)*$G$216+(Q85*$G$217))</f>
        <v>186.2682952574116</v>
      </c>
    </row>
    <row r="86">
      <c r="B86">
        <v>69</v>
      </c>
      <c r="C86">
        <f>$I$13+B86</f>
        <v>39674</v>
      </c>
      <c r="E86">
        <f>IF($C$14*ReDiarioFert!C75&lt;=0,"0",$C$14*ReDiarioFert!C75)</f>
        <v>6.773388753827542</v>
      </c>
      <c r="G86">
        <f>$C$14*ReDiarioFert!E75</f>
        <v>3.0979759369565216</v>
      </c>
      <c r="I86">
        <f>$C$14*ReDiarioFert!G75</f>
        <v>8.341666666666667</v>
      </c>
      <c r="K86">
        <f>$C$14*ReDiarioFert!I75</f>
        <v>5.353813984619254</v>
      </c>
      <c r="M86">
        <f>$C$14*ReDiarioFert!K75</f>
        <v>0.0002979611635</v>
      </c>
      <c r="O86">
        <f>$C$14*ReDiarioFert!M75</f>
        <v>144.2279863414634</v>
      </c>
      <c r="S86">
        <f>((E86/100)*$G$211+(G86/100)*$G$212+(I86/100)*$G$213+(K86/100)*$G$214+(M86/100)*$G$215+(O86)*$G$216+(Q86*$G$217))</f>
        <v>186.2682952574116</v>
      </c>
    </row>
    <row r="87">
      <c r="B87">
        <v>70</v>
      </c>
      <c r="C87">
        <f>$I$13+B87</f>
        <v>39675</v>
      </c>
      <c r="E87">
        <f>IF($C$14*ReDiarioFert!C76&lt;=0,"0",$C$14*ReDiarioFert!C76)</f>
        <v>6.773388753827542</v>
      </c>
      <c r="G87">
        <f>$C$14*ReDiarioFert!E76</f>
        <v>3.0979759369565216</v>
      </c>
      <c r="I87">
        <f>$C$14*ReDiarioFert!G76</f>
        <v>8.341666666666667</v>
      </c>
      <c r="K87">
        <f>$C$14*ReDiarioFert!I76</f>
        <v>5.353813984619254</v>
      </c>
      <c r="M87">
        <f>$C$14*ReDiarioFert!K76</f>
        <v>0.0002979611635</v>
      </c>
      <c r="O87">
        <f>$C$14*ReDiarioFert!M76</f>
        <v>144.2279863414634</v>
      </c>
      <c r="Q87" t="str">
        <f>Main!$H$83</f>
        <v>Acido Salicílico</v>
      </c>
      <c r="R87">
        <f>Main!$K$83*Main!$I$22</f>
        <v>250.24999999999997</v>
      </c>
      <c r="S87">
        <f>((E87/100)*$G$211+(G87/100)*$G$212+(I87/100)*$G$213+(K87/100)*$G$214+(M87/100)*$G$215+(O87)*$G$216+(R87*Main!$J$83))</f>
        <v>228.8107952574116</v>
      </c>
    </row>
    <row r="88">
      <c r="A88">
        <v>11</v>
      </c>
      <c r="B88">
        <v>71</v>
      </c>
      <c r="C88">
        <f>$I$13+B88</f>
        <v>39676</v>
      </c>
      <c r="E88">
        <f>IF($C$14*ReDiarioFert!C77&lt;=0,"0",$C$14*ReDiarioFert!C77)</f>
        <v>6.773388753827542</v>
      </c>
      <c r="G88">
        <f>$C$14*ReDiarioFert!E77</f>
        <v>3.0979759369565216</v>
      </c>
      <c r="I88">
        <f>$C$14*ReDiarioFert!G77</f>
        <v>8.341666666666667</v>
      </c>
      <c r="K88">
        <f>$C$14*ReDiarioFert!I77</f>
        <v>5.353813984619254</v>
      </c>
      <c r="M88">
        <f>$C$14*ReDiarioFert!K77</f>
        <v>0.0002979611635</v>
      </c>
      <c r="O88">
        <f>$C$14*ReDiarioFert!M77</f>
        <v>144.2279863414634</v>
      </c>
      <c r="Q88">
        <f>$C$14*Main!$D$63</f>
        <v>20.019999999999996</v>
      </c>
      <c r="S88">
        <f>((E88/100)*$G$211+(G88/100)*$G$212+(I88/100)*$G$213+(K88/100)*$G$214+(M88/100)*$G$215+(O88)*$G$216+(Q88*$G$217))</f>
        <v>242.3242952574116</v>
      </c>
    </row>
    <row r="89">
      <c r="B89">
        <v>72</v>
      </c>
      <c r="C89">
        <f>$I$13+B89</f>
        <v>39677</v>
      </c>
      <c r="E89">
        <f>IF($C$14*ReDiarioFert!C78&lt;=0,"0",$C$14*ReDiarioFert!C78)</f>
        <v>6.773388753827542</v>
      </c>
      <c r="G89">
        <f>$C$14*ReDiarioFert!E78</f>
        <v>3.0979759369565216</v>
      </c>
      <c r="I89">
        <f>$C$14*ReDiarioFert!G78</f>
        <v>8.341666666666667</v>
      </c>
      <c r="K89">
        <f>$C$14*ReDiarioFert!I78</f>
        <v>5.353813984619254</v>
      </c>
      <c r="M89">
        <f>$C$14*ReDiarioFert!K78</f>
        <v>0.0002979611635</v>
      </c>
      <c r="O89">
        <f>$C$14*ReDiarioFert!M78</f>
        <v>144.2279863414634</v>
      </c>
      <c r="S89">
        <f>((E89/100)*$G$211+(G89/100)*$G$212+(I89/100)*$G$213+(K89/100)*$G$214+(M89/100)*$G$215+(O89)*$G$216+(Q89*$G$217))</f>
        <v>186.2682952574116</v>
      </c>
    </row>
    <row r="90">
      <c r="B90">
        <v>73</v>
      </c>
      <c r="C90">
        <f>$I$13+B90</f>
        <v>39678</v>
      </c>
      <c r="E90">
        <f>IF($C$14*ReDiarioFert!C79&lt;=0,"0",$C$14*ReDiarioFert!C79)</f>
        <v>6.773388753827542</v>
      </c>
      <c r="G90">
        <f>$C$14*ReDiarioFert!E79</f>
        <v>3.0979759369565216</v>
      </c>
      <c r="I90">
        <f>$C$14*ReDiarioFert!G79</f>
        <v>8.341666666666667</v>
      </c>
      <c r="K90">
        <f>$C$14*ReDiarioFert!I79</f>
        <v>5.353813984619254</v>
      </c>
      <c r="M90">
        <f>$C$14*ReDiarioFert!K79</f>
        <v>0.0002979611635</v>
      </c>
      <c r="O90">
        <f>$C$14*ReDiarioFert!M79</f>
        <v>144.2279863414634</v>
      </c>
      <c r="S90">
        <f>((E90/100)*$G$211+(G90/100)*$G$212+(I90/100)*$G$213+(K90/100)*$G$214+(M90/100)*$G$215+(O90)*$G$216+(Q90*$G$217))</f>
        <v>186.2682952574116</v>
      </c>
    </row>
    <row r="91">
      <c r="B91">
        <v>74</v>
      </c>
      <c r="C91">
        <f>$I$13+B91</f>
        <v>39679</v>
      </c>
      <c r="E91">
        <f>IF($C$14*ReDiarioFert!C80&lt;=0,"0",$C$14*ReDiarioFert!C80)</f>
        <v>6.773388753827542</v>
      </c>
      <c r="G91">
        <f>$C$14*ReDiarioFert!E80</f>
        <v>3.0979759369565216</v>
      </c>
      <c r="I91">
        <f>$C$14*ReDiarioFert!G80</f>
        <v>8.341666666666667</v>
      </c>
      <c r="K91">
        <f>$C$14*ReDiarioFert!I80</f>
        <v>5.353813984619254</v>
      </c>
      <c r="M91">
        <f>$C$14*ReDiarioFert!K80</f>
        <v>0.0002979611635</v>
      </c>
      <c r="O91">
        <f>$C$14*ReDiarioFert!M80</f>
        <v>144.2279863414634</v>
      </c>
      <c r="S91">
        <f>((E91/100)*$G$211+(G91/100)*$G$212+(I91/100)*$G$213+(K91/100)*$G$214+(M91/100)*$G$215+(O91)*$G$216+(Q91*$G$217))</f>
        <v>186.2682952574116</v>
      </c>
    </row>
    <row r="92">
      <c r="B92">
        <v>75</v>
      </c>
      <c r="C92">
        <f>$I$13+B92</f>
        <v>39680</v>
      </c>
      <c r="E92">
        <f>IF($C$14*ReDiarioFert!C81&lt;=0,"0",$C$14*ReDiarioFert!C81)</f>
        <v>6.773388753827542</v>
      </c>
      <c r="G92">
        <f>$C$14*ReDiarioFert!E81</f>
        <v>3.0979759369565216</v>
      </c>
      <c r="I92">
        <f>$C$14*ReDiarioFert!G81</f>
        <v>8.341666666666667</v>
      </c>
      <c r="K92">
        <f>$C$14*ReDiarioFert!I81</f>
        <v>5.353813984619254</v>
      </c>
      <c r="M92">
        <f>$C$14*ReDiarioFert!K81</f>
        <v>0.0002979611635</v>
      </c>
      <c r="O92">
        <f>$C$14*ReDiarioFert!M81</f>
        <v>144.2279863414634</v>
      </c>
      <c r="S92">
        <f>((E92/100)*$G$211+(G92/100)*$G$212+(I92/100)*$G$213+(K92/100)*$G$214+(M92/100)*$G$215+(O92)*$G$216+(Q92*$G$217))</f>
        <v>186.2682952574116</v>
      </c>
    </row>
    <row r="93">
      <c r="B93">
        <v>76</v>
      </c>
      <c r="C93">
        <f>$I$13+B93</f>
        <v>39681</v>
      </c>
      <c r="E93">
        <f>IF($C$14*ReDiarioFert!C82&lt;=0,"0",$C$14*ReDiarioFert!C82)</f>
        <v>6.773388753827542</v>
      </c>
      <c r="G93">
        <f>$C$14*ReDiarioFert!E82</f>
        <v>3.0979759369565216</v>
      </c>
      <c r="I93">
        <f>$C$14*ReDiarioFert!G82</f>
        <v>8.341666666666667</v>
      </c>
      <c r="K93">
        <f>$C$14*ReDiarioFert!I82</f>
        <v>5.353813984619254</v>
      </c>
      <c r="M93">
        <f>$C$14*ReDiarioFert!K82</f>
        <v>0.0002979611635</v>
      </c>
      <c r="O93">
        <f>$C$14*ReDiarioFert!M82</f>
        <v>144.2279863414634</v>
      </c>
      <c r="S93">
        <f>((E93/100)*$G$211+(G93/100)*$G$212+(I93/100)*$G$213+(K93/100)*$G$214+(M93/100)*$G$215+(O93)*$G$216+(Q93*$G$217))</f>
        <v>186.2682952574116</v>
      </c>
    </row>
    <row r="94">
      <c r="B94">
        <v>77</v>
      </c>
      <c r="C94">
        <f>$I$13+B94</f>
        <v>39682</v>
      </c>
      <c r="E94">
        <f>IF($C$14*ReDiarioFert!C83&lt;=0,"0",$C$14*ReDiarioFert!C83)</f>
        <v>6.773388753827542</v>
      </c>
      <c r="G94">
        <f>$C$14*ReDiarioFert!E83</f>
        <v>3.0979759369565216</v>
      </c>
      <c r="I94">
        <f>$C$14*ReDiarioFert!G83</f>
        <v>8.341666666666667</v>
      </c>
      <c r="K94">
        <f>$C$14*ReDiarioFert!I83</f>
        <v>5.353813984619254</v>
      </c>
      <c r="M94">
        <f>$C$14*ReDiarioFert!K83</f>
        <v>0.0002979611635</v>
      </c>
      <c r="O94">
        <f>$C$14*ReDiarioFert!M83</f>
        <v>144.2279863414634</v>
      </c>
      <c r="S94">
        <f>((E94/100)*$G$211+(G94/100)*$G$212+(I94/100)*$G$213+(K94/100)*$G$214+(M94/100)*$G$215+(O94)*$G$216+(Q94*$G$217))</f>
        <v>186.2682952574116</v>
      </c>
    </row>
    <row r="95">
      <c r="A95">
        <v>12</v>
      </c>
      <c r="B95">
        <v>78</v>
      </c>
      <c r="C95">
        <f>$I$13+B95</f>
        <v>39683</v>
      </c>
      <c r="E95">
        <f>IF($C$14*ReDiarioFert!C84&lt;=0,"0",$C$14*ReDiarioFert!C84)</f>
        <v>6.773388753827542</v>
      </c>
      <c r="G95">
        <f>$C$14*ReDiarioFert!E84</f>
        <v>3.0979759369565216</v>
      </c>
      <c r="I95">
        <f>$C$14*ReDiarioFert!G84</f>
        <v>8.341666666666667</v>
      </c>
      <c r="K95">
        <f>$C$14*ReDiarioFert!I84</f>
        <v>5.353813984619254</v>
      </c>
      <c r="M95">
        <f>$C$14*ReDiarioFert!K84</f>
        <v>0.0002979611635</v>
      </c>
      <c r="O95">
        <f>$C$14*ReDiarioFert!M84</f>
        <v>144.2279863414634</v>
      </c>
      <c r="Q95">
        <f>$C$14*Main!$D$63</f>
        <v>20.019999999999996</v>
      </c>
      <c r="S95">
        <f>((E95/100)*$G$211+(G95/100)*$G$212+(I95/100)*$G$213+(K95/100)*$G$214+(M95/100)*$G$215+(O95)*$G$216+(Q95*$G$217))</f>
        <v>242.3242952574116</v>
      </c>
    </row>
    <row r="96">
      <c r="B96">
        <v>79</v>
      </c>
      <c r="C96">
        <f>$I$13+B96</f>
        <v>39684</v>
      </c>
      <c r="E96">
        <f>IF($C$14*ReDiarioFert!C85&lt;=0,"0",$C$14*ReDiarioFert!C85)</f>
        <v>6.773388753827542</v>
      </c>
      <c r="G96">
        <f>$C$14*ReDiarioFert!E85</f>
        <v>3.0979759369565216</v>
      </c>
      <c r="I96">
        <f>$C$14*ReDiarioFert!G85</f>
        <v>8.341666666666667</v>
      </c>
      <c r="K96">
        <f>$C$14*ReDiarioFert!I85</f>
        <v>5.353813984619254</v>
      </c>
      <c r="M96">
        <f>$C$14*ReDiarioFert!K85</f>
        <v>0.0002979611635</v>
      </c>
      <c r="O96">
        <f>$C$14*ReDiarioFert!M85</f>
        <v>144.2279863414634</v>
      </c>
      <c r="S96">
        <f>((E96/100)*$G$211+(G96/100)*$G$212+(I96/100)*$G$213+(K96/100)*$G$214+(M96/100)*$G$215+(O96)*$G$216+(Q96*$G$217))</f>
        <v>186.2682952574116</v>
      </c>
    </row>
    <row r="97">
      <c r="B97">
        <v>80</v>
      </c>
      <c r="C97">
        <f>$I$13+B97</f>
        <v>39685</v>
      </c>
      <c r="E97">
        <f>IF($C$14*ReDiarioFert!C86&lt;=0,"0",$C$14*ReDiarioFert!C86)</f>
        <v>6.773388753827542</v>
      </c>
      <c r="G97">
        <f>$C$14*ReDiarioFert!E86</f>
        <v>3.0979759369565216</v>
      </c>
      <c r="I97">
        <f>$C$14*ReDiarioFert!G86</f>
        <v>8.341666666666667</v>
      </c>
      <c r="K97">
        <f>$C$14*ReDiarioFert!I86</f>
        <v>5.353813984619254</v>
      </c>
      <c r="M97">
        <f>$C$14*ReDiarioFert!K86</f>
        <v>0.0002979611635</v>
      </c>
      <c r="O97">
        <f>$C$14*ReDiarioFert!M86</f>
        <v>144.2279863414634</v>
      </c>
      <c r="S97">
        <f>((E97/100)*$G$211+(G97/100)*$G$212+(I97/100)*$G$213+(K97/100)*$G$214+(M97/100)*$G$215+(O97)*$G$216+(Q97*$G$217))</f>
        <v>186.2682952574116</v>
      </c>
    </row>
    <row r="98">
      <c r="B98">
        <v>81</v>
      </c>
      <c r="C98">
        <f>$I$13+B98</f>
        <v>39686</v>
      </c>
      <c r="E98">
        <f>IF($C$14*ReDiarioFert!C87&lt;=0,"0",$C$14*ReDiarioFert!C87)</f>
        <v>6.773388753827542</v>
      </c>
      <c r="G98">
        <f>$C$14*ReDiarioFert!E87</f>
        <v>3.0979759369565216</v>
      </c>
      <c r="I98">
        <f>$C$14*ReDiarioFert!G87</f>
        <v>8.341666666666667</v>
      </c>
      <c r="K98">
        <f>$C$14*ReDiarioFert!I87</f>
        <v>5.353813984619254</v>
      </c>
      <c r="M98">
        <f>$C$14*ReDiarioFert!K87</f>
        <v>0.0002979611635</v>
      </c>
      <c r="O98">
        <f>$C$14*ReDiarioFert!M87</f>
        <v>174.06804048780486</v>
      </c>
      <c r="S98">
        <f>((E98/100)*$G$211+(G98/100)*$G$212+(I98/100)*$G$213+(K98/100)*$G$214+(M98/100)*$G$215+(O98)*$G$216+(Q98*$G$217))</f>
        <v>187.46189742326527</v>
      </c>
    </row>
    <row r="99">
      <c r="B99">
        <v>82</v>
      </c>
      <c r="C99">
        <f>$I$13+B99</f>
        <v>39687</v>
      </c>
      <c r="E99">
        <f>IF($C$14*ReDiarioFert!C88&lt;=0,"0",$C$14*ReDiarioFert!C88)</f>
        <v>6.773388753827542</v>
      </c>
      <c r="G99">
        <f>$C$14*ReDiarioFert!E88</f>
        <v>3.0979759369565216</v>
      </c>
      <c r="I99">
        <f>$C$14*ReDiarioFert!G88</f>
        <v>8.341666666666667</v>
      </c>
      <c r="K99">
        <f>$C$14*ReDiarioFert!I88</f>
        <v>5.353813984619254</v>
      </c>
      <c r="M99">
        <f>$C$14*ReDiarioFert!K88</f>
        <v>0.0002979611635</v>
      </c>
      <c r="O99">
        <f>$C$14*ReDiarioFert!M88</f>
        <v>174.06804048780486</v>
      </c>
      <c r="S99">
        <f>((E99/100)*$G$211+(G99/100)*$G$212+(I99/100)*$G$213+(K99/100)*$G$214+(M99/100)*$G$215+(O99)*$G$216+(Q99*$G$217))</f>
        <v>187.46189742326527</v>
      </c>
    </row>
    <row r="100">
      <c r="B100">
        <v>83</v>
      </c>
      <c r="C100">
        <f>$I$13+B100</f>
        <v>39688</v>
      </c>
      <c r="E100">
        <f>IF($C$14*ReDiarioFert!C89&lt;=0,"0",$C$14*ReDiarioFert!C89)</f>
        <v>6.773388753827542</v>
      </c>
      <c r="G100">
        <f>$C$14*ReDiarioFert!E89</f>
        <v>3.0979759369565216</v>
      </c>
      <c r="I100">
        <f>$C$14*ReDiarioFert!G89</f>
        <v>8.341666666666667</v>
      </c>
      <c r="K100">
        <f>$C$14*ReDiarioFert!I89</f>
        <v>5.353813984619254</v>
      </c>
      <c r="M100">
        <f>$C$14*ReDiarioFert!K89</f>
        <v>0.0002979611635</v>
      </c>
      <c r="O100">
        <f>$C$14*ReDiarioFert!M89</f>
        <v>174.06804048780486</v>
      </c>
      <c r="S100">
        <f>((E100/100)*$G$211+(G100/100)*$G$212+(I100/100)*$G$213+(K100/100)*$G$214+(M100/100)*$G$215+(O100)*$G$216+(Q100*$G$217))</f>
        <v>187.46189742326527</v>
      </c>
    </row>
    <row r="101">
      <c r="B101">
        <v>84</v>
      </c>
      <c r="C101">
        <f>$I$13+B101</f>
        <v>39689</v>
      </c>
      <c r="E101">
        <f>IF($C$14*ReDiarioFert!C90&lt;=0,"0",$C$14*ReDiarioFert!C90)</f>
        <v>6.773388753827542</v>
      </c>
      <c r="G101">
        <f>$C$14*ReDiarioFert!E90</f>
        <v>3.0979759369565216</v>
      </c>
      <c r="I101">
        <f>$C$14*ReDiarioFert!G90</f>
        <v>8.341666666666667</v>
      </c>
      <c r="K101">
        <f>$C$14*ReDiarioFert!I90</f>
        <v>5.353813984619254</v>
      </c>
      <c r="M101">
        <f>$C$14*ReDiarioFert!K90</f>
        <v>0.0002979611635</v>
      </c>
      <c r="O101">
        <f>$C$14*ReDiarioFert!M90</f>
        <v>174.06804048780486</v>
      </c>
      <c r="S101">
        <f>((E101/100)*$G$211+(G101/100)*$G$212+(I101/100)*$G$213+(K101/100)*$G$214+(M101/100)*$G$215+(O101)*$G$216+(Q101*$G$217))</f>
        <v>187.46189742326527</v>
      </c>
    </row>
    <row r="102" ht="18" customHeight="1">
      <c r="A102">
        <v>13</v>
      </c>
      <c r="B102">
        <v>85</v>
      </c>
      <c r="C102">
        <f>$I$13+B102</f>
        <v>39690</v>
      </c>
      <c r="D102" t="str">
        <f>Main!$H$86</f>
        <v>BaZam</v>
      </c>
      <c r="E102">
        <f>IF($C$14*ReDiarioFert!C91&lt;=0,"0",$C$14*ReDiarioFert!C91)</f>
        <v>6.773388753827542</v>
      </c>
      <c r="G102">
        <f>$C$14*ReDiarioFert!E91</f>
        <v>3.0979759369565216</v>
      </c>
      <c r="I102">
        <f>$C$14*ReDiarioFert!G91</f>
        <v>8.341666666666667</v>
      </c>
      <c r="K102">
        <f>$C$14*ReDiarioFert!I91</f>
        <v>5.353813984619254</v>
      </c>
      <c r="M102">
        <f>$C$14*ReDiarioFert!K91</f>
        <v>0.0002979611635</v>
      </c>
      <c r="O102">
        <f>$C$14*ReDiarioFert!M91</f>
        <v>174.06804048780486</v>
      </c>
      <c r="Q102">
        <f>$C$14*Main!$D$63</f>
        <v>20.019999999999996</v>
      </c>
      <c r="R102">
        <f>Main!$K$86*Main!$I$22</f>
        <v>1.001</v>
      </c>
      <c r="S102">
        <f>((E102/100)*$G$211+(G102/100)*$G$212+(I102/100)*$G$213+(K102/100)*$G$214+(M102/100)*$G$215+(O102)*$G$216+(Q102*$G$217)+(R102*Main!$J$86))</f>
        <v>623.8978974232652</v>
      </c>
    </row>
    <row r="103" ht="18" customHeight="1">
      <c r="B103">
        <v>86</v>
      </c>
      <c r="C103">
        <f>$I$13+B103</f>
        <v>39691</v>
      </c>
      <c r="E103">
        <f>IF($C$14*ReDiarioFert!C92&lt;=0,"0",$C$14*ReDiarioFert!C92)</f>
        <v>6.773388753827542</v>
      </c>
      <c r="G103">
        <f>$C$14*ReDiarioFert!E92</f>
        <v>3.0979759369565216</v>
      </c>
      <c r="I103">
        <f>$C$14*ReDiarioFert!G92</f>
        <v>8.341666666666667</v>
      </c>
      <c r="K103">
        <f>$C$14*ReDiarioFert!I92</f>
        <v>5.353813984619254</v>
      </c>
      <c r="M103">
        <f>$C$14*ReDiarioFert!K92</f>
        <v>0.0002979611635</v>
      </c>
      <c r="O103">
        <f>$C$14*ReDiarioFert!M92</f>
        <v>174.06804048780486</v>
      </c>
      <c r="S103">
        <f>((E103/100)*$G$211+(G103/100)*$G$212+(I103/100)*$G$213+(K103/100)*$G$214+(M103/100)*$G$215+(O103)*$G$216+(Q103*$G$217))</f>
        <v>187.46189742326527</v>
      </c>
    </row>
    <row r="104" ht="18" customHeight="1">
      <c r="B104">
        <v>87</v>
      </c>
      <c r="C104">
        <f>$I$13+B104</f>
        <v>39692</v>
      </c>
      <c r="E104">
        <f>IF($C$14*ReDiarioFert!C93&lt;=0,"0",$C$14*ReDiarioFert!C93)</f>
        <v>6.773388753827542</v>
      </c>
      <c r="G104">
        <f>$C$14*ReDiarioFert!E93</f>
        <v>3.0979759369565216</v>
      </c>
      <c r="I104">
        <f>$C$14*ReDiarioFert!G93</f>
        <v>8.341666666666667</v>
      </c>
      <c r="K104">
        <f>$C$14*ReDiarioFert!I93</f>
        <v>5.353813984619254</v>
      </c>
      <c r="M104">
        <f>$C$14*ReDiarioFert!K93</f>
        <v>0.0002979611635</v>
      </c>
      <c r="O104">
        <f>$C$14*ReDiarioFert!M93</f>
        <v>174.06804048780486</v>
      </c>
      <c r="S104">
        <f>((E104/100)*$G$211+(G104/100)*$G$212+(I104/100)*$G$213+(K104/100)*$G$214+(M104/100)*$G$215+(O104)*$G$216+(Q104*$G$217))</f>
        <v>187.46189742326527</v>
      </c>
    </row>
    <row r="105" ht="18" customHeight="1">
      <c r="B105">
        <v>88</v>
      </c>
      <c r="C105">
        <f>$I$13+B105</f>
        <v>39693</v>
      </c>
      <c r="E105">
        <f>IF($C$14*ReDiarioFert!C94&lt;=0,"0",$C$14*ReDiarioFert!C94)</f>
        <v>6.773388753827542</v>
      </c>
      <c r="G105">
        <f>$C$14*ReDiarioFert!E94</f>
        <v>3.0979759369565216</v>
      </c>
      <c r="I105">
        <f>$C$14*ReDiarioFert!G94</f>
        <v>8.341666666666667</v>
      </c>
      <c r="K105">
        <f>$C$14*ReDiarioFert!I94</f>
        <v>5.353813984619254</v>
      </c>
      <c r="M105">
        <f>$C$14*ReDiarioFert!K94</f>
        <v>0.0002979611635</v>
      </c>
      <c r="O105">
        <f>$C$14*ReDiarioFert!M94</f>
        <v>174.06804048780486</v>
      </c>
      <c r="S105">
        <f>((E105/100)*$G$211+(G105/100)*$G$212+(I105/100)*$G$213+(K105/100)*$G$214+(M105/100)*$G$215+(O105)*$G$216+(Q105*$G$217))</f>
        <v>187.46189742326527</v>
      </c>
    </row>
    <row r="106" ht="18" customHeight="1">
      <c r="B106">
        <v>89</v>
      </c>
      <c r="C106">
        <f>$I$13+B106</f>
        <v>39694</v>
      </c>
      <c r="E106">
        <f>IF($C$14*ReDiarioFert!C95&lt;=0,"0",$C$14*ReDiarioFert!C95)</f>
        <v>6.773388753827542</v>
      </c>
      <c r="G106">
        <f>$C$14*ReDiarioFert!E95</f>
        <v>3.0979759369565216</v>
      </c>
      <c r="I106">
        <f>$C$14*ReDiarioFert!G95</f>
        <v>8.341666666666667</v>
      </c>
      <c r="K106">
        <f>$C$14*ReDiarioFert!I95</f>
        <v>5.353813984619254</v>
      </c>
      <c r="M106">
        <f>$C$14*ReDiarioFert!K95</f>
        <v>0.0002979611635</v>
      </c>
      <c r="O106">
        <f>$C$14*ReDiarioFert!M95</f>
        <v>174.06804048780486</v>
      </c>
      <c r="S106">
        <f>((E106/100)*$G$211+(G106/100)*$G$212+(I106/100)*$G$213+(K106/100)*$G$214+(M106/100)*$G$215+(O106)*$G$216+(Q106*$G$217))</f>
        <v>187.46189742326527</v>
      </c>
    </row>
    <row r="107" ht="18" customHeight="1">
      <c r="B107">
        <v>90</v>
      </c>
      <c r="C107">
        <f>$I$13+B107</f>
        <v>39695</v>
      </c>
      <c r="E107">
        <f>IF($C$14*ReDiarioFert!C96&lt;=0,"0",$C$14*ReDiarioFert!C96)</f>
        <v>6.773388753827542</v>
      </c>
      <c r="G107">
        <f>$C$14*ReDiarioFert!E96</f>
        <v>3.0979759369565216</v>
      </c>
      <c r="I107">
        <f>$C$14*ReDiarioFert!G96</f>
        <v>8.341666666666667</v>
      </c>
      <c r="K107">
        <f>$C$14*ReDiarioFert!I96</f>
        <v>5.353813984619254</v>
      </c>
      <c r="M107">
        <f>$C$14*ReDiarioFert!K96</f>
        <v>0.0002979611635</v>
      </c>
      <c r="O107">
        <f>$C$14*ReDiarioFert!M96</f>
        <v>174.06804048780486</v>
      </c>
      <c r="S107">
        <f>((E107/100)*$G$211+(G107/100)*$G$212+(I107/100)*$G$213+(K107/100)*$G$214+(M107/100)*$G$215+(O107)*$G$216+(Q107*$G$217))</f>
        <v>187.46189742326527</v>
      </c>
    </row>
    <row r="108" ht="18" customHeight="1">
      <c r="B108">
        <v>91</v>
      </c>
      <c r="C108">
        <f>$I$13+B108</f>
        <v>39696</v>
      </c>
      <c r="E108">
        <f>IF($C$14*ReDiarioFert!C97&lt;=0,"0",$C$14*ReDiarioFert!C97)</f>
        <v>6.773388753827542</v>
      </c>
      <c r="G108">
        <f>$C$14*ReDiarioFert!E97</f>
        <v>3.0979759369565216</v>
      </c>
      <c r="I108">
        <f>$C$14*ReDiarioFert!G97</f>
        <v>8.341666666666667</v>
      </c>
      <c r="K108">
        <f>$C$14*ReDiarioFert!I97</f>
        <v>5.353813984619254</v>
      </c>
      <c r="M108">
        <f>$C$14*ReDiarioFert!K97</f>
        <v>0.0002979611635</v>
      </c>
      <c r="O108">
        <f>$C$14*ReDiarioFert!M97</f>
        <v>174.06804048780486</v>
      </c>
      <c r="Q108" t="str">
        <f>Main!$H$83</f>
        <v>Acido Salicílico</v>
      </c>
      <c r="R108">
        <f>Main!$K$83*Main!$I$22</f>
        <v>250.24999999999997</v>
      </c>
      <c r="S108">
        <f>((E108/100)*$G$211+(G108/100)*$G$212+(I108/100)*$G$213+(K108/100)*$G$214+(M108/100)*$G$215+(O108)*$G$216+(R108*Main!$J$83))</f>
        <v>230.00439742326526</v>
      </c>
    </row>
    <row r="109">
      <c r="A109">
        <v>14</v>
      </c>
      <c r="B109">
        <v>92</v>
      </c>
      <c r="C109">
        <f>$I$13+B109</f>
        <v>39697</v>
      </c>
      <c r="E109">
        <f>IF($C$14*ReDiarioFert!C98&lt;=0,"0",$C$14*ReDiarioFert!C98)</f>
        <v>6.773388753827542</v>
      </c>
      <c r="G109">
        <f>$C$14*ReDiarioFert!E98</f>
        <v>3.0979759369565216</v>
      </c>
      <c r="I109">
        <f>$C$14*ReDiarioFert!G98</f>
        <v>8.341666666666667</v>
      </c>
      <c r="K109">
        <f>$C$14*ReDiarioFert!I98</f>
        <v>5.353813984619254</v>
      </c>
      <c r="M109">
        <f>$C$14*ReDiarioFert!K98</f>
        <v>0.0002979611635</v>
      </c>
      <c r="O109">
        <f>$C$14*ReDiarioFert!M98</f>
        <v>174.06804048780486</v>
      </c>
      <c r="Q109">
        <f>$C$14*Main!$D$63</f>
        <v>20.019999999999996</v>
      </c>
      <c r="S109">
        <f>((E109/100)*$G$211+(G109/100)*$G$212+(I109/100)*$G$213+(K109/100)*$G$214+(M109/100)*$G$215+(O109)*$G$216+(Q109*$G$217))</f>
        <v>243.51789742326525</v>
      </c>
    </row>
    <row r="110">
      <c r="B110">
        <v>93</v>
      </c>
      <c r="C110">
        <f>$I$13+B110</f>
        <v>39698</v>
      </c>
      <c r="E110">
        <f>IF($C$14*ReDiarioFert!C99&lt;=0,"0",$C$14*ReDiarioFert!C99)</f>
        <v>6.773388753827542</v>
      </c>
      <c r="G110">
        <f>$C$14*ReDiarioFert!E99</f>
        <v>3.0979759369565216</v>
      </c>
      <c r="I110">
        <f>$C$14*ReDiarioFert!G99</f>
        <v>8.341666666666667</v>
      </c>
      <c r="K110">
        <f>$C$14*ReDiarioFert!I99</f>
        <v>5.353813984619254</v>
      </c>
      <c r="M110">
        <f>$C$14*ReDiarioFert!K99</f>
        <v>0.0002979611635</v>
      </c>
      <c r="O110">
        <f>$C$14*ReDiarioFert!M99</f>
        <v>174.06804048780486</v>
      </c>
      <c r="S110">
        <f>((E110/100)*$G$211+(G110/100)*$G$212+(I110/100)*$G$213+(K110/100)*$G$214+(M110/100)*$G$215+(O110)*$G$216+(Q110*$G$217))</f>
        <v>187.46189742326527</v>
      </c>
    </row>
    <row r="111">
      <c r="B111">
        <v>94</v>
      </c>
      <c r="C111">
        <f>$I$13+B111</f>
        <v>39699</v>
      </c>
      <c r="E111">
        <f>IF($C$14*ReDiarioFert!C100&lt;=0,"0",$C$14*ReDiarioFert!C100)</f>
        <v>6.773388753827542</v>
      </c>
      <c r="G111">
        <f>$C$14*ReDiarioFert!E100</f>
        <v>3.0979759369565216</v>
      </c>
      <c r="I111">
        <f>$C$14*ReDiarioFert!G100</f>
        <v>8.341666666666667</v>
      </c>
      <c r="K111">
        <f>$C$14*ReDiarioFert!I100</f>
        <v>5.353813984619254</v>
      </c>
      <c r="M111">
        <f>$C$14*ReDiarioFert!K100</f>
        <v>0.0002979611635</v>
      </c>
      <c r="O111">
        <f>$C$14*ReDiarioFert!M100</f>
        <v>174.06804048780486</v>
      </c>
      <c r="S111">
        <f>((E111/100)*$G$211+(G111/100)*$G$212+(I111/100)*$G$213+(K111/100)*$G$214+(M111/100)*$G$215+(O111)*$G$216+(Q111*$G$217))</f>
        <v>187.46189742326527</v>
      </c>
    </row>
    <row r="112">
      <c r="B112">
        <v>95</v>
      </c>
      <c r="C112">
        <f>$I$13+B112</f>
        <v>39700</v>
      </c>
      <c r="E112">
        <f>IF($C$14*ReDiarioFert!C101&lt;=0,"0",$C$14*ReDiarioFert!C101)</f>
        <v>6.773388753827542</v>
      </c>
      <c r="G112">
        <f>$C$14*ReDiarioFert!E101</f>
        <v>3.0979759369565216</v>
      </c>
      <c r="I112">
        <f>$C$14*ReDiarioFert!G101</f>
        <v>8.341666666666667</v>
      </c>
      <c r="K112">
        <f>$C$14*ReDiarioFert!I101</f>
        <v>5.353813984619254</v>
      </c>
      <c r="M112">
        <f>$C$14*ReDiarioFert!K101</f>
        <v>0.0002979611635</v>
      </c>
      <c r="O112">
        <f>$C$14*ReDiarioFert!M101</f>
        <v>174.06804048780486</v>
      </c>
      <c r="S112">
        <f>((E112/100)*$G$211+(G112/100)*$G$212+(I112/100)*$G$213+(K112/100)*$G$214+(M112/100)*$G$215+(O112)*$G$216+(Q112*$G$217))</f>
        <v>187.46189742326527</v>
      </c>
    </row>
    <row r="113">
      <c r="B113">
        <v>96</v>
      </c>
      <c r="C113">
        <f>$I$13+B113</f>
        <v>39701</v>
      </c>
      <c r="E113">
        <f>IF($C$14*ReDiarioFert!C102&lt;=0,"0",$C$14*ReDiarioFert!C102)</f>
        <v>6.773388753827542</v>
      </c>
      <c r="G113">
        <f>$C$14*ReDiarioFert!E102</f>
        <v>3.0979759369565216</v>
      </c>
      <c r="I113">
        <f>$C$14*ReDiarioFert!G102</f>
        <v>8.341666666666667</v>
      </c>
      <c r="K113">
        <f>$C$14*ReDiarioFert!I102</f>
        <v>5.353813984619254</v>
      </c>
      <c r="M113">
        <f>$C$14*ReDiarioFert!K102</f>
        <v>0.0002979611635</v>
      </c>
      <c r="O113">
        <f>$C$14*ReDiarioFert!M102</f>
        <v>174.06804048780486</v>
      </c>
      <c r="S113">
        <f>((E113/100)*$G$211+(G113/100)*$G$212+(I113/100)*$G$213+(K113/100)*$G$214+(M113/100)*$G$215+(O113)*$G$216+(Q113*$G$217))</f>
        <v>187.46189742326527</v>
      </c>
    </row>
    <row r="114">
      <c r="B114">
        <v>97</v>
      </c>
      <c r="C114">
        <f>$I$13+B114</f>
        <v>39702</v>
      </c>
      <c r="E114">
        <f>IF($C$14*ReDiarioFert!C103&lt;=0,"0",$C$14*ReDiarioFert!C103)</f>
        <v>6.773388753827542</v>
      </c>
      <c r="G114">
        <f>$C$14*ReDiarioFert!E103</f>
        <v>3.0979759369565216</v>
      </c>
      <c r="I114">
        <f>$C$14*ReDiarioFert!G103</f>
        <v>8.341666666666667</v>
      </c>
      <c r="K114">
        <f>$C$14*ReDiarioFert!I103</f>
        <v>5.353813984619254</v>
      </c>
      <c r="M114">
        <f>$C$14*ReDiarioFert!K103</f>
        <v>0.0002979611635</v>
      </c>
      <c r="O114">
        <f>$C$14*ReDiarioFert!M103</f>
        <v>174.06804048780486</v>
      </c>
      <c r="S114">
        <f>((E114/100)*$G$211+(G114/100)*$G$212+(I114/100)*$G$213+(K114/100)*$G$214+(M114/100)*$G$215+(O114)*$G$216+(Q114*$G$217))</f>
        <v>187.46189742326527</v>
      </c>
    </row>
    <row r="115">
      <c r="B115">
        <v>98</v>
      </c>
      <c r="C115">
        <f>$I$13+B115</f>
        <v>39703</v>
      </c>
      <c r="E115">
        <f>IF($C$14*ReDiarioFert!C104&lt;=0,"0",$C$14*ReDiarioFert!C104)</f>
        <v>6.773388753827542</v>
      </c>
      <c r="G115">
        <f>$C$14*ReDiarioFert!E104</f>
        <v>3.0979759369565216</v>
      </c>
      <c r="I115">
        <f>$C$14*ReDiarioFert!G104</f>
        <v>8.341666666666667</v>
      </c>
      <c r="K115">
        <f>$C$14*ReDiarioFert!I104</f>
        <v>5.353813984619254</v>
      </c>
      <c r="M115">
        <f>$C$14*ReDiarioFert!K104</f>
        <v>0.0002979611635</v>
      </c>
      <c r="O115">
        <f>$C$14*ReDiarioFert!M104</f>
        <v>174.06804048780486</v>
      </c>
      <c r="Q115" t="str">
        <f>Main!$H$84</f>
        <v>Acido Fosforoso</v>
      </c>
      <c r="R115">
        <f>Main!$K$84*Main!$I$22</f>
        <v>5.004999999999999</v>
      </c>
      <c r="S115">
        <f>((E115/100)*$G$211+(G115/100)*$G$212+(I115/100)*$G$213+(K115/100)*$G$214+(M115/100)*$G$215+(O115)*$G$216+(R115*Main!$J$84))</f>
        <v>587.8618974232652</v>
      </c>
    </row>
    <row r="116">
      <c r="A116">
        <v>15</v>
      </c>
      <c r="B116">
        <v>99</v>
      </c>
      <c r="C116">
        <f>$I$13+B116</f>
        <v>39704</v>
      </c>
      <c r="E116">
        <f>IF($C$14*ReDiarioFert!C105&lt;=0,"0",$C$14*ReDiarioFert!C105)</f>
        <v>6.773388753827542</v>
      </c>
      <c r="G116">
        <f>$C$14*ReDiarioFert!E105</f>
        <v>3.0979759369565216</v>
      </c>
      <c r="I116">
        <f>$C$14*ReDiarioFert!G105</f>
        <v>8.341666666666667</v>
      </c>
      <c r="K116">
        <f>$C$14*ReDiarioFert!I105</f>
        <v>5.353813984619254</v>
      </c>
      <c r="M116">
        <f>$C$14*ReDiarioFert!K105</f>
        <v>0.0002979611635</v>
      </c>
      <c r="O116">
        <f>$C$14*ReDiarioFert!M105</f>
        <v>174.06804048780486</v>
      </c>
      <c r="Q116">
        <f>$C$14*Main!$D$63</f>
        <v>20.019999999999996</v>
      </c>
      <c r="S116">
        <f>((E116/100)*$G$211+(G116/100)*$G$212+(I116/100)*$G$213+(K116/100)*$G$214+(M116/100)*$G$215+(O116)*$G$216+(Q116*$G$217))</f>
        <v>243.51789742326525</v>
      </c>
    </row>
    <row r="117">
      <c r="B117">
        <v>100</v>
      </c>
      <c r="C117">
        <f>$I$13+B117</f>
        <v>39705</v>
      </c>
      <c r="E117">
        <f>IF($C$14*ReDiarioFert!C106&lt;=0,"0",$C$14*ReDiarioFert!C106)</f>
        <v>6.773388753827542</v>
      </c>
      <c r="G117">
        <f>$C$14*ReDiarioFert!E106</f>
        <v>3.0979759369565216</v>
      </c>
      <c r="I117">
        <f>$C$14*ReDiarioFert!G106</f>
        <v>8.341666666666667</v>
      </c>
      <c r="K117">
        <f>$C$14*ReDiarioFert!I106</f>
        <v>5.353813984619254</v>
      </c>
      <c r="M117">
        <f>$C$14*ReDiarioFert!K106</f>
        <v>0.0002979611635</v>
      </c>
      <c r="O117">
        <f>$C$14*ReDiarioFert!M106</f>
        <v>174.06804048780486</v>
      </c>
      <c r="S117">
        <f>((E117/100)*$G$211+(G117/100)*$G$212+(I117/100)*$G$213+(K117/100)*$G$214+(M117/100)*$G$215+(O117)*$G$216+(Q117*$G$217))</f>
        <v>187.46189742326527</v>
      </c>
    </row>
    <row r="118">
      <c r="B118">
        <v>101</v>
      </c>
      <c r="C118">
        <f>$I$13+B118</f>
        <v>39706</v>
      </c>
      <c r="E118">
        <f>IF($C$14*ReDiarioFert!C107&lt;=0,"0",$C$14*ReDiarioFert!C107)</f>
        <v>6.773388753827542</v>
      </c>
      <c r="G118">
        <f>$C$14*ReDiarioFert!E107</f>
        <v>3.0979759369565216</v>
      </c>
      <c r="I118">
        <f>$C$14*ReDiarioFert!G107</f>
        <v>8.341666666666667</v>
      </c>
      <c r="K118">
        <f>$C$14*ReDiarioFert!I107</f>
        <v>5.353813984619254</v>
      </c>
      <c r="M118">
        <f>$C$14*ReDiarioFert!K107</f>
        <v>0.0002979611635</v>
      </c>
      <c r="O118">
        <f>$C$14*ReDiarioFert!M107</f>
        <v>174.06804048780486</v>
      </c>
      <c r="S118">
        <f>((E118/100)*$G$211+(G118/100)*$G$212+(I118/100)*$G$213+(K118/100)*$G$214+(M118/100)*$G$215+(O118)*$G$216+(Q118*$G$217))</f>
        <v>187.46189742326527</v>
      </c>
    </row>
    <row r="119">
      <c r="B119">
        <v>102</v>
      </c>
      <c r="C119">
        <f>$I$13+B119</f>
        <v>39707</v>
      </c>
      <c r="E119">
        <f>IF($C$14*ReDiarioFert!C108&lt;=0,"0",$C$14*ReDiarioFert!C108)</f>
        <v>6.773388753827542</v>
      </c>
      <c r="G119">
        <f>$C$14*ReDiarioFert!E108</f>
        <v>3.0979759369565216</v>
      </c>
      <c r="I119">
        <f>$C$14*ReDiarioFert!G108</f>
        <v>8.341666666666667</v>
      </c>
      <c r="K119">
        <f>$C$14*ReDiarioFert!I108</f>
        <v>5.353813984619254</v>
      </c>
      <c r="M119">
        <f>$C$14*ReDiarioFert!K108</f>
        <v>0.0002979611635</v>
      </c>
      <c r="O119">
        <f>$C$14*ReDiarioFert!M108</f>
        <v>174.06804048780486</v>
      </c>
      <c r="S119">
        <f>((E119/100)*$G$211+(G119/100)*$G$212+(I119/100)*$G$213+(K119/100)*$G$214+(M119/100)*$G$215+(O119)*$G$216+(Q119*$G$217))</f>
        <v>187.46189742326527</v>
      </c>
    </row>
    <row r="120">
      <c r="B120">
        <v>103</v>
      </c>
      <c r="C120">
        <f>$I$13+B120</f>
        <v>39708</v>
      </c>
      <c r="E120">
        <f>IF($C$14*ReDiarioFert!C109&lt;=0,"0",$C$14*ReDiarioFert!C109)</f>
        <v>6.773388753827542</v>
      </c>
      <c r="G120">
        <f>$C$14*ReDiarioFert!E109</f>
        <v>3.0979759369565216</v>
      </c>
      <c r="I120">
        <f>$C$14*ReDiarioFert!G109</f>
        <v>8.341666666666667</v>
      </c>
      <c r="K120">
        <f>$C$14*ReDiarioFert!I109</f>
        <v>5.353813984619254</v>
      </c>
      <c r="M120">
        <f>$C$14*ReDiarioFert!K109</f>
        <v>0.0002979611635</v>
      </c>
      <c r="O120">
        <f>$C$14*ReDiarioFert!M109</f>
        <v>174.06804048780486</v>
      </c>
      <c r="S120">
        <f>((E120/100)*$G$211+(G120/100)*$G$212+(I120/100)*$G$213+(K120/100)*$G$214+(M120/100)*$G$215+(O120)*$G$216+(Q120*$G$217))</f>
        <v>187.46189742326527</v>
      </c>
    </row>
    <row r="121">
      <c r="B121">
        <v>104</v>
      </c>
      <c r="C121">
        <f>$I$13+B121</f>
        <v>39709</v>
      </c>
      <c r="E121">
        <f>IF($C$14*ReDiarioFert!C110&lt;=0,"0",$C$14*ReDiarioFert!C110)</f>
        <v>6.773388753827542</v>
      </c>
      <c r="G121">
        <f>$C$14*ReDiarioFert!E110</f>
        <v>3.0979759369565216</v>
      </c>
      <c r="I121">
        <f>$C$14*ReDiarioFert!G110</f>
        <v>8.341666666666667</v>
      </c>
      <c r="K121">
        <f>$C$14*ReDiarioFert!I110</f>
        <v>5.353813984619254</v>
      </c>
      <c r="M121">
        <f>$C$14*ReDiarioFert!K110</f>
        <v>0.0002979611635</v>
      </c>
      <c r="O121">
        <f>$C$14*ReDiarioFert!M110</f>
        <v>174.06804048780486</v>
      </c>
      <c r="S121">
        <f>((E121/100)*$G$211+(G121/100)*$G$212+(I121/100)*$G$213+(K121/100)*$G$214+(M121/100)*$G$215+(O121)*$G$216+(Q121*$G$217))</f>
        <v>187.46189742326527</v>
      </c>
    </row>
    <row r="122">
      <c r="B122">
        <v>105</v>
      </c>
      <c r="C122">
        <f>$I$13+B122</f>
        <v>39710</v>
      </c>
      <c r="E122">
        <f>IF($C$14*ReDiarioFert!C111&lt;=0,"0",$C$14*ReDiarioFert!C111)</f>
        <v>6.773388753827542</v>
      </c>
      <c r="G122">
        <f>$C$14*ReDiarioFert!E111</f>
        <v>3.0979759369565216</v>
      </c>
      <c r="I122">
        <f>$C$14*ReDiarioFert!G111</f>
        <v>8.341666666666667</v>
      </c>
      <c r="K122">
        <f>$C$14*ReDiarioFert!I111</f>
        <v>5.353813984619254</v>
      </c>
      <c r="M122">
        <f>$C$14*ReDiarioFert!K111</f>
        <v>0.0002979611635</v>
      </c>
      <c r="O122">
        <f>$C$14*ReDiarioFert!M111</f>
        <v>174.06804048780486</v>
      </c>
      <c r="S122">
        <f>((E122/100)*$G$211+(G122/100)*$G$212+(I122/100)*$G$213+(K122/100)*$G$214+(M122/100)*$G$215+(O122)*$G$216+(Q122*$G$217))</f>
        <v>187.46189742326527</v>
      </c>
    </row>
    <row r="123">
      <c r="A123">
        <v>16</v>
      </c>
      <c r="B123">
        <v>106</v>
      </c>
      <c r="C123">
        <f>$I$13+B123</f>
        <v>39711</v>
      </c>
      <c r="E123">
        <f>IF($C$14*ReDiarioFert!C112&lt;=0,"0",$C$14*ReDiarioFert!C112)</f>
        <v>6.773388753827542</v>
      </c>
      <c r="G123">
        <f>$C$14*ReDiarioFert!E112</f>
        <v>3.0979759369565216</v>
      </c>
      <c r="I123">
        <f>$C$14*ReDiarioFert!G112</f>
        <v>8.341666666666667</v>
      </c>
      <c r="K123">
        <f>$C$14*ReDiarioFert!I112</f>
        <v>5.353813984619254</v>
      </c>
      <c r="M123">
        <f>$C$14*ReDiarioFert!K112</f>
        <v>0.0002979611635</v>
      </c>
      <c r="O123">
        <f>$C$14*ReDiarioFert!M112</f>
        <v>174.06804048780486</v>
      </c>
      <c r="Q123">
        <f>$C$14*Main!$D$63</f>
        <v>20.019999999999996</v>
      </c>
      <c r="S123">
        <f>((E123/100)*$G$211+(G123/100)*$G$212+(I123/100)*$G$213+(K123/100)*$G$214+(M123/100)*$G$215+(O123)*$G$216+(Q123*$G$217))</f>
        <v>243.51789742326525</v>
      </c>
    </row>
    <row r="124">
      <c r="B124">
        <v>107</v>
      </c>
      <c r="C124">
        <f>$I$13+B124</f>
        <v>39712</v>
      </c>
      <c r="E124">
        <f>IF($C$14*ReDiarioFert!C113&lt;=0,"0",$C$14*ReDiarioFert!C113)</f>
        <v>6.773388753827542</v>
      </c>
      <c r="G124">
        <f>$C$14*ReDiarioFert!E113</f>
        <v>3.0979759369565216</v>
      </c>
      <c r="I124">
        <f>$C$14*ReDiarioFert!G113</f>
        <v>8.341666666666667</v>
      </c>
      <c r="K124">
        <f>$C$14*ReDiarioFert!I113</f>
        <v>5.353813984619254</v>
      </c>
      <c r="M124">
        <f>$C$14*ReDiarioFert!K113</f>
        <v>0.0002979611635</v>
      </c>
      <c r="O124">
        <f>$C$14*ReDiarioFert!M113</f>
        <v>174.06804048780486</v>
      </c>
      <c r="S124">
        <f>((E124/100)*$G$211+(G124/100)*$G$212+(I124/100)*$G$213+(K124/100)*$G$214+(M124/100)*$G$215+(O124)*$G$216+(Q124*$G$217))</f>
        <v>187.46189742326527</v>
      </c>
    </row>
    <row r="125">
      <c r="B125">
        <v>108</v>
      </c>
      <c r="C125">
        <f>$I$13+B125</f>
        <v>39713</v>
      </c>
      <c r="E125">
        <f>IF($C$14*ReDiarioFert!C114&lt;=0,"0",$C$14*ReDiarioFert!C114)</f>
        <v>6.773388753827542</v>
      </c>
      <c r="G125">
        <f>$C$14*ReDiarioFert!E114</f>
        <v>3.0979759369565216</v>
      </c>
      <c r="I125">
        <f>$C$14*ReDiarioFert!G114</f>
        <v>8.341666666666667</v>
      </c>
      <c r="K125">
        <f>$C$14*ReDiarioFert!I114</f>
        <v>5.353813984619254</v>
      </c>
      <c r="M125">
        <f>$C$14*ReDiarioFert!K114</f>
        <v>0.0002979611635</v>
      </c>
      <c r="O125">
        <f>$C$14*ReDiarioFert!M114</f>
        <v>174.06804048780486</v>
      </c>
      <c r="S125">
        <f>((E125/100)*$G$211+(G125/100)*$G$212+(I125/100)*$G$213+(K125/100)*$G$214+(M125/100)*$G$215+(O125)*$G$216+(Q125*$G$217))</f>
        <v>187.46189742326527</v>
      </c>
    </row>
    <row r="126">
      <c r="B126">
        <v>109</v>
      </c>
      <c r="C126">
        <f>$I$13+B126</f>
        <v>39714</v>
      </c>
      <c r="E126">
        <f>IF($C$14*ReDiarioFert!C115&lt;=0,"0",$C$14*ReDiarioFert!C115)</f>
        <v>6.773388753827542</v>
      </c>
      <c r="G126">
        <f>$C$14*ReDiarioFert!E115</f>
        <v>3.0979759369565216</v>
      </c>
      <c r="I126">
        <f>$C$14*ReDiarioFert!G115</f>
        <v>8.341666666666667</v>
      </c>
      <c r="K126">
        <f>$C$14*ReDiarioFert!I115</f>
        <v>5.353813984619254</v>
      </c>
      <c r="M126">
        <f>$C$14*ReDiarioFert!K115</f>
        <v>0.0002979611635</v>
      </c>
      <c r="O126">
        <f>$C$14*ReDiarioFert!M115</f>
        <v>174.06804048780486</v>
      </c>
      <c r="S126">
        <f>((E126/100)*$G$211+(G126/100)*$G$212+(I126/100)*$G$213+(K126/100)*$G$214+(M126/100)*$G$215+(O126)*$G$216+(Q126*$G$217))</f>
        <v>187.46189742326527</v>
      </c>
    </row>
    <row r="127">
      <c r="B127">
        <v>110</v>
      </c>
      <c r="C127">
        <f>$I$13+B127</f>
        <v>39715</v>
      </c>
      <c r="E127">
        <f>IF($C$14*ReDiarioFert!C116&lt;=0,"0",$C$14*ReDiarioFert!C116)</f>
        <v>6.773388753827542</v>
      </c>
      <c r="G127">
        <f>$C$14*ReDiarioFert!E116</f>
        <v>3.0979759369565216</v>
      </c>
      <c r="I127">
        <f>$C$14*ReDiarioFert!G116</f>
        <v>8.341666666666667</v>
      </c>
      <c r="K127">
        <f>$C$14*ReDiarioFert!I116</f>
        <v>5.353813984619254</v>
      </c>
      <c r="M127">
        <f>$C$14*ReDiarioFert!K116</f>
        <v>0.0002979611635</v>
      </c>
      <c r="O127">
        <f>$C$14*ReDiarioFert!M116</f>
        <v>174.06804048780486</v>
      </c>
      <c r="S127">
        <f>((E127/100)*$G$211+(G127/100)*$G$212+(I127/100)*$G$213+(K127/100)*$G$214+(M127/100)*$G$215+(O127)*$G$216+(Q127*$G$217))</f>
        <v>187.46189742326527</v>
      </c>
    </row>
    <row r="128">
      <c r="B128">
        <v>111</v>
      </c>
      <c r="C128">
        <f>$I$13+B128</f>
        <v>39716</v>
      </c>
      <c r="E128">
        <f>IF($C$14*ReDiarioFert!C117&lt;=0,"0",$C$14*ReDiarioFert!C117)</f>
        <v>6.773388753827542</v>
      </c>
      <c r="G128">
        <f>$C$14*ReDiarioFert!E117</f>
        <v>3.0979759369565216</v>
      </c>
      <c r="I128">
        <f>$C$14*ReDiarioFert!G117</f>
        <v>8.341666666666667</v>
      </c>
      <c r="K128">
        <f>$C$14*ReDiarioFert!I117</f>
        <v>5.353813984619254</v>
      </c>
      <c r="M128">
        <f>$C$14*ReDiarioFert!K117</f>
        <v>0.0002979611635</v>
      </c>
      <c r="O128">
        <f>$C$14*ReDiarioFert!M117</f>
        <v>174.06804048780486</v>
      </c>
      <c r="S128">
        <f>((E128/100)*$G$211+(G128/100)*$G$212+(I128/100)*$G$213+(K128/100)*$G$214+(M128/100)*$G$215+(O128)*$G$216+(Q128*$G$217))</f>
        <v>187.46189742326527</v>
      </c>
    </row>
    <row r="129">
      <c r="B129">
        <v>112</v>
      </c>
      <c r="C129">
        <f>$I$13+B129</f>
        <v>39717</v>
      </c>
      <c r="E129">
        <f>IF($C$14*ReDiarioFert!C118&lt;=0,"0",$C$14*ReDiarioFert!C118)</f>
        <v>6.773388753827542</v>
      </c>
      <c r="G129">
        <f>$C$14*ReDiarioFert!E118</f>
        <v>3.0979759369565216</v>
      </c>
      <c r="I129">
        <f>$C$14*ReDiarioFert!G118</f>
        <v>8.341666666666667</v>
      </c>
      <c r="K129">
        <f>$C$14*ReDiarioFert!I118</f>
        <v>5.353813984619254</v>
      </c>
      <c r="M129">
        <f>$C$14*ReDiarioFert!K118</f>
        <v>0.0002979611635</v>
      </c>
      <c r="O129">
        <f>$C$14*ReDiarioFert!M118</f>
        <v>174.06804048780486</v>
      </c>
      <c r="Q129" t="str">
        <f>Main!$H$83</f>
        <v>Acido Salicílico</v>
      </c>
      <c r="R129">
        <f>Main!$K$83*Main!$I$22</f>
        <v>250.24999999999997</v>
      </c>
      <c r="S129">
        <f>((E129/100)*$G$211+(G129/100)*$G$212+(I129/100)*$G$213+(K129/100)*$G$214+(M129/100)*$G$215+(O129)*$G$216+(R129*Main!$J$83))</f>
        <v>230.00439742326526</v>
      </c>
    </row>
    <row r="130">
      <c r="A130">
        <v>17</v>
      </c>
      <c r="B130">
        <v>113</v>
      </c>
      <c r="C130">
        <f>$I$13+B130</f>
        <v>39718</v>
      </c>
      <c r="D130" t="str">
        <f>Main!$H$85</f>
        <v>TricoZam</v>
      </c>
      <c r="E130">
        <f>IF($C$14*ReDiarioFert!C119&lt;=0,"0",$C$14*ReDiarioFert!C119)</f>
        <v>6.773388753827542</v>
      </c>
      <c r="G130">
        <f>$C$14*ReDiarioFert!E119</f>
        <v>3.0979759369565216</v>
      </c>
      <c r="I130">
        <f>$C$14*ReDiarioFert!G119</f>
        <v>8.341666666666667</v>
      </c>
      <c r="K130">
        <f>$C$14*ReDiarioFert!I119</f>
        <v>5.353813984619254</v>
      </c>
      <c r="M130">
        <f>$C$14*ReDiarioFert!K119</f>
        <v>0.0002979611635</v>
      </c>
      <c r="O130">
        <f>$C$14*ReDiarioFert!M119</f>
        <v>174.06804048780486</v>
      </c>
      <c r="Q130">
        <f>$C$14*Main!$D$63</f>
        <v>20.019999999999996</v>
      </c>
      <c r="R130">
        <f>Main!$K$85*Main!$I$22</f>
        <v>1.001</v>
      </c>
      <c r="S130">
        <f>((E130/100)*$G$211+(G130/100)*$G$212+(I130/100)*$G$213+(K130/100)*$G$214+(M130/100)*$G$215+(O130)*$G$216+(Q130*$G$217)+(R130*Main!$J$85))</f>
        <v>623.8978974232652</v>
      </c>
    </row>
    <row r="131">
      <c r="B131">
        <v>114</v>
      </c>
      <c r="C131">
        <f>$I$13+B131</f>
        <v>39719</v>
      </c>
      <c r="E131">
        <f>IF($C$14*ReDiarioFert!C120&lt;=0,"0",$C$14*ReDiarioFert!C120)</f>
        <v>6.773388753827542</v>
      </c>
      <c r="G131">
        <f>$C$14*ReDiarioFert!E120</f>
        <v>3.0979759369565216</v>
      </c>
      <c r="I131">
        <f>$C$14*ReDiarioFert!G120</f>
        <v>8.341666666666667</v>
      </c>
      <c r="K131">
        <f>$C$14*ReDiarioFert!I120</f>
        <v>5.353813984619254</v>
      </c>
      <c r="M131">
        <f>$C$14*ReDiarioFert!K120</f>
        <v>0.0002979611635</v>
      </c>
      <c r="O131">
        <f>$C$14*ReDiarioFert!M120</f>
        <v>174.06804048780486</v>
      </c>
      <c r="S131">
        <f>((E131/100)*$G$211+(G131/100)*$G$212+(I131/100)*$G$213+(K131/100)*$G$214+(M131/100)*$G$215+(O131)*$G$216+(Q131*$G$217))</f>
        <v>187.46189742326527</v>
      </c>
    </row>
    <row r="132">
      <c r="B132">
        <v>115</v>
      </c>
      <c r="C132">
        <f>$I$13+B132</f>
        <v>39720</v>
      </c>
      <c r="E132">
        <f>IF($C$14*ReDiarioFert!C121&lt;=0,"0",$C$14*ReDiarioFert!C121)</f>
        <v>6.773388753827542</v>
      </c>
      <c r="G132">
        <f>$C$14*ReDiarioFert!E121</f>
        <v>3.0979759369565216</v>
      </c>
      <c r="I132">
        <f>$C$14*ReDiarioFert!G121</f>
        <v>8.341666666666667</v>
      </c>
      <c r="K132">
        <f>$C$14*ReDiarioFert!I121</f>
        <v>5.353813984619254</v>
      </c>
      <c r="M132">
        <f>$C$14*ReDiarioFert!K121</f>
        <v>0.0002979611635</v>
      </c>
      <c r="O132">
        <f>$C$14*ReDiarioFert!M121</f>
        <v>174.06804048780486</v>
      </c>
      <c r="S132">
        <f>((E132/100)*$G$211+(G132/100)*$G$212+(I132/100)*$G$213+(K132/100)*$G$214+(M132/100)*$G$215+(O132)*$G$216+(Q132*$G$217))</f>
        <v>187.46189742326527</v>
      </c>
    </row>
    <row r="133">
      <c r="B133">
        <v>116</v>
      </c>
      <c r="C133">
        <f>$I$13+B133</f>
        <v>39721</v>
      </c>
      <c r="E133">
        <f>IF($C$14*ReDiarioFert!C122&lt;=0,"0",$C$14*ReDiarioFert!C122)</f>
        <v>6.773388753827542</v>
      </c>
      <c r="G133">
        <f>$C$14*ReDiarioFert!E122</f>
        <v>3.0979759369565216</v>
      </c>
      <c r="I133">
        <f>$C$14*ReDiarioFert!G122</f>
        <v>8.341666666666667</v>
      </c>
      <c r="K133">
        <f>$C$14*ReDiarioFert!I122</f>
        <v>5.353813984619254</v>
      </c>
      <c r="M133">
        <f>$C$14*ReDiarioFert!K122</f>
        <v>0.0002979611635</v>
      </c>
      <c r="O133">
        <f>$C$14*ReDiarioFert!M122</f>
        <v>174.06804048780486</v>
      </c>
      <c r="S133">
        <f>((E133/100)*$G$211+(G133/100)*$G$212+(I133/100)*$G$213+(K133/100)*$G$214+(M133/100)*$G$215+(O133)*$G$216+(Q133*$G$217))</f>
        <v>187.46189742326527</v>
      </c>
    </row>
    <row r="134">
      <c r="B134">
        <v>117</v>
      </c>
      <c r="C134">
        <f>$I$13+B134</f>
        <v>39722</v>
      </c>
      <c r="E134">
        <f>IF($C$14*ReDiarioFert!C123&lt;=0,"0",$C$14*ReDiarioFert!C123)</f>
        <v>6.773388753827542</v>
      </c>
      <c r="G134">
        <f>$C$14*ReDiarioFert!E123</f>
        <v>3.0979759369565216</v>
      </c>
      <c r="I134">
        <f>$C$14*ReDiarioFert!G123</f>
        <v>8.341666666666667</v>
      </c>
      <c r="K134">
        <f>$C$14*ReDiarioFert!I123</f>
        <v>5.353813984619254</v>
      </c>
      <c r="M134">
        <f>$C$14*ReDiarioFert!K123</f>
        <v>0.0002979611635</v>
      </c>
      <c r="O134">
        <f>$C$14*ReDiarioFert!M123</f>
        <v>174.06804048780486</v>
      </c>
      <c r="S134">
        <f>((E134/100)*$G$211+(G134/100)*$G$212+(I134/100)*$G$213+(K134/100)*$G$214+(M134/100)*$G$215+(O134)*$G$216+(Q134*$G$217))</f>
        <v>187.46189742326527</v>
      </c>
    </row>
    <row r="135">
      <c r="B135">
        <v>118</v>
      </c>
      <c r="C135">
        <f>$I$13+B135</f>
        <v>39723</v>
      </c>
      <c r="E135">
        <f>IF($C$14*ReDiarioFert!C124&lt;=0,"0",$C$14*ReDiarioFert!C124)</f>
        <v>6.773388753827542</v>
      </c>
      <c r="G135">
        <f>$C$14*ReDiarioFert!E124</f>
        <v>3.0979759369565216</v>
      </c>
      <c r="I135">
        <f>$C$14*ReDiarioFert!G124</f>
        <v>8.341666666666667</v>
      </c>
      <c r="K135">
        <f>$C$14*ReDiarioFert!I124</f>
        <v>5.353813984619254</v>
      </c>
      <c r="M135">
        <f>$C$14*ReDiarioFert!K124</f>
        <v>0.0002979611635</v>
      </c>
      <c r="O135">
        <f>$C$14*ReDiarioFert!M124</f>
        <v>174.06804048780486</v>
      </c>
      <c r="S135">
        <f>((E135/100)*$G$211+(G135/100)*$G$212+(I135/100)*$G$213+(K135/100)*$G$214+(M135/100)*$G$215+(O135)*$G$216+(Q135*$G$217))</f>
        <v>187.46189742326527</v>
      </c>
    </row>
    <row r="136">
      <c r="B136">
        <v>119</v>
      </c>
      <c r="C136">
        <f>$I$13+B136</f>
        <v>39724</v>
      </c>
      <c r="E136">
        <f>IF($C$14*ReDiarioFert!C125&lt;=0,"0",$C$14*ReDiarioFert!C125)</f>
        <v>6.773388753827542</v>
      </c>
      <c r="G136">
        <f>$C$14*ReDiarioFert!E125</f>
        <v>3.0979759369565216</v>
      </c>
      <c r="I136">
        <f>$C$14*ReDiarioFert!G125</f>
        <v>8.341666666666667</v>
      </c>
      <c r="K136">
        <f>$C$14*ReDiarioFert!I125</f>
        <v>5.353813984619254</v>
      </c>
      <c r="M136">
        <f>$C$14*ReDiarioFert!K125</f>
        <v>0.0002979611635</v>
      </c>
      <c r="O136">
        <f>$C$14*ReDiarioFert!M125</f>
        <v>174.06804048780486</v>
      </c>
      <c r="S136">
        <f>((E136/100)*$G$211+(G136/100)*$G$212+(I136/100)*$G$213+(K136/100)*$G$214+(M136/100)*$G$215+(O136)*$G$216+(Q136*$G$217))</f>
        <v>187.46189742326527</v>
      </c>
    </row>
    <row r="137">
      <c r="A137">
        <v>18</v>
      </c>
      <c r="B137">
        <v>120</v>
      </c>
      <c r="C137">
        <f>$I$13+B137</f>
        <v>39725</v>
      </c>
      <c r="E137">
        <f>IF($C$14*ReDiarioFert!C126&lt;=0,"0",$C$14*ReDiarioFert!C126)</f>
        <v>6.773388753827542</v>
      </c>
      <c r="G137">
        <f>$C$14*ReDiarioFert!E126</f>
        <v>3.0979759369565216</v>
      </c>
      <c r="I137">
        <f>$C$14*ReDiarioFert!G126</f>
        <v>8.341666666666667</v>
      </c>
      <c r="K137">
        <f>$C$14*ReDiarioFert!I126</f>
        <v>5.353813984619254</v>
      </c>
      <c r="M137">
        <f>$C$14*ReDiarioFert!K126</f>
        <v>0.0002979611635</v>
      </c>
      <c r="O137">
        <f>$C$14*ReDiarioFert!M126</f>
        <v>174.06804048780486</v>
      </c>
      <c r="Q137">
        <f>$C$14*Main!$D$63</f>
        <v>20.019999999999996</v>
      </c>
      <c r="S137">
        <f>((E137/100)*$G$211+(G137/100)*$G$212+(I137/100)*$G$213+(K137/100)*$G$214+(M137/100)*$G$215+(O137)*$G$216+(Q137*$G$217))</f>
        <v>243.51789742326525</v>
      </c>
    </row>
    <row r="138">
      <c r="B138">
        <v>121</v>
      </c>
      <c r="C138">
        <f>$I$13+B138</f>
        <v>39726</v>
      </c>
      <c r="E138">
        <f>IF($C$14*ReDiarioFert!C127&lt;=0,"0",$C$14*ReDiarioFert!C127)</f>
        <v>6.773388753827542</v>
      </c>
      <c r="G138">
        <f>$C$14*ReDiarioFert!E127</f>
        <v>3.0979759369565216</v>
      </c>
      <c r="I138">
        <f>$C$14*ReDiarioFert!G127</f>
        <v>8.341666666666667</v>
      </c>
      <c r="K138">
        <f>$C$14*ReDiarioFert!I127</f>
        <v>5.353813984619254</v>
      </c>
      <c r="M138">
        <f>$C$14*ReDiarioFert!K127</f>
        <v>0.0002979611635</v>
      </c>
      <c r="O138">
        <f>$C$14*ReDiarioFert!M127</f>
        <v>174.06804048780486</v>
      </c>
      <c r="S138">
        <f>((E138/100)*$G$211+(G138/100)*$G$212+(I138/100)*$G$213+(K138/100)*$G$214+(M138/100)*$G$215+(O138)*$G$216+(Q138*$G$217))</f>
        <v>187.46189742326527</v>
      </c>
    </row>
    <row r="139">
      <c r="B139">
        <v>122</v>
      </c>
      <c r="C139">
        <f>$I$13+B139</f>
        <v>39727</v>
      </c>
      <c r="E139">
        <f>IF($C$14*ReDiarioFert!C128&lt;=0,"0",$C$14*ReDiarioFert!C128)</f>
        <v>6.773388753827542</v>
      </c>
      <c r="G139">
        <f>$C$14*ReDiarioFert!E128</f>
        <v>3.0979759369565216</v>
      </c>
      <c r="I139">
        <f>$C$14*ReDiarioFert!G128</f>
        <v>8.341666666666667</v>
      </c>
      <c r="K139">
        <f>$C$14*ReDiarioFert!I128</f>
        <v>5.353813984619254</v>
      </c>
      <c r="M139">
        <f>$C$14*ReDiarioFert!K128</f>
        <v>0.0002979611635</v>
      </c>
      <c r="O139">
        <f>$C$14*ReDiarioFert!M128</f>
        <v>174.06804048780486</v>
      </c>
      <c r="S139">
        <f>((E139/100)*$G$211+(G139/100)*$G$212+(I139/100)*$G$213+(K139/100)*$G$214+(M139/100)*$G$215+(O139)*$G$216+(Q139*$G$217))</f>
        <v>187.46189742326527</v>
      </c>
    </row>
    <row r="140">
      <c r="B140">
        <v>123</v>
      </c>
      <c r="C140">
        <f>$I$13+B140</f>
        <v>39728</v>
      </c>
      <c r="E140">
        <f>IF($C$14*ReDiarioFert!C129&lt;=0,"0",$C$14*ReDiarioFert!C129)</f>
        <v>6.773388753827542</v>
      </c>
      <c r="G140">
        <f>$C$14*ReDiarioFert!E129</f>
        <v>3.0979759369565216</v>
      </c>
      <c r="I140">
        <f>$C$14*ReDiarioFert!G129</f>
        <v>8.341666666666667</v>
      </c>
      <c r="K140">
        <f>$C$14*ReDiarioFert!I129</f>
        <v>5.353813984619254</v>
      </c>
      <c r="M140">
        <f>$C$14*ReDiarioFert!K129</f>
        <v>0.0002979611635</v>
      </c>
      <c r="O140">
        <f>$C$14*ReDiarioFert!M129</f>
        <v>174.06804048780486</v>
      </c>
      <c r="S140">
        <f>((E140/100)*$G$211+(G140/100)*$G$212+(I140/100)*$G$213+(K140/100)*$G$214+(M140/100)*$G$215+(O140)*$G$216+(Q140*$G$217))</f>
        <v>187.46189742326527</v>
      </c>
    </row>
    <row r="141">
      <c r="B141">
        <v>124</v>
      </c>
      <c r="C141">
        <f>$I$13+B141</f>
        <v>39729</v>
      </c>
      <c r="E141">
        <f>IF($C$14*ReDiarioFert!C130&lt;=0,"0",$C$14*ReDiarioFert!C130)</f>
        <v>6.773388753827542</v>
      </c>
      <c r="G141">
        <f>$C$14*ReDiarioFert!E130</f>
        <v>3.0979759369565216</v>
      </c>
      <c r="I141">
        <f>$C$14*ReDiarioFert!G130</f>
        <v>8.341666666666667</v>
      </c>
      <c r="K141">
        <f>$C$14*ReDiarioFert!I130</f>
        <v>5.353813984619254</v>
      </c>
      <c r="M141">
        <f>$C$14*ReDiarioFert!K130</f>
        <v>0.0002979611635</v>
      </c>
      <c r="O141">
        <f>$C$14*ReDiarioFert!M130</f>
        <v>174.06804048780486</v>
      </c>
      <c r="S141">
        <f>((E141/100)*$G$211+(G141/100)*$G$212+(I141/100)*$G$213+(K141/100)*$G$214+(M141/100)*$G$215+(O141)*$G$216+(Q141*$G$217))</f>
        <v>187.46189742326527</v>
      </c>
    </row>
    <row r="142">
      <c r="B142">
        <v>125</v>
      </c>
      <c r="C142">
        <f>$I$13+B142</f>
        <v>39730</v>
      </c>
      <c r="E142">
        <f>IF($C$14*ReDiarioFert!C131&lt;=0,"0",$C$14*ReDiarioFert!C131)</f>
        <v>6.773388753827542</v>
      </c>
      <c r="G142">
        <f>$C$14*ReDiarioFert!E131</f>
        <v>3.0979759369565216</v>
      </c>
      <c r="I142">
        <f>$C$14*ReDiarioFert!G131</f>
        <v>8.341666666666667</v>
      </c>
      <c r="K142">
        <f>$C$14*ReDiarioFert!I131</f>
        <v>5.353813984619254</v>
      </c>
      <c r="M142">
        <f>$C$14*ReDiarioFert!K131</f>
        <v>0.0002979611635</v>
      </c>
      <c r="O142">
        <f>$C$14*ReDiarioFert!M131</f>
        <v>174.06804048780486</v>
      </c>
      <c r="S142">
        <f>((E142/100)*$G$211+(G142/100)*$G$212+(I142/100)*$G$213+(K142/100)*$G$214+(M142/100)*$G$215+(O142)*$G$216+(Q142*$G$217))</f>
        <v>187.46189742326527</v>
      </c>
    </row>
    <row r="143">
      <c r="B143">
        <v>126</v>
      </c>
      <c r="C143">
        <f>$I$13+B143</f>
        <v>39731</v>
      </c>
      <c r="E143">
        <f>IF($C$14*ReDiarioFert!C132&lt;=0,"0",$C$14*ReDiarioFert!C132)</f>
        <v>6.773388753827542</v>
      </c>
      <c r="G143">
        <f>$C$14*ReDiarioFert!E132</f>
        <v>3.0979759369565216</v>
      </c>
      <c r="I143">
        <f>$C$14*ReDiarioFert!G132</f>
        <v>8.341666666666667</v>
      </c>
      <c r="K143">
        <f>$C$14*ReDiarioFert!I132</f>
        <v>5.353813984619254</v>
      </c>
      <c r="M143">
        <f>$C$14*ReDiarioFert!K132</f>
        <v>0.0002979611635</v>
      </c>
      <c r="O143">
        <f>$C$14*ReDiarioFert!M132</f>
        <v>174.06804048780486</v>
      </c>
      <c r="S143">
        <f>((E143/100)*$G$211+(G143/100)*$G$212+(I143/100)*$G$213+(K143/100)*$G$214+(M143/100)*$G$215+(O143)*$G$216+(Q143*$G$217))</f>
        <v>187.46189742326527</v>
      </c>
    </row>
    <row r="144">
      <c r="A144">
        <v>19</v>
      </c>
      <c r="B144">
        <v>127</v>
      </c>
      <c r="C144">
        <f>$I$13+B144</f>
        <v>39732</v>
      </c>
      <c r="E144">
        <f>IF($C$14*ReDiarioFert!C133&lt;=0,"0",$C$14*ReDiarioFert!C133)</f>
        <v>6.773388753827542</v>
      </c>
      <c r="G144">
        <f>$C$14*ReDiarioFert!E133</f>
        <v>3.0979759369565216</v>
      </c>
      <c r="I144">
        <f>$C$14*ReDiarioFert!G133</f>
        <v>8.341666666666667</v>
      </c>
      <c r="K144">
        <f>$C$14*ReDiarioFert!I133</f>
        <v>5.353813984619254</v>
      </c>
      <c r="M144">
        <f>$C$14*ReDiarioFert!K133</f>
        <v>0.0002979611635</v>
      </c>
      <c r="O144">
        <f>$C$14*ReDiarioFert!M133</f>
        <v>174.06804048780486</v>
      </c>
      <c r="Q144">
        <f>$C$14*Main!$D$63</f>
        <v>20.019999999999996</v>
      </c>
      <c r="S144">
        <f>((E144/100)*$G$211+(G144/100)*$G$212+(I144/100)*$G$213+(K144/100)*$G$214+(M144/100)*$G$215+(O144)*$G$216+(Q144*$G$217))</f>
        <v>243.51789742326525</v>
      </c>
    </row>
    <row r="145">
      <c r="B145">
        <v>128</v>
      </c>
      <c r="C145">
        <f>$I$13+B145</f>
        <v>39733</v>
      </c>
      <c r="E145">
        <f>IF($C$14*ReDiarioFert!C134&lt;=0,"0",$C$14*ReDiarioFert!C134)</f>
        <v>6.773388753827542</v>
      </c>
      <c r="G145">
        <f>$C$14*ReDiarioFert!E134</f>
        <v>3.0979759369565216</v>
      </c>
      <c r="I145">
        <f>$C$14*ReDiarioFert!G134</f>
        <v>8.341666666666667</v>
      </c>
      <c r="K145">
        <f>$C$14*ReDiarioFert!I134</f>
        <v>5.353813984619254</v>
      </c>
      <c r="M145">
        <f>$C$14*ReDiarioFert!K134</f>
        <v>0.0002979611635</v>
      </c>
      <c r="O145">
        <f>$C$14*ReDiarioFert!M134</f>
        <v>174.06804048780486</v>
      </c>
      <c r="S145">
        <f>((E145/100)*$G$211+(G145/100)*$G$212+(I145/100)*$G$213+(K145/100)*$G$214+(M145/100)*$G$215+(O145)*$G$216+(Q145*$G$217))</f>
        <v>187.46189742326527</v>
      </c>
    </row>
    <row r="146">
      <c r="B146">
        <v>129</v>
      </c>
      <c r="C146">
        <f>$I$13+B146</f>
        <v>39734</v>
      </c>
      <c r="E146">
        <f>IF($C$14*ReDiarioFert!C135&lt;=0,"0",$C$14*ReDiarioFert!C135)</f>
        <v>6.773388753827542</v>
      </c>
      <c r="G146">
        <f>$C$14*ReDiarioFert!E135</f>
        <v>3.0979759369565216</v>
      </c>
      <c r="I146">
        <f>$C$14*ReDiarioFert!G135</f>
        <v>8.341666666666667</v>
      </c>
      <c r="K146">
        <f>$C$14*ReDiarioFert!I135</f>
        <v>5.353813984619254</v>
      </c>
      <c r="M146">
        <f>$C$14*ReDiarioFert!K135</f>
        <v>0.0002979611635</v>
      </c>
      <c r="O146">
        <f>$C$14*ReDiarioFert!M135</f>
        <v>174.06804048780486</v>
      </c>
      <c r="S146">
        <f>((E146/100)*$G$211+(G146/100)*$G$212+(I146/100)*$G$213+(K146/100)*$G$214+(M146/100)*$G$215+(O146)*$G$216+(Q146*$G$217))</f>
        <v>187.46189742326527</v>
      </c>
    </row>
    <row r="147">
      <c r="B147">
        <v>130</v>
      </c>
      <c r="C147">
        <f>$I$13+B147</f>
        <v>39735</v>
      </c>
      <c r="E147">
        <f>IF($C$14*ReDiarioFert!C136&lt;=0,"0",$C$14*ReDiarioFert!C136)</f>
        <v>6.773388753827542</v>
      </c>
      <c r="G147">
        <f>$C$14*ReDiarioFert!E136</f>
        <v>3.0979759369565216</v>
      </c>
      <c r="I147">
        <f>$C$14*ReDiarioFert!G136</f>
        <v>8.341666666666667</v>
      </c>
      <c r="K147">
        <f>$C$14*ReDiarioFert!I136</f>
        <v>5.353813984619254</v>
      </c>
      <c r="M147">
        <f>$C$14*ReDiarioFert!K136</f>
        <v>0.0002979611635</v>
      </c>
      <c r="O147">
        <f>$C$14*ReDiarioFert!M136</f>
        <v>174.06804048780486</v>
      </c>
      <c r="S147">
        <f>((E147/100)*$G$211+(G147/100)*$G$212+(I147/100)*$G$213+(K147/100)*$G$214+(M147/100)*$G$215+(O147)*$G$216+(Q147*$G$217))</f>
        <v>187.46189742326527</v>
      </c>
    </row>
    <row r="148">
      <c r="B148">
        <v>131</v>
      </c>
      <c r="C148">
        <f>$I$13+B148</f>
        <v>39736</v>
      </c>
      <c r="E148">
        <f>IF($C$14*ReDiarioFert!C137&lt;=0,"0",$C$14*ReDiarioFert!C137)</f>
        <v>6.773388753827542</v>
      </c>
      <c r="G148">
        <f>$C$14*ReDiarioFert!E137</f>
        <v>3.0979759369565216</v>
      </c>
      <c r="I148">
        <f>$C$14*ReDiarioFert!G137</f>
        <v>8.341666666666667</v>
      </c>
      <c r="K148">
        <f>$C$14*ReDiarioFert!I137</f>
        <v>5.353813984619254</v>
      </c>
      <c r="M148">
        <f>$C$14*ReDiarioFert!K137</f>
        <v>0.0002979611635</v>
      </c>
      <c r="O148">
        <f>$C$14*ReDiarioFert!M137</f>
        <v>174.06804048780486</v>
      </c>
      <c r="S148">
        <f>((E148/100)*$G$211+(G148/100)*$G$212+(I148/100)*$G$213+(K148/100)*$G$214+(M148/100)*$G$215+(O148)*$G$216+(Q148*$G$217))</f>
        <v>187.46189742326527</v>
      </c>
    </row>
    <row r="149">
      <c r="B149">
        <v>132</v>
      </c>
      <c r="C149">
        <f>$I$13+B149</f>
        <v>39737</v>
      </c>
      <c r="E149">
        <f>IF($C$14*ReDiarioFert!C138&lt;=0,"0",$C$14*ReDiarioFert!C138)</f>
        <v>6.773388753827542</v>
      </c>
      <c r="G149">
        <f>$C$14*ReDiarioFert!E138</f>
        <v>3.0979759369565216</v>
      </c>
      <c r="I149">
        <f>$C$14*ReDiarioFert!G138</f>
        <v>8.341666666666667</v>
      </c>
      <c r="K149">
        <f>$C$14*ReDiarioFert!I138</f>
        <v>5.353813984619254</v>
      </c>
      <c r="M149">
        <f>$C$14*ReDiarioFert!K138</f>
        <v>0.0002979611635</v>
      </c>
      <c r="O149">
        <f>$C$14*ReDiarioFert!M138</f>
        <v>174.06804048780486</v>
      </c>
      <c r="S149">
        <f>((E149/100)*$G$211+(G149/100)*$G$212+(I149/100)*$G$213+(K149/100)*$G$214+(M149/100)*$G$215+(O149)*$G$216+(Q149*$G$217))</f>
        <v>187.46189742326527</v>
      </c>
    </row>
    <row r="150">
      <c r="B150">
        <v>133</v>
      </c>
      <c r="C150">
        <f>$I$13+B150</f>
        <v>39738</v>
      </c>
      <c r="E150">
        <f>IF($C$14*ReDiarioFert!C139&lt;=0,"0",$C$14*ReDiarioFert!C139)</f>
        <v>6.773388753827542</v>
      </c>
      <c r="G150">
        <f>$C$14*ReDiarioFert!E139</f>
        <v>3.0979759369565216</v>
      </c>
      <c r="I150">
        <f>$C$14*ReDiarioFert!G139</f>
        <v>8.341666666666667</v>
      </c>
      <c r="K150">
        <f>$C$14*ReDiarioFert!I139</f>
        <v>5.353813984619254</v>
      </c>
      <c r="M150">
        <f>$C$14*ReDiarioFert!K139</f>
        <v>0.0002979611635</v>
      </c>
      <c r="O150">
        <f>$C$14*ReDiarioFert!M139</f>
        <v>174.06804048780486</v>
      </c>
      <c r="Q150" t="str">
        <f>Main!$H$84</f>
        <v>Acido Fosforoso</v>
      </c>
      <c r="R150">
        <f>Main!$K$84*Main!$I$22</f>
        <v>5.004999999999999</v>
      </c>
      <c r="S150">
        <f>((E150/100)*$G$211+(G150/100)*$G$212+(I150/100)*$G$213+(K150/100)*$G$214+(M150/100)*$G$215+(O150)*$G$216+(R150*Main!$J$84))</f>
        <v>587.8618974232652</v>
      </c>
    </row>
    <row r="151">
      <c r="A151">
        <v>20</v>
      </c>
      <c r="B151">
        <v>134</v>
      </c>
      <c r="C151">
        <f>$I$13+B151</f>
        <v>39739</v>
      </c>
      <c r="E151">
        <f>IF($C$14*ReDiarioFert!C140&lt;=0,"0",$C$14*ReDiarioFert!C140)</f>
        <v>6.773388753827542</v>
      </c>
      <c r="G151">
        <f>$C$14*ReDiarioFert!E140</f>
        <v>3.0979759369565216</v>
      </c>
      <c r="I151">
        <f>$C$14*ReDiarioFert!G140</f>
        <v>8.341666666666667</v>
      </c>
      <c r="K151">
        <f>$C$14*ReDiarioFert!I140</f>
        <v>5.353813984619254</v>
      </c>
      <c r="M151">
        <f>$C$14*ReDiarioFert!K140</f>
        <v>0.0002979611635</v>
      </c>
      <c r="O151">
        <f>$C$14*ReDiarioFert!M140</f>
        <v>174.06804048780486</v>
      </c>
      <c r="Q151">
        <f>$C$14*Main!$D$63</f>
        <v>20.019999999999996</v>
      </c>
      <c r="S151">
        <f>((E151/100)*$G$211+(G151/100)*$G$212+(I151/100)*$G$213+(K151/100)*$G$214+(M151/100)*$G$215+(O151)*$G$216+(Q151*$G$217))</f>
        <v>243.51789742326525</v>
      </c>
    </row>
    <row r="152">
      <c r="B152">
        <v>135</v>
      </c>
      <c r="C152">
        <f>$I$13+B152</f>
        <v>39740</v>
      </c>
      <c r="E152">
        <f>IF($C$14*ReDiarioFert!C141&lt;=0,"0",$C$14*ReDiarioFert!C141)</f>
        <v>6.773388753827542</v>
      </c>
      <c r="G152">
        <f>$C$14*ReDiarioFert!E141</f>
        <v>3.0979759369565216</v>
      </c>
      <c r="I152">
        <f>$C$14*ReDiarioFert!G141</f>
        <v>8.341666666666667</v>
      </c>
      <c r="K152">
        <f>$C$14*ReDiarioFert!I141</f>
        <v>5.353813984619254</v>
      </c>
      <c r="M152">
        <f>$C$14*ReDiarioFert!K141</f>
        <v>0.0002979611635</v>
      </c>
      <c r="O152">
        <f>$C$14*ReDiarioFert!M141</f>
        <v>174.06804048780486</v>
      </c>
      <c r="S152">
        <f>((E152/100)*$G$211+(G152/100)*$G$212+(I152/100)*$G$213+(K152/100)*$G$214+(M152/100)*$G$215+(O152)*$G$216+(Q152*$G$217))</f>
        <v>187.46189742326527</v>
      </c>
    </row>
    <row r="153">
      <c r="B153">
        <v>136</v>
      </c>
      <c r="C153">
        <f>$I$13+B153</f>
        <v>39741</v>
      </c>
      <c r="E153">
        <f>IF($C$14*ReDiarioFert!C142&lt;=0,"0",$C$14*ReDiarioFert!C142)</f>
        <v>6.773388753827542</v>
      </c>
      <c r="G153">
        <f>$C$14*ReDiarioFert!E142</f>
        <v>3.0979759369565216</v>
      </c>
      <c r="I153">
        <f>$C$14*ReDiarioFert!G142</f>
        <v>8.341666666666667</v>
      </c>
      <c r="K153">
        <f>$C$14*ReDiarioFert!I142</f>
        <v>5.353813984619254</v>
      </c>
      <c r="M153">
        <f>$C$14*ReDiarioFert!K142</f>
        <v>0.0002979611635</v>
      </c>
      <c r="O153">
        <f>$C$14*ReDiarioFert!M142</f>
        <v>174.06804048780486</v>
      </c>
      <c r="Q153" t="str">
        <f>Main!$H$83</f>
        <v>Acido Salicílico</v>
      </c>
      <c r="R153">
        <f>Main!$K$83*Main!$I$22</f>
        <v>250.24999999999997</v>
      </c>
      <c r="S153">
        <f>((E153/100)*$G$211+(G153/100)*$G$212+(I153/100)*$G$213+(K153/100)*$G$214+(M153/100)*$G$215+(O153)*$G$216+(R153*Main!$J$83))</f>
        <v>230.00439742326526</v>
      </c>
    </row>
    <row r="154">
      <c r="B154">
        <v>137</v>
      </c>
      <c r="C154">
        <f>$I$13+B154</f>
        <v>39742</v>
      </c>
      <c r="E154">
        <f>IF($C$14*ReDiarioFert!C143&lt;=0,"0",$C$14*ReDiarioFert!C143)</f>
        <v>6.773388753827542</v>
      </c>
      <c r="G154">
        <f>$C$14*ReDiarioFert!E143</f>
        <v>3.0979759369565216</v>
      </c>
      <c r="I154">
        <f>$C$14*ReDiarioFert!G143</f>
        <v>8.341666666666667</v>
      </c>
      <c r="K154">
        <f>$C$14*ReDiarioFert!I143</f>
        <v>5.353813984619254</v>
      </c>
      <c r="M154">
        <f>$C$14*ReDiarioFert!K143</f>
        <v>0.0002979611635</v>
      </c>
      <c r="O154">
        <f>$C$14*ReDiarioFert!M143</f>
        <v>174.06804048780486</v>
      </c>
      <c r="S154">
        <f>((E154/100)*$G$211+(G154/100)*$G$212+(I154/100)*$G$213+(K154/100)*$G$214+(M154/100)*$G$215+(O154)*$G$216+(Q154*$G$217))</f>
        <v>187.46189742326527</v>
      </c>
    </row>
    <row r="155">
      <c r="B155">
        <v>138</v>
      </c>
      <c r="C155">
        <f>$I$13+B155</f>
        <v>39743</v>
      </c>
      <c r="E155">
        <f>IF($C$14*ReDiarioFert!C144&lt;=0,"0",$C$14*ReDiarioFert!C144)</f>
        <v>6.773388753827542</v>
      </c>
      <c r="G155">
        <f>$C$14*ReDiarioFert!E144</f>
        <v>3.0979759369565216</v>
      </c>
      <c r="I155">
        <f>$C$14*ReDiarioFert!G144</f>
        <v>8.341666666666667</v>
      </c>
      <c r="K155">
        <f>$C$14*ReDiarioFert!I144</f>
        <v>5.353813984619254</v>
      </c>
      <c r="M155">
        <f>$C$14*ReDiarioFert!K144</f>
        <v>0.0002979611635</v>
      </c>
      <c r="O155">
        <f>$C$14*ReDiarioFert!M144</f>
        <v>174.06804048780486</v>
      </c>
      <c r="S155">
        <f>((E155/100)*$G$211+(G155/100)*$G$212+(I155/100)*$G$213+(K155/100)*$G$214+(M155/100)*$G$215+(O155)*$G$216+(Q155*$G$217))</f>
        <v>187.46189742326527</v>
      </c>
    </row>
    <row r="156">
      <c r="B156">
        <v>139</v>
      </c>
      <c r="C156">
        <f>$I$13+B156</f>
        <v>39744</v>
      </c>
      <c r="E156">
        <f>IF($C$14*ReDiarioFert!C145&lt;=0,"0",$C$14*ReDiarioFert!C145)</f>
        <v>6.773388753827542</v>
      </c>
      <c r="G156">
        <f>$C$14*ReDiarioFert!E145</f>
        <v>3.0979759369565216</v>
      </c>
      <c r="I156">
        <f>$C$14*ReDiarioFert!G145</f>
        <v>8.341666666666667</v>
      </c>
      <c r="K156">
        <f>$C$14*ReDiarioFert!I145</f>
        <v>5.353813984619254</v>
      </c>
      <c r="M156">
        <f>$C$14*ReDiarioFert!K145</f>
        <v>0.0002979611635</v>
      </c>
      <c r="O156">
        <f>$C$14*ReDiarioFert!M145</f>
        <v>174.06804048780486</v>
      </c>
      <c r="S156">
        <f>((E156/100)*$G$211+(G156/100)*$G$212+(I156/100)*$G$213+(K156/100)*$G$214+(M156/100)*$G$215+(O156)*$G$216+(Q156*$G$217))</f>
        <v>187.46189742326527</v>
      </c>
    </row>
    <row r="157">
      <c r="B157">
        <v>140</v>
      </c>
      <c r="C157">
        <f>$I$13+B157</f>
        <v>39745</v>
      </c>
      <c r="E157">
        <f>IF($C$14*ReDiarioFert!C146&lt;=0,"0",$C$14*ReDiarioFert!C146)</f>
        <v>6.773388753827542</v>
      </c>
      <c r="G157">
        <f>$C$14*ReDiarioFert!E146</f>
        <v>3.0979759369565216</v>
      </c>
      <c r="I157">
        <f>$C$14*ReDiarioFert!G146</f>
        <v>8.341666666666667</v>
      </c>
      <c r="K157">
        <f>$C$14*ReDiarioFert!I146</f>
        <v>5.353813984619254</v>
      </c>
      <c r="M157">
        <f>$C$14*ReDiarioFert!K146</f>
        <v>0.0002979611635</v>
      </c>
      <c r="O157">
        <f>$C$14*ReDiarioFert!M146</f>
        <v>174.06804048780486</v>
      </c>
      <c r="S157">
        <f>((E157/100)*$G$211+(G157/100)*$G$212+(I157/100)*$G$213+(K157/100)*$G$214+(M157/100)*$G$215+(O157)*$G$216+(Q157*$G$217))</f>
        <v>187.46189742326527</v>
      </c>
    </row>
    <row r="158">
      <c r="A158">
        <v>21</v>
      </c>
      <c r="B158">
        <v>141</v>
      </c>
      <c r="C158">
        <f>$I$13+B158</f>
        <v>39746</v>
      </c>
      <c r="D158" t="str">
        <f>Main!$H$86</f>
        <v>BaZam</v>
      </c>
      <c r="E158">
        <f>IF($C$14*ReDiarioFert!C147&lt;=0,"0",$C$14*ReDiarioFert!C147)</f>
        <v>6.773388753827542</v>
      </c>
      <c r="G158">
        <f>$C$14*ReDiarioFert!E147</f>
        <v>3.0979759369565216</v>
      </c>
      <c r="I158">
        <f>$C$14*ReDiarioFert!G147</f>
        <v>8.341666666666667</v>
      </c>
      <c r="K158">
        <f>$C$14*ReDiarioFert!I147</f>
        <v>5.353813984619254</v>
      </c>
      <c r="M158">
        <f>$C$14*ReDiarioFert!K147</f>
        <v>0.0002979611635</v>
      </c>
      <c r="O158">
        <f>$C$14*ReDiarioFert!M147</f>
        <v>174.06804048780486</v>
      </c>
      <c r="Q158">
        <f>$C$14*Main!$D$63</f>
        <v>20.019999999999996</v>
      </c>
      <c r="R158">
        <f>Main!$K$86*Main!$I$22</f>
        <v>1.001</v>
      </c>
      <c r="S158">
        <f>((E158/100)*$G$211+(G158/100)*$G$212+(I158/100)*$G$213+(K158/100)*$G$214+(M158/100)*$G$215+(O158)*$G$216+(Q158*$G$217)+(R158*Main!$J$86))</f>
        <v>623.8978974232652</v>
      </c>
    </row>
    <row r="159">
      <c r="B159">
        <v>142</v>
      </c>
      <c r="C159">
        <f>$I$13+B159</f>
        <v>39747</v>
      </c>
      <c r="E159">
        <f>IF($C$14*ReDiarioFert!C148&lt;=0,"0",$C$14*ReDiarioFert!C148)</f>
        <v>6.773388753827542</v>
      </c>
      <c r="G159">
        <f>$C$14*ReDiarioFert!E148</f>
        <v>3.0979759369565216</v>
      </c>
      <c r="I159">
        <f>$C$14*ReDiarioFert!G148</f>
        <v>8.341666666666667</v>
      </c>
      <c r="K159">
        <f>$C$14*ReDiarioFert!I148</f>
        <v>5.353813984619254</v>
      </c>
      <c r="M159">
        <f>$C$14*ReDiarioFert!K148</f>
        <v>0.0002979611635</v>
      </c>
      <c r="O159">
        <f>$C$14*ReDiarioFert!M148</f>
        <v>174.06804048780486</v>
      </c>
      <c r="S159">
        <f>((E159/100)*$G$211+(G159/100)*$G$212+(I159/100)*$G$213+(K159/100)*$G$214+(M159/100)*$G$215+(O159)*$G$216+(Q159*$G$217))</f>
        <v>187.46189742326527</v>
      </c>
    </row>
    <row r="160">
      <c r="B160">
        <v>143</v>
      </c>
      <c r="C160">
        <f>$I$13+B160</f>
        <v>39748</v>
      </c>
      <c r="E160">
        <f>IF($C$14*ReDiarioFert!C149&lt;=0,"0",$C$14*ReDiarioFert!C149)</f>
        <v>6.773388753827542</v>
      </c>
      <c r="G160">
        <f>$C$14*ReDiarioFert!E149</f>
        <v>3.0979759369565216</v>
      </c>
      <c r="I160">
        <f>$C$14*ReDiarioFert!G149</f>
        <v>8.341666666666667</v>
      </c>
      <c r="K160">
        <f>$C$14*ReDiarioFert!I149</f>
        <v>5.353813984619254</v>
      </c>
      <c r="M160">
        <f>$C$14*ReDiarioFert!K149</f>
        <v>0.0002979611635</v>
      </c>
      <c r="O160">
        <f>$C$14*ReDiarioFert!M149</f>
        <v>174.06804048780486</v>
      </c>
      <c r="S160">
        <f>((E160/100)*$G$211+(G160/100)*$G$212+(I160/100)*$G$213+(K160/100)*$G$214+(M160/100)*$G$215+(O160)*$G$216+(Q160*$G$217))</f>
        <v>187.46189742326527</v>
      </c>
    </row>
    <row r="161">
      <c r="B161">
        <v>144</v>
      </c>
      <c r="C161">
        <f>$I$13+B161</f>
        <v>39749</v>
      </c>
      <c r="E161">
        <f>IF($C$14*ReDiarioFert!C150&lt;=0,"0",$C$14*ReDiarioFert!C150)</f>
        <v>6.773388753827542</v>
      </c>
      <c r="G161">
        <f>$C$14*ReDiarioFert!E150</f>
        <v>3.0979759369565216</v>
      </c>
      <c r="I161">
        <f>$C$14*ReDiarioFert!G150</f>
        <v>8.341666666666667</v>
      </c>
      <c r="K161">
        <f>$C$14*ReDiarioFert!I150</f>
        <v>5.353813984619254</v>
      </c>
      <c r="M161">
        <f>$C$14*ReDiarioFert!K150</f>
        <v>0.0002979611635</v>
      </c>
      <c r="O161">
        <f>$C$14*ReDiarioFert!M150</f>
        <v>174.06804048780486</v>
      </c>
      <c r="S161">
        <f>((E161/100)*$G$211+(G161/100)*$G$212+(I161/100)*$G$213+(K161/100)*$G$214+(M161/100)*$G$215+(O161)*$G$216+(Q161*$G$217))</f>
        <v>187.46189742326527</v>
      </c>
    </row>
    <row r="162">
      <c r="B162">
        <v>145</v>
      </c>
      <c r="C162">
        <f>$I$13+B162</f>
        <v>39750</v>
      </c>
      <c r="E162">
        <f>IF($C$14*ReDiarioFert!C151&lt;=0,"0",$C$14*ReDiarioFert!C151)</f>
        <v>6.773388753827542</v>
      </c>
      <c r="G162">
        <f>$C$14*ReDiarioFert!E151</f>
        <v>3.0979759369565216</v>
      </c>
      <c r="I162">
        <f>$C$14*ReDiarioFert!G151</f>
        <v>8.341666666666667</v>
      </c>
      <c r="K162">
        <f>$C$14*ReDiarioFert!I151</f>
        <v>5.353813984619254</v>
      </c>
      <c r="M162">
        <f>$C$14*ReDiarioFert!K151</f>
        <v>0.0002979611635</v>
      </c>
      <c r="O162">
        <f>$C$14*ReDiarioFert!M151</f>
        <v>174.06804048780486</v>
      </c>
      <c r="S162">
        <f>((E162/100)*$G$211+(G162/100)*$G$212+(I162/100)*$G$213+(K162/100)*$G$214+(M162/100)*$G$215+(O162)*$G$216+(Q162*$G$217))</f>
        <v>187.46189742326527</v>
      </c>
    </row>
    <row r="163">
      <c r="B163">
        <v>146</v>
      </c>
      <c r="C163">
        <f>$I$13+B163</f>
        <v>39751</v>
      </c>
      <c r="E163">
        <f>IF($C$14*ReDiarioFert!C152&lt;=0,"0",$C$14*ReDiarioFert!C152)</f>
        <v>6.773388753827542</v>
      </c>
      <c r="G163">
        <f>$C$14*ReDiarioFert!E152</f>
        <v>3.0979759369565216</v>
      </c>
      <c r="I163">
        <f>$C$14*ReDiarioFert!G152</f>
        <v>8.341666666666667</v>
      </c>
      <c r="K163">
        <f>$C$14*ReDiarioFert!I152</f>
        <v>5.353813984619254</v>
      </c>
      <c r="M163">
        <f>$C$14*ReDiarioFert!K152</f>
        <v>0.0002979611635</v>
      </c>
      <c r="O163">
        <f>$C$14*ReDiarioFert!M152</f>
        <v>174.06804048780486</v>
      </c>
      <c r="S163">
        <f>((E163/100)*$G$211+(G163/100)*$G$212+(I163/100)*$G$213+(K163/100)*$G$214+(M163/100)*$G$215+(O163)*$G$216+(Q163*$G$217))</f>
        <v>187.46189742326527</v>
      </c>
    </row>
    <row r="164">
      <c r="B164">
        <v>147</v>
      </c>
      <c r="C164">
        <f>$I$13+B164</f>
        <v>39752</v>
      </c>
      <c r="E164">
        <f>IF($C$14*ReDiarioFert!C153&lt;=0,"0",$C$14*ReDiarioFert!C153)</f>
        <v>6.773388753827542</v>
      </c>
      <c r="G164">
        <f>$C$14*ReDiarioFert!E153</f>
        <v>3.0979759369565216</v>
      </c>
      <c r="I164">
        <f>$C$14*ReDiarioFert!G153</f>
        <v>8.341666666666667</v>
      </c>
      <c r="K164">
        <f>$C$14*ReDiarioFert!I153</f>
        <v>5.353813984619254</v>
      </c>
      <c r="M164">
        <f>$C$14*ReDiarioFert!K153</f>
        <v>0.0002979611635</v>
      </c>
      <c r="O164">
        <f>$C$14*ReDiarioFert!M153</f>
        <v>174.06804048780486</v>
      </c>
      <c r="S164">
        <f>((E164/100)*$G$211+(G164/100)*$G$212+(I164/100)*$G$213+(K164/100)*$G$214+(M164/100)*$G$215+(O164)*$G$216+(Q164*$G$217))</f>
        <v>187.46189742326527</v>
      </c>
    </row>
    <row r="165">
      <c r="A165">
        <v>22</v>
      </c>
      <c r="B165">
        <v>148</v>
      </c>
      <c r="C165">
        <f>$I$13+B165</f>
        <v>39753</v>
      </c>
      <c r="E165">
        <f>IF($C$14*ReDiarioFert!C154&lt;=0,"0",$C$14*ReDiarioFert!C154)</f>
        <v>6.773388753827542</v>
      </c>
      <c r="G165">
        <f>$C$14*ReDiarioFert!E154</f>
        <v>3.0979759369565216</v>
      </c>
      <c r="I165">
        <f>$C$14*ReDiarioFert!G154</f>
        <v>8.341666666666667</v>
      </c>
      <c r="K165">
        <f>$C$14*ReDiarioFert!I154</f>
        <v>5.353813984619254</v>
      </c>
      <c r="M165">
        <f>$C$14*ReDiarioFert!K154</f>
        <v>0.0002979611635</v>
      </c>
      <c r="O165">
        <f>$C$14*ReDiarioFert!M154</f>
        <v>174.06804048780486</v>
      </c>
      <c r="Q165">
        <f>$C$14*Main!$D$63</f>
        <v>20.019999999999996</v>
      </c>
      <c r="S165">
        <f>((E165/100)*$G$211+(G165/100)*$G$212+(I165/100)*$G$213+(K165/100)*$G$214+(M165/100)*$G$215+(O165)*$G$216+(Q165*$G$217))</f>
        <v>243.51789742326525</v>
      </c>
    </row>
    <row r="166">
      <c r="B166">
        <v>149</v>
      </c>
      <c r="C166">
        <f>$I$13+B166</f>
        <v>39754</v>
      </c>
      <c r="E166">
        <f>IF($C$14*ReDiarioFert!C155&lt;=0,"0",$C$14*ReDiarioFert!C155)</f>
        <v>6.773388753827542</v>
      </c>
      <c r="G166">
        <f>$C$14*ReDiarioFert!E155</f>
        <v>3.0979759369565216</v>
      </c>
      <c r="I166">
        <f>$C$14*ReDiarioFert!G155</f>
        <v>8.341666666666667</v>
      </c>
      <c r="K166">
        <f>$C$14*ReDiarioFert!I155</f>
        <v>5.353813984619254</v>
      </c>
      <c r="M166">
        <f>$C$14*ReDiarioFert!K155</f>
        <v>0.0002979611635</v>
      </c>
      <c r="O166">
        <f>$C$14*ReDiarioFert!M155</f>
        <v>174.06804048780486</v>
      </c>
      <c r="S166">
        <f>((E166/100)*$G$211+(G166/100)*$G$212+(I166/100)*$G$213+(K166/100)*$G$214+(M166/100)*$G$215+(O166)*$G$216+(Q166*$G$217))</f>
        <v>187.46189742326527</v>
      </c>
    </row>
    <row r="167">
      <c r="B167">
        <v>150</v>
      </c>
      <c r="C167">
        <f>$I$13+B167</f>
        <v>39755</v>
      </c>
      <c r="E167">
        <f>IF($C$14*ReDiarioFert!C156&lt;=0,"0",$C$14*ReDiarioFert!C156)</f>
        <v>6.773388753827542</v>
      </c>
      <c r="G167">
        <f>$C$14*ReDiarioFert!E156</f>
        <v>3.0979759369565216</v>
      </c>
      <c r="I167">
        <f>$C$14*ReDiarioFert!G156</f>
        <v>8.341666666666667</v>
      </c>
      <c r="K167">
        <f>$C$14*ReDiarioFert!I156</f>
        <v>5.353813984619254</v>
      </c>
      <c r="M167">
        <f>$C$14*ReDiarioFert!K156</f>
        <v>0.0002979611635</v>
      </c>
      <c r="O167">
        <f>$C$14*ReDiarioFert!M156</f>
        <v>174.06804048780486</v>
      </c>
      <c r="S167">
        <f>((E167/100)*$G$211+(G167/100)*$G$212+(I167/100)*$G$213+(K167/100)*$G$214+(M167/100)*$G$215+(O167)*$G$216+(Q167*$G$217))</f>
        <v>187.46189742326527</v>
      </c>
    </row>
    <row r="168">
      <c r="B168">
        <v>151</v>
      </c>
      <c r="C168">
        <f>$I$13+B168</f>
        <v>39756</v>
      </c>
      <c r="E168">
        <f>IF($C$14*ReDiarioFert!C157&lt;=0,"0",$C$14*ReDiarioFert!C157)</f>
        <v>6.773388753827542</v>
      </c>
      <c r="G168">
        <f>$C$14*ReDiarioFert!E157</f>
        <v>3.0979759369565216</v>
      </c>
      <c r="I168">
        <f>$C$14*ReDiarioFert!G157</f>
        <v>8.341666666666667</v>
      </c>
      <c r="K168">
        <f>$C$14*ReDiarioFert!I157</f>
        <v>5.353813984619254</v>
      </c>
      <c r="M168">
        <f>$C$14*ReDiarioFert!K157</f>
        <v>0.0002979611635</v>
      </c>
      <c r="O168">
        <f>$C$14*ReDiarioFert!M157</f>
        <v>174.06804048780486</v>
      </c>
      <c r="S168">
        <f>((E168/100)*$G$211+(G168/100)*$G$212+(I168/100)*$G$213+(K168/100)*$G$214+(M168/100)*$G$215+(O168)*$G$216+(Q168*$G$217))</f>
        <v>187.46189742326527</v>
      </c>
    </row>
    <row r="169">
      <c r="B169">
        <v>152</v>
      </c>
      <c r="C169">
        <f>$I$13+B169</f>
        <v>39757</v>
      </c>
      <c r="E169">
        <f>IF($C$14*ReDiarioFert!C158&lt;=0,"0",$C$14*ReDiarioFert!C158)</f>
        <v>6.773388753827542</v>
      </c>
      <c r="G169">
        <f>$C$14*ReDiarioFert!E158</f>
        <v>3.0979759369565216</v>
      </c>
      <c r="I169">
        <f>$C$14*ReDiarioFert!G158</f>
        <v>8.341666666666667</v>
      </c>
      <c r="K169">
        <f>$C$14*ReDiarioFert!I158</f>
        <v>5.353813984619254</v>
      </c>
      <c r="M169">
        <f>$C$14*ReDiarioFert!K158</f>
        <v>0.0002979611635</v>
      </c>
      <c r="O169">
        <f>$C$14*ReDiarioFert!M158</f>
        <v>174.06804048780486</v>
      </c>
      <c r="S169">
        <f>((E169/100)*$G$211+(G169/100)*$G$212+(I169/100)*$G$213+(K169/100)*$G$214+(M169/100)*$G$215+(O169)*$G$216+(Q169*$G$217))</f>
        <v>187.46189742326527</v>
      </c>
    </row>
    <row r="170">
      <c r="B170">
        <v>153</v>
      </c>
      <c r="C170">
        <f>$I$13+B170</f>
        <v>39758</v>
      </c>
      <c r="E170">
        <f>IF($C$14*ReDiarioFert!C159&lt;=0,"0",$C$14*ReDiarioFert!C159)</f>
        <v>6.773388753827542</v>
      </c>
      <c r="G170">
        <f>$C$14*ReDiarioFert!E159</f>
        <v>3.0979759369565216</v>
      </c>
      <c r="I170">
        <f>$C$14*ReDiarioFert!G159</f>
        <v>8.341666666666667</v>
      </c>
      <c r="K170">
        <f>$C$14*ReDiarioFert!I159</f>
        <v>5.353813984619254</v>
      </c>
      <c r="M170">
        <f>$C$14*ReDiarioFert!K159</f>
        <v>0.0002979611635</v>
      </c>
      <c r="O170">
        <f>$C$14*ReDiarioFert!M159</f>
        <v>174.06804048780486</v>
      </c>
      <c r="S170">
        <f>((E170/100)*$G$211+(G170/100)*$G$212+(I170/100)*$G$213+(K170/100)*$G$214+(M170/100)*$G$215+(O170)*$G$216+(Q170*$G$217))</f>
        <v>187.46189742326527</v>
      </c>
    </row>
    <row r="171">
      <c r="B171">
        <v>154</v>
      </c>
      <c r="C171">
        <f>$I$13+B171</f>
        <v>39759</v>
      </c>
      <c r="E171">
        <f>IF($C$14*ReDiarioFert!C160&lt;=0,"0",$C$14*ReDiarioFert!C160)</f>
        <v>6.773388753827542</v>
      </c>
      <c r="G171">
        <f>$C$14*ReDiarioFert!E160</f>
        <v>3.0979759369565216</v>
      </c>
      <c r="I171">
        <f>$C$14*ReDiarioFert!G160</f>
        <v>8.341666666666667</v>
      </c>
      <c r="K171">
        <f>$C$14*ReDiarioFert!I160</f>
        <v>5.353813984619254</v>
      </c>
      <c r="M171">
        <f>$C$14*ReDiarioFert!K160</f>
        <v>0.0002979611635</v>
      </c>
      <c r="O171">
        <f>$C$14*ReDiarioFert!M160</f>
        <v>174.06804048780486</v>
      </c>
      <c r="Q171" t="str">
        <f>Main!$H$83</f>
        <v>Acido Salicílico</v>
      </c>
      <c r="R171">
        <f>Main!$K$83*Main!$I$22</f>
        <v>250.24999999999997</v>
      </c>
      <c r="S171">
        <f>((E171/100)*$G$211+(G171/100)*$G$212+(I171/100)*$G$213+(K171/100)*$G$214+(M171/100)*$G$215+(O171)*$G$216+(R171*Main!$J$83))</f>
        <v>230.00439742326526</v>
      </c>
    </row>
    <row r="172">
      <c r="A172">
        <v>23</v>
      </c>
      <c r="B172">
        <v>155</v>
      </c>
      <c r="C172">
        <f>$I$13+B172</f>
        <v>39760</v>
      </c>
      <c r="E172">
        <f>IF($C$14*ReDiarioFert!C161&lt;=0,"0",$C$14*ReDiarioFert!C161)</f>
        <v>6.773388753827542</v>
      </c>
      <c r="G172">
        <f>$C$14*ReDiarioFert!E161</f>
        <v>3.0979759369565216</v>
      </c>
      <c r="I172">
        <f>$C$14*ReDiarioFert!G161</f>
        <v>8.341666666666667</v>
      </c>
      <c r="K172">
        <f>$C$14*ReDiarioFert!I161</f>
        <v>5.353813984619254</v>
      </c>
      <c r="M172">
        <f>$C$14*ReDiarioFert!K161</f>
        <v>0.0002979611635</v>
      </c>
      <c r="O172">
        <f>$C$14*ReDiarioFert!M161</f>
        <v>174.06804048780486</v>
      </c>
      <c r="Q172">
        <f>$C$14*Main!$D$63</f>
        <v>20.019999999999996</v>
      </c>
      <c r="S172">
        <f>((E172/100)*$G$211+(G172/100)*$G$212+(I172/100)*$G$213+(K172/100)*$G$214+(M172/100)*$G$215+(O172)*$G$216+(Q172*$G$217))</f>
        <v>243.51789742326525</v>
      </c>
    </row>
    <row r="173">
      <c r="B173">
        <v>156</v>
      </c>
      <c r="C173">
        <f>$I$13+B173</f>
        <v>39761</v>
      </c>
      <c r="E173">
        <f>IF($C$14*ReDiarioFert!C162&lt;=0,"0",$C$14*ReDiarioFert!C162)</f>
        <v>6.773388753827542</v>
      </c>
      <c r="G173">
        <f>$C$14*ReDiarioFert!E162</f>
        <v>3.0979759369565216</v>
      </c>
      <c r="I173">
        <f>$C$14*ReDiarioFert!G162</f>
        <v>8.341666666666667</v>
      </c>
      <c r="K173">
        <f>$C$14*ReDiarioFert!I162</f>
        <v>5.353813984619254</v>
      </c>
      <c r="M173">
        <f>$C$14*ReDiarioFert!K162</f>
        <v>0.0002979611635</v>
      </c>
      <c r="O173">
        <f>$C$14*ReDiarioFert!M162</f>
        <v>174.06804048780486</v>
      </c>
      <c r="S173">
        <f>((E173/100)*$G$211+(G173/100)*$G$212+(I173/100)*$G$213+(K173/100)*$G$214+(M173/100)*$G$215+(O173)*$G$216+(Q173*$G$217))</f>
        <v>187.46189742326527</v>
      </c>
    </row>
    <row r="174">
      <c r="B174">
        <v>157</v>
      </c>
      <c r="C174">
        <f>$I$13+B174</f>
        <v>39762</v>
      </c>
      <c r="E174">
        <f>IF($C$14*ReDiarioFert!C163&lt;=0,"0",$C$14*ReDiarioFert!C163)</f>
        <v>6.773388753827542</v>
      </c>
      <c r="G174">
        <f>$C$14*ReDiarioFert!E163</f>
        <v>3.0979759369565216</v>
      </c>
      <c r="I174">
        <f>$C$14*ReDiarioFert!G163</f>
        <v>8.341666666666667</v>
      </c>
      <c r="K174">
        <f>$C$14*ReDiarioFert!I163</f>
        <v>5.353813984619254</v>
      </c>
      <c r="M174">
        <f>$C$14*ReDiarioFert!K163</f>
        <v>0.0002979611635</v>
      </c>
      <c r="O174">
        <f>$C$14*ReDiarioFert!M163</f>
        <v>174.06804048780486</v>
      </c>
      <c r="S174">
        <f>((E174/100)*$G$211+(G174/100)*$G$212+(I174/100)*$G$213+(K174/100)*$G$214+(M174/100)*$G$215+(O174)*$G$216+(Q174*$G$217))</f>
        <v>187.46189742326527</v>
      </c>
    </row>
    <row r="175">
      <c r="B175">
        <v>158</v>
      </c>
      <c r="C175">
        <f>$I$13+B175</f>
        <v>39763</v>
      </c>
      <c r="E175">
        <f>IF($C$14*ReDiarioFert!C164&lt;=0,"0",$C$14*ReDiarioFert!C164)</f>
        <v>6.773388753827542</v>
      </c>
      <c r="G175">
        <f>$C$14*ReDiarioFert!E164</f>
        <v>3.0979759369565216</v>
      </c>
      <c r="I175">
        <f>$C$14*ReDiarioFert!G164</f>
        <v>8.341666666666667</v>
      </c>
      <c r="K175">
        <f>$C$14*ReDiarioFert!I164</f>
        <v>5.353813984619254</v>
      </c>
      <c r="M175">
        <f>$C$14*ReDiarioFert!K164</f>
        <v>0.0002979611635</v>
      </c>
      <c r="O175">
        <f>$C$14*ReDiarioFert!M164</f>
        <v>174.06804048780486</v>
      </c>
      <c r="S175">
        <f>((E175/100)*$G$211+(G175/100)*$G$212+(I175/100)*$G$213+(K175/100)*$G$214+(M175/100)*$G$215+(O175)*$G$216+(Q175*$G$217))</f>
        <v>187.46189742326527</v>
      </c>
    </row>
    <row r="176">
      <c r="B176">
        <v>159</v>
      </c>
      <c r="C176">
        <f>$I$13+B176</f>
        <v>39764</v>
      </c>
      <c r="E176">
        <f>IF($C$14*ReDiarioFert!C165&lt;=0,"0",$C$14*ReDiarioFert!C165)</f>
        <v>6.773388753827542</v>
      </c>
      <c r="G176">
        <f>$C$14*ReDiarioFert!E165</f>
        <v>3.0979759369565216</v>
      </c>
      <c r="I176">
        <f>$C$14*ReDiarioFert!G165</f>
        <v>8.341666666666667</v>
      </c>
      <c r="K176">
        <f>$C$14*ReDiarioFert!I165</f>
        <v>5.353813984619254</v>
      </c>
      <c r="M176">
        <f>$C$14*ReDiarioFert!K165</f>
        <v>0.0002979611635</v>
      </c>
      <c r="O176">
        <f>$C$14*ReDiarioFert!M165</f>
        <v>174.06804048780486</v>
      </c>
      <c r="S176">
        <f>((E176/100)*$G$211+(G176/100)*$G$212+(I176/100)*$G$213+(K176/100)*$G$214+(M176/100)*$G$215+(O176)*$G$216+(Q176*$G$217))</f>
        <v>187.46189742326527</v>
      </c>
    </row>
    <row r="177">
      <c r="B177">
        <v>160</v>
      </c>
      <c r="C177">
        <f>$I$13+B177</f>
        <v>39765</v>
      </c>
      <c r="E177">
        <f>IF($C$14*ReDiarioFert!C166&lt;=0,"0",$C$14*ReDiarioFert!C166)</f>
        <v>6.773388753827542</v>
      </c>
      <c r="G177">
        <f>$C$14*ReDiarioFert!E166</f>
        <v>3.0979759369565216</v>
      </c>
      <c r="I177">
        <f>$C$14*ReDiarioFert!G166</f>
        <v>8.341666666666667</v>
      </c>
      <c r="K177">
        <f>$C$14*ReDiarioFert!I166</f>
        <v>5.353813984619254</v>
      </c>
      <c r="M177">
        <f>$C$14*ReDiarioFert!K166</f>
        <v>0.0002979611635</v>
      </c>
      <c r="O177">
        <f>$C$14*ReDiarioFert!M166</f>
        <v>174.06804048780486</v>
      </c>
      <c r="S177">
        <f>((E177/100)*$G$211+(G177/100)*$G$212+(I177/100)*$G$213+(K177/100)*$G$214+(M177/100)*$G$215+(O177)*$G$216+(Q177*$G$217))</f>
        <v>187.46189742326527</v>
      </c>
    </row>
    <row r="178">
      <c r="B178">
        <v>161</v>
      </c>
      <c r="C178">
        <f>$I$13+B178</f>
        <v>39766</v>
      </c>
      <c r="E178">
        <f>IF($C$14*ReDiarioFert!C167&lt;=0,"0",$C$14*ReDiarioFert!C167)</f>
        <v>6.773388753827542</v>
      </c>
      <c r="G178">
        <f>$C$14*ReDiarioFert!E167</f>
        <v>3.0979759369565216</v>
      </c>
      <c r="I178">
        <f>$C$14*ReDiarioFert!G167</f>
        <v>8.341666666666667</v>
      </c>
      <c r="K178">
        <f>$C$14*ReDiarioFert!I167</f>
        <v>5.353813984619254</v>
      </c>
      <c r="M178">
        <f>$C$14*ReDiarioFert!K167</f>
        <v>0.0002979611635</v>
      </c>
      <c r="O178">
        <f>$C$14*ReDiarioFert!M167</f>
        <v>174.06804048780486</v>
      </c>
      <c r="S178">
        <f>((E178/100)*$G$211+(G178/100)*$G$212+(I178/100)*$G$213+(K178/100)*$G$214+(M178/100)*$G$215+(O178)*$G$216+(Q178*$G$217))</f>
        <v>187.46189742326527</v>
      </c>
    </row>
    <row r="179">
      <c r="A179">
        <v>24</v>
      </c>
      <c r="B179">
        <v>162</v>
      </c>
      <c r="C179">
        <f>$I$13+B179</f>
        <v>39767</v>
      </c>
      <c r="E179">
        <f>IF($C$14*ReDiarioFert!C168&lt;=0,"0",$C$14*ReDiarioFert!C168)</f>
        <v>6.773388753827542</v>
      </c>
      <c r="G179">
        <f>$C$14*ReDiarioFert!E168</f>
        <v>3.0979759369565216</v>
      </c>
      <c r="I179">
        <f>$C$14*ReDiarioFert!G168</f>
        <v>8.341666666666667</v>
      </c>
      <c r="K179">
        <f>$C$14*ReDiarioFert!I168</f>
        <v>5.353813984619254</v>
      </c>
      <c r="M179">
        <f>$C$14*ReDiarioFert!K168</f>
        <v>0.0002979611635</v>
      </c>
      <c r="O179">
        <f>$C$14*ReDiarioFert!M168</f>
        <v>174.06804048780486</v>
      </c>
      <c r="Q179">
        <f>$C$14*Main!$D$63</f>
        <v>20.019999999999996</v>
      </c>
      <c r="S179">
        <f>((E179/100)*$G$211+(G179/100)*$G$212+(I179/100)*$G$213+(K179/100)*$G$214+(M179/100)*$G$215+(O179)*$G$216+(Q179*$G$217))</f>
        <v>243.51789742326525</v>
      </c>
    </row>
    <row r="180">
      <c r="B180">
        <v>163</v>
      </c>
      <c r="C180">
        <f>$I$13+B180</f>
        <v>39768</v>
      </c>
      <c r="E180">
        <f>IF($C$14*ReDiarioFert!C169&lt;=0,"0",$C$14*ReDiarioFert!C169)</f>
        <v>6.773388753827542</v>
      </c>
      <c r="G180">
        <f>$C$14*ReDiarioFert!E169</f>
        <v>3.0979759369565216</v>
      </c>
      <c r="I180">
        <f>$C$14*ReDiarioFert!G169</f>
        <v>8.341666666666667</v>
      </c>
      <c r="K180">
        <f>$C$14*ReDiarioFert!I169</f>
        <v>5.353813984619254</v>
      </c>
      <c r="M180">
        <f>$C$14*ReDiarioFert!K169</f>
        <v>0.0002979611635</v>
      </c>
      <c r="O180">
        <f>$C$14*ReDiarioFert!M169</f>
        <v>174.06804048780486</v>
      </c>
      <c r="S180">
        <f>((E180/100)*$G$211+(G180/100)*$G$212+(I180/100)*$G$213+(K180/100)*$G$214+(M180/100)*$G$215+(O180)*$G$216+(Q180*$G$217))</f>
        <v>187.46189742326527</v>
      </c>
    </row>
    <row r="181">
      <c r="B181">
        <v>164</v>
      </c>
      <c r="C181">
        <f>$I$13+B181</f>
        <v>39769</v>
      </c>
      <c r="E181">
        <f>IF($C$14*ReDiarioFert!C170&lt;=0,"0",$C$14*ReDiarioFert!C170)</f>
        <v>6.773388753827542</v>
      </c>
      <c r="G181">
        <f>$C$14*ReDiarioFert!E170</f>
        <v>3.0979759369565216</v>
      </c>
      <c r="I181">
        <f>$C$14*ReDiarioFert!G170</f>
        <v>8.341666666666667</v>
      </c>
      <c r="K181">
        <f>$C$14*ReDiarioFert!I170</f>
        <v>5.353813984619254</v>
      </c>
      <c r="M181">
        <f>$C$14*ReDiarioFert!K170</f>
        <v>0.0002979611635</v>
      </c>
      <c r="O181">
        <f>$C$14*ReDiarioFert!M170</f>
        <v>174.06804048780486</v>
      </c>
      <c r="S181">
        <f>((E181/100)*$G$211+(G181/100)*$G$212+(I181/100)*$G$213+(K181/100)*$G$214+(M181/100)*$G$215+(O181)*$G$216+(Q181*$G$217))</f>
        <v>187.46189742326527</v>
      </c>
    </row>
    <row r="182">
      <c r="B182">
        <v>165</v>
      </c>
      <c r="C182">
        <f>$I$13+B182</f>
        <v>39770</v>
      </c>
      <c r="E182">
        <f>IF($C$14*ReDiarioFert!C171&lt;=0,"0",$C$14*ReDiarioFert!C171)</f>
        <v>6.773388753827542</v>
      </c>
      <c r="G182">
        <f>$C$14*ReDiarioFert!E171</f>
        <v>3.0979759369565216</v>
      </c>
      <c r="I182">
        <f>$C$14*ReDiarioFert!G171</f>
        <v>8.341666666666667</v>
      </c>
      <c r="K182">
        <f>$C$14*ReDiarioFert!I171</f>
        <v>5.353813984619254</v>
      </c>
      <c r="M182">
        <f>$C$14*ReDiarioFert!K171</f>
        <v>0.0002979611635</v>
      </c>
      <c r="O182">
        <f>$C$14*ReDiarioFert!M171</f>
        <v>174.06804048780486</v>
      </c>
      <c r="S182">
        <f>((E182/100)*$G$211+(G182/100)*$G$212+(I182/100)*$G$213+(K182/100)*$G$214+(M182/100)*$G$215+(O182)*$G$216+(Q182*$G$217))</f>
        <v>187.46189742326527</v>
      </c>
    </row>
    <row r="183">
      <c r="B183">
        <v>166</v>
      </c>
      <c r="C183">
        <f>$I$13+B183</f>
        <v>39771</v>
      </c>
      <c r="E183">
        <f>IF($C$14*ReDiarioFert!C172&lt;=0,"0",$C$14*ReDiarioFert!C172)</f>
        <v>6.773388753827542</v>
      </c>
      <c r="G183">
        <f>$C$14*ReDiarioFert!E172</f>
        <v>3.0979759369565216</v>
      </c>
      <c r="I183">
        <f>$C$14*ReDiarioFert!G172</f>
        <v>8.341666666666667</v>
      </c>
      <c r="K183">
        <f>$C$14*ReDiarioFert!I172</f>
        <v>5.353813984619254</v>
      </c>
      <c r="M183">
        <f>$C$14*ReDiarioFert!K172</f>
        <v>0.0002979611635</v>
      </c>
      <c r="O183">
        <f>$C$14*ReDiarioFert!M172</f>
        <v>174.06804048780486</v>
      </c>
      <c r="S183">
        <f>((E183/100)*$G$211+(G183/100)*$G$212+(I183/100)*$G$213+(K183/100)*$G$214+(M183/100)*$G$215+(O183)*$G$216+(Q183*$G$217))</f>
        <v>187.46189742326527</v>
      </c>
    </row>
    <row r="184">
      <c r="B184">
        <v>167</v>
      </c>
      <c r="C184">
        <f>$I$13+B184</f>
        <v>39772</v>
      </c>
      <c r="E184">
        <f>IF($C$14*ReDiarioFert!C173&lt;=0,"0",$C$14*ReDiarioFert!C173)</f>
        <v>6.773388753827542</v>
      </c>
      <c r="G184">
        <f>$C$14*ReDiarioFert!E173</f>
        <v>3.0979759369565216</v>
      </c>
      <c r="I184">
        <f>$C$14*ReDiarioFert!G173</f>
        <v>8.341666666666667</v>
      </c>
      <c r="K184">
        <f>$C$14*ReDiarioFert!I173</f>
        <v>5.353813984619254</v>
      </c>
      <c r="M184">
        <f>$C$14*ReDiarioFert!K173</f>
        <v>0.0002979611635</v>
      </c>
      <c r="O184">
        <f>$C$14*ReDiarioFert!M173</f>
        <v>174.06804048780486</v>
      </c>
      <c r="S184">
        <f>((E184/100)*$G$211+(G184/100)*$G$212+(I184/100)*$G$213+(K184/100)*$G$214+(M184/100)*$G$215+(O184)*$G$216+(Q184*$G$217))</f>
        <v>187.46189742326527</v>
      </c>
    </row>
    <row r="185">
      <c r="B185">
        <v>168</v>
      </c>
      <c r="C185">
        <f>$I$13+B185</f>
        <v>39773</v>
      </c>
      <c r="E185">
        <f>IF($C$14*ReDiarioFert!C174&lt;=0,"0",$C$14*ReDiarioFert!C174)</f>
        <v>6.773388753827542</v>
      </c>
      <c r="G185">
        <f>$C$14*ReDiarioFert!E174</f>
        <v>3.0979759369565216</v>
      </c>
      <c r="I185">
        <f>$C$14*ReDiarioFert!G174</f>
        <v>8.341666666666667</v>
      </c>
      <c r="K185">
        <f>$C$14*ReDiarioFert!I174</f>
        <v>5.353813984619254</v>
      </c>
      <c r="M185">
        <f>$C$14*ReDiarioFert!K174</f>
        <v>0.0002979611635</v>
      </c>
      <c r="O185">
        <f>$C$14*ReDiarioFert!M174</f>
        <v>174.06804048780486</v>
      </c>
      <c r="S185">
        <f>((E185/100)*$G$211+(G185/100)*$G$212+(I185/100)*$G$213+(K185/100)*$G$214+(M185/100)*$G$215+(O185)*$G$216+(Q185*$G$217))</f>
        <v>187.46189742326527</v>
      </c>
    </row>
    <row r="186">
      <c r="A186">
        <v>25</v>
      </c>
      <c r="B186">
        <v>169</v>
      </c>
      <c r="C186">
        <f>$I$13+B186</f>
        <v>39774</v>
      </c>
      <c r="D186" t="str">
        <f>Main!$H$85</f>
        <v>TricoZam</v>
      </c>
      <c r="E186">
        <f>IF($C$14*ReDiarioFert!C175&lt;=0,"0",$C$14*ReDiarioFert!C175)</f>
        <v>6.773388753827542</v>
      </c>
      <c r="G186">
        <f>$C$14*ReDiarioFert!E175</f>
        <v>3.0979759369565216</v>
      </c>
      <c r="I186">
        <f>$C$14*ReDiarioFert!G175</f>
        <v>8.341666666666667</v>
      </c>
      <c r="K186">
        <f>$C$14*ReDiarioFert!I175</f>
        <v>5.353813984619254</v>
      </c>
      <c r="M186">
        <f>$C$14*ReDiarioFert!K175</f>
        <v>0.0002979611635</v>
      </c>
      <c r="O186">
        <f>$C$14*ReDiarioFert!M175</f>
        <v>174.06804048780486</v>
      </c>
      <c r="Q186">
        <f>$C$14*Main!$D$63</f>
        <v>20.019999999999996</v>
      </c>
      <c r="S186">
        <f>((E186/100)*$G$211+(G186/100)*$G$212+(I186/100)*$G$213+(K186/100)*$G$214+(M186/100)*$G$215+(O186)*$G$216+(Q186*$G$217))</f>
        <v>243.51789742326525</v>
      </c>
    </row>
    <row r="187">
      <c r="B187">
        <v>170</v>
      </c>
      <c r="C187">
        <f>$I$13+B187</f>
        <v>39775</v>
      </c>
      <c r="E187">
        <f>IF($C$14*ReDiarioFert!C176&lt;=0,"0",$C$14*ReDiarioFert!C176)</f>
        <v>6.773388753827542</v>
      </c>
      <c r="G187">
        <f>$C$14*ReDiarioFert!E176</f>
        <v>3.0979759369565216</v>
      </c>
      <c r="I187">
        <f>$C$14*ReDiarioFert!G176</f>
        <v>8.341666666666667</v>
      </c>
      <c r="K187">
        <f>$C$14*ReDiarioFert!I176</f>
        <v>5.353813984619254</v>
      </c>
      <c r="M187">
        <f>$C$14*ReDiarioFert!K176</f>
        <v>0.0002979611635</v>
      </c>
      <c r="O187">
        <f>$C$14*ReDiarioFert!M176</f>
        <v>174.06804048780486</v>
      </c>
      <c r="S187">
        <f>((E187/100)*$G$211+(G187/100)*$G$212+(I187/100)*$G$213+(K187/100)*$G$214+(M187/100)*$G$215+(O187)*$G$216+(Q187*$G$217))</f>
        <v>187.46189742326527</v>
      </c>
    </row>
    <row r="188">
      <c r="B188">
        <v>171</v>
      </c>
      <c r="C188">
        <f>$I$13+B188</f>
        <v>39776</v>
      </c>
      <c r="E188">
        <f>IF($C$14*ReDiarioFert!C177&lt;=0,"0",$C$14*ReDiarioFert!C177)</f>
        <v>6.773388753827542</v>
      </c>
      <c r="G188">
        <f>$C$14*ReDiarioFert!E177</f>
        <v>3.0979759369565216</v>
      </c>
      <c r="I188">
        <f>$C$14*ReDiarioFert!G177</f>
        <v>8.341666666666667</v>
      </c>
      <c r="K188">
        <f>$C$14*ReDiarioFert!I177</f>
        <v>5.353813984619254</v>
      </c>
      <c r="M188">
        <f>$C$14*ReDiarioFert!K177</f>
        <v>0.0002979611635</v>
      </c>
      <c r="O188">
        <f>$C$14*ReDiarioFert!M177</f>
        <v>174.06804048780486</v>
      </c>
      <c r="S188">
        <f>((E188/100)*$G$211+(G188/100)*$G$212+(I188/100)*$G$213+(K188/100)*$G$214+(M188/100)*$G$215+(O188)*$G$216+(Q188*$G$217))</f>
        <v>187.46189742326527</v>
      </c>
    </row>
    <row r="189">
      <c r="B189">
        <v>172</v>
      </c>
      <c r="C189">
        <f>$I$13+B189</f>
        <v>39777</v>
      </c>
      <c r="E189">
        <f>IF($C$14*ReDiarioFert!C178&lt;=0,"0",$C$14*ReDiarioFert!C178)</f>
        <v>6.773388753827542</v>
      </c>
      <c r="G189">
        <f>$C$14*ReDiarioFert!E178</f>
        <v>3.0979759369565216</v>
      </c>
      <c r="I189">
        <f>$C$14*ReDiarioFert!G178</f>
        <v>8.341666666666667</v>
      </c>
      <c r="K189">
        <f>$C$14*ReDiarioFert!I178</f>
        <v>5.353813984619254</v>
      </c>
      <c r="M189">
        <f>$C$14*ReDiarioFert!K178</f>
        <v>0.0002979611635</v>
      </c>
      <c r="O189">
        <f>$C$14*ReDiarioFert!M178</f>
        <v>174.06804048780486</v>
      </c>
      <c r="S189">
        <f>((E189/100)*$G$211+(G189/100)*$G$212+(I189/100)*$G$213+(K189/100)*$G$214+(M189/100)*$G$215+(O189)*$G$216+(Q189*$G$217))</f>
        <v>187.46189742326527</v>
      </c>
    </row>
    <row r="190">
      <c r="B190">
        <v>173</v>
      </c>
      <c r="C190">
        <f>$I$13+B190</f>
        <v>39778</v>
      </c>
      <c r="E190">
        <f>IF($C$14*ReDiarioFert!C179&lt;=0,"0",$C$14*ReDiarioFert!C179)</f>
        <v>6.773388753827542</v>
      </c>
      <c r="G190">
        <f>$C$14*ReDiarioFert!E179</f>
        <v>3.0979759369565216</v>
      </c>
      <c r="I190">
        <f>$C$14*ReDiarioFert!G179</f>
        <v>8.341666666666667</v>
      </c>
      <c r="K190">
        <f>$C$14*ReDiarioFert!I179</f>
        <v>5.353813984619254</v>
      </c>
      <c r="M190">
        <f>$C$14*ReDiarioFert!K179</f>
        <v>0.0002979611635</v>
      </c>
      <c r="O190">
        <f>$C$14*ReDiarioFert!M179</f>
        <v>174.06804048780486</v>
      </c>
      <c r="S190">
        <f>((E190/100)*$G$211+(G190/100)*$G$212+(I190/100)*$G$213+(K190/100)*$G$214+(M190/100)*$G$215+(O190)*$G$216+(Q190*$G$217))</f>
        <v>187.46189742326527</v>
      </c>
    </row>
    <row r="191">
      <c r="B191">
        <v>174</v>
      </c>
      <c r="C191">
        <f>$I$13+B191</f>
        <v>39779</v>
      </c>
      <c r="E191">
        <f>IF($C$14*ReDiarioFert!C180&lt;=0,"0",$C$14*ReDiarioFert!C180)</f>
        <v>6.773388753827542</v>
      </c>
      <c r="G191">
        <f>$C$14*ReDiarioFert!E180</f>
        <v>3.0979759369565216</v>
      </c>
      <c r="I191">
        <f>$C$14*ReDiarioFert!G180</f>
        <v>8.341666666666667</v>
      </c>
      <c r="K191">
        <f>$C$14*ReDiarioFert!I180</f>
        <v>5.353813984619254</v>
      </c>
      <c r="M191">
        <f>$C$14*ReDiarioFert!K180</f>
        <v>0.0002979611635</v>
      </c>
      <c r="O191">
        <f>$C$14*ReDiarioFert!M180</f>
        <v>174.06804048780486</v>
      </c>
      <c r="S191">
        <f>((E191/100)*$G$211+(G191/100)*$G$212+(I191/100)*$G$213+(K191/100)*$G$214+(M191/100)*$G$215+(O191)*$G$216+(Q191*$G$217))</f>
        <v>187.46189742326527</v>
      </c>
    </row>
    <row r="192">
      <c r="B192">
        <v>175</v>
      </c>
      <c r="C192">
        <f>$I$13+B192</f>
        <v>39780</v>
      </c>
      <c r="E192">
        <f>IF($C$14*ReDiarioFert!C181&lt;=0,"0",$C$14*ReDiarioFert!C181)</f>
        <v>6.773388753827542</v>
      </c>
      <c r="G192">
        <f>$C$14*ReDiarioFert!E181</f>
        <v>3.0979759369565216</v>
      </c>
      <c r="I192">
        <f>$C$14*ReDiarioFert!G181</f>
        <v>8.341666666666667</v>
      </c>
      <c r="K192">
        <f>$C$14*ReDiarioFert!I181</f>
        <v>5.353813984619254</v>
      </c>
      <c r="M192">
        <f>$C$14*ReDiarioFert!K181</f>
        <v>0.0002979611635</v>
      </c>
      <c r="O192">
        <f>$C$14*ReDiarioFert!M181</f>
        <v>174.06804048780486</v>
      </c>
      <c r="S192">
        <f>((E192/100)*$G$211+(G192/100)*$G$212+(I192/100)*$G$213+(K192/100)*$G$214+(M192/100)*$G$215+(O192)*$G$216+(Q192*$G$217))</f>
        <v>187.46189742326527</v>
      </c>
    </row>
    <row r="193">
      <c r="A193">
        <v>26</v>
      </c>
      <c r="B193">
        <v>176</v>
      </c>
      <c r="C193">
        <f>$I$13+B193</f>
        <v>39781</v>
      </c>
      <c r="E193">
        <f>IF($C$14*ReDiarioFert!C182&lt;=0,"0",$C$14*ReDiarioFert!C182)</f>
        <v>6.773388753827542</v>
      </c>
      <c r="G193">
        <f>$C$14*ReDiarioFert!E182</f>
        <v>3.0979759369565216</v>
      </c>
      <c r="I193">
        <f>$C$14*ReDiarioFert!G182</f>
        <v>8.341666666666667</v>
      </c>
      <c r="K193">
        <f>$C$14*ReDiarioFert!I182</f>
        <v>5.353813984619254</v>
      </c>
      <c r="M193">
        <f>$C$14*ReDiarioFert!K182</f>
        <v>0.0002979611635</v>
      </c>
      <c r="O193">
        <f>$C$14*ReDiarioFert!M182</f>
        <v>174.06804048780486</v>
      </c>
      <c r="Q193">
        <f>$C$14*Main!$D$63</f>
        <v>20.019999999999996</v>
      </c>
      <c r="S193">
        <f>((E193/100)*$G$211+(G193/100)*$G$212+(I193/100)*$G$213+(K193/100)*$G$214+(M193/100)*$G$215+(O193)*$G$216+(Q193*$G$217))</f>
        <v>243.51789742326525</v>
      </c>
    </row>
    <row r="194">
      <c r="B194">
        <v>177</v>
      </c>
      <c r="C194">
        <f>$I$13+B194</f>
        <v>39782</v>
      </c>
      <c r="E194">
        <f>IF($C$14*ReDiarioFert!C183&lt;=0,"0",$C$14*ReDiarioFert!C183)</f>
        <v>6.773388753827542</v>
      </c>
      <c r="G194">
        <f>$C$14*ReDiarioFert!E183</f>
        <v>3.0979759369565216</v>
      </c>
      <c r="I194">
        <f>$C$14*ReDiarioFert!G183</f>
        <v>8.341666666666667</v>
      </c>
      <c r="K194">
        <f>$C$14*ReDiarioFert!I183</f>
        <v>5.353813984619254</v>
      </c>
      <c r="M194">
        <f>$C$14*ReDiarioFert!K183</f>
        <v>0.0002979611635</v>
      </c>
      <c r="O194">
        <f>$C$14*ReDiarioFert!M183</f>
        <v>174.06804048780486</v>
      </c>
      <c r="S194">
        <f>((E194/100)*$G$211+(G194/100)*$G$212+(I194/100)*$G$213+(K194/100)*$G$214+(M194/100)*$G$215+(O194)*$G$216+(Q194*$G$217))</f>
        <v>187.46189742326527</v>
      </c>
    </row>
    <row r="195">
      <c r="B195">
        <v>178</v>
      </c>
      <c r="C195">
        <f>$I$13+B195</f>
        <v>39783</v>
      </c>
      <c r="E195">
        <f>IF($C$14*ReDiarioFert!C184&lt;=0,"0",$C$14*ReDiarioFert!C184)</f>
        <v>6.773388753827542</v>
      </c>
      <c r="G195">
        <f>$C$14*ReDiarioFert!E184</f>
        <v>3.0979759369565216</v>
      </c>
      <c r="I195">
        <f>$C$14*ReDiarioFert!G184</f>
        <v>8.341666666666667</v>
      </c>
      <c r="K195">
        <f>$C$14*ReDiarioFert!I184</f>
        <v>5.353813984619254</v>
      </c>
      <c r="M195">
        <f>$C$14*ReDiarioFert!K184</f>
        <v>0.0002979611635</v>
      </c>
      <c r="O195">
        <f>$C$14*ReDiarioFert!M184</f>
        <v>174.06804048780486</v>
      </c>
      <c r="S195">
        <f>((E195/100)*$G$211+(G195/100)*$G$212+(I195/100)*$G$213+(K195/100)*$G$214+(M195/100)*$G$215+(O195)*$G$216+(Q195*$G$217))</f>
        <v>187.46189742326527</v>
      </c>
    </row>
    <row r="196">
      <c r="B196">
        <v>179</v>
      </c>
      <c r="C196">
        <f>$I$13+B196</f>
        <v>39784</v>
      </c>
      <c r="E196">
        <f>IF($C$14*ReDiarioFert!C185&lt;=0,"0",$C$14*ReDiarioFert!C185)</f>
        <v>6.773388753827542</v>
      </c>
      <c r="G196">
        <f>$C$14*ReDiarioFert!E185</f>
        <v>3.0979759369565216</v>
      </c>
      <c r="I196">
        <f>$C$14*ReDiarioFert!G185</f>
        <v>8.341666666666667</v>
      </c>
      <c r="K196">
        <f>$C$14*ReDiarioFert!I185</f>
        <v>5.353813984619254</v>
      </c>
      <c r="M196">
        <f>$C$14*ReDiarioFert!K185</f>
        <v>0.0002979611635</v>
      </c>
      <c r="O196">
        <f>$C$14*ReDiarioFert!M185</f>
        <v>174.06804048780486</v>
      </c>
      <c r="S196">
        <f>((E196/100)*$G$211+(G196/100)*$G$212+(I196/100)*$G$213+(K196/100)*$G$214+(M196/100)*$G$215+(O196)*$G$216+(Q196*$G$217))</f>
        <v>187.46189742326527</v>
      </c>
    </row>
    <row r="197">
      <c r="B197">
        <v>180</v>
      </c>
      <c r="C197">
        <f>$I$13+B197</f>
        <v>39785</v>
      </c>
      <c r="E197">
        <f>IF($C$14*ReDiarioFert!C186&lt;=0,"0",$C$14*ReDiarioFert!C186)</f>
        <v>6.773388753827542</v>
      </c>
      <c r="G197">
        <f>$C$14*ReDiarioFert!E186</f>
        <v>3.0979759369565216</v>
      </c>
      <c r="I197">
        <f>$C$14*ReDiarioFert!G186</f>
        <v>8.341666666666667</v>
      </c>
      <c r="K197">
        <f>$C$14*ReDiarioFert!I186</f>
        <v>5.353813984619254</v>
      </c>
      <c r="M197">
        <f>$C$14*ReDiarioFert!K186</f>
        <v>0.0002979611635</v>
      </c>
      <c r="O197">
        <f>$C$14*ReDiarioFert!M186</f>
        <v>174.06804048780486</v>
      </c>
      <c r="S197">
        <f>((E197/100)*$G$211+(G197/100)*$G$212+(I197/100)*$G$213+(K197/100)*$G$214+(M197/100)*$G$215+(O197)*$G$216+(Q197*$G$217))</f>
        <v>187.46189742326527</v>
      </c>
    </row>
    <row r="198">
      <c r="B198">
        <v>181</v>
      </c>
      <c r="C198">
        <f>$I$13+B198</f>
        <v>39786</v>
      </c>
      <c r="E198">
        <f>IF($C$14*ReDiarioFert!C187&lt;=0,"0",$C$14*ReDiarioFert!C187)</f>
        <v>6.773388753827542</v>
      </c>
      <c r="G198">
        <f>$C$14*ReDiarioFert!E187</f>
        <v>3.0979759369565216</v>
      </c>
      <c r="I198">
        <f>$C$14*ReDiarioFert!G187</f>
        <v>8.341666666666667</v>
      </c>
      <c r="K198">
        <f>$C$14*ReDiarioFert!I187</f>
        <v>5.353813984619254</v>
      </c>
      <c r="M198">
        <f>$C$14*ReDiarioFert!K187</f>
        <v>0.0002979611635</v>
      </c>
      <c r="O198">
        <f>$C$14*ReDiarioFert!M187</f>
        <v>174.06804048780486</v>
      </c>
      <c r="S198">
        <f>((E198/100)*$G$211+(G198/100)*$G$212+(I198/100)*$G$213+(K198/100)*$G$214+(M198/100)*$G$215+(O198)*$G$216+(Q198*$G$217))</f>
        <v>187.46189742326527</v>
      </c>
    </row>
    <row r="199">
      <c r="B199">
        <v>182</v>
      </c>
      <c r="C199">
        <f>$I$13+B199</f>
        <v>39787</v>
      </c>
      <c r="E199">
        <f>IF($C$14*ReDiarioFert!C188&lt;=0,"0",$C$14*ReDiarioFert!C188)</f>
        <v>6.773388753827542</v>
      </c>
      <c r="G199">
        <f>$C$14*ReDiarioFert!E188</f>
        <v>3.0979759369565216</v>
      </c>
      <c r="I199">
        <f>$C$14*ReDiarioFert!G188</f>
        <v>8.341666666666667</v>
      </c>
      <c r="K199">
        <f>$C$14*ReDiarioFert!I188</f>
        <v>5.353813984619254</v>
      </c>
      <c r="M199">
        <f>$C$14*ReDiarioFert!K188</f>
        <v>0.0002979611635</v>
      </c>
      <c r="O199">
        <f>$C$14*ReDiarioFert!M188</f>
        <v>174.06804048780486</v>
      </c>
      <c r="S199">
        <f>((E199/100)*$G$211+(G199/100)*$G$212+(I199/100)*$G$213+(K199/100)*$G$214+(M199/100)*$G$215+(O199)*$G$216+(Q199*$G$217))</f>
        <v>187.46189742326527</v>
      </c>
    </row>
    <row r="200">
      <c r="A200">
        <v>27</v>
      </c>
      <c r="B200">
        <v>183</v>
      </c>
      <c r="C200">
        <f>$I$13+B200</f>
        <v>39788</v>
      </c>
      <c r="E200">
        <f>IF($C$14*ReDiarioFert!C189&lt;=0,"0",$C$14*ReDiarioFert!C189)</f>
        <v>6.773388753827542</v>
      </c>
      <c r="G200">
        <f>$C$14*ReDiarioFert!E189</f>
        <v>3.0979759369565216</v>
      </c>
      <c r="I200">
        <f>$C$14*ReDiarioFert!G189</f>
        <v>8.341666666666667</v>
      </c>
      <c r="K200">
        <f>$C$14*ReDiarioFert!I189</f>
        <v>5.353813984619254</v>
      </c>
      <c r="M200">
        <f>$C$14*ReDiarioFert!K189</f>
        <v>0.0002979611635</v>
      </c>
      <c r="O200">
        <f>$C$14*ReDiarioFert!M189</f>
        <v>174.06804048780486</v>
      </c>
      <c r="Q200">
        <f>$C$14*Main!$D$63</f>
        <v>20.019999999999996</v>
      </c>
      <c r="S200">
        <f>((E200/100)*$G$211+(G200/100)*$G$212+(I200/100)*$G$213+(K200/100)*$G$214+(M200/100)*$G$215+(O200)*$G$216+(Q200*$G$217))</f>
        <v>243.51789742326525</v>
      </c>
    </row>
    <row r="201">
      <c r="B201">
        <v>184</v>
      </c>
      <c r="C201">
        <f>$I$13+B201</f>
        <v>39789</v>
      </c>
      <c r="E201">
        <f>IF($C$14*ReDiarioFert!C190&lt;=0,"0",$C$14*ReDiarioFert!C190)</f>
        <v>6.773388753827542</v>
      </c>
      <c r="G201">
        <f>$C$14*ReDiarioFert!E190</f>
        <v>3.0979759369565216</v>
      </c>
      <c r="I201">
        <f>$C$14*ReDiarioFert!G190</f>
        <v>8.341666666666667</v>
      </c>
      <c r="K201">
        <f>$C$14*ReDiarioFert!I190</f>
        <v>5.353813984619254</v>
      </c>
      <c r="M201">
        <f>$C$14*ReDiarioFert!K190</f>
        <v>0.0002979611635</v>
      </c>
      <c r="O201">
        <f>$C$14*ReDiarioFert!M190</f>
        <v>174.06804048780486</v>
      </c>
      <c r="S201">
        <f>((E201/100)*$G$211+(G201/100)*$G$212+(I201/100)*$G$213+(K201/100)*$G$214+(M201/100)*$G$215+(O201)*$G$216+(Q201*$G$217))</f>
        <v>187.46189742326527</v>
      </c>
    </row>
    <row r="202">
      <c r="B202">
        <v>185</v>
      </c>
      <c r="C202">
        <f>$I$13+B202</f>
        <v>39790</v>
      </c>
      <c r="E202">
        <f>IF($C$14*ReDiarioFert!C191&lt;=0,"0",$C$14*ReDiarioFert!C191)</f>
        <v>6.773388753827542</v>
      </c>
      <c r="G202">
        <f>$C$14*ReDiarioFert!E191</f>
        <v>3.0979759369565216</v>
      </c>
      <c r="I202">
        <f>$C$14*ReDiarioFert!G191</f>
        <v>8.341666666666667</v>
      </c>
      <c r="K202">
        <f>$C$14*ReDiarioFert!I191</f>
        <v>5.353813984619254</v>
      </c>
      <c r="M202">
        <f>$C$14*ReDiarioFert!K191</f>
        <v>0.0002979611635</v>
      </c>
      <c r="O202">
        <f>$C$14*ReDiarioFert!M191</f>
        <v>174.06804048780486</v>
      </c>
      <c r="S202">
        <f>((E202/100)*$G$211+(G202/100)*$G$212+(I202/100)*$G$213+(K202/100)*$G$214+(M202/100)*$G$215+(O202)*$G$216+(Q202*$G$217))</f>
        <v>187.46189742326527</v>
      </c>
    </row>
    <row r="203">
      <c r="B203">
        <v>186</v>
      </c>
      <c r="C203">
        <f>$I$13+B203</f>
        <v>39791</v>
      </c>
      <c r="E203">
        <f>IF($C$14*ReDiarioFert!C192&lt;=0,"0",$C$14*ReDiarioFert!C192)</f>
        <v>6.773388753827542</v>
      </c>
      <c r="G203">
        <f>$C$14*ReDiarioFert!E192</f>
        <v>3.0979759369565216</v>
      </c>
      <c r="I203">
        <f>$C$14*ReDiarioFert!G192</f>
        <v>8.341666666666667</v>
      </c>
      <c r="K203">
        <f>$C$14*ReDiarioFert!I192</f>
        <v>5.353813984619254</v>
      </c>
      <c r="M203">
        <f>$C$14*ReDiarioFert!K192</f>
        <v>0.0002979611635</v>
      </c>
      <c r="O203">
        <f>$C$14*ReDiarioFert!M192</f>
        <v>174.06804048780486</v>
      </c>
      <c r="S203">
        <f>((E203/100)*$G$211+(G203/100)*$G$212+(I203/100)*$G$213+(K203/100)*$G$214+(M203/100)*$G$215+(O203)*$G$216+(Q203*$G$217))</f>
        <v>187.46189742326527</v>
      </c>
    </row>
    <row r="204">
      <c r="B204">
        <v>187</v>
      </c>
      <c r="C204">
        <f>$I$13+B204</f>
        <v>39792</v>
      </c>
      <c r="E204">
        <f>IF($C$14*ReDiarioFert!C193&lt;=0,"0",$C$14*ReDiarioFert!C193)</f>
        <v>6.773388753827542</v>
      </c>
      <c r="G204">
        <f>$C$14*ReDiarioFert!E193</f>
        <v>3.0979759369565216</v>
      </c>
      <c r="I204">
        <f>$C$14*ReDiarioFert!G193</f>
        <v>8.341666666666667</v>
      </c>
      <c r="K204">
        <f>$C$14*ReDiarioFert!I193</f>
        <v>5.353813984619254</v>
      </c>
      <c r="M204">
        <f>$C$14*ReDiarioFert!K193</f>
        <v>0.0002979611635</v>
      </c>
      <c r="O204">
        <f>$C$14*ReDiarioFert!M193</f>
        <v>174.06804048780486</v>
      </c>
      <c r="S204">
        <f>((E204/100)*$G$211+(G204/100)*$G$212+(I204/100)*$G$213+(K204/100)*$G$214+(M204/100)*$G$215+(O204)*$G$216+(Q204*$G$217))</f>
        <v>187.46189742326527</v>
      </c>
    </row>
    <row r="205">
      <c r="B205">
        <v>188</v>
      </c>
      <c r="C205">
        <f>$I$13+B205</f>
        <v>39793</v>
      </c>
      <c r="E205">
        <f>IF($C$14*ReDiarioFert!C194&lt;=0,"0",$C$14*ReDiarioFert!C194)</f>
        <v>6.773388753827542</v>
      </c>
      <c r="G205">
        <f>$C$14*ReDiarioFert!E194</f>
        <v>3.0979759369565216</v>
      </c>
      <c r="I205">
        <f>$C$14*ReDiarioFert!G194</f>
        <v>8.341666666666667</v>
      </c>
      <c r="K205">
        <f>$C$14*ReDiarioFert!I194</f>
        <v>5.353813984619254</v>
      </c>
      <c r="M205">
        <f>$C$14*ReDiarioFert!K194</f>
        <v>0.0002979611635</v>
      </c>
      <c r="O205">
        <f>$C$14*ReDiarioFert!M194</f>
        <v>174.06804048780486</v>
      </c>
      <c r="S205">
        <f>((E205/100)*$G$211+(G205/100)*$G$212+(I205/100)*$G$213+(K205/100)*$G$214+(M205/100)*$G$215+(O205)*$G$216+(Q205*$G$217))</f>
        <v>187.46189742326527</v>
      </c>
    </row>
    <row r="206">
      <c r="B206">
        <v>189</v>
      </c>
      <c r="C206">
        <f>$I$13+B206</f>
        <v>39794</v>
      </c>
      <c r="E206">
        <f>IF($C$14*ReDiarioFert!C195&lt;=0,"0",$C$14*ReDiarioFert!C195)</f>
        <v>6.773388753827542</v>
      </c>
      <c r="G206">
        <f>$C$14*ReDiarioFert!E195</f>
        <v>3.0979759369565216</v>
      </c>
      <c r="I206">
        <f>$C$14*ReDiarioFert!G195</f>
        <v>8.341666666666667</v>
      </c>
      <c r="K206">
        <f>$C$14*ReDiarioFert!I195</f>
        <v>5.353813984619254</v>
      </c>
      <c r="M206">
        <f>$C$14*ReDiarioFert!K195</f>
        <v>0.0002979611635</v>
      </c>
      <c r="O206">
        <f>$C$14*ReDiarioFert!M195</f>
        <v>174.06804048780486</v>
      </c>
      <c r="S206">
        <f>((E206/100)*$G$211+(G206/100)*$G$212+(I206/100)*$G$213+(K206/100)*$G$214+(M206/100)*$G$215+(O206)*$G$216+(Q206*$G$217))</f>
        <v>187.46189742326527</v>
      </c>
    </row>
    <row r="207">
      <c r="C207" t="str">
        <v>Total</v>
      </c>
      <c r="E207">
        <f>SUM(E18:E206)</f>
        <v>1355.8054252530412</v>
      </c>
      <c r="G207">
        <f>SUM(G18:G206)</f>
        <v>520.4599574086952</v>
      </c>
      <c r="I207">
        <f>SUM(I18:I206)</f>
        <v>1537.7570998909493</v>
      </c>
      <c r="K207">
        <f>SUM(K18:K206)</f>
        <v>986.9568990621804</v>
      </c>
      <c r="M207">
        <f>SUM(M18:M206)</f>
        <v>0.05492809926040649</v>
      </c>
      <c r="O207">
        <f>SUM(O18:O206)</f>
        <v>26010.734505853565</v>
      </c>
      <c r="Q207">
        <f>SUM(Q18:Q206)</f>
        <v>540.5399999999996</v>
      </c>
      <c r="S207">
        <f>SUM(S18:S206)</f>
        <v>41169.54957773208</v>
      </c>
    </row>
    <row r="208">
      <c r="D208" t="str">
        <v>OJO cualquier cultivo que no se termine la cosecha en el ultimo día del calendario solo seguir repitiendo la ultima aplicación de fertilizante.</v>
      </c>
    </row>
    <row r="209" ht="39.75" customHeight="1">
      <c r="B209" t="str">
        <v>Producto</v>
      </c>
      <c r="F209" t="str">
        <v>Lbs/Ha</v>
      </c>
      <c r="G209" t="str">
        <v>Costo por qq</v>
      </c>
    </row>
    <row r="210" ht="24" customHeight="1">
      <c r="G210" t="str">
        <f>Main!$E$25</f>
        <v>Lempiras</v>
      </c>
    </row>
    <row r="211">
      <c r="B211" t="str">
        <f>Main!D42</f>
        <v>Urea</v>
      </c>
      <c r="F211">
        <f>E207/C14</f>
        <v>1354.4509742787627</v>
      </c>
      <c r="G211">
        <f>Main!D43</f>
        <v>650</v>
      </c>
    </row>
    <row r="212">
      <c r="B212" t="str">
        <f>Main!D32</f>
        <v>DAP 18-46-0</v>
      </c>
      <c r="F212">
        <f>G207/C14</f>
        <v>519.940017391304</v>
      </c>
      <c r="G212">
        <f>Main!D33</f>
        <v>1200</v>
      </c>
    </row>
    <row r="213">
      <c r="B213" t="str">
        <f>Main!D37</f>
        <v>Kcl</v>
      </c>
      <c r="F213">
        <f>I207/C14</f>
        <v>1536.2208790119375</v>
      </c>
      <c r="G213">
        <f>Main!D38</f>
        <v>580</v>
      </c>
    </row>
    <row r="214">
      <c r="B214" t="str">
        <f>Main!D47</f>
        <v>Sulfato de Magnesio</v>
      </c>
      <c r="F214">
        <f>K207/C14</f>
        <v>985.9709281340464</v>
      </c>
      <c r="G214">
        <f>Main!D48</f>
        <v>951</v>
      </c>
    </row>
    <row r="215">
      <c r="B215" t="str">
        <f>Main!D52</f>
        <v>Sin Calcio</v>
      </c>
      <c r="F215">
        <f>M207/C14</f>
        <v>0.05487322603437212</v>
      </c>
      <c r="G215">
        <f>Main!D53</f>
        <v>0</v>
      </c>
    </row>
    <row r="216">
      <c r="B216" t="str">
        <f>Main!D57</f>
        <v>Solubor</v>
      </c>
      <c r="F216">
        <f>O207/C14</f>
        <v>25984.74975609747</v>
      </c>
      <c r="G216">
        <f>Main!D58</f>
        <v>0.04</v>
      </c>
      <c r="I216" t="str">
        <v xml:space="preserve">Preparado y Autorizado Por </v>
      </c>
    </row>
    <row r="217" ht="18" customHeight="1">
      <c r="B217" t="str">
        <f>Main!D61</f>
        <v>Melaza</v>
      </c>
      <c r="F217">
        <f>Q207/C14</f>
        <v>539.9999999999997</v>
      </c>
      <c r="G217">
        <f>Main!D62</f>
        <v>2.8</v>
      </c>
      <c r="I217" t="str">
        <v>MSc Ricardo D. Lardizábal</v>
      </c>
    </row>
    <row r="218">
      <c r="B218" t="str">
        <v>NOTA: El Nitrato de Calcio se debe de diluir en un barril aparte para inyectarse al sistema</v>
      </c>
    </row>
    <row r="220">
      <c r="B220" t="str">
        <v>Abreviaciones usadas</v>
      </c>
    </row>
    <row r="221">
      <c r="B221" t="str">
        <v>Mz.-Manzanas, Ha-Hectáreas, Lbs-Libras, Lts-Litros y DDT-Días después de Trasplante</v>
      </c>
    </row>
  </sheetData>
  <sheetProtection sheet="1"/>
  <mergeCells count="53">
    <mergeCell ref="B221:S221"/>
    <mergeCell ref="A13:B13"/>
    <mergeCell ref="A14:B14"/>
    <mergeCell ref="I13:M13"/>
    <mergeCell ref="I14:M14"/>
    <mergeCell ref="I16:J16"/>
    <mergeCell ref="I216:Q216"/>
    <mergeCell ref="C14:E14"/>
    <mergeCell ref="A16:A17"/>
    <mergeCell ref="B16:B17"/>
    <mergeCell ref="F12:H12"/>
    <mergeCell ref="C13:E13"/>
    <mergeCell ref="S16:S17"/>
    <mergeCell ref="Q16:R16"/>
    <mergeCell ref="K16:L16"/>
    <mergeCell ref="O16:P16"/>
    <mergeCell ref="M16:N16"/>
    <mergeCell ref="G217:H217"/>
    <mergeCell ref="B215:E215"/>
    <mergeCell ref="B217:E217"/>
    <mergeCell ref="G215:H215"/>
    <mergeCell ref="G216:H216"/>
    <mergeCell ref="B209:E209"/>
    <mergeCell ref="B218:I219"/>
    <mergeCell ref="I217:Q217"/>
    <mergeCell ref="B220:D220"/>
    <mergeCell ref="G212:H212"/>
    <mergeCell ref="G210:H210"/>
    <mergeCell ref="G211:H211"/>
    <mergeCell ref="B213:E213"/>
    <mergeCell ref="B212:E212"/>
    <mergeCell ref="B211:E211"/>
    <mergeCell ref="B216:E216"/>
    <mergeCell ref="P1:S4"/>
    <mergeCell ref="B214:E214"/>
    <mergeCell ref="F13:H13"/>
    <mergeCell ref="F14:H14"/>
    <mergeCell ref="C16:D16"/>
    <mergeCell ref="E16:F16"/>
    <mergeCell ref="G16:H16"/>
    <mergeCell ref="G213:H213"/>
    <mergeCell ref="G214:H214"/>
    <mergeCell ref="G209:H209"/>
    <mergeCell ref="A9:K9"/>
    <mergeCell ref="P9:S12"/>
    <mergeCell ref="P5:S7"/>
    <mergeCell ref="I11:M11"/>
    <mergeCell ref="I12:M12"/>
    <mergeCell ref="F11:H11"/>
    <mergeCell ref="C11:E11"/>
    <mergeCell ref="A11:B11"/>
    <mergeCell ref="A12:B12"/>
    <mergeCell ref="C12:E12"/>
  </mergeCells>
  <pageMargins left="0" right="0" top="0.2" bottom="0.56" header="0" footer="0.25"/>
  <ignoredErrors>
    <ignoredError numberStoredAsText="1" sqref="A1:Z222"/>
  </ignoredErrors>
  <legacyDrawing r:id="rId1"/>
</worksheet>
</file>

<file path=xl/worksheets/sheet3.xml><?xml version="1.0" encoding="utf-8"?>
<worksheet xmlns="http://schemas.openxmlformats.org/spreadsheetml/2006/main" xmlns:r="http://schemas.openxmlformats.org/officeDocument/2006/relationships">
  <dimension ref="A1:Z222"/>
  <sheetViews>
    <sheetView workbookViewId="0" rightToLeft="0"/>
  </sheetViews>
  <sheetData>
    <row r="1" ht="23.399999999999995" customHeight="1">
      <c r="P1" t="str">
        <v>Calendario de Fertilización para Goteo Diario</v>
      </c>
    </row>
    <row r="2" ht="29.25" customHeight="1"/>
    <row r="3" ht="26.25" customHeight="1"/>
    <row r="4" ht="26.25" customHeight="1"/>
    <row r="5" ht="26.25" customHeight="1">
      <c r="P5" t="str">
        <f>Main!$E$21</f>
        <v>Cunde</v>
      </c>
    </row>
    <row r="6" ht="26.25" customHeight="1"/>
    <row r="7" ht="26.25" customHeight="1"/>
    <row r="8" ht="8.4" customHeight="1"/>
    <row r="9" ht="26.25" customHeight="1">
      <c r="A9" t="str">
        <f>Main!$C$13</f>
        <v>"Sin Fertilización Base"</v>
      </c>
      <c r="P9" t="str">
        <f>Main!$G$21</f>
        <v>Shingai</v>
      </c>
    </row>
    <row r="10" ht="4.2" customHeight="1"/>
    <row r="11" ht="20.1" customHeight="1">
      <c r="A11" t="str">
        <v>Productor</v>
      </c>
      <c r="C11" t="str">
        <f>Main!E17</f>
        <v>Pancho Pérez</v>
      </c>
      <c r="F11" t="str">
        <v>Parcela</v>
      </c>
      <c r="I11" t="str">
        <f>Main!E19</f>
        <v>La Frondosa</v>
      </c>
    </row>
    <row r="12" ht="20.1" customHeight="1">
      <c r="A12" t="str">
        <v>Zona</v>
      </c>
      <c r="C12" t="str">
        <f>Main!E18</f>
        <v>Cantarranas</v>
      </c>
      <c r="F12" t="str">
        <v>Técnico</v>
      </c>
      <c r="I12" t="str">
        <f>Main!E20</f>
        <v>Nelson Galindo</v>
      </c>
    </row>
    <row r="13" ht="20.1" customHeight="1">
      <c r="A13" t="str">
        <v>Área Mz.</v>
      </c>
      <c r="C13">
        <f>Main!E22</f>
        <v>1.43</v>
      </c>
      <c r="F13" t="str">
        <v>Fecha:</v>
      </c>
      <c r="I13">
        <f>Main!E23</f>
        <v>39605</v>
      </c>
    </row>
    <row r="14" ht="20.1" customHeight="1">
      <c r="A14" t="str">
        <v>Área Ha.</v>
      </c>
      <c r="C14">
        <f>Main!I22</f>
        <v>1.001</v>
      </c>
      <c r="F14" t="str">
        <v>Fecha de Cosecha:</v>
      </c>
      <c r="I14">
        <f>I13+Main!E24</f>
        <v>39670</v>
      </c>
    </row>
    <row r="15" ht="19.5" customHeight="1"/>
    <row r="16" ht="28.5" customHeight="1">
      <c r="A16" t="str">
        <v>Semana</v>
      </c>
      <c r="B16" t="str">
        <v>DDT</v>
      </c>
      <c r="C16" t="str">
        <v>FECHA</v>
      </c>
      <c r="E16" t="str">
        <f>Main!$D$42</f>
        <v>Urea</v>
      </c>
      <c r="G16" t="str">
        <f>Main!$D$32</f>
        <v>DAP 18-46-0</v>
      </c>
      <c r="I16" t="str">
        <f>Main!$D$37</f>
        <v>Kcl</v>
      </c>
      <c r="K16" t="str">
        <f>Main!$D$47</f>
        <v>Sulfato de Magnesio</v>
      </c>
      <c r="M16" t="str">
        <f>Main!$D$52</f>
        <v>Sin Calcio</v>
      </c>
      <c r="O16" t="str">
        <f>Main!$D$57</f>
        <v>Solubor</v>
      </c>
      <c r="Q16" t="str">
        <f>Main!$D$61</f>
        <v>Melaza</v>
      </c>
      <c r="S16" t="str">
        <v>Costo / Aplicación</v>
      </c>
    </row>
    <row r="17">
      <c r="D17" t="str">
        <v>Cambios</v>
      </c>
      <c r="E17" t="str">
        <f>Main!E42</f>
        <v>Lbs</v>
      </c>
      <c r="F17" t="str">
        <v>Cambios</v>
      </c>
      <c r="G17" t="str">
        <f>Main!E32</f>
        <v>Lbs</v>
      </c>
      <c r="H17" t="str">
        <v>Cambios</v>
      </c>
      <c r="I17" t="str">
        <f>Main!E37</f>
        <v>Lbs</v>
      </c>
      <c r="J17" t="str">
        <v>Cambios</v>
      </c>
      <c r="K17" t="str">
        <f>Main!E47</f>
        <v>Lbs</v>
      </c>
      <c r="L17" t="str">
        <v>Cambios</v>
      </c>
      <c r="M17">
        <f>Main!E52</f>
        <v>0</v>
      </c>
      <c r="N17" t="str">
        <v>Cambios</v>
      </c>
      <c r="O17" t="str">
        <f>Main!E57</f>
        <v>Gramos</v>
      </c>
      <c r="P17" t="str">
        <v>Cambios</v>
      </c>
      <c r="Q17" t="str">
        <f>Main!$E$61</f>
        <v>Lts</v>
      </c>
      <c r="R17" t="str">
        <v>Cambios</v>
      </c>
    </row>
    <row r="18" ht="18.75" customHeight="1">
      <c r="A18">
        <v>1</v>
      </c>
      <c r="B18">
        <v>1</v>
      </c>
      <c r="C18">
        <f>$I$13+B18</f>
        <v>39606</v>
      </c>
      <c r="E18">
        <f>IF($C$14*ReDiarioFert!C7&lt;=0,"0",$C$14*ReDiarioFert!C7)</f>
        <v>4.19683236427221</v>
      </c>
      <c r="G18">
        <f>$C$14*ReDiarioFert!E7</f>
        <v>2.0653172913043476</v>
      </c>
      <c r="I18">
        <f>$C$14*ReDiarioFert!G7</f>
        <v>4.328141974823334</v>
      </c>
      <c r="K18">
        <f>$C$14*ReDiarioFert!I7</f>
        <v>2.7778701736935174</v>
      </c>
      <c r="M18">
        <f>$C$14*ReDiarioFert!K7</f>
        <v>0.00015459958664673903</v>
      </c>
      <c r="O18">
        <f>$C$14*ReDiarioFert!M7</f>
        <v>24.866793170731707</v>
      </c>
      <c r="Q18">
        <f>$C$14*Main!$D$63</f>
        <v>20.019999999999996</v>
      </c>
      <c r="S18">
        <f>((E18/100)*$G$211+(G18/100)*$G$212+(I18/100)*$G$213+(K18/100)*$G$214+(M18/100)*$G$215+(O18)*$G$216+(Q18*$G$217))</f>
        <v>160.63465839605146</v>
      </c>
    </row>
    <row r="19" ht="18.75" customHeight="1">
      <c r="B19">
        <v>2</v>
      </c>
      <c r="C19">
        <f>$I$13+B19</f>
        <v>39607</v>
      </c>
      <c r="E19">
        <f>IF($C$14*ReDiarioFert!C8&lt;=0,"0",$C$14*ReDiarioFert!C8)</f>
        <v>4.19683236427221</v>
      </c>
      <c r="G19">
        <f>$C$14*ReDiarioFert!E8</f>
        <v>2.0653172913043476</v>
      </c>
      <c r="I19">
        <f>$C$14*ReDiarioFert!G8</f>
        <v>4.328141974823334</v>
      </c>
      <c r="K19">
        <f>$C$14*ReDiarioFert!I8</f>
        <v>2.7778701736935174</v>
      </c>
      <c r="M19">
        <f>$C$14*ReDiarioFert!K8</f>
        <v>0.00015459958664673903</v>
      </c>
      <c r="O19">
        <f>$C$14*ReDiarioFert!M8</f>
        <v>24.866793170731707</v>
      </c>
      <c r="S19">
        <f>((E19/100)*$G$211+(G19/100)*$G$212+(I19/100)*$G$213+(K19/100)*$G$214+(M19/100)*$G$215+(O19)*$G$216+(Q19*$G$217))</f>
        <v>104.5786583960515</v>
      </c>
    </row>
    <row r="20" ht="18.75" customHeight="1">
      <c r="B20">
        <v>3</v>
      </c>
      <c r="C20">
        <f>$I$13+B20</f>
        <v>39608</v>
      </c>
      <c r="E20">
        <f>IF($C$14*ReDiarioFert!C9&lt;=0,"0",$C$14*ReDiarioFert!C9)</f>
        <v>4.19683236427221</v>
      </c>
      <c r="G20">
        <f>$C$14*ReDiarioFert!E9</f>
        <v>2.0653172913043476</v>
      </c>
      <c r="I20">
        <f>$C$14*ReDiarioFert!G9</f>
        <v>4.328141974823334</v>
      </c>
      <c r="K20">
        <f>$C$14*ReDiarioFert!I9</f>
        <v>2.7778701736935174</v>
      </c>
      <c r="M20">
        <f>$C$14*ReDiarioFert!K9</f>
        <v>0.00015459958664673903</v>
      </c>
      <c r="O20">
        <f>$C$14*ReDiarioFert!M9</f>
        <v>24.866793170731707</v>
      </c>
      <c r="S20">
        <f>((E20/100)*$G$211+(G20/100)*$G$212+(I20/100)*$G$213+(K20/100)*$G$214+(M20/100)*$G$215+(O20)*$G$216+(Q20*$G$217))</f>
        <v>104.5786583960515</v>
      </c>
    </row>
    <row r="21" ht="18.75" customHeight="1">
      <c r="B21">
        <v>4</v>
      </c>
      <c r="C21">
        <f>$I$13+B21</f>
        <v>39609</v>
      </c>
      <c r="E21">
        <f>IF($C$14*ReDiarioFert!C10&lt;=0,"0",$C$14*ReDiarioFert!C10)</f>
        <v>4.19683236427221</v>
      </c>
      <c r="G21">
        <f>$C$14*ReDiarioFert!E10</f>
        <v>2.0653172913043476</v>
      </c>
      <c r="I21">
        <f>$C$14*ReDiarioFert!G10</f>
        <v>4.328141974823334</v>
      </c>
      <c r="K21">
        <f>$C$14*ReDiarioFert!I10</f>
        <v>2.7778701736935174</v>
      </c>
      <c r="M21">
        <f>$C$14*ReDiarioFert!K10</f>
        <v>0.00015459958664673903</v>
      </c>
      <c r="O21">
        <f>$C$14*ReDiarioFert!M10</f>
        <v>24.866793170731707</v>
      </c>
      <c r="S21">
        <f>((E21/100)*$G$211+(G21/100)*$G$212+(I21/100)*$G$213+(K21/100)*$G$214+(M21/100)*$G$215+(O21)*$G$216+(Q21*$G$217))</f>
        <v>104.5786583960515</v>
      </c>
    </row>
    <row r="22" ht="18.75" customHeight="1">
      <c r="B22">
        <v>5</v>
      </c>
      <c r="C22">
        <f>$I$13+B22</f>
        <v>39610</v>
      </c>
      <c r="E22">
        <f>IF($C$14*ReDiarioFert!C11&lt;=0,"0",$C$14*ReDiarioFert!C11)</f>
        <v>4.19683236427221</v>
      </c>
      <c r="G22">
        <f>$C$14*ReDiarioFert!E11</f>
        <v>2.0653172913043476</v>
      </c>
      <c r="I22">
        <f>$C$14*ReDiarioFert!G11</f>
        <v>4.328141974823334</v>
      </c>
      <c r="K22">
        <f>$C$14*ReDiarioFert!I11</f>
        <v>2.7778701736935174</v>
      </c>
      <c r="M22">
        <f>$C$14*ReDiarioFert!K11</f>
        <v>0.00015459958664673903</v>
      </c>
      <c r="O22">
        <f>$C$14*ReDiarioFert!M11</f>
        <v>24.866793170731707</v>
      </c>
      <c r="S22">
        <f>((E22/100)*$G$211+(G22/100)*$G$212+(I22/100)*$G$213+(K22/100)*$G$214+(M22/100)*$G$215+(O22)*$G$216+(Q22*$G$217))</f>
        <v>104.5786583960515</v>
      </c>
    </row>
    <row r="23" ht="18.75" customHeight="1">
      <c r="B23">
        <v>6</v>
      </c>
      <c r="C23">
        <f>$I$13+B23</f>
        <v>39611</v>
      </c>
      <c r="E23">
        <f>IF($C$14*ReDiarioFert!C12&lt;=0,"0",$C$14*ReDiarioFert!C12)</f>
        <v>4.19683236427221</v>
      </c>
      <c r="G23">
        <f>$C$14*ReDiarioFert!E12</f>
        <v>2.0653172913043476</v>
      </c>
      <c r="I23">
        <f>$C$14*ReDiarioFert!G12</f>
        <v>4.328141974823334</v>
      </c>
      <c r="K23">
        <f>$C$14*ReDiarioFert!I12</f>
        <v>2.7778701736935174</v>
      </c>
      <c r="M23">
        <f>$C$14*ReDiarioFert!K12</f>
        <v>0.00015459958664673903</v>
      </c>
      <c r="O23">
        <f>$C$14*ReDiarioFert!M12</f>
        <v>24.866793170731707</v>
      </c>
      <c r="S23">
        <f>((E23/100)*$G$211+(G23/100)*$G$212+(I23/100)*$G$213+(K23/100)*$G$214+(M23/100)*$G$215+(O23)*$G$216+(Q23*$G$217))</f>
        <v>104.5786583960515</v>
      </c>
    </row>
    <row r="24" ht="18.75" customHeight="1">
      <c r="B24">
        <v>7</v>
      </c>
      <c r="C24">
        <f>$I$13+B24</f>
        <v>39612</v>
      </c>
      <c r="E24">
        <f>IF($C$14*ReDiarioFert!C13&lt;=0,"0",$C$14*ReDiarioFert!C13)</f>
        <v>4.19683236427221</v>
      </c>
      <c r="G24">
        <f>$C$14*ReDiarioFert!E13</f>
        <v>2.0653172913043476</v>
      </c>
      <c r="I24">
        <f>$C$14*ReDiarioFert!G13</f>
        <v>4.328141974823334</v>
      </c>
      <c r="K24">
        <f>$C$14*ReDiarioFert!I13</f>
        <v>2.7778701736935174</v>
      </c>
      <c r="M24">
        <f>$C$14*ReDiarioFert!K13</f>
        <v>0.00015459958664673903</v>
      </c>
      <c r="O24">
        <f>$C$14*ReDiarioFert!M13</f>
        <v>24.866793170731707</v>
      </c>
      <c r="S24">
        <f>((E24/100)*$G$211+(G24/100)*$G$212+(I24/100)*$G$213+(K24/100)*$G$214+(M24/100)*$G$215+(O24)*$G$216+(Q24*$G$217))</f>
        <v>104.5786583960515</v>
      </c>
    </row>
    <row r="25">
      <c r="A25">
        <v>2</v>
      </c>
      <c r="B25">
        <v>8</v>
      </c>
      <c r="C25">
        <f>$I$13+B25</f>
        <v>39613</v>
      </c>
      <c r="E25">
        <f>IF($C$14*ReDiarioFert!C14&lt;=0,"0",$C$14*ReDiarioFert!C14)</f>
        <v>6.7033931500026736</v>
      </c>
      <c r="G25">
        <f>$C$14*ReDiarioFert!E14</f>
        <v>2.0653172913043476</v>
      </c>
      <c r="I25">
        <f>$C$14*ReDiarioFert!G14</f>
        <v>6.493614789595266</v>
      </c>
      <c r="K25">
        <f>$C$14*ReDiarioFert!I14</f>
        <v>4.1677049755762905</v>
      </c>
      <c r="M25">
        <f>$C$14*ReDiarioFert!K14</f>
        <v>0.00023194945271072287</v>
      </c>
      <c r="O25">
        <f>$C$14*ReDiarioFert!M14</f>
        <v>24.866793170731707</v>
      </c>
      <c r="Q25">
        <f>$C$14*Main!$D$63</f>
        <v>20.019999999999996</v>
      </c>
      <c r="S25">
        <f>((E25/100)*$G$211+(G25/100)*$G$212+(I25/100)*$G$213+(K25/100)*$G$214+(M25/100)*$G$215+(O25)*$G$216+(Q25*$G$217))</f>
        <v>202.70437479488186</v>
      </c>
    </row>
    <row r="26">
      <c r="B26">
        <v>9</v>
      </c>
      <c r="C26">
        <f>$I$13+B26</f>
        <v>39614</v>
      </c>
      <c r="E26">
        <f>IF($C$14*ReDiarioFert!C15&lt;=0,"0",$C$14*ReDiarioFert!C15)</f>
        <v>6.7033931500026736</v>
      </c>
      <c r="G26">
        <f>$C$14*ReDiarioFert!E15</f>
        <v>2.0653172913043476</v>
      </c>
      <c r="I26">
        <f>$C$14*ReDiarioFert!G15</f>
        <v>6.493614789595266</v>
      </c>
      <c r="K26">
        <f>$C$14*ReDiarioFert!I15</f>
        <v>4.1677049755762905</v>
      </c>
      <c r="M26">
        <f>$C$14*ReDiarioFert!K15</f>
        <v>0.00023194945271072287</v>
      </c>
      <c r="O26">
        <f>$C$14*ReDiarioFert!M15</f>
        <v>24.866793170731707</v>
      </c>
      <c r="S26">
        <f>((E26/100)*$G$211+(G26/100)*$G$212+(I26/100)*$G$213+(K26/100)*$G$214+(M26/100)*$G$215+(O26)*$G$216+(Q26*$G$217))</f>
        <v>146.64837479488187</v>
      </c>
    </row>
    <row r="27">
      <c r="B27">
        <v>10</v>
      </c>
      <c r="C27">
        <f>$I$13+B27</f>
        <v>39615</v>
      </c>
      <c r="E27">
        <f>IF($C$14*ReDiarioFert!C16&lt;=0,"0",$C$14*ReDiarioFert!C16)</f>
        <v>6.7033931500026736</v>
      </c>
      <c r="G27">
        <f>$C$14*ReDiarioFert!E16</f>
        <v>2.0653172913043476</v>
      </c>
      <c r="I27">
        <f>$C$14*ReDiarioFert!G16</f>
        <v>6.493614789595266</v>
      </c>
      <c r="K27">
        <f>$C$14*ReDiarioFert!I16</f>
        <v>4.1677049755762905</v>
      </c>
      <c r="M27">
        <f>$C$14*ReDiarioFert!K16</f>
        <v>0.00023194945271072287</v>
      </c>
      <c r="O27">
        <f>$C$14*ReDiarioFert!M16</f>
        <v>24.866793170731707</v>
      </c>
      <c r="S27">
        <f>((E27/100)*$G$211+(G27/100)*$G$212+(I27/100)*$G$213+(K27/100)*$G$214+(M27/100)*$G$215+(O27)*$G$216+(Q27*$G$217))</f>
        <v>146.64837479488187</v>
      </c>
    </row>
    <row r="28">
      <c r="B28">
        <v>11</v>
      </c>
      <c r="C28">
        <f>$I$13+B28</f>
        <v>39616</v>
      </c>
      <c r="E28">
        <f>IF($C$14*ReDiarioFert!C17&lt;=0,"0",$C$14*ReDiarioFert!C17)</f>
        <v>6.7033931500026736</v>
      </c>
      <c r="G28">
        <f>$C$14*ReDiarioFert!E17</f>
        <v>2.0653172913043476</v>
      </c>
      <c r="I28">
        <f>$C$14*ReDiarioFert!G17</f>
        <v>6.493614789595266</v>
      </c>
      <c r="K28">
        <f>$C$14*ReDiarioFert!I17</f>
        <v>4.1677049755762905</v>
      </c>
      <c r="M28">
        <f>$C$14*ReDiarioFert!K17</f>
        <v>0.00023194945271072287</v>
      </c>
      <c r="O28">
        <f>$C$14*ReDiarioFert!M17</f>
        <v>44.76032536585365</v>
      </c>
      <c r="S28">
        <f>((E28/100)*$G$211+(G28/100)*$G$212+(I28/100)*$G$213+(K28/100)*$G$214+(M28/100)*$G$215+(O28)*$G$216+(Q28*$G$217))</f>
        <v>147.44411608268675</v>
      </c>
    </row>
    <row r="29">
      <c r="B29">
        <v>12</v>
      </c>
      <c r="C29">
        <f>$I$13+B29</f>
        <v>39617</v>
      </c>
      <c r="E29">
        <f>IF($C$14*ReDiarioFert!C18&lt;=0,"0",$C$14*ReDiarioFert!C18)</f>
        <v>6.7033931500026736</v>
      </c>
      <c r="G29">
        <f>$C$14*ReDiarioFert!E18</f>
        <v>2.0653172913043476</v>
      </c>
      <c r="I29">
        <f>$C$14*ReDiarioFert!G18</f>
        <v>6.493614789595266</v>
      </c>
      <c r="K29">
        <f>$C$14*ReDiarioFert!I18</f>
        <v>4.1677049755762905</v>
      </c>
      <c r="M29">
        <f>$C$14*ReDiarioFert!K18</f>
        <v>0.00023194945271072287</v>
      </c>
      <c r="O29">
        <f>$C$14*ReDiarioFert!M18</f>
        <v>44.76032536585365</v>
      </c>
      <c r="S29">
        <f>((E29/100)*$G$211+(G29/100)*$G$212+(I29/100)*$G$213+(K29/100)*$G$214+(M29/100)*$G$215+(O29)*$G$216+(Q29*$G$217))</f>
        <v>147.44411608268675</v>
      </c>
    </row>
    <row r="30">
      <c r="B30">
        <v>13</v>
      </c>
      <c r="C30">
        <f>$I$13+B30</f>
        <v>39618</v>
      </c>
      <c r="E30">
        <f>IF($C$14*ReDiarioFert!C19&lt;=0,"0",$C$14*ReDiarioFert!C19)</f>
        <v>6.7033931500026736</v>
      </c>
      <c r="G30">
        <f>$C$14*ReDiarioFert!E19</f>
        <v>2.0653172913043476</v>
      </c>
      <c r="I30">
        <f>$C$14*ReDiarioFert!G19</f>
        <v>6.493614789595266</v>
      </c>
      <c r="K30">
        <f>$C$14*ReDiarioFert!I19</f>
        <v>4.1677049755762905</v>
      </c>
      <c r="M30">
        <f>$C$14*ReDiarioFert!K19</f>
        <v>0.00023194945271072287</v>
      </c>
      <c r="O30">
        <f>$C$14*ReDiarioFert!M19</f>
        <v>44.76032536585365</v>
      </c>
      <c r="S30">
        <f>((E30/100)*$G$211+(G30/100)*$G$212+(I30/100)*$G$213+(K30/100)*$G$214+(M30/100)*$G$215+(O30)*$G$216+(Q30*$G$217))</f>
        <v>147.44411608268675</v>
      </c>
    </row>
    <row r="31">
      <c r="B31">
        <v>14</v>
      </c>
      <c r="C31">
        <f>$I$13+B31</f>
        <v>39619</v>
      </c>
      <c r="E31">
        <f>IF($C$14*ReDiarioFert!C20&lt;=0,"0",$C$14*ReDiarioFert!C20)</f>
        <v>6.7033931500026736</v>
      </c>
      <c r="G31">
        <f>$C$14*ReDiarioFert!E20</f>
        <v>2.0653172913043476</v>
      </c>
      <c r="I31">
        <f>$C$14*ReDiarioFert!G20</f>
        <v>6.493614789595266</v>
      </c>
      <c r="K31">
        <f>$C$14*ReDiarioFert!I20</f>
        <v>4.1677049755762905</v>
      </c>
      <c r="M31">
        <f>$C$14*ReDiarioFert!K20</f>
        <v>0.00023194945271072287</v>
      </c>
      <c r="O31">
        <f>$C$14*ReDiarioFert!M20</f>
        <v>44.76032536585365</v>
      </c>
      <c r="S31">
        <f>((E31/100)*$G$211+(G31/100)*$G$212+(I31/100)*$G$213+(K31/100)*$G$214+(M31/100)*$G$215+(O31)*$G$216+(Q31*$G$217))</f>
        <v>147.44411608268675</v>
      </c>
    </row>
    <row r="32">
      <c r="A32">
        <v>3</v>
      </c>
      <c r="B32">
        <v>15</v>
      </c>
      <c r="C32">
        <f>$I$13+B32</f>
        <v>39620</v>
      </c>
      <c r="E32">
        <f>IF($C$14*ReDiarioFert!C21&lt;=0,"0",$C$14*ReDiarioFert!C21)</f>
        <v>6.7033931500026736</v>
      </c>
      <c r="G32">
        <f>$C$14*ReDiarioFert!E21</f>
        <v>2.0653172913043476</v>
      </c>
      <c r="I32">
        <f>$C$14*ReDiarioFert!G21</f>
        <v>6.493614789595266</v>
      </c>
      <c r="K32">
        <f>$C$14*ReDiarioFert!I21</f>
        <v>4.1677049755762905</v>
      </c>
      <c r="M32">
        <f>$C$14*ReDiarioFert!K21</f>
        <v>0.00023194945271072287</v>
      </c>
      <c r="O32">
        <f>$C$14*ReDiarioFert!M21</f>
        <v>44.76032536585365</v>
      </c>
      <c r="Q32">
        <f>$C$14*Main!$D$63</f>
        <v>20.019999999999996</v>
      </c>
      <c r="S32">
        <f>((E32/100)*$G$211+(G32/100)*$G$212+(I32/100)*$G$213+(K32/100)*$G$214+(M32/100)*$G$215+(O32)*$G$216+(Q32*$G$217))</f>
        <v>203.50011608268673</v>
      </c>
    </row>
    <row r="33">
      <c r="B33">
        <v>16</v>
      </c>
      <c r="C33">
        <f>$I$13+B33</f>
        <v>39621</v>
      </c>
      <c r="E33">
        <f>IF($C$14*ReDiarioFert!C22&lt;=0,"0",$C$14*ReDiarioFert!C22)</f>
        <v>6.7033931500026736</v>
      </c>
      <c r="G33">
        <f>$C$14*ReDiarioFert!E22</f>
        <v>2.0653172913043476</v>
      </c>
      <c r="I33">
        <f>$C$14*ReDiarioFert!G22</f>
        <v>6.493614789595266</v>
      </c>
      <c r="K33">
        <f>$C$14*ReDiarioFert!I22</f>
        <v>4.1677049755762905</v>
      </c>
      <c r="M33">
        <f>$C$14*ReDiarioFert!K22</f>
        <v>0.00023194945271072287</v>
      </c>
      <c r="O33">
        <f>$C$14*ReDiarioFert!M22</f>
        <v>44.76032536585365</v>
      </c>
      <c r="S33">
        <f>((E33/100)*$G$211+(G33/100)*$G$212+(I33/100)*$G$213+(K33/100)*$G$214+(M33/100)*$G$215+(O33)*$G$216+(Q33*$G$217))</f>
        <v>147.44411608268675</v>
      </c>
    </row>
    <row r="34">
      <c r="B34">
        <v>17</v>
      </c>
      <c r="C34">
        <f>$I$13+B34</f>
        <v>39622</v>
      </c>
      <c r="E34">
        <f>IF($C$14*ReDiarioFert!C23&lt;=0,"0",$C$14*ReDiarioFert!C23)</f>
        <v>6.7033931500026736</v>
      </c>
      <c r="G34">
        <f>$C$14*ReDiarioFert!E23</f>
        <v>2.0653172913043476</v>
      </c>
      <c r="I34">
        <f>$C$14*ReDiarioFert!G23</f>
        <v>6.493614789595266</v>
      </c>
      <c r="K34">
        <f>$C$14*ReDiarioFert!I23</f>
        <v>4.1677049755762905</v>
      </c>
      <c r="M34">
        <f>$C$14*ReDiarioFert!K23</f>
        <v>0.00023194945271072287</v>
      </c>
      <c r="O34">
        <f>$C$14*ReDiarioFert!M23</f>
        <v>44.76032536585365</v>
      </c>
      <c r="S34">
        <f>((E34/100)*$G$211+(G34/100)*$G$212+(I34/100)*$G$213+(K34/100)*$G$214+(M34/100)*$G$215+(O34)*$G$216+(Q34*$G$217))</f>
        <v>147.44411608268675</v>
      </c>
    </row>
    <row r="35">
      <c r="B35">
        <v>18</v>
      </c>
      <c r="C35">
        <f>$I$13+B35</f>
        <v>39623</v>
      </c>
      <c r="E35">
        <f>IF($C$14*ReDiarioFert!C24&lt;=0,"0",$C$14*ReDiarioFert!C24)</f>
        <v>6.7033931500026736</v>
      </c>
      <c r="G35">
        <f>$C$14*ReDiarioFert!E24</f>
        <v>2.0653172913043476</v>
      </c>
      <c r="I35">
        <f>$C$14*ReDiarioFert!G24</f>
        <v>6.493614789595266</v>
      </c>
      <c r="K35">
        <f>$C$14*ReDiarioFert!I24</f>
        <v>4.1677049755762905</v>
      </c>
      <c r="M35">
        <f>$C$14*ReDiarioFert!K24</f>
        <v>0.00023194945271072287</v>
      </c>
      <c r="O35">
        <f>$C$14*ReDiarioFert!M24</f>
        <v>59.680108292682924</v>
      </c>
      <c r="S35">
        <f>((E35/100)*$G$211+(G35/100)*$G$212+(I35/100)*$G$213+(K35/100)*$G$214+(M35/100)*$G$215+(O35)*$G$216+(Q35*$G$217))</f>
        <v>148.04090739975993</v>
      </c>
    </row>
    <row r="36">
      <c r="B36">
        <v>19</v>
      </c>
      <c r="C36">
        <f>$I$13+B36</f>
        <v>39624</v>
      </c>
      <c r="E36">
        <f>IF($C$14*ReDiarioFert!C25&lt;=0,"0",$C$14*ReDiarioFert!C25)</f>
        <v>6.7033931500026736</v>
      </c>
      <c r="G36">
        <f>$C$14*ReDiarioFert!E25</f>
        <v>2.0653172913043476</v>
      </c>
      <c r="I36">
        <f>$C$14*ReDiarioFert!G25</f>
        <v>6.493614789595266</v>
      </c>
      <c r="K36">
        <f>$C$14*ReDiarioFert!I25</f>
        <v>4.1677049755762905</v>
      </c>
      <c r="M36">
        <f>$C$14*ReDiarioFert!K25</f>
        <v>0.00023194945271072287</v>
      </c>
      <c r="O36">
        <f>$C$14*ReDiarioFert!M25</f>
        <v>59.680108292682924</v>
      </c>
      <c r="S36">
        <f>((E36/100)*$G$211+(G36/100)*$G$212+(I36/100)*$G$213+(K36/100)*$G$214+(M36/100)*$G$215+(O36)*$G$216+(Q36*$G$217))</f>
        <v>148.04090739975993</v>
      </c>
    </row>
    <row r="37">
      <c r="B37">
        <v>20</v>
      </c>
      <c r="C37">
        <f>$I$13+B37</f>
        <v>39625</v>
      </c>
      <c r="E37">
        <f>IF($C$14*ReDiarioFert!C26&lt;=0,"0",$C$14*ReDiarioFert!C26)</f>
        <v>6.7033931500026736</v>
      </c>
      <c r="G37">
        <f>$C$14*ReDiarioFert!E26</f>
        <v>2.0653172913043476</v>
      </c>
      <c r="I37">
        <f>$C$14*ReDiarioFert!G26</f>
        <v>6.493614789595266</v>
      </c>
      <c r="K37">
        <f>$C$14*ReDiarioFert!I26</f>
        <v>4.1677049755762905</v>
      </c>
      <c r="M37">
        <f>$C$14*ReDiarioFert!K26</f>
        <v>0.00023194945271072287</v>
      </c>
      <c r="O37">
        <f>$C$14*ReDiarioFert!M26</f>
        <v>59.680108292682924</v>
      </c>
      <c r="S37">
        <f>((E37/100)*$G$211+(G37/100)*$G$212+(I37/100)*$G$213+(K37/100)*$G$214+(M37/100)*$G$215+(O37)*$G$216+(Q37*$G$217))</f>
        <v>148.04090739975993</v>
      </c>
    </row>
    <row r="38">
      <c r="B38">
        <v>21</v>
      </c>
      <c r="C38">
        <f>$I$13+B38</f>
        <v>39626</v>
      </c>
      <c r="E38">
        <f>IF($C$14*ReDiarioFert!C27&lt;=0,"0",$C$14*ReDiarioFert!C27)</f>
        <v>6.7033931500026736</v>
      </c>
      <c r="G38">
        <f>$C$14*ReDiarioFert!E27</f>
        <v>2.0653172913043476</v>
      </c>
      <c r="I38">
        <f>$C$14*ReDiarioFert!G27</f>
        <v>6.493614789595266</v>
      </c>
      <c r="K38">
        <f>$C$14*ReDiarioFert!I27</f>
        <v>4.1677049755762905</v>
      </c>
      <c r="M38">
        <f>$C$14*ReDiarioFert!K27</f>
        <v>0.00023194945271072287</v>
      </c>
      <c r="O38">
        <f>$C$14*ReDiarioFert!M27</f>
        <v>59.680108292682924</v>
      </c>
      <c r="S38">
        <f>((E38/100)*$G$211+(G38/100)*$G$212+(I38/100)*$G$213+(K38/100)*$G$214+(M38/100)*$G$215+(O38)*$G$216+(Q38*$G$217))</f>
        <v>148.04090739975993</v>
      </c>
    </row>
    <row r="39">
      <c r="A39">
        <v>4</v>
      </c>
      <c r="B39">
        <v>22</v>
      </c>
      <c r="C39">
        <f>$I$13+B39</f>
        <v>39627</v>
      </c>
      <c r="E39">
        <f>IF($C$14*ReDiarioFert!C28&lt;=0,"0",$C$14*ReDiarioFert!C28)</f>
        <v>9.258394059499478</v>
      </c>
      <c r="G39">
        <f>$C$14*ReDiarioFert!E28</f>
        <v>2.0653172913043476</v>
      </c>
      <c r="I39">
        <f>$C$14*ReDiarioFert!G28</f>
        <v>8.702369024115434</v>
      </c>
      <c r="K39">
        <f>$C$14*ReDiarioFert!I28</f>
        <v>5.585318479195999</v>
      </c>
      <c r="M39">
        <f>$C$14*ReDiarioFert!K28</f>
        <v>0.00031084531464117414</v>
      </c>
      <c r="O39">
        <f>$C$14*ReDiarioFert!M28</f>
        <v>59.680108292682924</v>
      </c>
      <c r="Q39">
        <f>$C$14*Main!$D$63</f>
        <v>20.019999999999996</v>
      </c>
      <c r="S39">
        <f>((E39/100)*$G$211+(G39/100)*$G$212+(I39/100)*$G$213+(K39/100)*$G$214+(M39/100)*$G$215+(O39)*$G$216+(Q39*$G$217))</f>
        <v>246.99669229112956</v>
      </c>
    </row>
    <row r="40">
      <c r="B40">
        <v>23</v>
      </c>
      <c r="C40">
        <f>$I$13+B40</f>
        <v>39628</v>
      </c>
      <c r="E40">
        <f>IF($C$14*ReDiarioFert!C29&lt;=0,"0",$C$14*ReDiarioFert!C29)</f>
        <v>9.258394059499478</v>
      </c>
      <c r="G40">
        <f>$C$14*ReDiarioFert!E29</f>
        <v>2.0653172913043476</v>
      </c>
      <c r="I40">
        <f>$C$14*ReDiarioFert!G29</f>
        <v>8.702369024115434</v>
      </c>
      <c r="K40">
        <f>$C$14*ReDiarioFert!I29</f>
        <v>5.585318479195999</v>
      </c>
      <c r="M40">
        <f>$C$14*ReDiarioFert!K29</f>
        <v>0.00031084531464117414</v>
      </c>
      <c r="O40">
        <f>$C$14*ReDiarioFert!M29</f>
        <v>59.680108292682924</v>
      </c>
      <c r="S40">
        <f>((E40/100)*$G$211+(G40/100)*$G$212+(I40/100)*$G$213+(K40/100)*$G$214+(M40/100)*$G$215+(O40)*$G$216+(Q40*$G$217))</f>
        <v>190.94069229112958</v>
      </c>
    </row>
    <row r="41">
      <c r="B41">
        <v>24</v>
      </c>
      <c r="C41">
        <f>$I$13+B41</f>
        <v>39629</v>
      </c>
      <c r="E41">
        <f>IF($C$14*ReDiarioFert!C30&lt;=0,"0",$C$14*ReDiarioFert!C30)</f>
        <v>9.258394059499478</v>
      </c>
      <c r="G41">
        <f>$C$14*ReDiarioFert!E30</f>
        <v>2.0653172913043476</v>
      </c>
      <c r="I41">
        <f>$C$14*ReDiarioFert!G30</f>
        <v>8.702369024115434</v>
      </c>
      <c r="K41">
        <f>$C$14*ReDiarioFert!I30</f>
        <v>5.585318479195999</v>
      </c>
      <c r="M41">
        <f>$C$14*ReDiarioFert!K30</f>
        <v>0.00031084531464117414</v>
      </c>
      <c r="O41">
        <f>$C$14*ReDiarioFert!M30</f>
        <v>59.680108292682924</v>
      </c>
      <c r="S41">
        <f>((E41/100)*$G$211+(G41/100)*$G$212+(I41/100)*$G$213+(K41/100)*$G$214+(M41/100)*$G$215+(O41)*$G$216+(Q41*$G$217))</f>
        <v>190.94069229112958</v>
      </c>
    </row>
    <row r="42">
      <c r="B42">
        <v>25</v>
      </c>
      <c r="C42">
        <f>$I$13+B42</f>
        <v>39630</v>
      </c>
      <c r="E42">
        <f>IF($C$14*ReDiarioFert!C31&lt;=0,"0",$C$14*ReDiarioFert!C31)</f>
        <v>9.258394059499478</v>
      </c>
      <c r="G42">
        <f>$C$14*ReDiarioFert!E31</f>
        <v>2.0653172913043476</v>
      </c>
      <c r="I42">
        <f>$C$14*ReDiarioFert!G31</f>
        <v>8.702369024115434</v>
      </c>
      <c r="K42">
        <f>$C$14*ReDiarioFert!I31</f>
        <v>5.585318479195999</v>
      </c>
      <c r="M42">
        <f>$C$14*ReDiarioFert!K31</f>
        <v>0.00031084531464117414</v>
      </c>
      <c r="O42">
        <f>$C$14*ReDiarioFert!M31</f>
        <v>59.680108292682924</v>
      </c>
      <c r="S42">
        <f>((E42/100)*$G$211+(G42/100)*$G$212+(I42/100)*$G$213+(K42/100)*$G$214+(M42/100)*$G$215+(O42)*$G$216+(Q42*$G$217))</f>
        <v>190.94069229112958</v>
      </c>
    </row>
    <row r="43">
      <c r="B43">
        <v>26</v>
      </c>
      <c r="C43">
        <f>$I$13+B43</f>
        <v>39631</v>
      </c>
      <c r="E43">
        <f>IF($C$14*ReDiarioFert!C32&lt;=0,"0",$C$14*ReDiarioFert!C32)</f>
        <v>9.258394059499478</v>
      </c>
      <c r="G43">
        <f>$C$14*ReDiarioFert!E32</f>
        <v>2.0653172913043476</v>
      </c>
      <c r="I43">
        <f>$C$14*ReDiarioFert!G32</f>
        <v>8.702369024115434</v>
      </c>
      <c r="K43">
        <f>$C$14*ReDiarioFert!I32</f>
        <v>5.585318479195999</v>
      </c>
      <c r="M43">
        <f>$C$14*ReDiarioFert!K32</f>
        <v>0.00031084531464117414</v>
      </c>
      <c r="O43">
        <f>$C$14*ReDiarioFert!M32</f>
        <v>59.680108292682924</v>
      </c>
      <c r="S43">
        <f>((E43/100)*$G$211+(G43/100)*$G$212+(I43/100)*$G$213+(K43/100)*$G$214+(M43/100)*$G$215+(O43)*$G$216+(Q43*$G$217))</f>
        <v>190.94069229112958</v>
      </c>
    </row>
    <row r="44">
      <c r="B44">
        <v>27</v>
      </c>
      <c r="C44">
        <f>$I$13+B44</f>
        <v>39632</v>
      </c>
      <c r="E44">
        <f>IF($C$14*ReDiarioFert!C33&lt;=0,"0",$C$14*ReDiarioFert!C33)</f>
        <v>9.258394059499478</v>
      </c>
      <c r="G44">
        <f>$C$14*ReDiarioFert!E33</f>
        <v>2.0653172913043476</v>
      </c>
      <c r="I44">
        <f>$C$14*ReDiarioFert!G33</f>
        <v>8.702369024115434</v>
      </c>
      <c r="K44">
        <f>$C$14*ReDiarioFert!I33</f>
        <v>5.585318479195999</v>
      </c>
      <c r="M44">
        <f>$C$14*ReDiarioFert!K33</f>
        <v>0.00031084531464117414</v>
      </c>
      <c r="O44">
        <f>$C$14*ReDiarioFert!M33</f>
        <v>59.680108292682924</v>
      </c>
      <c r="S44">
        <f>((E44/100)*$G$211+(G44/100)*$G$212+(I44/100)*$G$213+(K44/100)*$G$214+(M44/100)*$G$215+(O44)*$G$216+(Q44*$G$217))</f>
        <v>190.94069229112958</v>
      </c>
    </row>
    <row r="45">
      <c r="B45">
        <v>28</v>
      </c>
      <c r="C45">
        <f>$I$13+B45</f>
        <v>39633</v>
      </c>
      <c r="E45">
        <f>IF($C$14*ReDiarioFert!C34&lt;=0,"0",$C$14*ReDiarioFert!C34)</f>
        <v>9.258394059499478</v>
      </c>
      <c r="G45">
        <f>$C$14*ReDiarioFert!E34</f>
        <v>2.0653172913043476</v>
      </c>
      <c r="I45">
        <f>$C$14*ReDiarioFert!G34</f>
        <v>8.702369024115434</v>
      </c>
      <c r="K45">
        <f>$C$14*ReDiarioFert!I34</f>
        <v>5.585318479195999</v>
      </c>
      <c r="M45">
        <f>$C$14*ReDiarioFert!K34</f>
        <v>0.00031084531464117414</v>
      </c>
      <c r="O45">
        <f>$C$14*ReDiarioFert!M34</f>
        <v>59.680108292682924</v>
      </c>
      <c r="S45">
        <f>((E45/100)*$G$211+(G45/100)*$G$212+(I45/100)*$G$213+(K45/100)*$G$214+(M45/100)*$G$215+(O45)*$G$216+(Q45*$G$217))</f>
        <v>190.94069229112958</v>
      </c>
    </row>
    <row r="46">
      <c r="A46">
        <v>5</v>
      </c>
      <c r="B46">
        <v>29</v>
      </c>
      <c r="C46">
        <f>$I$13+B46</f>
        <v>39634</v>
      </c>
      <c r="E46">
        <f>IF($C$14*ReDiarioFert!C35&lt;=0,"0",$C$14*ReDiarioFert!C35)</f>
        <v>9.258394059499478</v>
      </c>
      <c r="G46">
        <f>$C$14*ReDiarioFert!E35</f>
        <v>2.0653172913043476</v>
      </c>
      <c r="I46">
        <f>$C$14*ReDiarioFert!G35</f>
        <v>8.702369024115434</v>
      </c>
      <c r="K46">
        <f>$C$14*ReDiarioFert!I35</f>
        <v>5.585318479195999</v>
      </c>
      <c r="M46">
        <f>$C$14*ReDiarioFert!K35</f>
        <v>0.00031084531464117414</v>
      </c>
      <c r="O46">
        <f>$C$14*ReDiarioFert!M35</f>
        <v>59.680108292682924</v>
      </c>
      <c r="Q46">
        <f>$C$14*Main!$D$63</f>
        <v>20.019999999999996</v>
      </c>
      <c r="S46">
        <f>((E46/100)*$G$211+(G46/100)*$G$212+(I46/100)*$G$213+(K46/100)*$G$214+(M46/100)*$G$215+(O46)*$G$216+(Q46*$G$217))</f>
        <v>246.99669229112956</v>
      </c>
    </row>
    <row r="47">
      <c r="B47">
        <v>30</v>
      </c>
      <c r="C47">
        <f>$I$13+B47</f>
        <v>39635</v>
      </c>
      <c r="E47">
        <f>IF($C$14*ReDiarioFert!C36&lt;=0,"0",$C$14*ReDiarioFert!C36)</f>
        <v>9.258394059499478</v>
      </c>
      <c r="G47">
        <f>$C$14*ReDiarioFert!E36</f>
        <v>2.0653172913043476</v>
      </c>
      <c r="I47">
        <f>$C$14*ReDiarioFert!G36</f>
        <v>8.702369024115434</v>
      </c>
      <c r="K47">
        <f>$C$14*ReDiarioFert!I36</f>
        <v>5.585318479195999</v>
      </c>
      <c r="M47">
        <f>$C$14*ReDiarioFert!K36</f>
        <v>0.00031084531464117414</v>
      </c>
      <c r="O47">
        <f>$C$14*ReDiarioFert!M36</f>
        <v>59.680108292682924</v>
      </c>
      <c r="S47">
        <f>((E47/100)*$G$211+(G47/100)*$G$212+(I47/100)*$G$213+(K47/100)*$G$214+(M47/100)*$G$215+(O47)*$G$216+(Q47*$G$217))</f>
        <v>190.94069229112958</v>
      </c>
    </row>
    <row r="48">
      <c r="B48">
        <v>31</v>
      </c>
      <c r="C48">
        <f>$I$13+B48</f>
        <v>39636</v>
      </c>
      <c r="E48">
        <f>IF($C$14*ReDiarioFert!C37&lt;=0,"0",$C$14*ReDiarioFert!C37)</f>
        <v>9.258394059499478</v>
      </c>
      <c r="G48">
        <f>$C$14*ReDiarioFert!E37</f>
        <v>2.0653172913043476</v>
      </c>
      <c r="I48">
        <f>$C$14*ReDiarioFert!G37</f>
        <v>8.702369024115434</v>
      </c>
      <c r="K48">
        <f>$C$14*ReDiarioFert!I37</f>
        <v>5.585318479195999</v>
      </c>
      <c r="M48">
        <f>$C$14*ReDiarioFert!K37</f>
        <v>0.00031084531464117414</v>
      </c>
      <c r="O48">
        <f>$C$14*ReDiarioFert!M37</f>
        <v>59.680108292682924</v>
      </c>
      <c r="S48">
        <f>((E48/100)*$G$211+(G48/100)*$G$212+(I48/100)*$G$213+(K48/100)*$G$214+(M48/100)*$G$215+(O48)*$G$216+(Q48*$G$217))</f>
        <v>190.94069229112958</v>
      </c>
    </row>
    <row r="49">
      <c r="B49">
        <v>32</v>
      </c>
      <c r="C49">
        <f>$I$13+B49</f>
        <v>39637</v>
      </c>
      <c r="E49">
        <f>IF($C$14*ReDiarioFert!C38&lt;=0,"0",$C$14*ReDiarioFert!C38)</f>
        <v>9.258394059499478</v>
      </c>
      <c r="G49">
        <f>$C$14*ReDiarioFert!E38</f>
        <v>2.0653172913043476</v>
      </c>
      <c r="I49">
        <f>$C$14*ReDiarioFert!G38</f>
        <v>8.702369024115434</v>
      </c>
      <c r="K49">
        <f>$C$14*ReDiarioFert!I38</f>
        <v>5.585318479195999</v>
      </c>
      <c r="M49">
        <f>$C$14*ReDiarioFert!K38</f>
        <v>0.00031084531464117414</v>
      </c>
      <c r="O49">
        <f>$C$14*ReDiarioFert!M38</f>
        <v>59.680108292682924</v>
      </c>
      <c r="S49">
        <f>((E49/100)*$G$211+(G49/100)*$G$212+(I49/100)*$G$213+(K49/100)*$G$214+(M49/100)*$G$215+(O49)*$G$216+(Q49*$G$217))</f>
        <v>190.94069229112958</v>
      </c>
    </row>
    <row r="50">
      <c r="B50">
        <v>33</v>
      </c>
      <c r="C50">
        <f>$I$13+B50</f>
        <v>39638</v>
      </c>
      <c r="E50">
        <f>IF($C$14*ReDiarioFert!C39&lt;=0,"0",$C$14*ReDiarioFert!C39)</f>
        <v>9.258394059499478</v>
      </c>
      <c r="G50">
        <f>$C$14*ReDiarioFert!E39</f>
        <v>2.0653172913043476</v>
      </c>
      <c r="I50">
        <f>$C$14*ReDiarioFert!G39</f>
        <v>8.702369024115434</v>
      </c>
      <c r="K50">
        <f>$C$14*ReDiarioFert!I39</f>
        <v>5.585318479195999</v>
      </c>
      <c r="M50">
        <f>$C$14*ReDiarioFert!K39</f>
        <v>0.00031084531464117414</v>
      </c>
      <c r="O50">
        <f>$C$14*ReDiarioFert!M39</f>
        <v>84.54738975609757</v>
      </c>
      <c r="S50">
        <f>((E50/100)*$G$211+(G50/100)*$G$212+(I50/100)*$G$213+(K50/100)*$G$214+(M50/100)*$G$215+(O50)*$G$216+(Q50*$G$217))</f>
        <v>191.93538354966617</v>
      </c>
    </row>
    <row r="51">
      <c r="B51">
        <v>34</v>
      </c>
      <c r="C51">
        <f>$I$13+B51</f>
        <v>39639</v>
      </c>
      <c r="E51">
        <f>IF($C$14*ReDiarioFert!C40&lt;=0,"0",$C$14*ReDiarioFert!C40)</f>
        <v>9.258394059499478</v>
      </c>
      <c r="G51">
        <f>$C$14*ReDiarioFert!E40</f>
        <v>2.0653172913043476</v>
      </c>
      <c r="I51">
        <f>$C$14*ReDiarioFert!G40</f>
        <v>8.702369024115434</v>
      </c>
      <c r="K51">
        <f>$C$14*ReDiarioFert!I40</f>
        <v>5.585318479195999</v>
      </c>
      <c r="M51">
        <f>$C$14*ReDiarioFert!K40</f>
        <v>0.00031084531464117414</v>
      </c>
      <c r="O51">
        <f>$C$14*ReDiarioFert!M40</f>
        <v>84.54738975609757</v>
      </c>
      <c r="S51">
        <f>((E51/100)*$G$211+(G51/100)*$G$212+(I51/100)*$G$213+(K51/100)*$G$214+(M51/100)*$G$215+(O51)*$G$216+(Q51*$G$217))</f>
        <v>191.93538354966617</v>
      </c>
    </row>
    <row r="52">
      <c r="B52">
        <v>35</v>
      </c>
      <c r="C52">
        <f>$I$13+B52</f>
        <v>39640</v>
      </c>
      <c r="E52">
        <f>IF($C$14*ReDiarioFert!C41&lt;=0,"0",$C$14*ReDiarioFert!C41)</f>
        <v>9.258394059499478</v>
      </c>
      <c r="G52">
        <f>$C$14*ReDiarioFert!E41</f>
        <v>2.0653172913043476</v>
      </c>
      <c r="I52">
        <f>$C$14*ReDiarioFert!G41</f>
        <v>8.702369024115434</v>
      </c>
      <c r="K52">
        <f>$C$14*ReDiarioFert!I41</f>
        <v>5.585318479195999</v>
      </c>
      <c r="M52">
        <f>$C$14*ReDiarioFert!K41</f>
        <v>0.00031084531464117414</v>
      </c>
      <c r="O52">
        <f>$C$14*ReDiarioFert!M41</f>
        <v>84.54738975609757</v>
      </c>
      <c r="S52">
        <f>((E52/100)*$G$211+(G52/100)*$G$212+(I52/100)*$G$213+(K52/100)*$G$214+(M52/100)*$G$215+(O52)*$G$216+(Q52*$G$217))</f>
        <v>191.93538354966617</v>
      </c>
    </row>
    <row r="53">
      <c r="A53">
        <v>6</v>
      </c>
      <c r="B53">
        <v>36</v>
      </c>
      <c r="C53">
        <f>$I$13+B53</f>
        <v>39641</v>
      </c>
      <c r="E53">
        <f>IF($C$14*ReDiarioFert!C42&lt;=0,"0",$C$14*ReDiarioFert!C42)</f>
        <v>9.258394059499478</v>
      </c>
      <c r="G53">
        <f>$C$14*ReDiarioFert!E42</f>
        <v>2.0653172913043476</v>
      </c>
      <c r="I53">
        <f>$C$14*ReDiarioFert!G42</f>
        <v>8.702369024115434</v>
      </c>
      <c r="K53">
        <f>$C$14*ReDiarioFert!I42</f>
        <v>5.585318479195999</v>
      </c>
      <c r="M53">
        <f>$C$14*ReDiarioFert!K42</f>
        <v>0.00031084531464117414</v>
      </c>
      <c r="O53">
        <f>$C$14*ReDiarioFert!M42</f>
        <v>84.54738975609757</v>
      </c>
      <c r="Q53">
        <f>$C$14*Main!$D$63</f>
        <v>20.019999999999996</v>
      </c>
      <c r="S53">
        <f>((E53/100)*$G$211+(G53/100)*$G$212+(I53/100)*$G$213+(K53/100)*$G$214+(M53/100)*$G$215+(O53)*$G$216+(Q53*$G$217))</f>
        <v>247.99138354966615</v>
      </c>
    </row>
    <row r="54">
      <c r="B54">
        <v>37</v>
      </c>
      <c r="C54">
        <f>$I$13+B54</f>
        <v>39642</v>
      </c>
      <c r="E54">
        <f>IF($C$14*ReDiarioFert!C43&lt;=0,"0",$C$14*ReDiarioFert!C43)</f>
        <v>9.258394059499478</v>
      </c>
      <c r="G54">
        <f>$C$14*ReDiarioFert!E43</f>
        <v>2.0653172913043476</v>
      </c>
      <c r="I54">
        <f>$C$14*ReDiarioFert!G43</f>
        <v>8.702369024115434</v>
      </c>
      <c r="K54">
        <f>$C$14*ReDiarioFert!I43</f>
        <v>5.585318479195999</v>
      </c>
      <c r="M54">
        <f>$C$14*ReDiarioFert!K43</f>
        <v>0.00031084531464117414</v>
      </c>
      <c r="O54">
        <f>$C$14*ReDiarioFert!M43</f>
        <v>84.54738975609757</v>
      </c>
      <c r="S54">
        <f>((E54/100)*$G$211+(G54/100)*$G$212+(I54/100)*$G$213+(K54/100)*$G$214+(M54/100)*$G$215+(O54)*$G$216+(Q54*$G$217))</f>
        <v>191.93538354966617</v>
      </c>
    </row>
    <row r="55">
      <c r="B55">
        <v>38</v>
      </c>
      <c r="C55">
        <f>$I$13+B55</f>
        <v>39643</v>
      </c>
      <c r="E55">
        <f>IF($C$14*ReDiarioFert!C44&lt;=0,"0",$C$14*ReDiarioFert!C44)</f>
        <v>9.258394059499478</v>
      </c>
      <c r="G55">
        <f>$C$14*ReDiarioFert!E44</f>
        <v>2.0653172913043476</v>
      </c>
      <c r="I55">
        <f>$C$14*ReDiarioFert!G44</f>
        <v>8.702369024115434</v>
      </c>
      <c r="K55">
        <f>$C$14*ReDiarioFert!I44</f>
        <v>5.585318479195999</v>
      </c>
      <c r="M55">
        <f>$C$14*ReDiarioFert!K44</f>
        <v>0.00031084531464117414</v>
      </c>
      <c r="O55">
        <f>$C$14*ReDiarioFert!M44</f>
        <v>84.54738975609757</v>
      </c>
      <c r="S55">
        <f>((E55/100)*$G$211+(G55/100)*$G$212+(I55/100)*$G$213+(K55/100)*$G$214+(M55/100)*$G$215+(O55)*$G$216+(Q55*$G$217))</f>
        <v>191.93538354966617</v>
      </c>
    </row>
    <row r="56">
      <c r="B56">
        <v>39</v>
      </c>
      <c r="C56">
        <f>$I$13+B56</f>
        <v>39644</v>
      </c>
      <c r="E56">
        <f>IF($C$14*ReDiarioFert!C45&lt;=0,"0",$C$14*ReDiarioFert!C45)</f>
        <v>9.258394059499478</v>
      </c>
      <c r="G56">
        <f>$C$14*ReDiarioFert!E45</f>
        <v>2.0653172913043476</v>
      </c>
      <c r="I56">
        <f>$C$14*ReDiarioFert!G45</f>
        <v>8.702369024115434</v>
      </c>
      <c r="K56">
        <f>$C$14*ReDiarioFert!I45</f>
        <v>5.585318479195999</v>
      </c>
      <c r="M56">
        <f>$C$14*ReDiarioFert!K45</f>
        <v>0.00031084531464117414</v>
      </c>
      <c r="O56">
        <f>$C$14*ReDiarioFert!M45</f>
        <v>84.54738975609757</v>
      </c>
      <c r="S56">
        <f>((E56/100)*$G$211+(G56/100)*$G$212+(I56/100)*$G$213+(K56/100)*$G$214+(M56/100)*$G$215+(O56)*$G$216+(Q56*$G$217))</f>
        <v>191.93538354966617</v>
      </c>
    </row>
    <row r="57">
      <c r="B57">
        <v>40</v>
      </c>
      <c r="C57">
        <f>$I$13+B57</f>
        <v>39645</v>
      </c>
      <c r="E57">
        <f>IF($C$14*ReDiarioFert!C46&lt;=0,"0",$C$14*ReDiarioFert!C46)</f>
        <v>9.258394059499478</v>
      </c>
      <c r="G57">
        <f>$C$14*ReDiarioFert!E46</f>
        <v>2.0653172913043476</v>
      </c>
      <c r="I57">
        <f>$C$14*ReDiarioFert!G46</f>
        <v>8.702369024115434</v>
      </c>
      <c r="K57">
        <f>$C$14*ReDiarioFert!I46</f>
        <v>5.585318479195999</v>
      </c>
      <c r="M57">
        <f>$C$14*ReDiarioFert!K46</f>
        <v>0.00031084531464117414</v>
      </c>
      <c r="O57">
        <f>$C$14*ReDiarioFert!M46</f>
        <v>84.54738975609757</v>
      </c>
      <c r="S57">
        <f>((E57/100)*$G$211+(G57/100)*$G$212+(I57/100)*$G$213+(K57/100)*$G$214+(M57/100)*$G$215+(O57)*$G$216+(Q57*$G$217))</f>
        <v>191.93538354966617</v>
      </c>
    </row>
    <row r="58">
      <c r="B58">
        <v>41</v>
      </c>
      <c r="C58">
        <f>$I$13+B58</f>
        <v>39646</v>
      </c>
      <c r="E58">
        <f>IF($C$14*ReDiarioFert!C47&lt;=0,"0",$C$14*ReDiarioFert!C47)</f>
        <v>9.258394059499478</v>
      </c>
      <c r="G58">
        <f>$C$14*ReDiarioFert!E47</f>
        <v>2.0653172913043476</v>
      </c>
      <c r="I58">
        <f>$C$14*ReDiarioFert!G47</f>
        <v>8.702369024115434</v>
      </c>
      <c r="K58">
        <f>$C$14*ReDiarioFert!I47</f>
        <v>5.585318479195999</v>
      </c>
      <c r="M58">
        <f>$C$14*ReDiarioFert!K47</f>
        <v>0.00031084531464117414</v>
      </c>
      <c r="O58">
        <f>$C$14*ReDiarioFert!M47</f>
        <v>84.54738975609757</v>
      </c>
      <c r="S58">
        <f>((E58/100)*$G$211+(G58/100)*$G$212+(I58/100)*$G$213+(K58/100)*$G$214+(M58/100)*$G$215+(O58)*$G$216+(Q58*$G$217))</f>
        <v>191.93538354966617</v>
      </c>
    </row>
    <row r="59">
      <c r="B59">
        <v>42</v>
      </c>
      <c r="C59">
        <f>$I$13+B59</f>
        <v>39647</v>
      </c>
      <c r="E59">
        <f>IF($C$14*ReDiarioFert!C48&lt;=0,"0",$C$14*ReDiarioFert!C48)</f>
        <v>9.258394059499478</v>
      </c>
      <c r="G59">
        <f>$C$14*ReDiarioFert!E48</f>
        <v>2.0653172913043476</v>
      </c>
      <c r="I59">
        <f>$C$14*ReDiarioFert!G48</f>
        <v>8.702369024115434</v>
      </c>
      <c r="K59">
        <f>$C$14*ReDiarioFert!I48</f>
        <v>5.585318479195999</v>
      </c>
      <c r="M59">
        <f>$C$14*ReDiarioFert!K48</f>
        <v>0.00031084531464117414</v>
      </c>
      <c r="O59">
        <f>$C$14*ReDiarioFert!M48</f>
        <v>84.54738975609757</v>
      </c>
      <c r="S59">
        <f>((E59/100)*$G$211+(G59/100)*$G$212+(I59/100)*$G$213+(K59/100)*$G$214+(M59/100)*$G$215+(O59)*$G$216+(Q59*$G$217))</f>
        <v>191.93538354966617</v>
      </c>
    </row>
    <row r="60">
      <c r="A60">
        <v>7</v>
      </c>
      <c r="B60">
        <v>43</v>
      </c>
      <c r="C60">
        <f>$I$13+B60</f>
        <v>39648</v>
      </c>
      <c r="E60">
        <f>IF($C$14*ReDiarioFert!C49&lt;=0,"0",$C$14*ReDiarioFert!C49)</f>
        <v>9.258394059499478</v>
      </c>
      <c r="G60">
        <f>$C$14*ReDiarioFert!E49</f>
        <v>2.0653172913043476</v>
      </c>
      <c r="I60">
        <f>$C$14*ReDiarioFert!G49</f>
        <v>8.702369024115434</v>
      </c>
      <c r="K60">
        <f>$C$14*ReDiarioFert!I49</f>
        <v>5.585318479195999</v>
      </c>
      <c r="M60">
        <f>$C$14*ReDiarioFert!K49</f>
        <v>0.00031084531464117414</v>
      </c>
      <c r="O60">
        <f>$C$14*ReDiarioFert!M49</f>
        <v>84.54738975609757</v>
      </c>
      <c r="Q60">
        <f>$C$14*Main!$D$63</f>
        <v>20.019999999999996</v>
      </c>
      <c r="S60">
        <f>((E60/100)*$G$211+(G60/100)*$G$212+(I60/100)*$G$213+(K60/100)*$G$214+(M60/100)*$G$215+(O60)*$G$216+(Q60*$G$217))</f>
        <v>247.99138354966615</v>
      </c>
    </row>
    <row r="61">
      <c r="B61">
        <v>44</v>
      </c>
      <c r="C61">
        <f>$I$13+B61</f>
        <v>39649</v>
      </c>
      <c r="E61">
        <f>IF($C$14*ReDiarioFert!C50&lt;=0,"0",$C$14*ReDiarioFert!C50)</f>
        <v>9.258394059499478</v>
      </c>
      <c r="G61">
        <f>$C$14*ReDiarioFert!E50</f>
        <v>2.0653172913043476</v>
      </c>
      <c r="I61">
        <f>$C$14*ReDiarioFert!G50</f>
        <v>8.702369024115434</v>
      </c>
      <c r="K61">
        <f>$C$14*ReDiarioFert!I50</f>
        <v>5.585318479195999</v>
      </c>
      <c r="M61">
        <f>$C$14*ReDiarioFert!K50</f>
        <v>0.00031084531464117414</v>
      </c>
      <c r="O61">
        <f>$C$14*ReDiarioFert!M50</f>
        <v>84.54738975609757</v>
      </c>
      <c r="S61">
        <f>((E61/100)*$G$211+(G61/100)*$G$212+(I61/100)*$G$213+(K61/100)*$G$214+(M61/100)*$G$215+(O61)*$G$216+(Q61*$G$217))</f>
        <v>191.93538354966617</v>
      </c>
    </row>
    <row r="62">
      <c r="B62">
        <v>45</v>
      </c>
      <c r="C62">
        <f>$I$13+B62</f>
        <v>39650</v>
      </c>
      <c r="E62">
        <f>IF($C$14*ReDiarioFert!C51&lt;=0,"0",$C$14*ReDiarioFert!C51)</f>
        <v>9.258394059499478</v>
      </c>
      <c r="G62">
        <f>$C$14*ReDiarioFert!E51</f>
        <v>2.0653172913043476</v>
      </c>
      <c r="I62">
        <f>$C$14*ReDiarioFert!G51</f>
        <v>8.702369024115434</v>
      </c>
      <c r="K62">
        <f>$C$14*ReDiarioFert!I51</f>
        <v>5.585318479195999</v>
      </c>
      <c r="M62">
        <f>$C$14*ReDiarioFert!K51</f>
        <v>0.00031084531464117414</v>
      </c>
      <c r="O62">
        <f>$C$14*ReDiarioFert!M51</f>
        <v>84.54738975609757</v>
      </c>
      <c r="S62">
        <f>((E62/100)*$G$211+(G62/100)*$G$212+(I62/100)*$G$213+(K62/100)*$G$214+(M62/100)*$G$215+(O62)*$G$216+(Q62*$G$217))</f>
        <v>191.93538354966617</v>
      </c>
    </row>
    <row r="63">
      <c r="B63">
        <v>46</v>
      </c>
      <c r="C63">
        <f>$I$13+B63</f>
        <v>39651</v>
      </c>
      <c r="E63">
        <f>IF($C$14*ReDiarioFert!C52&lt;=0,"0",$C$14*ReDiarioFert!C52)</f>
        <v>9.258394059499478</v>
      </c>
      <c r="G63">
        <f>$C$14*ReDiarioFert!E52</f>
        <v>2.0653172913043476</v>
      </c>
      <c r="I63">
        <f>$C$14*ReDiarioFert!G52</f>
        <v>8.702369024115434</v>
      </c>
      <c r="K63">
        <f>$C$14*ReDiarioFert!I52</f>
        <v>5.585318479195999</v>
      </c>
      <c r="M63">
        <f>$C$14*ReDiarioFert!K52</f>
        <v>0.00031084531464117414</v>
      </c>
      <c r="O63">
        <f>$C$14*ReDiarioFert!M52</f>
        <v>84.54738975609757</v>
      </c>
      <c r="S63">
        <f>((E63/100)*$G$211+(G63/100)*$G$212+(I63/100)*$G$213+(K63/100)*$G$214+(M63/100)*$G$215+(O63)*$G$216+(Q63*$G$217))</f>
        <v>191.93538354966617</v>
      </c>
    </row>
    <row r="64">
      <c r="B64">
        <v>47</v>
      </c>
      <c r="C64">
        <f>$I$13+B64</f>
        <v>39652</v>
      </c>
      <c r="E64">
        <f>IF($C$14*ReDiarioFert!C53&lt;=0,"0",$C$14*ReDiarioFert!C53)</f>
        <v>9.258394059499478</v>
      </c>
      <c r="G64">
        <f>$C$14*ReDiarioFert!E53</f>
        <v>2.0653172913043476</v>
      </c>
      <c r="I64">
        <f>$C$14*ReDiarioFert!G53</f>
        <v>8.702369024115434</v>
      </c>
      <c r="K64">
        <f>$C$14*ReDiarioFert!I53</f>
        <v>5.585318479195999</v>
      </c>
      <c r="M64">
        <f>$C$14*ReDiarioFert!K53</f>
        <v>0.00031084531464117414</v>
      </c>
      <c r="O64">
        <f>$C$14*ReDiarioFert!M53</f>
        <v>84.54738975609757</v>
      </c>
      <c r="S64">
        <f>((E64/100)*$G$211+(G64/100)*$G$212+(I64/100)*$G$213+(K64/100)*$G$214+(M64/100)*$G$215+(O64)*$G$216+(Q64*$G$217))</f>
        <v>191.93538354966617</v>
      </c>
    </row>
    <row r="65">
      <c r="B65">
        <v>48</v>
      </c>
      <c r="C65">
        <f>$I$13+B65</f>
        <v>39653</v>
      </c>
      <c r="E65">
        <f>IF($C$14*ReDiarioFert!C54&lt;=0,"0",$C$14*ReDiarioFert!C54)</f>
        <v>9.258394059499478</v>
      </c>
      <c r="G65">
        <f>$C$14*ReDiarioFert!E54</f>
        <v>2.0653172913043476</v>
      </c>
      <c r="I65">
        <f>$C$14*ReDiarioFert!G54</f>
        <v>8.702369024115434</v>
      </c>
      <c r="K65">
        <f>$C$14*ReDiarioFert!I54</f>
        <v>5.585318479195999</v>
      </c>
      <c r="M65">
        <f>$C$14*ReDiarioFert!K54</f>
        <v>0.00031084531464117414</v>
      </c>
      <c r="O65">
        <f>$C$14*ReDiarioFert!M54</f>
        <v>114.387443902439</v>
      </c>
      <c r="S65">
        <f>((E65/100)*$G$211+(G65/100)*$G$212+(I65/100)*$G$213+(K65/100)*$G$214+(M65/100)*$G$215+(O65)*$G$216+(Q65*$G$217))</f>
        <v>193.1289857155198</v>
      </c>
    </row>
    <row r="66">
      <c r="B66">
        <v>49</v>
      </c>
      <c r="C66">
        <f>$I$13+B66</f>
        <v>39654</v>
      </c>
      <c r="E66">
        <f>IF($C$14*ReDiarioFert!C55&lt;=0,"0",$C$14*ReDiarioFert!C55)</f>
        <v>9.258394059499478</v>
      </c>
      <c r="G66">
        <f>$C$14*ReDiarioFert!E55</f>
        <v>2.0653172913043476</v>
      </c>
      <c r="I66">
        <f>$C$14*ReDiarioFert!G55</f>
        <v>8.702369024115434</v>
      </c>
      <c r="K66">
        <f>$C$14*ReDiarioFert!I55</f>
        <v>5.585318479195999</v>
      </c>
      <c r="M66">
        <f>$C$14*ReDiarioFert!K55</f>
        <v>0.00031084531464117414</v>
      </c>
      <c r="O66">
        <f>$C$14*ReDiarioFert!M55</f>
        <v>114.387443902439</v>
      </c>
      <c r="S66">
        <f>((E66/100)*$G$211+(G66/100)*$G$212+(I66/100)*$G$213+(K66/100)*$G$214+(M66/100)*$G$215+(O66)*$G$216+(Q66*$G$217))</f>
        <v>193.1289857155198</v>
      </c>
    </row>
    <row r="67">
      <c r="A67">
        <v>8</v>
      </c>
      <c r="B67">
        <v>50</v>
      </c>
      <c r="C67">
        <f>$I$13+B67</f>
        <v>39655</v>
      </c>
      <c r="E67">
        <f>IF($C$14*ReDiarioFert!C56&lt;=0,"0",$C$14*ReDiarioFert!C56)</f>
        <v>8.564148425345875</v>
      </c>
      <c r="G67">
        <f>$C$14*ReDiarioFert!E56</f>
        <v>2.0653172913043476</v>
      </c>
      <c r="I67">
        <f>$C$14*ReDiarioFert!G56</f>
        <v>8.702369024115434</v>
      </c>
      <c r="K67">
        <f>$C$14*ReDiarioFert!I56</f>
        <v>5.585318479195999</v>
      </c>
      <c r="M67">
        <f>$C$14*ReDiarioFert!K56</f>
        <v>0.00031084531464117414</v>
      </c>
      <c r="O67">
        <f>$C$14*ReDiarioFert!M56</f>
        <v>114.387443902439</v>
      </c>
      <c r="Q67">
        <f>$C$14*Main!$D$63</f>
        <v>20.019999999999996</v>
      </c>
      <c r="S67">
        <f>((E67/100)*$G$211+(G67/100)*$G$212+(I67/100)*$G$213+(K67/100)*$G$214+(M67/100)*$G$215+(O67)*$G$216+(Q67*$G$217))</f>
        <v>244.67238909352136</v>
      </c>
    </row>
    <row r="68">
      <c r="B68">
        <v>51</v>
      </c>
      <c r="C68">
        <f>$I$13+B68</f>
        <v>39656</v>
      </c>
      <c r="E68">
        <f>IF($C$14*ReDiarioFert!C57&lt;=0,"0",$C$14*ReDiarioFert!C57)</f>
        <v>8.564148425345875</v>
      </c>
      <c r="G68">
        <f>$C$14*ReDiarioFert!E57</f>
        <v>2.0653172913043476</v>
      </c>
      <c r="I68">
        <f>$C$14*ReDiarioFert!G57</f>
        <v>8.702369024115434</v>
      </c>
      <c r="K68">
        <f>$C$14*ReDiarioFert!I57</f>
        <v>5.585318479195999</v>
      </c>
      <c r="M68">
        <f>$C$14*ReDiarioFert!K57</f>
        <v>0.00031084531464117414</v>
      </c>
      <c r="O68">
        <f>$C$14*ReDiarioFert!M57</f>
        <v>114.387443902439</v>
      </c>
      <c r="S68">
        <f>((E68/100)*$G$211+(G68/100)*$G$212+(I68/100)*$G$213+(K68/100)*$G$214+(M68/100)*$G$215+(O68)*$G$216+(Q68*$G$217))</f>
        <v>188.61638909352138</v>
      </c>
    </row>
    <row r="69">
      <c r="B69">
        <v>52</v>
      </c>
      <c r="C69">
        <f>$I$13+B69</f>
        <v>39657</v>
      </c>
      <c r="E69">
        <f>IF($C$14*ReDiarioFert!C58&lt;=0,"0",$C$14*ReDiarioFert!C58)</f>
        <v>8.564148425345875</v>
      </c>
      <c r="G69">
        <f>$C$14*ReDiarioFert!E58</f>
        <v>2.0653172913043476</v>
      </c>
      <c r="I69">
        <f>$C$14*ReDiarioFert!G58</f>
        <v>8.702369024115434</v>
      </c>
      <c r="K69">
        <f>$C$14*ReDiarioFert!I58</f>
        <v>5.585318479195999</v>
      </c>
      <c r="M69">
        <f>$C$14*ReDiarioFert!K58</f>
        <v>0.00031084531464117414</v>
      </c>
      <c r="O69">
        <f>$C$14*ReDiarioFert!M58</f>
        <v>114.387443902439</v>
      </c>
      <c r="S69">
        <f>((E69/100)*$G$211+(G69/100)*$G$212+(I69/100)*$G$213+(K69/100)*$G$214+(M69/100)*$G$215+(O69)*$G$216+(Q69*$G$217))</f>
        <v>188.61638909352138</v>
      </c>
    </row>
    <row r="70">
      <c r="B70">
        <v>53</v>
      </c>
      <c r="C70">
        <f>$I$13+B70</f>
        <v>39658</v>
      </c>
      <c r="E70">
        <f>IF($C$14*ReDiarioFert!C59&lt;=0,"0",$C$14*ReDiarioFert!C59)</f>
        <v>8.564148425345875</v>
      </c>
      <c r="G70">
        <f>$C$14*ReDiarioFert!E59</f>
        <v>2.0653172913043476</v>
      </c>
      <c r="I70">
        <f>$C$14*ReDiarioFert!G59</f>
        <v>8.702369024115434</v>
      </c>
      <c r="K70">
        <f>$C$14*ReDiarioFert!I59</f>
        <v>5.585318479195999</v>
      </c>
      <c r="M70">
        <f>$C$14*ReDiarioFert!K59</f>
        <v>0.00031084531464117414</v>
      </c>
      <c r="O70">
        <f>$C$14*ReDiarioFert!M59</f>
        <v>114.387443902439</v>
      </c>
      <c r="S70">
        <f>((E70/100)*$G$211+(G70/100)*$G$212+(I70/100)*$G$213+(K70/100)*$G$214+(M70/100)*$G$215+(O70)*$G$216+(Q70*$G$217))</f>
        <v>188.61638909352138</v>
      </c>
    </row>
    <row r="71">
      <c r="B71">
        <v>54</v>
      </c>
      <c r="C71">
        <f>$I$13+B71</f>
        <v>39659</v>
      </c>
      <c r="E71">
        <f>IF($C$14*ReDiarioFert!C60&lt;=0,"0",$C$14*ReDiarioFert!C60)</f>
        <v>8.564148425345875</v>
      </c>
      <c r="G71">
        <f>$C$14*ReDiarioFert!E60</f>
        <v>2.0653172913043476</v>
      </c>
      <c r="I71">
        <f>$C$14*ReDiarioFert!G60</f>
        <v>8.702369024115434</v>
      </c>
      <c r="K71">
        <f>$C$14*ReDiarioFert!I60</f>
        <v>5.585318479195999</v>
      </c>
      <c r="M71">
        <f>$C$14*ReDiarioFert!K60</f>
        <v>0.00031084531464117414</v>
      </c>
      <c r="O71">
        <f>$C$14*ReDiarioFert!M60</f>
        <v>114.387443902439</v>
      </c>
      <c r="S71">
        <f>((E71/100)*$G$211+(G71/100)*$G$212+(I71/100)*$G$213+(K71/100)*$G$214+(M71/100)*$G$215+(O71)*$G$216+(Q71*$G$217))</f>
        <v>188.61638909352138</v>
      </c>
    </row>
    <row r="72">
      <c r="B72">
        <v>55</v>
      </c>
      <c r="C72">
        <f>$I$13+B72</f>
        <v>39660</v>
      </c>
      <c r="E72">
        <f>IF($C$14*ReDiarioFert!C61&lt;=0,"0",$C$14*ReDiarioFert!C61)</f>
        <v>8.564148425345875</v>
      </c>
      <c r="G72">
        <f>$C$14*ReDiarioFert!E61</f>
        <v>2.0653172913043476</v>
      </c>
      <c r="I72">
        <f>$C$14*ReDiarioFert!G61</f>
        <v>8.702369024115434</v>
      </c>
      <c r="K72">
        <f>$C$14*ReDiarioFert!I61</f>
        <v>5.585318479195999</v>
      </c>
      <c r="M72">
        <f>$C$14*ReDiarioFert!K61</f>
        <v>0.00031084531464117414</v>
      </c>
      <c r="O72">
        <f>$C$14*ReDiarioFert!M61</f>
        <v>114.387443902439</v>
      </c>
      <c r="S72">
        <f>((E72/100)*$G$211+(G72/100)*$G$212+(I72/100)*$G$213+(K72/100)*$G$214+(M72/100)*$G$215+(O72)*$G$216+(Q72*$G$217))</f>
        <v>188.61638909352138</v>
      </c>
    </row>
    <row r="73">
      <c r="B73">
        <v>56</v>
      </c>
      <c r="C73">
        <f>$I$13+B73</f>
        <v>39661</v>
      </c>
      <c r="E73">
        <f>IF($C$14*ReDiarioFert!C62&lt;=0,"0",$C$14*ReDiarioFert!C62)</f>
        <v>8.564148425345875</v>
      </c>
      <c r="G73">
        <f>$C$14*ReDiarioFert!E62</f>
        <v>2.0653172913043476</v>
      </c>
      <c r="I73">
        <f>$C$14*ReDiarioFert!G62</f>
        <v>8.702369024115434</v>
      </c>
      <c r="K73">
        <f>$C$14*ReDiarioFert!I62</f>
        <v>5.585318479195999</v>
      </c>
      <c r="M73">
        <f>$C$14*ReDiarioFert!K62</f>
        <v>0.00031084531464117414</v>
      </c>
      <c r="O73">
        <f>$C$14*ReDiarioFert!M62</f>
        <v>114.387443902439</v>
      </c>
      <c r="S73">
        <f>((E73/100)*$G$211+(G73/100)*$G$212+(I73/100)*$G$213+(K73/100)*$G$214+(M73/100)*$G$215+(O73)*$G$216+(Q73*$G$217))</f>
        <v>188.61638909352138</v>
      </c>
    </row>
    <row r="74">
      <c r="A74">
        <v>9</v>
      </c>
      <c r="B74">
        <v>57</v>
      </c>
      <c r="C74">
        <f>$I$13+B74</f>
        <v>39662</v>
      </c>
      <c r="E74">
        <f>IF($C$14*ReDiarioFert!C63&lt;=0,"0",$C$14*ReDiarioFert!C63)</f>
        <v>8.564148425345875</v>
      </c>
      <c r="G74">
        <f>$C$14*ReDiarioFert!E63</f>
        <v>2.0653172913043476</v>
      </c>
      <c r="I74">
        <f>$C$14*ReDiarioFert!G63</f>
        <v>8.702369024115434</v>
      </c>
      <c r="K74">
        <f>$C$14*ReDiarioFert!I63</f>
        <v>5.585318479195999</v>
      </c>
      <c r="M74">
        <f>$C$14*ReDiarioFert!K63</f>
        <v>0.00031084531464117414</v>
      </c>
      <c r="O74">
        <f>$C$14*ReDiarioFert!M63</f>
        <v>114.387443902439</v>
      </c>
      <c r="Q74">
        <f>$C$14*Main!$D$63</f>
        <v>20.019999999999996</v>
      </c>
      <c r="S74">
        <f>((E74/100)*$G$211+(G74/100)*$G$212+(I74/100)*$G$213+(K74/100)*$G$214+(M74/100)*$G$215+(O74)*$G$216+(Q74*$G$217))</f>
        <v>244.67238909352136</v>
      </c>
    </row>
    <row r="75">
      <c r="B75">
        <v>58</v>
      </c>
      <c r="C75">
        <f>$I$13+B75</f>
        <v>39663</v>
      </c>
      <c r="E75">
        <f>IF($C$14*ReDiarioFert!C64&lt;=0,"0",$C$14*ReDiarioFert!C64)</f>
        <v>8.564148425345875</v>
      </c>
      <c r="G75">
        <f>$C$14*ReDiarioFert!E64</f>
        <v>2.0653172913043476</v>
      </c>
      <c r="I75">
        <f>$C$14*ReDiarioFert!G64</f>
        <v>8.702369024115434</v>
      </c>
      <c r="K75">
        <f>$C$14*ReDiarioFert!I64</f>
        <v>5.585318479195999</v>
      </c>
      <c r="M75">
        <f>$C$14*ReDiarioFert!K64</f>
        <v>0.00031084531464117414</v>
      </c>
      <c r="O75">
        <f>$C$14*ReDiarioFert!M64</f>
        <v>114.387443902439</v>
      </c>
      <c r="S75">
        <f>((E75/100)*$G$211+(G75/100)*$G$212+(I75/100)*$G$213+(K75/100)*$G$214+(M75/100)*$G$215+(O75)*$G$216+(Q75*$G$217))</f>
        <v>188.61638909352138</v>
      </c>
    </row>
    <row r="76">
      <c r="B76">
        <v>59</v>
      </c>
      <c r="C76">
        <f>$I$13+B76</f>
        <v>39664</v>
      </c>
      <c r="E76">
        <f>IF($C$14*ReDiarioFert!C65&lt;=0,"0",$C$14*ReDiarioFert!C65)</f>
        <v>8.564148425345875</v>
      </c>
      <c r="G76">
        <f>$C$14*ReDiarioFert!E65</f>
        <v>2.0653172913043476</v>
      </c>
      <c r="I76">
        <f>$C$14*ReDiarioFert!G65</f>
        <v>8.702369024115434</v>
      </c>
      <c r="K76">
        <f>$C$14*ReDiarioFert!I65</f>
        <v>5.585318479195999</v>
      </c>
      <c r="M76">
        <f>$C$14*ReDiarioFert!K65</f>
        <v>0.00031084531464117414</v>
      </c>
      <c r="O76">
        <f>$C$14*ReDiarioFert!M65</f>
        <v>114.387443902439</v>
      </c>
      <c r="S76">
        <f>((E76/100)*$G$211+(G76/100)*$G$212+(I76/100)*$G$213+(K76/100)*$G$214+(M76/100)*$G$215+(O76)*$G$216+(Q76*$G$217))</f>
        <v>188.61638909352138</v>
      </c>
    </row>
    <row r="77">
      <c r="B77">
        <v>60</v>
      </c>
      <c r="C77">
        <f>$I$13+B77</f>
        <v>39665</v>
      </c>
      <c r="E77">
        <f>IF($C$14*ReDiarioFert!C66&lt;=0,"0",$C$14*ReDiarioFert!C66)</f>
        <v>8.564148425345875</v>
      </c>
      <c r="G77">
        <f>$C$14*ReDiarioFert!E66</f>
        <v>2.0653172913043476</v>
      </c>
      <c r="I77">
        <f>$C$14*ReDiarioFert!G66</f>
        <v>8.702369024115434</v>
      </c>
      <c r="K77">
        <f>$C$14*ReDiarioFert!I66</f>
        <v>5.585318479195999</v>
      </c>
      <c r="M77">
        <f>$C$14*ReDiarioFert!K66</f>
        <v>0.00031084531464117414</v>
      </c>
      <c r="O77">
        <f>$C$14*ReDiarioFert!M66</f>
        <v>114.387443902439</v>
      </c>
      <c r="S77">
        <f>((E77/100)*$G$211+(G77/100)*$G$212+(I77/100)*$G$213+(K77/100)*$G$214+(M77/100)*$G$215+(O77)*$G$216+(Q77*$G$217))</f>
        <v>188.61638909352138</v>
      </c>
    </row>
    <row r="78">
      <c r="B78">
        <v>61</v>
      </c>
      <c r="C78">
        <f>$I$13+B78</f>
        <v>39666</v>
      </c>
      <c r="E78">
        <f>IF($C$14*ReDiarioFert!C67&lt;=0,"0",$C$14*ReDiarioFert!C67)</f>
        <v>8.564148425345875</v>
      </c>
      <c r="G78">
        <f>$C$14*ReDiarioFert!E67</f>
        <v>2.0653172913043476</v>
      </c>
      <c r="I78">
        <f>$C$14*ReDiarioFert!G67</f>
        <v>8.702369024115434</v>
      </c>
      <c r="K78">
        <f>$C$14*ReDiarioFert!I67</f>
        <v>5.585318479195999</v>
      </c>
      <c r="M78">
        <f>$C$14*ReDiarioFert!K67</f>
        <v>0.00031084531464117414</v>
      </c>
      <c r="O78">
        <f>$C$14*ReDiarioFert!M67</f>
        <v>114.387443902439</v>
      </c>
      <c r="S78">
        <f>((E78/100)*$G$211+(G78/100)*$G$212+(I78/100)*$G$213+(K78/100)*$G$214+(M78/100)*$G$215+(O78)*$G$216+(Q78*$G$217))</f>
        <v>188.61638909352138</v>
      </c>
    </row>
    <row r="79">
      <c r="B79">
        <v>62</v>
      </c>
      <c r="C79">
        <f>$I$13+B79</f>
        <v>39667</v>
      </c>
      <c r="E79">
        <f>IF($C$14*ReDiarioFert!C68&lt;=0,"0",$C$14*ReDiarioFert!C68)</f>
        <v>8.564148425345875</v>
      </c>
      <c r="G79">
        <f>$C$14*ReDiarioFert!E68</f>
        <v>2.0653172913043476</v>
      </c>
      <c r="I79">
        <f>$C$14*ReDiarioFert!G68</f>
        <v>8.702369024115434</v>
      </c>
      <c r="K79">
        <f>$C$14*ReDiarioFert!I68</f>
        <v>5.585318479195999</v>
      </c>
      <c r="M79">
        <f>$C$14*ReDiarioFert!K68</f>
        <v>0.00031084531464117414</v>
      </c>
      <c r="O79">
        <f>$C$14*ReDiarioFert!M68</f>
        <v>114.387443902439</v>
      </c>
      <c r="S79">
        <f>((E79/100)*$G$211+(G79/100)*$G$212+(I79/100)*$G$213+(K79/100)*$G$214+(M79/100)*$G$215+(O79)*$G$216+(Q79*$G$217))</f>
        <v>188.61638909352138</v>
      </c>
    </row>
    <row r="80">
      <c r="B80">
        <v>63</v>
      </c>
      <c r="C80">
        <f>$I$13+B80</f>
        <v>39668</v>
      </c>
      <c r="E80">
        <f>IF($C$14*ReDiarioFert!C69&lt;=0,"0",$C$14*ReDiarioFert!C69)</f>
        <v>8.564148425345875</v>
      </c>
      <c r="G80">
        <f>$C$14*ReDiarioFert!E69</f>
        <v>2.0653172913043476</v>
      </c>
      <c r="I80">
        <f>$C$14*ReDiarioFert!G69</f>
        <v>8.702369024115434</v>
      </c>
      <c r="K80">
        <f>$C$14*ReDiarioFert!I69</f>
        <v>5.585318479195999</v>
      </c>
      <c r="M80">
        <f>$C$14*ReDiarioFert!K69</f>
        <v>0.00031084531464117414</v>
      </c>
      <c r="O80">
        <f>$C$14*ReDiarioFert!M69</f>
        <v>144.2279863414634</v>
      </c>
      <c r="S80">
        <f>((E80/100)*$G$211+(G80/100)*$G$212+(I80/100)*$G$213+(K80/100)*$G$214+(M80/100)*$G$215+(O80)*$G$216+(Q80*$G$217))</f>
        <v>189.81001079108236</v>
      </c>
    </row>
    <row r="81">
      <c r="A81">
        <v>10</v>
      </c>
      <c r="B81">
        <v>64</v>
      </c>
      <c r="C81">
        <f>$I$13+B81</f>
        <v>39669</v>
      </c>
      <c r="E81">
        <f>IF($C$14*ReDiarioFert!C70&lt;=0,"0",$C$14*ReDiarioFert!C70)</f>
        <v>6.773388753827542</v>
      </c>
      <c r="G81">
        <f>$C$14*ReDiarioFert!E70</f>
        <v>3.0979759369565216</v>
      </c>
      <c r="I81">
        <f>$C$14*ReDiarioFert!G70</f>
        <v>8.341666666666667</v>
      </c>
      <c r="K81">
        <f>$C$14*ReDiarioFert!I70</f>
        <v>5.353813984619254</v>
      </c>
      <c r="M81">
        <f>$C$14*ReDiarioFert!K70</f>
        <v>0.0002979611635</v>
      </c>
      <c r="O81">
        <f>$C$14*ReDiarioFert!M70</f>
        <v>144.2279863414634</v>
      </c>
      <c r="Q81">
        <f>$C$14*Main!$D$63</f>
        <v>20.019999999999996</v>
      </c>
      <c r="S81">
        <f>((E81/100)*$G$211+(G81/100)*$G$212+(I81/100)*$G$213+(K81/100)*$G$214+(M81/100)*$G$215+(O81)*$G$216+(Q81*$G$217))</f>
        <v>242.3242952574116</v>
      </c>
    </row>
    <row r="82">
      <c r="B82">
        <v>65</v>
      </c>
      <c r="C82">
        <f>$I$13+B82</f>
        <v>39670</v>
      </c>
      <c r="E82">
        <f>IF($C$14*ReDiarioFert!C71&lt;=0,"0",$C$14*ReDiarioFert!C71)</f>
        <v>6.773388753827542</v>
      </c>
      <c r="G82">
        <f>$C$14*ReDiarioFert!E71</f>
        <v>3.0979759369565216</v>
      </c>
      <c r="I82">
        <f>$C$14*ReDiarioFert!G71</f>
        <v>8.341666666666667</v>
      </c>
      <c r="K82">
        <f>$C$14*ReDiarioFert!I71</f>
        <v>5.353813984619254</v>
      </c>
      <c r="M82">
        <f>$C$14*ReDiarioFert!K71</f>
        <v>0.0002979611635</v>
      </c>
      <c r="O82">
        <f>$C$14*ReDiarioFert!M71</f>
        <v>144.2279863414634</v>
      </c>
      <c r="S82">
        <f>((E82/100)*$G$211+(G82/100)*$G$212+(I82/100)*$G$213+(K82/100)*$G$214+(M82/100)*$G$215+(O82)*$G$216+(Q82*$G$217))</f>
        <v>186.2682952574116</v>
      </c>
    </row>
    <row r="83">
      <c r="B83">
        <v>66</v>
      </c>
      <c r="C83">
        <f>$I$13+B83</f>
        <v>39671</v>
      </c>
      <c r="E83">
        <f>IF($C$14*ReDiarioFert!C72&lt;=0,"0",$C$14*ReDiarioFert!C72)</f>
        <v>6.773388753827542</v>
      </c>
      <c r="G83">
        <f>$C$14*ReDiarioFert!E72</f>
        <v>3.0979759369565216</v>
      </c>
      <c r="I83">
        <f>$C$14*ReDiarioFert!G72</f>
        <v>8.341666666666667</v>
      </c>
      <c r="K83">
        <f>$C$14*ReDiarioFert!I72</f>
        <v>5.353813984619254</v>
      </c>
      <c r="M83">
        <f>$C$14*ReDiarioFert!K72</f>
        <v>0.0002979611635</v>
      </c>
      <c r="O83">
        <f>$C$14*ReDiarioFert!M72</f>
        <v>144.2279863414634</v>
      </c>
      <c r="S83">
        <f>((E83/100)*$G$211+(G83/100)*$G$212+(I83/100)*$G$213+(K83/100)*$G$214+(M83/100)*$G$215+(O83)*$G$216+(Q83*$G$217))</f>
        <v>186.2682952574116</v>
      </c>
    </row>
    <row r="84">
      <c r="B84">
        <v>67</v>
      </c>
      <c r="C84">
        <f>$I$13+B84</f>
        <v>39672</v>
      </c>
      <c r="E84">
        <f>IF($C$14*ReDiarioFert!C73&lt;=0,"0",$C$14*ReDiarioFert!C73)</f>
        <v>6.773388753827542</v>
      </c>
      <c r="G84">
        <f>$C$14*ReDiarioFert!E73</f>
        <v>3.0979759369565216</v>
      </c>
      <c r="I84">
        <f>$C$14*ReDiarioFert!G73</f>
        <v>8.341666666666667</v>
      </c>
      <c r="K84">
        <f>$C$14*ReDiarioFert!I73</f>
        <v>5.353813984619254</v>
      </c>
      <c r="M84">
        <f>$C$14*ReDiarioFert!K73</f>
        <v>0.0002979611635</v>
      </c>
      <c r="O84">
        <f>$C$14*ReDiarioFert!M73</f>
        <v>144.2279863414634</v>
      </c>
      <c r="S84">
        <f>((E84/100)*$G$211+(G84/100)*$G$212+(I84/100)*$G$213+(K84/100)*$G$214+(M84/100)*$G$215+(O84)*$G$216+(Q84*$G$217))</f>
        <v>186.2682952574116</v>
      </c>
    </row>
    <row r="85">
      <c r="B85">
        <v>68</v>
      </c>
      <c r="C85">
        <f>$I$13+B85</f>
        <v>39673</v>
      </c>
      <c r="E85">
        <f>IF($C$14*ReDiarioFert!C74&lt;=0,"0",$C$14*ReDiarioFert!C74)</f>
        <v>6.773388753827542</v>
      </c>
      <c r="G85">
        <f>$C$14*ReDiarioFert!E74</f>
        <v>3.0979759369565216</v>
      </c>
      <c r="I85">
        <f>$C$14*ReDiarioFert!G74</f>
        <v>8.341666666666667</v>
      </c>
      <c r="K85">
        <f>$C$14*ReDiarioFert!I74</f>
        <v>5.353813984619254</v>
      </c>
      <c r="M85">
        <f>$C$14*ReDiarioFert!K74</f>
        <v>0.0002979611635</v>
      </c>
      <c r="O85">
        <f>$C$14*ReDiarioFert!M74</f>
        <v>144.2279863414634</v>
      </c>
      <c r="S85">
        <f>((E85/100)*$G$211+(G85/100)*$G$212+(I85/100)*$G$213+(K85/100)*$G$214+(M85/100)*$G$215+(O85)*$G$216+(Q85*$G$217))</f>
        <v>186.2682952574116</v>
      </c>
    </row>
    <row r="86">
      <c r="B86">
        <v>69</v>
      </c>
      <c r="C86">
        <f>$I$13+B86</f>
        <v>39674</v>
      </c>
      <c r="E86">
        <f>IF($C$14*ReDiarioFert!C75&lt;=0,"0",$C$14*ReDiarioFert!C75)</f>
        <v>6.773388753827542</v>
      </c>
      <c r="G86">
        <f>$C$14*ReDiarioFert!E75</f>
        <v>3.0979759369565216</v>
      </c>
      <c r="I86">
        <f>$C$14*ReDiarioFert!G75</f>
        <v>8.341666666666667</v>
      </c>
      <c r="K86">
        <f>$C$14*ReDiarioFert!I75</f>
        <v>5.353813984619254</v>
      </c>
      <c r="M86">
        <f>$C$14*ReDiarioFert!K75</f>
        <v>0.0002979611635</v>
      </c>
      <c r="O86">
        <f>$C$14*ReDiarioFert!M75</f>
        <v>144.2279863414634</v>
      </c>
      <c r="S86">
        <f>((E86/100)*$G$211+(G86/100)*$G$212+(I86/100)*$G$213+(K86/100)*$G$214+(M86/100)*$G$215+(O86)*$G$216+(Q86*$G$217))</f>
        <v>186.2682952574116</v>
      </c>
    </row>
    <row r="87">
      <c r="B87">
        <v>70</v>
      </c>
      <c r="C87">
        <f>$I$13+B87</f>
        <v>39675</v>
      </c>
      <c r="E87">
        <f>IF($C$14*ReDiarioFert!C76&lt;=0,"0",$C$14*ReDiarioFert!C76)</f>
        <v>6.773388753827542</v>
      </c>
      <c r="G87">
        <f>$C$14*ReDiarioFert!E76</f>
        <v>3.0979759369565216</v>
      </c>
      <c r="I87">
        <f>$C$14*ReDiarioFert!G76</f>
        <v>8.341666666666667</v>
      </c>
      <c r="K87">
        <f>$C$14*ReDiarioFert!I76</f>
        <v>5.353813984619254</v>
      </c>
      <c r="M87">
        <f>$C$14*ReDiarioFert!K76</f>
        <v>0.0002979611635</v>
      </c>
      <c r="O87">
        <f>$C$14*ReDiarioFert!M76</f>
        <v>144.2279863414634</v>
      </c>
      <c r="S87">
        <f>((E87/100)*$G$211+(G87/100)*$G$212+(I87/100)*$G$213+(K87/100)*$G$214+(M87/100)*$G$215+(O87)*$G$216+(Q87*$G$217))</f>
        <v>186.2682952574116</v>
      </c>
    </row>
    <row r="88">
      <c r="A88">
        <v>11</v>
      </c>
      <c r="B88">
        <v>71</v>
      </c>
      <c r="C88">
        <f>$I$13+B88</f>
        <v>39676</v>
      </c>
      <c r="E88">
        <f>IF($C$14*ReDiarioFert!C77&lt;=0,"0",$C$14*ReDiarioFert!C77)</f>
        <v>6.773388753827542</v>
      </c>
      <c r="G88">
        <f>$C$14*ReDiarioFert!E77</f>
        <v>3.0979759369565216</v>
      </c>
      <c r="I88">
        <f>$C$14*ReDiarioFert!G77</f>
        <v>8.341666666666667</v>
      </c>
      <c r="K88">
        <f>$C$14*ReDiarioFert!I77</f>
        <v>5.353813984619254</v>
      </c>
      <c r="M88">
        <f>$C$14*ReDiarioFert!K77</f>
        <v>0.0002979611635</v>
      </c>
      <c r="O88">
        <f>$C$14*ReDiarioFert!M77</f>
        <v>144.2279863414634</v>
      </c>
      <c r="Q88">
        <f>$C$14*Main!$D$63</f>
        <v>20.019999999999996</v>
      </c>
      <c r="S88">
        <f>((E88/100)*$G$211+(G88/100)*$G$212+(I88/100)*$G$213+(K88/100)*$G$214+(M88/100)*$G$215+(O88)*$G$216+(Q88*$G$217))</f>
        <v>242.3242952574116</v>
      </c>
    </row>
    <row r="89">
      <c r="B89">
        <v>72</v>
      </c>
      <c r="C89">
        <f>$I$13+B89</f>
        <v>39677</v>
      </c>
      <c r="E89">
        <f>IF($C$14*ReDiarioFert!C78&lt;=0,"0",$C$14*ReDiarioFert!C78)</f>
        <v>6.773388753827542</v>
      </c>
      <c r="G89">
        <f>$C$14*ReDiarioFert!E78</f>
        <v>3.0979759369565216</v>
      </c>
      <c r="I89">
        <f>$C$14*ReDiarioFert!G78</f>
        <v>8.341666666666667</v>
      </c>
      <c r="K89">
        <f>$C$14*ReDiarioFert!I78</f>
        <v>5.353813984619254</v>
      </c>
      <c r="M89">
        <f>$C$14*ReDiarioFert!K78</f>
        <v>0.0002979611635</v>
      </c>
      <c r="O89">
        <f>$C$14*ReDiarioFert!M78</f>
        <v>144.2279863414634</v>
      </c>
      <c r="S89">
        <f>((E89/100)*$G$211+(G89/100)*$G$212+(I89/100)*$G$213+(K89/100)*$G$214+(M89/100)*$G$215+(O89)*$G$216+(Q89*$G$217))</f>
        <v>186.2682952574116</v>
      </c>
    </row>
    <row r="90">
      <c r="B90">
        <v>73</v>
      </c>
      <c r="C90">
        <f>$I$13+B90</f>
        <v>39678</v>
      </c>
      <c r="E90">
        <f>IF($C$14*ReDiarioFert!C79&lt;=0,"0",$C$14*ReDiarioFert!C79)</f>
        <v>6.773388753827542</v>
      </c>
      <c r="G90">
        <f>$C$14*ReDiarioFert!E79</f>
        <v>3.0979759369565216</v>
      </c>
      <c r="I90">
        <f>$C$14*ReDiarioFert!G79</f>
        <v>8.341666666666667</v>
      </c>
      <c r="K90">
        <f>$C$14*ReDiarioFert!I79</f>
        <v>5.353813984619254</v>
      </c>
      <c r="M90">
        <f>$C$14*ReDiarioFert!K79</f>
        <v>0.0002979611635</v>
      </c>
      <c r="O90">
        <f>$C$14*ReDiarioFert!M79</f>
        <v>144.2279863414634</v>
      </c>
      <c r="S90">
        <f>((E90/100)*$G$211+(G90/100)*$G$212+(I90/100)*$G$213+(K90/100)*$G$214+(M90/100)*$G$215+(O90)*$G$216+(Q90*$G$217))</f>
        <v>186.2682952574116</v>
      </c>
    </row>
    <row r="91">
      <c r="B91">
        <v>74</v>
      </c>
      <c r="C91">
        <f>$I$13+B91</f>
        <v>39679</v>
      </c>
      <c r="E91">
        <f>IF($C$14*ReDiarioFert!C80&lt;=0,"0",$C$14*ReDiarioFert!C80)</f>
        <v>6.773388753827542</v>
      </c>
      <c r="G91">
        <f>$C$14*ReDiarioFert!E80</f>
        <v>3.0979759369565216</v>
      </c>
      <c r="I91">
        <f>$C$14*ReDiarioFert!G80</f>
        <v>8.341666666666667</v>
      </c>
      <c r="K91">
        <f>$C$14*ReDiarioFert!I80</f>
        <v>5.353813984619254</v>
      </c>
      <c r="M91">
        <f>$C$14*ReDiarioFert!K80</f>
        <v>0.0002979611635</v>
      </c>
      <c r="O91">
        <f>$C$14*ReDiarioFert!M80</f>
        <v>144.2279863414634</v>
      </c>
      <c r="S91">
        <f>((E91/100)*$G$211+(G91/100)*$G$212+(I91/100)*$G$213+(K91/100)*$G$214+(M91/100)*$G$215+(O91)*$G$216+(Q91*$G$217))</f>
        <v>186.2682952574116</v>
      </c>
    </row>
    <row r="92">
      <c r="B92">
        <v>75</v>
      </c>
      <c r="C92">
        <f>$I$13+B92</f>
        <v>39680</v>
      </c>
      <c r="E92">
        <f>IF($C$14*ReDiarioFert!C81&lt;=0,"0",$C$14*ReDiarioFert!C81)</f>
        <v>6.773388753827542</v>
      </c>
      <c r="G92">
        <f>$C$14*ReDiarioFert!E81</f>
        <v>3.0979759369565216</v>
      </c>
      <c r="I92">
        <f>$C$14*ReDiarioFert!G81</f>
        <v>8.341666666666667</v>
      </c>
      <c r="K92">
        <f>$C$14*ReDiarioFert!I81</f>
        <v>5.353813984619254</v>
      </c>
      <c r="M92">
        <f>$C$14*ReDiarioFert!K81</f>
        <v>0.0002979611635</v>
      </c>
      <c r="O92">
        <f>$C$14*ReDiarioFert!M81</f>
        <v>144.2279863414634</v>
      </c>
      <c r="S92">
        <f>((E92/100)*$G$211+(G92/100)*$G$212+(I92/100)*$G$213+(K92/100)*$G$214+(M92/100)*$G$215+(O92)*$G$216+(Q92*$G$217))</f>
        <v>186.2682952574116</v>
      </c>
    </row>
    <row r="93">
      <c r="B93">
        <v>76</v>
      </c>
      <c r="C93">
        <f>$I$13+B93</f>
        <v>39681</v>
      </c>
      <c r="E93">
        <f>IF($C$14*ReDiarioFert!C82&lt;=0,"0",$C$14*ReDiarioFert!C82)</f>
        <v>6.773388753827542</v>
      </c>
      <c r="G93">
        <f>$C$14*ReDiarioFert!E82</f>
        <v>3.0979759369565216</v>
      </c>
      <c r="I93">
        <f>$C$14*ReDiarioFert!G82</f>
        <v>8.341666666666667</v>
      </c>
      <c r="K93">
        <f>$C$14*ReDiarioFert!I82</f>
        <v>5.353813984619254</v>
      </c>
      <c r="M93">
        <f>$C$14*ReDiarioFert!K82</f>
        <v>0.0002979611635</v>
      </c>
      <c r="O93">
        <f>$C$14*ReDiarioFert!M82</f>
        <v>144.2279863414634</v>
      </c>
      <c r="S93">
        <f>((E93/100)*$G$211+(G93/100)*$G$212+(I93/100)*$G$213+(K93/100)*$G$214+(M93/100)*$G$215+(O93)*$G$216+(Q93*$G$217))</f>
        <v>186.2682952574116</v>
      </c>
    </row>
    <row r="94">
      <c r="B94">
        <v>77</v>
      </c>
      <c r="C94">
        <f>$I$13+B94</f>
        <v>39682</v>
      </c>
      <c r="E94">
        <f>IF($C$14*ReDiarioFert!C83&lt;=0,"0",$C$14*ReDiarioFert!C83)</f>
        <v>6.773388753827542</v>
      </c>
      <c r="G94">
        <f>$C$14*ReDiarioFert!E83</f>
        <v>3.0979759369565216</v>
      </c>
      <c r="I94">
        <f>$C$14*ReDiarioFert!G83</f>
        <v>8.341666666666667</v>
      </c>
      <c r="K94">
        <f>$C$14*ReDiarioFert!I83</f>
        <v>5.353813984619254</v>
      </c>
      <c r="M94">
        <f>$C$14*ReDiarioFert!K83</f>
        <v>0.0002979611635</v>
      </c>
      <c r="O94">
        <f>$C$14*ReDiarioFert!M83</f>
        <v>144.2279863414634</v>
      </c>
      <c r="S94">
        <f>((E94/100)*$G$211+(G94/100)*$G$212+(I94/100)*$G$213+(K94/100)*$G$214+(M94/100)*$G$215+(O94)*$G$216+(Q94*$G$217))</f>
        <v>186.2682952574116</v>
      </c>
    </row>
    <row r="95">
      <c r="A95">
        <v>12</v>
      </c>
      <c r="B95">
        <v>78</v>
      </c>
      <c r="C95">
        <f>$I$13+B95</f>
        <v>39683</v>
      </c>
      <c r="E95">
        <f>IF($C$14*ReDiarioFert!C84&lt;=0,"0",$C$14*ReDiarioFert!C84)</f>
        <v>6.773388753827542</v>
      </c>
      <c r="G95">
        <f>$C$14*ReDiarioFert!E84</f>
        <v>3.0979759369565216</v>
      </c>
      <c r="I95">
        <f>$C$14*ReDiarioFert!G84</f>
        <v>8.341666666666667</v>
      </c>
      <c r="K95">
        <f>$C$14*ReDiarioFert!I84</f>
        <v>5.353813984619254</v>
      </c>
      <c r="M95">
        <f>$C$14*ReDiarioFert!K84</f>
        <v>0.0002979611635</v>
      </c>
      <c r="O95">
        <f>$C$14*ReDiarioFert!M84</f>
        <v>144.2279863414634</v>
      </c>
      <c r="Q95">
        <f>$C$14*Main!$D$63</f>
        <v>20.019999999999996</v>
      </c>
      <c r="S95">
        <f>((E95/100)*$G$211+(G95/100)*$G$212+(I95/100)*$G$213+(K95/100)*$G$214+(M95/100)*$G$215+(O95)*$G$216+(Q95*$G$217))</f>
        <v>242.3242952574116</v>
      </c>
    </row>
    <row r="96">
      <c r="B96">
        <v>79</v>
      </c>
      <c r="C96">
        <f>$I$13+B96</f>
        <v>39684</v>
      </c>
      <c r="E96">
        <f>IF($C$14*ReDiarioFert!C85&lt;=0,"0",$C$14*ReDiarioFert!C85)</f>
        <v>6.773388753827542</v>
      </c>
      <c r="G96">
        <f>$C$14*ReDiarioFert!E85</f>
        <v>3.0979759369565216</v>
      </c>
      <c r="I96">
        <f>$C$14*ReDiarioFert!G85</f>
        <v>8.341666666666667</v>
      </c>
      <c r="K96">
        <f>$C$14*ReDiarioFert!I85</f>
        <v>5.353813984619254</v>
      </c>
      <c r="M96">
        <f>$C$14*ReDiarioFert!K85</f>
        <v>0.0002979611635</v>
      </c>
      <c r="O96">
        <f>$C$14*ReDiarioFert!M85</f>
        <v>144.2279863414634</v>
      </c>
      <c r="S96">
        <f>((E96/100)*$G$211+(G96/100)*$G$212+(I96/100)*$G$213+(K96/100)*$G$214+(M96/100)*$G$215+(O96)*$G$216+(Q96*$G$217))</f>
        <v>186.2682952574116</v>
      </c>
    </row>
    <row r="97">
      <c r="B97">
        <v>80</v>
      </c>
      <c r="C97">
        <f>$I$13+B97</f>
        <v>39685</v>
      </c>
      <c r="E97">
        <f>IF($C$14*ReDiarioFert!C86&lt;=0,"0",$C$14*ReDiarioFert!C86)</f>
        <v>6.773388753827542</v>
      </c>
      <c r="G97">
        <f>$C$14*ReDiarioFert!E86</f>
        <v>3.0979759369565216</v>
      </c>
      <c r="I97">
        <f>$C$14*ReDiarioFert!G86</f>
        <v>8.341666666666667</v>
      </c>
      <c r="K97">
        <f>$C$14*ReDiarioFert!I86</f>
        <v>5.353813984619254</v>
      </c>
      <c r="M97">
        <f>$C$14*ReDiarioFert!K86</f>
        <v>0.0002979611635</v>
      </c>
      <c r="O97">
        <f>$C$14*ReDiarioFert!M86</f>
        <v>144.2279863414634</v>
      </c>
      <c r="S97">
        <f>((E97/100)*$G$211+(G97/100)*$G$212+(I97/100)*$G$213+(K97/100)*$G$214+(M97/100)*$G$215+(O97)*$G$216+(Q97*$G$217))</f>
        <v>186.2682952574116</v>
      </c>
    </row>
    <row r="98">
      <c r="B98">
        <v>81</v>
      </c>
      <c r="C98">
        <f>$I$13+B98</f>
        <v>39686</v>
      </c>
      <c r="E98">
        <f>IF($C$14*ReDiarioFert!C87&lt;=0,"0",$C$14*ReDiarioFert!C87)</f>
        <v>6.773388753827542</v>
      </c>
      <c r="G98">
        <f>$C$14*ReDiarioFert!E87</f>
        <v>3.0979759369565216</v>
      </c>
      <c r="I98">
        <f>$C$14*ReDiarioFert!G87</f>
        <v>8.341666666666667</v>
      </c>
      <c r="K98">
        <f>$C$14*ReDiarioFert!I87</f>
        <v>5.353813984619254</v>
      </c>
      <c r="M98">
        <f>$C$14*ReDiarioFert!K87</f>
        <v>0.0002979611635</v>
      </c>
      <c r="O98">
        <f>$C$14*ReDiarioFert!M87</f>
        <v>174.06804048780486</v>
      </c>
      <c r="S98">
        <f>((E98/100)*$G$211+(G98/100)*$G$212+(I98/100)*$G$213+(K98/100)*$G$214+(M98/100)*$G$215+(O98)*$G$216+(Q98*$G$217))</f>
        <v>187.46189742326527</v>
      </c>
    </row>
    <row r="99">
      <c r="B99">
        <v>82</v>
      </c>
      <c r="C99">
        <f>$I$13+B99</f>
        <v>39687</v>
      </c>
      <c r="E99">
        <f>IF($C$14*ReDiarioFert!C88&lt;=0,"0",$C$14*ReDiarioFert!C88)</f>
        <v>6.773388753827542</v>
      </c>
      <c r="G99">
        <f>$C$14*ReDiarioFert!E88</f>
        <v>3.0979759369565216</v>
      </c>
      <c r="I99">
        <f>$C$14*ReDiarioFert!G88</f>
        <v>8.341666666666667</v>
      </c>
      <c r="K99">
        <f>$C$14*ReDiarioFert!I88</f>
        <v>5.353813984619254</v>
      </c>
      <c r="M99">
        <f>$C$14*ReDiarioFert!K88</f>
        <v>0.0002979611635</v>
      </c>
      <c r="O99">
        <f>$C$14*ReDiarioFert!M88</f>
        <v>174.06804048780486</v>
      </c>
      <c r="S99">
        <f>((E99/100)*$G$211+(G99/100)*$G$212+(I99/100)*$G$213+(K99/100)*$G$214+(M99/100)*$G$215+(O99)*$G$216+(Q99*$G$217))</f>
        <v>187.46189742326527</v>
      </c>
    </row>
    <row r="100">
      <c r="B100">
        <v>83</v>
      </c>
      <c r="C100">
        <f>$I$13+B100</f>
        <v>39688</v>
      </c>
      <c r="E100">
        <f>IF($C$14*ReDiarioFert!C89&lt;=0,"0",$C$14*ReDiarioFert!C89)</f>
        <v>6.773388753827542</v>
      </c>
      <c r="G100">
        <f>$C$14*ReDiarioFert!E89</f>
        <v>3.0979759369565216</v>
      </c>
      <c r="I100">
        <f>$C$14*ReDiarioFert!G89</f>
        <v>8.341666666666667</v>
      </c>
      <c r="K100">
        <f>$C$14*ReDiarioFert!I89</f>
        <v>5.353813984619254</v>
      </c>
      <c r="M100">
        <f>$C$14*ReDiarioFert!K89</f>
        <v>0.0002979611635</v>
      </c>
      <c r="O100">
        <f>$C$14*ReDiarioFert!M89</f>
        <v>174.06804048780486</v>
      </c>
      <c r="S100">
        <f>((E100/100)*$G$211+(G100/100)*$G$212+(I100/100)*$G$213+(K100/100)*$G$214+(M100/100)*$G$215+(O100)*$G$216+(Q100*$G$217))</f>
        <v>187.46189742326527</v>
      </c>
    </row>
    <row r="101">
      <c r="B101">
        <v>84</v>
      </c>
      <c r="C101">
        <f>$I$13+B101</f>
        <v>39689</v>
      </c>
      <c r="E101">
        <f>IF($C$14*ReDiarioFert!C90&lt;=0,"0",$C$14*ReDiarioFert!C90)</f>
        <v>6.773388753827542</v>
      </c>
      <c r="G101">
        <f>$C$14*ReDiarioFert!E90</f>
        <v>3.0979759369565216</v>
      </c>
      <c r="I101">
        <f>$C$14*ReDiarioFert!G90</f>
        <v>8.341666666666667</v>
      </c>
      <c r="K101">
        <f>$C$14*ReDiarioFert!I90</f>
        <v>5.353813984619254</v>
      </c>
      <c r="M101">
        <f>$C$14*ReDiarioFert!K90</f>
        <v>0.0002979611635</v>
      </c>
      <c r="O101">
        <f>$C$14*ReDiarioFert!M90</f>
        <v>174.06804048780486</v>
      </c>
      <c r="S101">
        <f>((E101/100)*$G$211+(G101/100)*$G$212+(I101/100)*$G$213+(K101/100)*$G$214+(M101/100)*$G$215+(O101)*$G$216+(Q101*$G$217))</f>
        <v>187.46189742326527</v>
      </c>
    </row>
    <row r="102" ht="18" customHeight="1">
      <c r="A102">
        <v>13</v>
      </c>
      <c r="B102">
        <v>85</v>
      </c>
      <c r="C102">
        <f>$I$13+B102</f>
        <v>39690</v>
      </c>
      <c r="E102">
        <f>IF($C$14*ReDiarioFert!C91&lt;=0,"0",$C$14*ReDiarioFert!C91)</f>
        <v>6.773388753827542</v>
      </c>
      <c r="G102">
        <f>$C$14*ReDiarioFert!E91</f>
        <v>3.0979759369565216</v>
      </c>
      <c r="I102">
        <f>$C$14*ReDiarioFert!G91</f>
        <v>8.341666666666667</v>
      </c>
      <c r="K102">
        <f>$C$14*ReDiarioFert!I91</f>
        <v>5.353813984619254</v>
      </c>
      <c r="M102">
        <f>$C$14*ReDiarioFert!K91</f>
        <v>0.0002979611635</v>
      </c>
      <c r="O102">
        <f>$C$14*ReDiarioFert!M91</f>
        <v>174.06804048780486</v>
      </c>
      <c r="Q102">
        <f>$C$14*Main!$D$63</f>
        <v>20.019999999999996</v>
      </c>
      <c r="S102">
        <f>((E102/100)*$G$211+(G102/100)*$G$212+(I102/100)*$G$213+(K102/100)*$G$214+(M102/100)*$G$215+(O102)*$G$216+(Q102*$G$217))</f>
        <v>243.51789742326525</v>
      </c>
    </row>
    <row r="103" ht="18" customHeight="1">
      <c r="B103">
        <v>86</v>
      </c>
      <c r="C103">
        <f>$I$13+B103</f>
        <v>39691</v>
      </c>
      <c r="E103">
        <f>IF($C$14*ReDiarioFert!C92&lt;=0,"0",$C$14*ReDiarioFert!C92)</f>
        <v>6.773388753827542</v>
      </c>
      <c r="G103">
        <f>$C$14*ReDiarioFert!E92</f>
        <v>3.0979759369565216</v>
      </c>
      <c r="I103">
        <f>$C$14*ReDiarioFert!G92</f>
        <v>8.341666666666667</v>
      </c>
      <c r="K103">
        <f>$C$14*ReDiarioFert!I92</f>
        <v>5.353813984619254</v>
      </c>
      <c r="M103">
        <f>$C$14*ReDiarioFert!K92</f>
        <v>0.0002979611635</v>
      </c>
      <c r="O103">
        <f>$C$14*ReDiarioFert!M92</f>
        <v>174.06804048780486</v>
      </c>
      <c r="S103">
        <f>((E103/100)*$G$211+(G103/100)*$G$212+(I103/100)*$G$213+(K103/100)*$G$214+(M103/100)*$G$215+(O103)*$G$216+(Q103*$G$217))</f>
        <v>187.46189742326527</v>
      </c>
    </row>
    <row r="104" ht="18" customHeight="1">
      <c r="B104">
        <v>87</v>
      </c>
      <c r="C104">
        <f>$I$13+B104</f>
        <v>39692</v>
      </c>
      <c r="E104">
        <f>IF($C$14*ReDiarioFert!C93&lt;=0,"0",$C$14*ReDiarioFert!C93)</f>
        <v>6.773388753827542</v>
      </c>
      <c r="G104">
        <f>$C$14*ReDiarioFert!E93</f>
        <v>3.0979759369565216</v>
      </c>
      <c r="I104">
        <f>$C$14*ReDiarioFert!G93</f>
        <v>8.341666666666667</v>
      </c>
      <c r="K104">
        <f>$C$14*ReDiarioFert!I93</f>
        <v>5.353813984619254</v>
      </c>
      <c r="M104">
        <f>$C$14*ReDiarioFert!K93</f>
        <v>0.0002979611635</v>
      </c>
      <c r="O104">
        <f>$C$14*ReDiarioFert!M93</f>
        <v>174.06804048780486</v>
      </c>
      <c r="S104">
        <f>((E104/100)*$G$211+(G104/100)*$G$212+(I104/100)*$G$213+(K104/100)*$G$214+(M104/100)*$G$215+(O104)*$G$216+(Q104*$G$217))</f>
        <v>187.46189742326527</v>
      </c>
    </row>
    <row r="105" ht="18" customHeight="1">
      <c r="B105">
        <v>88</v>
      </c>
      <c r="C105">
        <f>$I$13+B105</f>
        <v>39693</v>
      </c>
      <c r="E105">
        <f>IF($C$14*ReDiarioFert!C94&lt;=0,"0",$C$14*ReDiarioFert!C94)</f>
        <v>6.773388753827542</v>
      </c>
      <c r="G105">
        <f>$C$14*ReDiarioFert!E94</f>
        <v>3.0979759369565216</v>
      </c>
      <c r="I105">
        <f>$C$14*ReDiarioFert!G94</f>
        <v>8.341666666666667</v>
      </c>
      <c r="K105">
        <f>$C$14*ReDiarioFert!I94</f>
        <v>5.353813984619254</v>
      </c>
      <c r="M105">
        <f>$C$14*ReDiarioFert!K94</f>
        <v>0.0002979611635</v>
      </c>
      <c r="O105">
        <f>$C$14*ReDiarioFert!M94</f>
        <v>174.06804048780486</v>
      </c>
      <c r="S105">
        <f>((E105/100)*$G$211+(G105/100)*$G$212+(I105/100)*$G$213+(K105/100)*$G$214+(M105/100)*$G$215+(O105)*$G$216+(Q105*$G$217))</f>
        <v>187.46189742326527</v>
      </c>
    </row>
    <row r="106" ht="18" customHeight="1">
      <c r="B106">
        <v>89</v>
      </c>
      <c r="C106">
        <f>$I$13+B106</f>
        <v>39694</v>
      </c>
      <c r="E106">
        <f>IF($C$14*ReDiarioFert!C95&lt;=0,"0",$C$14*ReDiarioFert!C95)</f>
        <v>6.773388753827542</v>
      </c>
      <c r="G106">
        <f>$C$14*ReDiarioFert!E95</f>
        <v>3.0979759369565216</v>
      </c>
      <c r="I106">
        <f>$C$14*ReDiarioFert!G95</f>
        <v>8.341666666666667</v>
      </c>
      <c r="K106">
        <f>$C$14*ReDiarioFert!I95</f>
        <v>5.353813984619254</v>
      </c>
      <c r="M106">
        <f>$C$14*ReDiarioFert!K95</f>
        <v>0.0002979611635</v>
      </c>
      <c r="O106">
        <f>$C$14*ReDiarioFert!M95</f>
        <v>174.06804048780486</v>
      </c>
      <c r="S106">
        <f>((E106/100)*$G$211+(G106/100)*$G$212+(I106/100)*$G$213+(K106/100)*$G$214+(M106/100)*$G$215+(O106)*$G$216+(Q106*$G$217))</f>
        <v>187.46189742326527</v>
      </c>
    </row>
    <row r="107" ht="18" customHeight="1">
      <c r="B107">
        <v>90</v>
      </c>
      <c r="C107">
        <f>$I$13+B107</f>
        <v>39695</v>
      </c>
      <c r="E107">
        <f>IF($C$14*ReDiarioFert!C96&lt;=0,"0",$C$14*ReDiarioFert!C96)</f>
        <v>6.773388753827542</v>
      </c>
      <c r="G107">
        <f>$C$14*ReDiarioFert!E96</f>
        <v>3.0979759369565216</v>
      </c>
      <c r="I107">
        <f>$C$14*ReDiarioFert!G96</f>
        <v>8.341666666666667</v>
      </c>
      <c r="K107">
        <f>$C$14*ReDiarioFert!I96</f>
        <v>5.353813984619254</v>
      </c>
      <c r="M107">
        <f>$C$14*ReDiarioFert!K96</f>
        <v>0.0002979611635</v>
      </c>
      <c r="O107">
        <f>$C$14*ReDiarioFert!M96</f>
        <v>174.06804048780486</v>
      </c>
      <c r="S107">
        <f>((E107/100)*$G$211+(G107/100)*$G$212+(I107/100)*$G$213+(K107/100)*$G$214+(M107/100)*$G$215+(O107)*$G$216+(Q107*$G$217))</f>
        <v>187.46189742326527</v>
      </c>
    </row>
    <row r="108" ht="18" customHeight="1">
      <c r="B108">
        <v>91</v>
      </c>
      <c r="C108">
        <f>$I$13+B108</f>
        <v>39696</v>
      </c>
      <c r="E108">
        <f>IF($C$14*ReDiarioFert!C97&lt;=0,"0",$C$14*ReDiarioFert!C97)</f>
        <v>6.773388753827542</v>
      </c>
      <c r="G108">
        <f>$C$14*ReDiarioFert!E97</f>
        <v>3.0979759369565216</v>
      </c>
      <c r="I108">
        <f>$C$14*ReDiarioFert!G97</f>
        <v>8.341666666666667</v>
      </c>
      <c r="K108">
        <f>$C$14*ReDiarioFert!I97</f>
        <v>5.353813984619254</v>
      </c>
      <c r="M108">
        <f>$C$14*ReDiarioFert!K97</f>
        <v>0.0002979611635</v>
      </c>
      <c r="O108">
        <f>$C$14*ReDiarioFert!M97</f>
        <v>174.06804048780486</v>
      </c>
      <c r="S108">
        <f>((E108/100)*$G$211+(G108/100)*$G$212+(I108/100)*$G$213+(K108/100)*$G$214+(M108/100)*$G$215+(O108)*$G$216+(Q108*$G$217))</f>
        <v>187.46189742326527</v>
      </c>
    </row>
    <row r="109">
      <c r="A109">
        <v>14</v>
      </c>
      <c r="B109">
        <v>92</v>
      </c>
      <c r="C109">
        <f>$I$13+B109</f>
        <v>39697</v>
      </c>
      <c r="E109">
        <f>IF($C$14*ReDiarioFert!C98&lt;=0,"0",$C$14*ReDiarioFert!C98)</f>
        <v>6.773388753827542</v>
      </c>
      <c r="G109">
        <f>$C$14*ReDiarioFert!E98</f>
        <v>3.0979759369565216</v>
      </c>
      <c r="I109">
        <f>$C$14*ReDiarioFert!G98</f>
        <v>8.341666666666667</v>
      </c>
      <c r="K109">
        <f>$C$14*ReDiarioFert!I98</f>
        <v>5.353813984619254</v>
      </c>
      <c r="M109">
        <f>$C$14*ReDiarioFert!K98</f>
        <v>0.0002979611635</v>
      </c>
      <c r="O109">
        <f>$C$14*ReDiarioFert!M98</f>
        <v>174.06804048780486</v>
      </c>
      <c r="Q109">
        <f>$C$14*Main!$D$63</f>
        <v>20.019999999999996</v>
      </c>
      <c r="S109">
        <f>((E109/100)*$G$211+(G109/100)*$G$212+(I109/100)*$G$213+(K109/100)*$G$214+(M109/100)*$G$215+(O109)*$G$216+(Q109*$G$217))</f>
        <v>243.51789742326525</v>
      </c>
    </row>
    <row r="110">
      <c r="B110">
        <v>93</v>
      </c>
      <c r="C110">
        <f>$I$13+B110</f>
        <v>39698</v>
      </c>
      <c r="E110">
        <f>IF($C$14*ReDiarioFert!C99&lt;=0,"0",$C$14*ReDiarioFert!C99)</f>
        <v>6.773388753827542</v>
      </c>
      <c r="G110">
        <f>$C$14*ReDiarioFert!E99</f>
        <v>3.0979759369565216</v>
      </c>
      <c r="I110">
        <f>$C$14*ReDiarioFert!G99</f>
        <v>8.341666666666667</v>
      </c>
      <c r="K110">
        <f>$C$14*ReDiarioFert!I99</f>
        <v>5.353813984619254</v>
      </c>
      <c r="M110">
        <f>$C$14*ReDiarioFert!K99</f>
        <v>0.0002979611635</v>
      </c>
      <c r="O110">
        <f>$C$14*ReDiarioFert!M99</f>
        <v>174.06804048780486</v>
      </c>
      <c r="S110">
        <f>((E110/100)*$G$211+(G110/100)*$G$212+(I110/100)*$G$213+(K110/100)*$G$214+(M110/100)*$G$215+(O110)*$G$216+(Q110*$G$217))</f>
        <v>187.46189742326527</v>
      </c>
    </row>
    <row r="111">
      <c r="B111">
        <v>94</v>
      </c>
      <c r="C111">
        <f>$I$13+B111</f>
        <v>39699</v>
      </c>
      <c r="E111">
        <f>IF($C$14*ReDiarioFert!C100&lt;=0,"0",$C$14*ReDiarioFert!C100)</f>
        <v>6.773388753827542</v>
      </c>
      <c r="G111">
        <f>$C$14*ReDiarioFert!E100</f>
        <v>3.0979759369565216</v>
      </c>
      <c r="I111">
        <f>$C$14*ReDiarioFert!G100</f>
        <v>8.341666666666667</v>
      </c>
      <c r="K111">
        <f>$C$14*ReDiarioFert!I100</f>
        <v>5.353813984619254</v>
      </c>
      <c r="M111">
        <f>$C$14*ReDiarioFert!K100</f>
        <v>0.0002979611635</v>
      </c>
      <c r="O111">
        <f>$C$14*ReDiarioFert!M100</f>
        <v>174.06804048780486</v>
      </c>
      <c r="S111">
        <f>((E111/100)*$G$211+(G111/100)*$G$212+(I111/100)*$G$213+(K111/100)*$G$214+(M111/100)*$G$215+(O111)*$G$216+(Q111*$G$217))</f>
        <v>187.46189742326527</v>
      </c>
    </row>
    <row r="112">
      <c r="B112">
        <v>95</v>
      </c>
      <c r="C112">
        <f>$I$13+B112</f>
        <v>39700</v>
      </c>
      <c r="E112">
        <f>IF($C$14*ReDiarioFert!C101&lt;=0,"0",$C$14*ReDiarioFert!C101)</f>
        <v>6.773388753827542</v>
      </c>
      <c r="G112">
        <f>$C$14*ReDiarioFert!E101</f>
        <v>3.0979759369565216</v>
      </c>
      <c r="I112">
        <f>$C$14*ReDiarioFert!G101</f>
        <v>8.341666666666667</v>
      </c>
      <c r="K112">
        <f>$C$14*ReDiarioFert!I101</f>
        <v>5.353813984619254</v>
      </c>
      <c r="M112">
        <f>$C$14*ReDiarioFert!K101</f>
        <v>0.0002979611635</v>
      </c>
      <c r="O112">
        <f>$C$14*ReDiarioFert!M101</f>
        <v>174.06804048780486</v>
      </c>
      <c r="S112">
        <f>((E112/100)*$G$211+(G112/100)*$G$212+(I112/100)*$G$213+(K112/100)*$G$214+(M112/100)*$G$215+(O112)*$G$216+(Q112*$G$217))</f>
        <v>187.46189742326527</v>
      </c>
    </row>
    <row r="113">
      <c r="B113">
        <v>96</v>
      </c>
      <c r="C113">
        <f>$I$13+B113</f>
        <v>39701</v>
      </c>
      <c r="E113">
        <f>IF($C$14*ReDiarioFert!C102&lt;=0,"0",$C$14*ReDiarioFert!C102)</f>
        <v>6.773388753827542</v>
      </c>
      <c r="G113">
        <f>$C$14*ReDiarioFert!E102</f>
        <v>3.0979759369565216</v>
      </c>
      <c r="I113">
        <f>$C$14*ReDiarioFert!G102</f>
        <v>8.341666666666667</v>
      </c>
      <c r="K113">
        <f>$C$14*ReDiarioFert!I102</f>
        <v>5.353813984619254</v>
      </c>
      <c r="M113">
        <f>$C$14*ReDiarioFert!K102</f>
        <v>0.0002979611635</v>
      </c>
      <c r="O113">
        <f>$C$14*ReDiarioFert!M102</f>
        <v>174.06804048780486</v>
      </c>
      <c r="S113">
        <f>((E113/100)*$G$211+(G113/100)*$G$212+(I113/100)*$G$213+(K113/100)*$G$214+(M113/100)*$G$215+(O113)*$G$216+(Q113*$G$217))</f>
        <v>187.46189742326527</v>
      </c>
    </row>
    <row r="114">
      <c r="B114">
        <v>97</v>
      </c>
      <c r="C114">
        <f>$I$13+B114</f>
        <v>39702</v>
      </c>
      <c r="E114">
        <f>IF($C$14*ReDiarioFert!C103&lt;=0,"0",$C$14*ReDiarioFert!C103)</f>
        <v>6.773388753827542</v>
      </c>
      <c r="G114">
        <f>$C$14*ReDiarioFert!E103</f>
        <v>3.0979759369565216</v>
      </c>
      <c r="I114">
        <f>$C$14*ReDiarioFert!G103</f>
        <v>8.341666666666667</v>
      </c>
      <c r="K114">
        <f>$C$14*ReDiarioFert!I103</f>
        <v>5.353813984619254</v>
      </c>
      <c r="M114">
        <f>$C$14*ReDiarioFert!K103</f>
        <v>0.0002979611635</v>
      </c>
      <c r="O114">
        <f>$C$14*ReDiarioFert!M103</f>
        <v>174.06804048780486</v>
      </c>
      <c r="S114">
        <f>((E114/100)*$G$211+(G114/100)*$G$212+(I114/100)*$G$213+(K114/100)*$G$214+(M114/100)*$G$215+(O114)*$G$216+(Q114*$G$217))</f>
        <v>187.46189742326527</v>
      </c>
    </row>
    <row r="115">
      <c r="B115">
        <v>98</v>
      </c>
      <c r="C115">
        <f>$I$13+B115</f>
        <v>39703</v>
      </c>
      <c r="E115">
        <f>IF($C$14*ReDiarioFert!C104&lt;=0,"0",$C$14*ReDiarioFert!C104)</f>
        <v>6.773388753827542</v>
      </c>
      <c r="G115">
        <f>$C$14*ReDiarioFert!E104</f>
        <v>3.0979759369565216</v>
      </c>
      <c r="I115">
        <f>$C$14*ReDiarioFert!G104</f>
        <v>8.341666666666667</v>
      </c>
      <c r="K115">
        <f>$C$14*ReDiarioFert!I104</f>
        <v>5.353813984619254</v>
      </c>
      <c r="M115">
        <f>$C$14*ReDiarioFert!K104</f>
        <v>0.0002979611635</v>
      </c>
      <c r="O115">
        <f>$C$14*ReDiarioFert!M104</f>
        <v>174.06804048780486</v>
      </c>
      <c r="S115">
        <f>((E115/100)*$G$211+(G115/100)*$G$212+(I115/100)*$G$213+(K115/100)*$G$214+(M115/100)*$G$215+(O115)*$G$216+(Q115*$G$217))</f>
        <v>187.46189742326527</v>
      </c>
    </row>
    <row r="116">
      <c r="A116">
        <v>15</v>
      </c>
      <c r="B116">
        <v>99</v>
      </c>
      <c r="C116">
        <f>$I$13+B116</f>
        <v>39704</v>
      </c>
      <c r="E116">
        <f>IF($C$14*ReDiarioFert!C105&lt;=0,"0",$C$14*ReDiarioFert!C105)</f>
        <v>6.773388753827542</v>
      </c>
      <c r="G116">
        <f>$C$14*ReDiarioFert!E105</f>
        <v>3.0979759369565216</v>
      </c>
      <c r="I116">
        <f>$C$14*ReDiarioFert!G105</f>
        <v>8.341666666666667</v>
      </c>
      <c r="K116">
        <f>$C$14*ReDiarioFert!I105</f>
        <v>5.353813984619254</v>
      </c>
      <c r="M116">
        <f>$C$14*ReDiarioFert!K105</f>
        <v>0.0002979611635</v>
      </c>
      <c r="O116">
        <f>$C$14*ReDiarioFert!M105</f>
        <v>174.06804048780486</v>
      </c>
      <c r="Q116">
        <f>$C$14*Main!$D$63</f>
        <v>20.019999999999996</v>
      </c>
      <c r="S116">
        <f>((E116/100)*$G$211+(G116/100)*$G$212+(I116/100)*$G$213+(K116/100)*$G$214+(M116/100)*$G$215+(O116)*$G$216+(Q116*$G$217))</f>
        <v>243.51789742326525</v>
      </c>
    </row>
    <row r="117">
      <c r="B117">
        <v>100</v>
      </c>
      <c r="C117">
        <f>$I$13+B117</f>
        <v>39705</v>
      </c>
      <c r="E117">
        <f>IF($C$14*ReDiarioFert!C106&lt;=0,"0",$C$14*ReDiarioFert!C106)</f>
        <v>6.773388753827542</v>
      </c>
      <c r="G117">
        <f>$C$14*ReDiarioFert!E106</f>
        <v>3.0979759369565216</v>
      </c>
      <c r="I117">
        <f>$C$14*ReDiarioFert!G106</f>
        <v>8.341666666666667</v>
      </c>
      <c r="K117">
        <f>$C$14*ReDiarioFert!I106</f>
        <v>5.353813984619254</v>
      </c>
      <c r="M117">
        <f>$C$14*ReDiarioFert!K106</f>
        <v>0.0002979611635</v>
      </c>
      <c r="O117">
        <f>$C$14*ReDiarioFert!M106</f>
        <v>174.06804048780486</v>
      </c>
      <c r="S117">
        <f>((E117/100)*$G$211+(G117/100)*$G$212+(I117/100)*$G$213+(K117/100)*$G$214+(M117/100)*$G$215+(O117)*$G$216+(Q117*$G$217))</f>
        <v>187.46189742326527</v>
      </c>
    </row>
    <row r="118">
      <c r="B118">
        <v>101</v>
      </c>
      <c r="C118">
        <f>$I$13+B118</f>
        <v>39706</v>
      </c>
      <c r="E118">
        <f>IF($C$14*ReDiarioFert!C107&lt;=0,"0",$C$14*ReDiarioFert!C107)</f>
        <v>6.773388753827542</v>
      </c>
      <c r="G118">
        <f>$C$14*ReDiarioFert!E107</f>
        <v>3.0979759369565216</v>
      </c>
      <c r="I118">
        <f>$C$14*ReDiarioFert!G107</f>
        <v>8.341666666666667</v>
      </c>
      <c r="K118">
        <f>$C$14*ReDiarioFert!I107</f>
        <v>5.353813984619254</v>
      </c>
      <c r="M118">
        <f>$C$14*ReDiarioFert!K107</f>
        <v>0.0002979611635</v>
      </c>
      <c r="O118">
        <f>$C$14*ReDiarioFert!M107</f>
        <v>174.06804048780486</v>
      </c>
      <c r="S118">
        <f>((E118/100)*$G$211+(G118/100)*$G$212+(I118/100)*$G$213+(K118/100)*$G$214+(M118/100)*$G$215+(O118)*$G$216+(Q118*$G$217))</f>
        <v>187.46189742326527</v>
      </c>
    </row>
    <row r="119">
      <c r="B119">
        <v>102</v>
      </c>
      <c r="C119">
        <f>$I$13+B119</f>
        <v>39707</v>
      </c>
      <c r="E119">
        <f>IF($C$14*ReDiarioFert!C108&lt;=0,"0",$C$14*ReDiarioFert!C108)</f>
        <v>6.773388753827542</v>
      </c>
      <c r="G119">
        <f>$C$14*ReDiarioFert!E108</f>
        <v>3.0979759369565216</v>
      </c>
      <c r="I119">
        <f>$C$14*ReDiarioFert!G108</f>
        <v>8.341666666666667</v>
      </c>
      <c r="K119">
        <f>$C$14*ReDiarioFert!I108</f>
        <v>5.353813984619254</v>
      </c>
      <c r="M119">
        <f>$C$14*ReDiarioFert!K108</f>
        <v>0.0002979611635</v>
      </c>
      <c r="O119">
        <f>$C$14*ReDiarioFert!M108</f>
        <v>174.06804048780486</v>
      </c>
      <c r="S119">
        <f>((E119/100)*$G$211+(G119/100)*$G$212+(I119/100)*$G$213+(K119/100)*$G$214+(M119/100)*$G$215+(O119)*$G$216+(Q119*$G$217))</f>
        <v>187.46189742326527</v>
      </c>
    </row>
    <row r="120">
      <c r="B120">
        <v>103</v>
      </c>
      <c r="C120">
        <f>$I$13+B120</f>
        <v>39708</v>
      </c>
      <c r="E120">
        <f>IF($C$14*ReDiarioFert!C109&lt;=0,"0",$C$14*ReDiarioFert!C109)</f>
        <v>6.773388753827542</v>
      </c>
      <c r="G120">
        <f>$C$14*ReDiarioFert!E109</f>
        <v>3.0979759369565216</v>
      </c>
      <c r="I120">
        <f>$C$14*ReDiarioFert!G109</f>
        <v>8.341666666666667</v>
      </c>
      <c r="K120">
        <f>$C$14*ReDiarioFert!I109</f>
        <v>5.353813984619254</v>
      </c>
      <c r="M120">
        <f>$C$14*ReDiarioFert!K109</f>
        <v>0.0002979611635</v>
      </c>
      <c r="O120">
        <f>$C$14*ReDiarioFert!M109</f>
        <v>174.06804048780486</v>
      </c>
      <c r="S120">
        <f>((E120/100)*$G$211+(G120/100)*$G$212+(I120/100)*$G$213+(K120/100)*$G$214+(M120/100)*$G$215+(O120)*$G$216+(Q120*$G$217))</f>
        <v>187.46189742326527</v>
      </c>
    </row>
    <row r="121">
      <c r="B121">
        <v>104</v>
      </c>
      <c r="C121">
        <f>$I$13+B121</f>
        <v>39709</v>
      </c>
      <c r="E121">
        <f>IF($C$14*ReDiarioFert!C110&lt;=0,"0",$C$14*ReDiarioFert!C110)</f>
        <v>6.773388753827542</v>
      </c>
      <c r="G121">
        <f>$C$14*ReDiarioFert!E110</f>
        <v>3.0979759369565216</v>
      </c>
      <c r="I121">
        <f>$C$14*ReDiarioFert!G110</f>
        <v>8.341666666666667</v>
      </c>
      <c r="K121">
        <f>$C$14*ReDiarioFert!I110</f>
        <v>5.353813984619254</v>
      </c>
      <c r="M121">
        <f>$C$14*ReDiarioFert!K110</f>
        <v>0.0002979611635</v>
      </c>
      <c r="O121">
        <f>$C$14*ReDiarioFert!M110</f>
        <v>174.06804048780486</v>
      </c>
      <c r="S121">
        <f>((E121/100)*$G$211+(G121/100)*$G$212+(I121/100)*$G$213+(K121/100)*$G$214+(M121/100)*$G$215+(O121)*$G$216+(Q121*$G$217))</f>
        <v>187.46189742326527</v>
      </c>
    </row>
    <row r="122">
      <c r="B122">
        <v>105</v>
      </c>
      <c r="C122">
        <f>$I$13+B122</f>
        <v>39710</v>
      </c>
      <c r="E122">
        <f>IF($C$14*ReDiarioFert!C111&lt;=0,"0",$C$14*ReDiarioFert!C111)</f>
        <v>6.773388753827542</v>
      </c>
      <c r="G122">
        <f>$C$14*ReDiarioFert!E111</f>
        <v>3.0979759369565216</v>
      </c>
      <c r="I122">
        <f>$C$14*ReDiarioFert!G111</f>
        <v>8.341666666666667</v>
      </c>
      <c r="K122">
        <f>$C$14*ReDiarioFert!I111</f>
        <v>5.353813984619254</v>
      </c>
      <c r="M122">
        <f>$C$14*ReDiarioFert!K111</f>
        <v>0.0002979611635</v>
      </c>
      <c r="O122">
        <f>$C$14*ReDiarioFert!M111</f>
        <v>174.06804048780486</v>
      </c>
      <c r="S122">
        <f>((E122/100)*$G$211+(G122/100)*$G$212+(I122/100)*$G$213+(K122/100)*$G$214+(M122/100)*$G$215+(O122)*$G$216+(Q122*$G$217))</f>
        <v>187.46189742326527</v>
      </c>
    </row>
    <row r="123">
      <c r="A123">
        <v>16</v>
      </c>
      <c r="B123">
        <v>106</v>
      </c>
      <c r="C123">
        <f>$I$13+B123</f>
        <v>39711</v>
      </c>
      <c r="E123">
        <f>IF($C$14*ReDiarioFert!C112&lt;=0,"0",$C$14*ReDiarioFert!C112)</f>
        <v>6.773388753827542</v>
      </c>
      <c r="G123">
        <f>$C$14*ReDiarioFert!E112</f>
        <v>3.0979759369565216</v>
      </c>
      <c r="I123">
        <f>$C$14*ReDiarioFert!G112</f>
        <v>8.341666666666667</v>
      </c>
      <c r="K123">
        <f>$C$14*ReDiarioFert!I112</f>
        <v>5.353813984619254</v>
      </c>
      <c r="M123">
        <f>$C$14*ReDiarioFert!K112</f>
        <v>0.0002979611635</v>
      </c>
      <c r="O123">
        <f>$C$14*ReDiarioFert!M112</f>
        <v>174.06804048780486</v>
      </c>
      <c r="Q123">
        <f>$C$14*Main!$D$63</f>
        <v>20.019999999999996</v>
      </c>
      <c r="S123">
        <f>((E123/100)*$G$211+(G123/100)*$G$212+(I123/100)*$G$213+(K123/100)*$G$214+(M123/100)*$G$215+(O123)*$G$216+(Q123*$G$217))</f>
        <v>243.51789742326525</v>
      </c>
    </row>
    <row r="124">
      <c r="B124">
        <v>107</v>
      </c>
      <c r="C124">
        <f>$I$13+B124</f>
        <v>39712</v>
      </c>
      <c r="E124">
        <f>IF($C$14*ReDiarioFert!C113&lt;=0,"0",$C$14*ReDiarioFert!C113)</f>
        <v>6.773388753827542</v>
      </c>
      <c r="G124">
        <f>$C$14*ReDiarioFert!E113</f>
        <v>3.0979759369565216</v>
      </c>
      <c r="I124">
        <f>$C$14*ReDiarioFert!G113</f>
        <v>8.341666666666667</v>
      </c>
      <c r="K124">
        <f>$C$14*ReDiarioFert!I113</f>
        <v>5.353813984619254</v>
      </c>
      <c r="M124">
        <f>$C$14*ReDiarioFert!K113</f>
        <v>0.0002979611635</v>
      </c>
      <c r="O124">
        <f>$C$14*ReDiarioFert!M113</f>
        <v>174.06804048780486</v>
      </c>
      <c r="S124">
        <f>((E124/100)*$G$211+(G124/100)*$G$212+(I124/100)*$G$213+(K124/100)*$G$214+(M124/100)*$G$215+(O124)*$G$216+(Q124*$G$217))</f>
        <v>187.46189742326527</v>
      </c>
    </row>
    <row r="125">
      <c r="B125">
        <v>108</v>
      </c>
      <c r="C125">
        <f>$I$13+B125</f>
        <v>39713</v>
      </c>
      <c r="E125">
        <f>IF($C$14*ReDiarioFert!C114&lt;=0,"0",$C$14*ReDiarioFert!C114)</f>
        <v>6.773388753827542</v>
      </c>
      <c r="G125">
        <f>$C$14*ReDiarioFert!E114</f>
        <v>3.0979759369565216</v>
      </c>
      <c r="I125">
        <f>$C$14*ReDiarioFert!G114</f>
        <v>8.341666666666667</v>
      </c>
      <c r="K125">
        <f>$C$14*ReDiarioFert!I114</f>
        <v>5.353813984619254</v>
      </c>
      <c r="M125">
        <f>$C$14*ReDiarioFert!K114</f>
        <v>0.0002979611635</v>
      </c>
      <c r="O125">
        <f>$C$14*ReDiarioFert!M114</f>
        <v>174.06804048780486</v>
      </c>
      <c r="S125">
        <f>((E125/100)*$G$211+(G125/100)*$G$212+(I125/100)*$G$213+(K125/100)*$G$214+(M125/100)*$G$215+(O125)*$G$216+(Q125*$G$217))</f>
        <v>187.46189742326527</v>
      </c>
    </row>
    <row r="126">
      <c r="B126">
        <v>109</v>
      </c>
      <c r="C126">
        <f>$I$13+B126</f>
        <v>39714</v>
      </c>
      <c r="E126">
        <f>IF($C$14*ReDiarioFert!C115&lt;=0,"0",$C$14*ReDiarioFert!C115)</f>
        <v>6.773388753827542</v>
      </c>
      <c r="G126">
        <f>$C$14*ReDiarioFert!E115</f>
        <v>3.0979759369565216</v>
      </c>
      <c r="I126">
        <f>$C$14*ReDiarioFert!G115</f>
        <v>8.341666666666667</v>
      </c>
      <c r="K126">
        <f>$C$14*ReDiarioFert!I115</f>
        <v>5.353813984619254</v>
      </c>
      <c r="M126">
        <f>$C$14*ReDiarioFert!K115</f>
        <v>0.0002979611635</v>
      </c>
      <c r="O126">
        <f>$C$14*ReDiarioFert!M115</f>
        <v>174.06804048780486</v>
      </c>
      <c r="S126">
        <f>((E126/100)*$G$211+(G126/100)*$G$212+(I126/100)*$G$213+(K126/100)*$G$214+(M126/100)*$G$215+(O126)*$G$216+(Q126*$G$217))</f>
        <v>187.46189742326527</v>
      </c>
    </row>
    <row r="127">
      <c r="B127">
        <v>110</v>
      </c>
      <c r="C127">
        <f>$I$13+B127</f>
        <v>39715</v>
      </c>
      <c r="E127">
        <f>IF($C$14*ReDiarioFert!C116&lt;=0,"0",$C$14*ReDiarioFert!C116)</f>
        <v>6.773388753827542</v>
      </c>
      <c r="G127">
        <f>$C$14*ReDiarioFert!E116</f>
        <v>3.0979759369565216</v>
      </c>
      <c r="I127">
        <f>$C$14*ReDiarioFert!G116</f>
        <v>8.341666666666667</v>
      </c>
      <c r="K127">
        <f>$C$14*ReDiarioFert!I116</f>
        <v>5.353813984619254</v>
      </c>
      <c r="M127">
        <f>$C$14*ReDiarioFert!K116</f>
        <v>0.0002979611635</v>
      </c>
      <c r="O127">
        <f>$C$14*ReDiarioFert!M116</f>
        <v>174.06804048780486</v>
      </c>
      <c r="S127">
        <f>((E127/100)*$G$211+(G127/100)*$G$212+(I127/100)*$G$213+(K127/100)*$G$214+(M127/100)*$G$215+(O127)*$G$216+(Q127*$G$217))</f>
        <v>187.46189742326527</v>
      </c>
    </row>
    <row r="128">
      <c r="B128">
        <v>111</v>
      </c>
      <c r="C128">
        <f>$I$13+B128</f>
        <v>39716</v>
      </c>
      <c r="E128">
        <f>IF($C$14*ReDiarioFert!C117&lt;=0,"0",$C$14*ReDiarioFert!C117)</f>
        <v>6.773388753827542</v>
      </c>
      <c r="G128">
        <f>$C$14*ReDiarioFert!E117</f>
        <v>3.0979759369565216</v>
      </c>
      <c r="I128">
        <f>$C$14*ReDiarioFert!G117</f>
        <v>8.341666666666667</v>
      </c>
      <c r="K128">
        <f>$C$14*ReDiarioFert!I117</f>
        <v>5.353813984619254</v>
      </c>
      <c r="M128">
        <f>$C$14*ReDiarioFert!K117</f>
        <v>0.0002979611635</v>
      </c>
      <c r="O128">
        <f>$C$14*ReDiarioFert!M117</f>
        <v>174.06804048780486</v>
      </c>
      <c r="S128">
        <f>((E128/100)*$G$211+(G128/100)*$G$212+(I128/100)*$G$213+(K128/100)*$G$214+(M128/100)*$G$215+(O128)*$G$216+(Q128*$G$217))</f>
        <v>187.46189742326527</v>
      </c>
    </row>
    <row r="129">
      <c r="B129">
        <v>112</v>
      </c>
      <c r="C129">
        <f>$I$13+B129</f>
        <v>39717</v>
      </c>
      <c r="E129">
        <f>IF($C$14*ReDiarioFert!C118&lt;=0,"0",$C$14*ReDiarioFert!C118)</f>
        <v>6.773388753827542</v>
      </c>
      <c r="G129">
        <f>$C$14*ReDiarioFert!E118</f>
        <v>3.0979759369565216</v>
      </c>
      <c r="I129">
        <f>$C$14*ReDiarioFert!G118</f>
        <v>8.341666666666667</v>
      </c>
      <c r="K129">
        <f>$C$14*ReDiarioFert!I118</f>
        <v>5.353813984619254</v>
      </c>
      <c r="M129">
        <f>$C$14*ReDiarioFert!K118</f>
        <v>0.0002979611635</v>
      </c>
      <c r="O129">
        <f>$C$14*ReDiarioFert!M118</f>
        <v>174.06804048780486</v>
      </c>
      <c r="S129">
        <f>((E129/100)*$G$211+(G129/100)*$G$212+(I129/100)*$G$213+(K129/100)*$G$214+(M129/100)*$G$215+(O129)*$G$216+(Q129*$G$217))</f>
        <v>187.46189742326527</v>
      </c>
    </row>
    <row r="130">
      <c r="A130">
        <v>17</v>
      </c>
      <c r="B130">
        <v>113</v>
      </c>
      <c r="C130">
        <f>$I$13+B130</f>
        <v>39718</v>
      </c>
      <c r="E130">
        <f>IF($C$14*ReDiarioFert!C119&lt;=0,"0",$C$14*ReDiarioFert!C119)</f>
        <v>6.773388753827542</v>
      </c>
      <c r="G130">
        <f>$C$14*ReDiarioFert!E119</f>
        <v>3.0979759369565216</v>
      </c>
      <c r="I130">
        <f>$C$14*ReDiarioFert!G119</f>
        <v>8.341666666666667</v>
      </c>
      <c r="K130">
        <f>$C$14*ReDiarioFert!I119</f>
        <v>5.353813984619254</v>
      </c>
      <c r="M130">
        <f>$C$14*ReDiarioFert!K119</f>
        <v>0.0002979611635</v>
      </c>
      <c r="O130">
        <f>$C$14*ReDiarioFert!M119</f>
        <v>174.06804048780486</v>
      </c>
      <c r="Q130">
        <f>$C$14*Main!$D$63</f>
        <v>20.019999999999996</v>
      </c>
      <c r="S130">
        <f>((E130/100)*$G$211+(G130/100)*$G$212+(I130/100)*$G$213+(K130/100)*$G$214+(M130/100)*$G$215+(O130)*$G$216+(Q130*$G$217))</f>
        <v>243.51789742326525</v>
      </c>
    </row>
    <row r="131">
      <c r="B131">
        <v>114</v>
      </c>
      <c r="C131">
        <f>$I$13+B131</f>
        <v>39719</v>
      </c>
      <c r="E131">
        <f>IF($C$14*ReDiarioFert!C120&lt;=0,"0",$C$14*ReDiarioFert!C120)</f>
        <v>6.773388753827542</v>
      </c>
      <c r="G131">
        <f>$C$14*ReDiarioFert!E120</f>
        <v>3.0979759369565216</v>
      </c>
      <c r="I131">
        <f>$C$14*ReDiarioFert!G120</f>
        <v>8.341666666666667</v>
      </c>
      <c r="K131">
        <f>$C$14*ReDiarioFert!I120</f>
        <v>5.353813984619254</v>
      </c>
      <c r="M131">
        <f>$C$14*ReDiarioFert!K120</f>
        <v>0.0002979611635</v>
      </c>
      <c r="O131">
        <f>$C$14*ReDiarioFert!M120</f>
        <v>174.06804048780486</v>
      </c>
      <c r="S131">
        <f>((E131/100)*$G$211+(G131/100)*$G$212+(I131/100)*$G$213+(K131/100)*$G$214+(M131/100)*$G$215+(O131)*$G$216+(Q131*$G$217))</f>
        <v>187.46189742326527</v>
      </c>
    </row>
    <row r="132">
      <c r="B132">
        <v>115</v>
      </c>
      <c r="C132">
        <f>$I$13+B132</f>
        <v>39720</v>
      </c>
      <c r="E132">
        <f>IF($C$14*ReDiarioFert!C121&lt;=0,"0",$C$14*ReDiarioFert!C121)</f>
        <v>6.773388753827542</v>
      </c>
      <c r="G132">
        <f>$C$14*ReDiarioFert!E121</f>
        <v>3.0979759369565216</v>
      </c>
      <c r="I132">
        <f>$C$14*ReDiarioFert!G121</f>
        <v>8.341666666666667</v>
      </c>
      <c r="K132">
        <f>$C$14*ReDiarioFert!I121</f>
        <v>5.353813984619254</v>
      </c>
      <c r="M132">
        <f>$C$14*ReDiarioFert!K121</f>
        <v>0.0002979611635</v>
      </c>
      <c r="O132">
        <f>$C$14*ReDiarioFert!M121</f>
        <v>174.06804048780486</v>
      </c>
      <c r="S132">
        <f>((E132/100)*$G$211+(G132/100)*$G$212+(I132/100)*$G$213+(K132/100)*$G$214+(M132/100)*$G$215+(O132)*$G$216+(Q132*$G$217))</f>
        <v>187.46189742326527</v>
      </c>
    </row>
    <row r="133">
      <c r="B133">
        <v>116</v>
      </c>
      <c r="C133">
        <f>$I$13+B133</f>
        <v>39721</v>
      </c>
      <c r="E133">
        <f>IF($C$14*ReDiarioFert!C122&lt;=0,"0",$C$14*ReDiarioFert!C122)</f>
        <v>6.773388753827542</v>
      </c>
      <c r="G133">
        <f>$C$14*ReDiarioFert!E122</f>
        <v>3.0979759369565216</v>
      </c>
      <c r="I133">
        <f>$C$14*ReDiarioFert!G122</f>
        <v>8.341666666666667</v>
      </c>
      <c r="K133">
        <f>$C$14*ReDiarioFert!I122</f>
        <v>5.353813984619254</v>
      </c>
      <c r="M133">
        <f>$C$14*ReDiarioFert!K122</f>
        <v>0.0002979611635</v>
      </c>
      <c r="O133">
        <f>$C$14*ReDiarioFert!M122</f>
        <v>174.06804048780486</v>
      </c>
      <c r="S133">
        <f>((E133/100)*$G$211+(G133/100)*$G$212+(I133/100)*$G$213+(K133/100)*$G$214+(M133/100)*$G$215+(O133)*$G$216+(Q133*$G$217))</f>
        <v>187.46189742326527</v>
      </c>
    </row>
    <row r="134">
      <c r="B134">
        <v>117</v>
      </c>
      <c r="C134">
        <f>$I$13+B134</f>
        <v>39722</v>
      </c>
      <c r="E134">
        <f>IF($C$14*ReDiarioFert!C123&lt;=0,"0",$C$14*ReDiarioFert!C123)</f>
        <v>6.773388753827542</v>
      </c>
      <c r="G134">
        <f>$C$14*ReDiarioFert!E123</f>
        <v>3.0979759369565216</v>
      </c>
      <c r="I134">
        <f>$C$14*ReDiarioFert!G123</f>
        <v>8.341666666666667</v>
      </c>
      <c r="K134">
        <f>$C$14*ReDiarioFert!I123</f>
        <v>5.353813984619254</v>
      </c>
      <c r="M134">
        <f>$C$14*ReDiarioFert!K123</f>
        <v>0.0002979611635</v>
      </c>
      <c r="O134">
        <f>$C$14*ReDiarioFert!M123</f>
        <v>174.06804048780486</v>
      </c>
      <c r="S134">
        <f>((E134/100)*$G$211+(G134/100)*$G$212+(I134/100)*$G$213+(K134/100)*$G$214+(M134/100)*$G$215+(O134)*$G$216+(Q134*$G$217))</f>
        <v>187.46189742326527</v>
      </c>
    </row>
    <row r="135">
      <c r="B135">
        <v>118</v>
      </c>
      <c r="C135">
        <f>$I$13+B135</f>
        <v>39723</v>
      </c>
      <c r="E135">
        <f>IF($C$14*ReDiarioFert!C124&lt;=0,"0",$C$14*ReDiarioFert!C124)</f>
        <v>6.773388753827542</v>
      </c>
      <c r="G135">
        <f>$C$14*ReDiarioFert!E124</f>
        <v>3.0979759369565216</v>
      </c>
      <c r="I135">
        <f>$C$14*ReDiarioFert!G124</f>
        <v>8.341666666666667</v>
      </c>
      <c r="K135">
        <f>$C$14*ReDiarioFert!I124</f>
        <v>5.353813984619254</v>
      </c>
      <c r="M135">
        <f>$C$14*ReDiarioFert!K124</f>
        <v>0.0002979611635</v>
      </c>
      <c r="O135">
        <f>$C$14*ReDiarioFert!M124</f>
        <v>174.06804048780486</v>
      </c>
      <c r="S135">
        <f>((E135/100)*$G$211+(G135/100)*$G$212+(I135/100)*$G$213+(K135/100)*$G$214+(M135/100)*$G$215+(O135)*$G$216+(Q135*$G$217))</f>
        <v>187.46189742326527</v>
      </c>
    </row>
    <row r="136">
      <c r="B136">
        <v>119</v>
      </c>
      <c r="C136">
        <f>$I$13+B136</f>
        <v>39724</v>
      </c>
      <c r="E136">
        <f>IF($C$14*ReDiarioFert!C125&lt;=0,"0",$C$14*ReDiarioFert!C125)</f>
        <v>6.773388753827542</v>
      </c>
      <c r="G136">
        <f>$C$14*ReDiarioFert!E125</f>
        <v>3.0979759369565216</v>
      </c>
      <c r="I136">
        <f>$C$14*ReDiarioFert!G125</f>
        <v>8.341666666666667</v>
      </c>
      <c r="K136">
        <f>$C$14*ReDiarioFert!I125</f>
        <v>5.353813984619254</v>
      </c>
      <c r="M136">
        <f>$C$14*ReDiarioFert!K125</f>
        <v>0.0002979611635</v>
      </c>
      <c r="O136">
        <f>$C$14*ReDiarioFert!M125</f>
        <v>174.06804048780486</v>
      </c>
      <c r="S136">
        <f>((E136/100)*$G$211+(G136/100)*$G$212+(I136/100)*$G$213+(K136/100)*$G$214+(M136/100)*$G$215+(O136)*$G$216+(Q136*$G$217))</f>
        <v>187.46189742326527</v>
      </c>
    </row>
    <row r="137">
      <c r="A137">
        <v>18</v>
      </c>
      <c r="B137">
        <v>120</v>
      </c>
      <c r="C137">
        <f>$I$13+B137</f>
        <v>39725</v>
      </c>
      <c r="E137">
        <f>IF($C$14*ReDiarioFert!C126&lt;=0,"0",$C$14*ReDiarioFert!C126)</f>
        <v>6.773388753827542</v>
      </c>
      <c r="G137">
        <f>$C$14*ReDiarioFert!E126</f>
        <v>3.0979759369565216</v>
      </c>
      <c r="I137">
        <f>$C$14*ReDiarioFert!G126</f>
        <v>8.341666666666667</v>
      </c>
      <c r="K137">
        <f>$C$14*ReDiarioFert!I126</f>
        <v>5.353813984619254</v>
      </c>
      <c r="M137">
        <f>$C$14*ReDiarioFert!K126</f>
        <v>0.0002979611635</v>
      </c>
      <c r="O137">
        <f>$C$14*ReDiarioFert!M126</f>
        <v>174.06804048780486</v>
      </c>
      <c r="Q137">
        <f>$C$14*Main!$D$63</f>
        <v>20.019999999999996</v>
      </c>
      <c r="S137">
        <f>((E137/100)*$G$211+(G137/100)*$G$212+(I137/100)*$G$213+(K137/100)*$G$214+(M137/100)*$G$215+(O137)*$G$216+(Q137*$G$217))</f>
        <v>243.51789742326525</v>
      </c>
    </row>
    <row r="138">
      <c r="B138">
        <v>121</v>
      </c>
      <c r="C138">
        <f>$I$13+B138</f>
        <v>39726</v>
      </c>
      <c r="E138">
        <f>IF($C$14*ReDiarioFert!C127&lt;=0,"0",$C$14*ReDiarioFert!C127)</f>
        <v>6.773388753827542</v>
      </c>
      <c r="G138">
        <f>$C$14*ReDiarioFert!E127</f>
        <v>3.0979759369565216</v>
      </c>
      <c r="I138">
        <f>$C$14*ReDiarioFert!G127</f>
        <v>8.341666666666667</v>
      </c>
      <c r="K138">
        <f>$C$14*ReDiarioFert!I127</f>
        <v>5.353813984619254</v>
      </c>
      <c r="M138">
        <f>$C$14*ReDiarioFert!K127</f>
        <v>0.0002979611635</v>
      </c>
      <c r="O138">
        <f>$C$14*ReDiarioFert!M127</f>
        <v>174.06804048780486</v>
      </c>
      <c r="S138">
        <f>((E138/100)*$G$211+(G138/100)*$G$212+(I138/100)*$G$213+(K138/100)*$G$214+(M138/100)*$G$215+(O138)*$G$216+(Q138*$G$217))</f>
        <v>187.46189742326527</v>
      </c>
    </row>
    <row r="139">
      <c r="B139">
        <v>122</v>
      </c>
      <c r="C139">
        <f>$I$13+B139</f>
        <v>39727</v>
      </c>
      <c r="E139">
        <f>IF($C$14*ReDiarioFert!C128&lt;=0,"0",$C$14*ReDiarioFert!C128)</f>
        <v>6.773388753827542</v>
      </c>
      <c r="G139">
        <f>$C$14*ReDiarioFert!E128</f>
        <v>3.0979759369565216</v>
      </c>
      <c r="I139">
        <f>$C$14*ReDiarioFert!G128</f>
        <v>8.341666666666667</v>
      </c>
      <c r="K139">
        <f>$C$14*ReDiarioFert!I128</f>
        <v>5.353813984619254</v>
      </c>
      <c r="M139">
        <f>$C$14*ReDiarioFert!K128</f>
        <v>0.0002979611635</v>
      </c>
      <c r="O139">
        <f>$C$14*ReDiarioFert!M128</f>
        <v>174.06804048780486</v>
      </c>
      <c r="S139">
        <f>((E139/100)*$G$211+(G139/100)*$G$212+(I139/100)*$G$213+(K139/100)*$G$214+(M139/100)*$G$215+(O139)*$G$216+(Q139*$G$217))</f>
        <v>187.46189742326527</v>
      </c>
    </row>
    <row r="140">
      <c r="B140">
        <v>123</v>
      </c>
      <c r="C140">
        <f>$I$13+B140</f>
        <v>39728</v>
      </c>
      <c r="E140">
        <f>IF($C$14*ReDiarioFert!C129&lt;=0,"0",$C$14*ReDiarioFert!C129)</f>
        <v>6.773388753827542</v>
      </c>
      <c r="G140">
        <f>$C$14*ReDiarioFert!E129</f>
        <v>3.0979759369565216</v>
      </c>
      <c r="I140">
        <f>$C$14*ReDiarioFert!G129</f>
        <v>8.341666666666667</v>
      </c>
      <c r="K140">
        <f>$C$14*ReDiarioFert!I129</f>
        <v>5.353813984619254</v>
      </c>
      <c r="M140">
        <f>$C$14*ReDiarioFert!K129</f>
        <v>0.0002979611635</v>
      </c>
      <c r="O140">
        <f>$C$14*ReDiarioFert!M129</f>
        <v>174.06804048780486</v>
      </c>
      <c r="S140">
        <f>((E140/100)*$G$211+(G140/100)*$G$212+(I140/100)*$G$213+(K140/100)*$G$214+(M140/100)*$G$215+(O140)*$G$216+(Q140*$G$217))</f>
        <v>187.46189742326527</v>
      </c>
    </row>
    <row r="141">
      <c r="B141">
        <v>124</v>
      </c>
      <c r="C141">
        <f>$I$13+B141</f>
        <v>39729</v>
      </c>
      <c r="E141">
        <f>IF($C$14*ReDiarioFert!C130&lt;=0,"0",$C$14*ReDiarioFert!C130)</f>
        <v>6.773388753827542</v>
      </c>
      <c r="G141">
        <f>$C$14*ReDiarioFert!E130</f>
        <v>3.0979759369565216</v>
      </c>
      <c r="I141">
        <f>$C$14*ReDiarioFert!G130</f>
        <v>8.341666666666667</v>
      </c>
      <c r="K141">
        <f>$C$14*ReDiarioFert!I130</f>
        <v>5.353813984619254</v>
      </c>
      <c r="M141">
        <f>$C$14*ReDiarioFert!K130</f>
        <v>0.0002979611635</v>
      </c>
      <c r="O141">
        <f>$C$14*ReDiarioFert!M130</f>
        <v>174.06804048780486</v>
      </c>
      <c r="S141">
        <f>((E141/100)*$G$211+(G141/100)*$G$212+(I141/100)*$G$213+(K141/100)*$G$214+(M141/100)*$G$215+(O141)*$G$216+(Q141*$G$217))</f>
        <v>187.46189742326527</v>
      </c>
    </row>
    <row r="142">
      <c r="B142">
        <v>125</v>
      </c>
      <c r="C142">
        <f>$I$13+B142</f>
        <v>39730</v>
      </c>
      <c r="E142">
        <f>IF($C$14*ReDiarioFert!C131&lt;=0,"0",$C$14*ReDiarioFert!C131)</f>
        <v>6.773388753827542</v>
      </c>
      <c r="G142">
        <f>$C$14*ReDiarioFert!E131</f>
        <v>3.0979759369565216</v>
      </c>
      <c r="I142">
        <f>$C$14*ReDiarioFert!G131</f>
        <v>8.341666666666667</v>
      </c>
      <c r="K142">
        <f>$C$14*ReDiarioFert!I131</f>
        <v>5.353813984619254</v>
      </c>
      <c r="M142">
        <f>$C$14*ReDiarioFert!K131</f>
        <v>0.0002979611635</v>
      </c>
      <c r="O142">
        <f>$C$14*ReDiarioFert!M131</f>
        <v>174.06804048780486</v>
      </c>
      <c r="S142">
        <f>((E142/100)*$G$211+(G142/100)*$G$212+(I142/100)*$G$213+(K142/100)*$G$214+(M142/100)*$G$215+(O142)*$G$216+(Q142*$G$217))</f>
        <v>187.46189742326527</v>
      </c>
    </row>
    <row r="143">
      <c r="B143">
        <v>126</v>
      </c>
      <c r="C143">
        <f>$I$13+B143</f>
        <v>39731</v>
      </c>
      <c r="E143">
        <f>IF($C$14*ReDiarioFert!C132&lt;=0,"0",$C$14*ReDiarioFert!C132)</f>
        <v>6.773388753827542</v>
      </c>
      <c r="G143">
        <f>$C$14*ReDiarioFert!E132</f>
        <v>3.0979759369565216</v>
      </c>
      <c r="I143">
        <f>$C$14*ReDiarioFert!G132</f>
        <v>8.341666666666667</v>
      </c>
      <c r="K143">
        <f>$C$14*ReDiarioFert!I132</f>
        <v>5.353813984619254</v>
      </c>
      <c r="M143">
        <f>$C$14*ReDiarioFert!K132</f>
        <v>0.0002979611635</v>
      </c>
      <c r="O143">
        <f>$C$14*ReDiarioFert!M132</f>
        <v>174.06804048780486</v>
      </c>
      <c r="S143">
        <f>((E143/100)*$G$211+(G143/100)*$G$212+(I143/100)*$G$213+(K143/100)*$G$214+(M143/100)*$G$215+(O143)*$G$216+(Q143*$G$217))</f>
        <v>187.46189742326527</v>
      </c>
    </row>
    <row r="144">
      <c r="A144">
        <v>19</v>
      </c>
      <c r="B144">
        <v>127</v>
      </c>
      <c r="C144">
        <f>$I$13+B144</f>
        <v>39732</v>
      </c>
      <c r="E144">
        <f>IF($C$14*ReDiarioFert!C133&lt;=0,"0",$C$14*ReDiarioFert!C133)</f>
        <v>6.773388753827542</v>
      </c>
      <c r="G144">
        <f>$C$14*ReDiarioFert!E133</f>
        <v>3.0979759369565216</v>
      </c>
      <c r="I144">
        <f>$C$14*ReDiarioFert!G133</f>
        <v>8.341666666666667</v>
      </c>
      <c r="K144">
        <f>$C$14*ReDiarioFert!I133</f>
        <v>5.353813984619254</v>
      </c>
      <c r="M144">
        <f>$C$14*ReDiarioFert!K133</f>
        <v>0.0002979611635</v>
      </c>
      <c r="O144">
        <f>$C$14*ReDiarioFert!M133</f>
        <v>174.06804048780486</v>
      </c>
      <c r="Q144">
        <f>$C$14*Main!$D$63</f>
        <v>20.019999999999996</v>
      </c>
      <c r="S144">
        <f>((E144/100)*$G$211+(G144/100)*$G$212+(I144/100)*$G$213+(K144/100)*$G$214+(M144/100)*$G$215+(O144)*$G$216+(Q144*$G$217))</f>
        <v>243.51789742326525</v>
      </c>
    </row>
    <row r="145">
      <c r="B145">
        <v>128</v>
      </c>
      <c r="C145">
        <f>$I$13+B145</f>
        <v>39733</v>
      </c>
      <c r="E145">
        <f>IF($C$14*ReDiarioFert!C134&lt;=0,"0",$C$14*ReDiarioFert!C134)</f>
        <v>6.773388753827542</v>
      </c>
      <c r="G145">
        <f>$C$14*ReDiarioFert!E134</f>
        <v>3.0979759369565216</v>
      </c>
      <c r="I145">
        <f>$C$14*ReDiarioFert!G134</f>
        <v>8.341666666666667</v>
      </c>
      <c r="K145">
        <f>$C$14*ReDiarioFert!I134</f>
        <v>5.353813984619254</v>
      </c>
      <c r="M145">
        <f>$C$14*ReDiarioFert!K134</f>
        <v>0.0002979611635</v>
      </c>
      <c r="O145">
        <f>$C$14*ReDiarioFert!M134</f>
        <v>174.06804048780486</v>
      </c>
      <c r="S145">
        <f>((E145/100)*$G$211+(G145/100)*$G$212+(I145/100)*$G$213+(K145/100)*$G$214+(M145/100)*$G$215+(O145)*$G$216+(Q145*$G$217))</f>
        <v>187.46189742326527</v>
      </c>
    </row>
    <row r="146">
      <c r="B146">
        <v>129</v>
      </c>
      <c r="C146">
        <f>$I$13+B146</f>
        <v>39734</v>
      </c>
      <c r="E146">
        <f>IF($C$14*ReDiarioFert!C135&lt;=0,"0",$C$14*ReDiarioFert!C135)</f>
        <v>6.773388753827542</v>
      </c>
      <c r="G146">
        <f>$C$14*ReDiarioFert!E135</f>
        <v>3.0979759369565216</v>
      </c>
      <c r="I146">
        <f>$C$14*ReDiarioFert!G135</f>
        <v>8.341666666666667</v>
      </c>
      <c r="K146">
        <f>$C$14*ReDiarioFert!I135</f>
        <v>5.353813984619254</v>
      </c>
      <c r="M146">
        <f>$C$14*ReDiarioFert!K135</f>
        <v>0.0002979611635</v>
      </c>
      <c r="O146">
        <f>$C$14*ReDiarioFert!M135</f>
        <v>174.06804048780486</v>
      </c>
      <c r="S146">
        <f>((E146/100)*$G$211+(G146/100)*$G$212+(I146/100)*$G$213+(K146/100)*$G$214+(M146/100)*$G$215+(O146)*$G$216+(Q146*$G$217))</f>
        <v>187.46189742326527</v>
      </c>
    </row>
    <row r="147">
      <c r="B147">
        <v>130</v>
      </c>
      <c r="C147">
        <f>$I$13+B147</f>
        <v>39735</v>
      </c>
      <c r="E147">
        <f>IF($C$14*ReDiarioFert!C136&lt;=0,"0",$C$14*ReDiarioFert!C136)</f>
        <v>6.773388753827542</v>
      </c>
      <c r="G147">
        <f>$C$14*ReDiarioFert!E136</f>
        <v>3.0979759369565216</v>
      </c>
      <c r="I147">
        <f>$C$14*ReDiarioFert!G136</f>
        <v>8.341666666666667</v>
      </c>
      <c r="K147">
        <f>$C$14*ReDiarioFert!I136</f>
        <v>5.353813984619254</v>
      </c>
      <c r="M147">
        <f>$C$14*ReDiarioFert!K136</f>
        <v>0.0002979611635</v>
      </c>
      <c r="O147">
        <f>$C$14*ReDiarioFert!M136</f>
        <v>174.06804048780486</v>
      </c>
      <c r="S147">
        <f>((E147/100)*$G$211+(G147/100)*$G$212+(I147/100)*$G$213+(K147/100)*$G$214+(M147/100)*$G$215+(O147)*$G$216+(Q147*$G$217))</f>
        <v>187.46189742326527</v>
      </c>
    </row>
    <row r="148">
      <c r="B148">
        <v>131</v>
      </c>
      <c r="C148">
        <f>$I$13+B148</f>
        <v>39736</v>
      </c>
      <c r="E148">
        <f>IF($C$14*ReDiarioFert!C137&lt;=0,"0",$C$14*ReDiarioFert!C137)</f>
        <v>6.773388753827542</v>
      </c>
      <c r="G148">
        <f>$C$14*ReDiarioFert!E137</f>
        <v>3.0979759369565216</v>
      </c>
      <c r="I148">
        <f>$C$14*ReDiarioFert!G137</f>
        <v>8.341666666666667</v>
      </c>
      <c r="K148">
        <f>$C$14*ReDiarioFert!I137</f>
        <v>5.353813984619254</v>
      </c>
      <c r="M148">
        <f>$C$14*ReDiarioFert!K137</f>
        <v>0.0002979611635</v>
      </c>
      <c r="O148">
        <f>$C$14*ReDiarioFert!M137</f>
        <v>174.06804048780486</v>
      </c>
      <c r="S148">
        <f>((E148/100)*$G$211+(G148/100)*$G$212+(I148/100)*$G$213+(K148/100)*$G$214+(M148/100)*$G$215+(O148)*$G$216+(Q148*$G$217))</f>
        <v>187.46189742326527</v>
      </c>
    </row>
    <row r="149">
      <c r="B149">
        <v>132</v>
      </c>
      <c r="C149">
        <f>$I$13+B149</f>
        <v>39737</v>
      </c>
      <c r="E149">
        <f>IF($C$14*ReDiarioFert!C138&lt;=0,"0",$C$14*ReDiarioFert!C138)</f>
        <v>6.773388753827542</v>
      </c>
      <c r="G149">
        <f>$C$14*ReDiarioFert!E138</f>
        <v>3.0979759369565216</v>
      </c>
      <c r="I149">
        <f>$C$14*ReDiarioFert!G138</f>
        <v>8.341666666666667</v>
      </c>
      <c r="K149">
        <f>$C$14*ReDiarioFert!I138</f>
        <v>5.353813984619254</v>
      </c>
      <c r="M149">
        <f>$C$14*ReDiarioFert!K138</f>
        <v>0.0002979611635</v>
      </c>
      <c r="O149">
        <f>$C$14*ReDiarioFert!M138</f>
        <v>174.06804048780486</v>
      </c>
      <c r="S149">
        <f>((E149/100)*$G$211+(G149/100)*$G$212+(I149/100)*$G$213+(K149/100)*$G$214+(M149/100)*$G$215+(O149)*$G$216+(Q149*$G$217))</f>
        <v>187.46189742326527</v>
      </c>
    </row>
    <row r="150">
      <c r="B150">
        <v>133</v>
      </c>
      <c r="C150">
        <f>$I$13+B150</f>
        <v>39738</v>
      </c>
      <c r="E150">
        <f>IF($C$14*ReDiarioFert!C139&lt;=0,"0",$C$14*ReDiarioFert!C139)</f>
        <v>6.773388753827542</v>
      </c>
      <c r="G150">
        <f>$C$14*ReDiarioFert!E139</f>
        <v>3.0979759369565216</v>
      </c>
      <c r="I150">
        <f>$C$14*ReDiarioFert!G139</f>
        <v>8.341666666666667</v>
      </c>
      <c r="K150">
        <f>$C$14*ReDiarioFert!I139</f>
        <v>5.353813984619254</v>
      </c>
      <c r="M150">
        <f>$C$14*ReDiarioFert!K139</f>
        <v>0.0002979611635</v>
      </c>
      <c r="O150">
        <f>$C$14*ReDiarioFert!M139</f>
        <v>174.06804048780486</v>
      </c>
      <c r="S150">
        <f>((E150/100)*$G$211+(G150/100)*$G$212+(I150/100)*$G$213+(K150/100)*$G$214+(M150/100)*$G$215+(O150)*$G$216+(Q150*$G$217))</f>
        <v>187.46189742326527</v>
      </c>
    </row>
    <row r="151">
      <c r="A151">
        <v>20</v>
      </c>
      <c r="B151">
        <v>134</v>
      </c>
      <c r="C151">
        <f>$I$13+B151</f>
        <v>39739</v>
      </c>
      <c r="E151">
        <f>IF($C$14*ReDiarioFert!C140&lt;=0,"0",$C$14*ReDiarioFert!C140)</f>
        <v>6.773388753827542</v>
      </c>
      <c r="G151">
        <f>$C$14*ReDiarioFert!E140</f>
        <v>3.0979759369565216</v>
      </c>
      <c r="I151">
        <f>$C$14*ReDiarioFert!G140</f>
        <v>8.341666666666667</v>
      </c>
      <c r="K151">
        <f>$C$14*ReDiarioFert!I140</f>
        <v>5.353813984619254</v>
      </c>
      <c r="M151">
        <f>$C$14*ReDiarioFert!K140</f>
        <v>0.0002979611635</v>
      </c>
      <c r="O151">
        <f>$C$14*ReDiarioFert!M140</f>
        <v>174.06804048780486</v>
      </c>
      <c r="Q151">
        <f>$C$14*Main!$D$63</f>
        <v>20.019999999999996</v>
      </c>
      <c r="S151">
        <f>((E151/100)*$G$211+(G151/100)*$G$212+(I151/100)*$G$213+(K151/100)*$G$214+(M151/100)*$G$215+(O151)*$G$216+(Q151*$G$217))</f>
        <v>243.51789742326525</v>
      </c>
    </row>
    <row r="152">
      <c r="B152">
        <v>135</v>
      </c>
      <c r="C152">
        <f>$I$13+B152</f>
        <v>39740</v>
      </c>
      <c r="E152">
        <f>IF($C$14*ReDiarioFert!C141&lt;=0,"0",$C$14*ReDiarioFert!C141)</f>
        <v>6.773388753827542</v>
      </c>
      <c r="G152">
        <f>$C$14*ReDiarioFert!E141</f>
        <v>3.0979759369565216</v>
      </c>
      <c r="I152">
        <f>$C$14*ReDiarioFert!G141</f>
        <v>8.341666666666667</v>
      </c>
      <c r="K152">
        <f>$C$14*ReDiarioFert!I141</f>
        <v>5.353813984619254</v>
      </c>
      <c r="M152">
        <f>$C$14*ReDiarioFert!K141</f>
        <v>0.0002979611635</v>
      </c>
      <c r="O152">
        <f>$C$14*ReDiarioFert!M141</f>
        <v>174.06804048780486</v>
      </c>
      <c r="S152">
        <f>((E152/100)*$G$211+(G152/100)*$G$212+(I152/100)*$G$213+(K152/100)*$G$214+(M152/100)*$G$215+(O152)*$G$216+(Q152*$G$217))</f>
        <v>187.46189742326527</v>
      </c>
    </row>
    <row r="153">
      <c r="B153">
        <v>136</v>
      </c>
      <c r="C153">
        <f>$I$13+B153</f>
        <v>39741</v>
      </c>
      <c r="E153">
        <f>IF($C$14*ReDiarioFert!C142&lt;=0,"0",$C$14*ReDiarioFert!C142)</f>
        <v>6.773388753827542</v>
      </c>
      <c r="G153">
        <f>$C$14*ReDiarioFert!E142</f>
        <v>3.0979759369565216</v>
      </c>
      <c r="I153">
        <f>$C$14*ReDiarioFert!G142</f>
        <v>8.341666666666667</v>
      </c>
      <c r="K153">
        <f>$C$14*ReDiarioFert!I142</f>
        <v>5.353813984619254</v>
      </c>
      <c r="M153">
        <f>$C$14*ReDiarioFert!K142</f>
        <v>0.0002979611635</v>
      </c>
      <c r="O153">
        <f>$C$14*ReDiarioFert!M142</f>
        <v>174.06804048780486</v>
      </c>
      <c r="S153">
        <f>((E153/100)*$G$211+(G153/100)*$G$212+(I153/100)*$G$213+(K153/100)*$G$214+(M153/100)*$G$215+(O153)*$G$216+(Q153*$G$217))</f>
        <v>187.46189742326527</v>
      </c>
    </row>
    <row r="154">
      <c r="B154">
        <v>137</v>
      </c>
      <c r="C154">
        <f>$I$13+B154</f>
        <v>39742</v>
      </c>
      <c r="E154">
        <f>IF($C$14*ReDiarioFert!C143&lt;=0,"0",$C$14*ReDiarioFert!C143)</f>
        <v>6.773388753827542</v>
      </c>
      <c r="G154">
        <f>$C$14*ReDiarioFert!E143</f>
        <v>3.0979759369565216</v>
      </c>
      <c r="I154">
        <f>$C$14*ReDiarioFert!G143</f>
        <v>8.341666666666667</v>
      </c>
      <c r="K154">
        <f>$C$14*ReDiarioFert!I143</f>
        <v>5.353813984619254</v>
      </c>
      <c r="M154">
        <f>$C$14*ReDiarioFert!K143</f>
        <v>0.0002979611635</v>
      </c>
      <c r="O154">
        <f>$C$14*ReDiarioFert!M143</f>
        <v>174.06804048780486</v>
      </c>
      <c r="S154">
        <f>((E154/100)*$G$211+(G154/100)*$G$212+(I154/100)*$G$213+(K154/100)*$G$214+(M154/100)*$G$215+(O154)*$G$216+(Q154*$G$217))</f>
        <v>187.46189742326527</v>
      </c>
    </row>
    <row r="155">
      <c r="B155">
        <v>138</v>
      </c>
      <c r="C155">
        <f>$I$13+B155</f>
        <v>39743</v>
      </c>
      <c r="E155">
        <f>IF($C$14*ReDiarioFert!C144&lt;=0,"0",$C$14*ReDiarioFert!C144)</f>
        <v>6.773388753827542</v>
      </c>
      <c r="G155">
        <f>$C$14*ReDiarioFert!E144</f>
        <v>3.0979759369565216</v>
      </c>
      <c r="I155">
        <f>$C$14*ReDiarioFert!G144</f>
        <v>8.341666666666667</v>
      </c>
      <c r="K155">
        <f>$C$14*ReDiarioFert!I144</f>
        <v>5.353813984619254</v>
      </c>
      <c r="M155">
        <f>$C$14*ReDiarioFert!K144</f>
        <v>0.0002979611635</v>
      </c>
      <c r="O155">
        <f>$C$14*ReDiarioFert!M144</f>
        <v>174.06804048780486</v>
      </c>
      <c r="S155">
        <f>((E155/100)*$G$211+(G155/100)*$G$212+(I155/100)*$G$213+(K155/100)*$G$214+(M155/100)*$G$215+(O155)*$G$216+(Q155*$G$217))</f>
        <v>187.46189742326527</v>
      </c>
    </row>
    <row r="156">
      <c r="B156">
        <v>139</v>
      </c>
      <c r="C156">
        <f>$I$13+B156</f>
        <v>39744</v>
      </c>
      <c r="E156">
        <f>IF($C$14*ReDiarioFert!C145&lt;=0,"0",$C$14*ReDiarioFert!C145)</f>
        <v>6.773388753827542</v>
      </c>
      <c r="G156">
        <f>$C$14*ReDiarioFert!E145</f>
        <v>3.0979759369565216</v>
      </c>
      <c r="I156">
        <f>$C$14*ReDiarioFert!G145</f>
        <v>8.341666666666667</v>
      </c>
      <c r="K156">
        <f>$C$14*ReDiarioFert!I145</f>
        <v>5.353813984619254</v>
      </c>
      <c r="M156">
        <f>$C$14*ReDiarioFert!K145</f>
        <v>0.0002979611635</v>
      </c>
      <c r="O156">
        <f>$C$14*ReDiarioFert!M145</f>
        <v>174.06804048780486</v>
      </c>
      <c r="S156">
        <f>((E156/100)*$G$211+(G156/100)*$G$212+(I156/100)*$G$213+(K156/100)*$G$214+(M156/100)*$G$215+(O156)*$G$216+(Q156*$G$217))</f>
        <v>187.46189742326527</v>
      </c>
    </row>
    <row r="157">
      <c r="B157">
        <v>140</v>
      </c>
      <c r="C157">
        <f>$I$13+B157</f>
        <v>39745</v>
      </c>
      <c r="E157">
        <f>IF($C$14*ReDiarioFert!C146&lt;=0,"0",$C$14*ReDiarioFert!C146)</f>
        <v>6.773388753827542</v>
      </c>
      <c r="G157">
        <f>$C$14*ReDiarioFert!E146</f>
        <v>3.0979759369565216</v>
      </c>
      <c r="I157">
        <f>$C$14*ReDiarioFert!G146</f>
        <v>8.341666666666667</v>
      </c>
      <c r="K157">
        <f>$C$14*ReDiarioFert!I146</f>
        <v>5.353813984619254</v>
      </c>
      <c r="M157">
        <f>$C$14*ReDiarioFert!K146</f>
        <v>0.0002979611635</v>
      </c>
      <c r="O157">
        <f>$C$14*ReDiarioFert!M146</f>
        <v>174.06804048780486</v>
      </c>
      <c r="S157">
        <f>((E157/100)*$G$211+(G157/100)*$G$212+(I157/100)*$G$213+(K157/100)*$G$214+(M157/100)*$G$215+(O157)*$G$216+(Q157*$G$217))</f>
        <v>187.46189742326527</v>
      </c>
    </row>
    <row r="158">
      <c r="A158">
        <v>21</v>
      </c>
      <c r="B158">
        <v>141</v>
      </c>
      <c r="C158">
        <f>$I$13+B158</f>
        <v>39746</v>
      </c>
      <c r="E158">
        <f>IF($C$14*ReDiarioFert!C147&lt;=0,"0",$C$14*ReDiarioFert!C147)</f>
        <v>6.773388753827542</v>
      </c>
      <c r="G158">
        <f>$C$14*ReDiarioFert!E147</f>
        <v>3.0979759369565216</v>
      </c>
      <c r="I158">
        <f>$C$14*ReDiarioFert!G147</f>
        <v>8.341666666666667</v>
      </c>
      <c r="K158">
        <f>$C$14*ReDiarioFert!I147</f>
        <v>5.353813984619254</v>
      </c>
      <c r="M158">
        <f>$C$14*ReDiarioFert!K147</f>
        <v>0.0002979611635</v>
      </c>
      <c r="O158">
        <f>$C$14*ReDiarioFert!M147</f>
        <v>174.06804048780486</v>
      </c>
      <c r="Q158">
        <f>$C$14*Main!$D$63</f>
        <v>20.019999999999996</v>
      </c>
      <c r="S158">
        <f>((E158/100)*$G$211+(G158/100)*$G$212+(I158/100)*$G$213+(K158/100)*$G$214+(M158/100)*$G$215+(O158)*$G$216+(Q158*$G$217))</f>
        <v>243.51789742326525</v>
      </c>
    </row>
    <row r="159">
      <c r="B159">
        <v>142</v>
      </c>
      <c r="C159">
        <f>$I$13+B159</f>
        <v>39747</v>
      </c>
      <c r="E159">
        <f>IF($C$14*ReDiarioFert!C148&lt;=0,"0",$C$14*ReDiarioFert!C148)</f>
        <v>6.773388753827542</v>
      </c>
      <c r="G159">
        <f>$C$14*ReDiarioFert!E148</f>
        <v>3.0979759369565216</v>
      </c>
      <c r="I159">
        <f>$C$14*ReDiarioFert!G148</f>
        <v>8.341666666666667</v>
      </c>
      <c r="K159">
        <f>$C$14*ReDiarioFert!I148</f>
        <v>5.353813984619254</v>
      </c>
      <c r="M159">
        <f>$C$14*ReDiarioFert!K148</f>
        <v>0.0002979611635</v>
      </c>
      <c r="O159">
        <f>$C$14*ReDiarioFert!M148</f>
        <v>174.06804048780486</v>
      </c>
      <c r="S159">
        <f>((E159/100)*$G$211+(G159/100)*$G$212+(I159/100)*$G$213+(K159/100)*$G$214+(M159/100)*$G$215+(O159)*$G$216+(Q159*$G$217))</f>
        <v>187.46189742326527</v>
      </c>
    </row>
    <row r="160">
      <c r="B160">
        <v>143</v>
      </c>
      <c r="C160">
        <f>$I$13+B160</f>
        <v>39748</v>
      </c>
      <c r="E160">
        <f>IF($C$14*ReDiarioFert!C149&lt;=0,"0",$C$14*ReDiarioFert!C149)</f>
        <v>6.773388753827542</v>
      </c>
      <c r="G160">
        <f>$C$14*ReDiarioFert!E149</f>
        <v>3.0979759369565216</v>
      </c>
      <c r="I160">
        <f>$C$14*ReDiarioFert!G149</f>
        <v>8.341666666666667</v>
      </c>
      <c r="K160">
        <f>$C$14*ReDiarioFert!I149</f>
        <v>5.353813984619254</v>
      </c>
      <c r="M160">
        <f>$C$14*ReDiarioFert!K149</f>
        <v>0.0002979611635</v>
      </c>
      <c r="O160">
        <f>$C$14*ReDiarioFert!M149</f>
        <v>174.06804048780486</v>
      </c>
      <c r="S160">
        <f>((E160/100)*$G$211+(G160/100)*$G$212+(I160/100)*$G$213+(K160/100)*$G$214+(M160/100)*$G$215+(O160)*$G$216+(Q160*$G$217))</f>
        <v>187.46189742326527</v>
      </c>
    </row>
    <row r="161">
      <c r="B161">
        <v>144</v>
      </c>
      <c r="C161">
        <f>$I$13+B161</f>
        <v>39749</v>
      </c>
      <c r="E161">
        <f>IF($C$14*ReDiarioFert!C150&lt;=0,"0",$C$14*ReDiarioFert!C150)</f>
        <v>6.773388753827542</v>
      </c>
      <c r="G161">
        <f>$C$14*ReDiarioFert!E150</f>
        <v>3.0979759369565216</v>
      </c>
      <c r="I161">
        <f>$C$14*ReDiarioFert!G150</f>
        <v>8.341666666666667</v>
      </c>
      <c r="K161">
        <f>$C$14*ReDiarioFert!I150</f>
        <v>5.353813984619254</v>
      </c>
      <c r="M161">
        <f>$C$14*ReDiarioFert!K150</f>
        <v>0.0002979611635</v>
      </c>
      <c r="O161">
        <f>$C$14*ReDiarioFert!M150</f>
        <v>174.06804048780486</v>
      </c>
      <c r="S161">
        <f>((E161/100)*$G$211+(G161/100)*$G$212+(I161/100)*$G$213+(K161/100)*$G$214+(M161/100)*$G$215+(O161)*$G$216+(Q161*$G$217))</f>
        <v>187.46189742326527</v>
      </c>
    </row>
    <row r="162">
      <c r="B162">
        <v>145</v>
      </c>
      <c r="C162">
        <f>$I$13+B162</f>
        <v>39750</v>
      </c>
      <c r="E162">
        <f>IF($C$14*ReDiarioFert!C151&lt;=0,"0",$C$14*ReDiarioFert!C151)</f>
        <v>6.773388753827542</v>
      </c>
      <c r="G162">
        <f>$C$14*ReDiarioFert!E151</f>
        <v>3.0979759369565216</v>
      </c>
      <c r="I162">
        <f>$C$14*ReDiarioFert!G151</f>
        <v>8.341666666666667</v>
      </c>
      <c r="K162">
        <f>$C$14*ReDiarioFert!I151</f>
        <v>5.353813984619254</v>
      </c>
      <c r="M162">
        <f>$C$14*ReDiarioFert!K151</f>
        <v>0.0002979611635</v>
      </c>
      <c r="O162">
        <f>$C$14*ReDiarioFert!M151</f>
        <v>174.06804048780486</v>
      </c>
      <c r="S162">
        <f>((E162/100)*$G$211+(G162/100)*$G$212+(I162/100)*$G$213+(K162/100)*$G$214+(M162/100)*$G$215+(O162)*$G$216+(Q162*$G$217))</f>
        <v>187.46189742326527</v>
      </c>
    </row>
    <row r="163">
      <c r="B163">
        <v>146</v>
      </c>
      <c r="C163">
        <f>$I$13+B163</f>
        <v>39751</v>
      </c>
      <c r="E163">
        <f>IF($C$14*ReDiarioFert!C152&lt;=0,"0",$C$14*ReDiarioFert!C152)</f>
        <v>6.773388753827542</v>
      </c>
      <c r="G163">
        <f>$C$14*ReDiarioFert!E152</f>
        <v>3.0979759369565216</v>
      </c>
      <c r="I163">
        <f>$C$14*ReDiarioFert!G152</f>
        <v>8.341666666666667</v>
      </c>
      <c r="K163">
        <f>$C$14*ReDiarioFert!I152</f>
        <v>5.353813984619254</v>
      </c>
      <c r="M163">
        <f>$C$14*ReDiarioFert!K152</f>
        <v>0.0002979611635</v>
      </c>
      <c r="O163">
        <f>$C$14*ReDiarioFert!M152</f>
        <v>174.06804048780486</v>
      </c>
      <c r="S163">
        <f>((E163/100)*$G$211+(G163/100)*$G$212+(I163/100)*$G$213+(K163/100)*$G$214+(M163/100)*$G$215+(O163)*$G$216+(Q163*$G$217))</f>
        <v>187.46189742326527</v>
      </c>
    </row>
    <row r="164">
      <c r="B164">
        <v>147</v>
      </c>
      <c r="C164">
        <f>$I$13+B164</f>
        <v>39752</v>
      </c>
      <c r="E164">
        <f>IF($C$14*ReDiarioFert!C153&lt;=0,"0",$C$14*ReDiarioFert!C153)</f>
        <v>6.773388753827542</v>
      </c>
      <c r="G164">
        <f>$C$14*ReDiarioFert!E153</f>
        <v>3.0979759369565216</v>
      </c>
      <c r="I164">
        <f>$C$14*ReDiarioFert!G153</f>
        <v>8.341666666666667</v>
      </c>
      <c r="K164">
        <f>$C$14*ReDiarioFert!I153</f>
        <v>5.353813984619254</v>
      </c>
      <c r="M164">
        <f>$C$14*ReDiarioFert!K153</f>
        <v>0.0002979611635</v>
      </c>
      <c r="O164">
        <f>$C$14*ReDiarioFert!M153</f>
        <v>174.06804048780486</v>
      </c>
      <c r="S164">
        <f>((E164/100)*$G$211+(G164/100)*$G$212+(I164/100)*$G$213+(K164/100)*$G$214+(M164/100)*$G$215+(O164)*$G$216+(Q164*$G$217))</f>
        <v>187.46189742326527</v>
      </c>
    </row>
    <row r="165">
      <c r="A165">
        <v>22</v>
      </c>
      <c r="B165">
        <v>148</v>
      </c>
      <c r="C165">
        <f>$I$13+B165</f>
        <v>39753</v>
      </c>
      <c r="E165">
        <f>IF($C$14*ReDiarioFert!C154&lt;=0,"0",$C$14*ReDiarioFert!C154)</f>
        <v>6.773388753827542</v>
      </c>
      <c r="G165">
        <f>$C$14*ReDiarioFert!E154</f>
        <v>3.0979759369565216</v>
      </c>
      <c r="I165">
        <f>$C$14*ReDiarioFert!G154</f>
        <v>8.341666666666667</v>
      </c>
      <c r="K165">
        <f>$C$14*ReDiarioFert!I154</f>
        <v>5.353813984619254</v>
      </c>
      <c r="M165">
        <f>$C$14*ReDiarioFert!K154</f>
        <v>0.0002979611635</v>
      </c>
      <c r="O165">
        <f>$C$14*ReDiarioFert!M154</f>
        <v>174.06804048780486</v>
      </c>
      <c r="Q165">
        <f>$C$14*Main!$D$63</f>
        <v>20.019999999999996</v>
      </c>
      <c r="S165">
        <f>((E165/100)*$G$211+(G165/100)*$G$212+(I165/100)*$G$213+(K165/100)*$G$214+(M165/100)*$G$215+(O165)*$G$216+(Q165*$G$217))</f>
        <v>243.51789742326525</v>
      </c>
    </row>
    <row r="166">
      <c r="B166">
        <v>149</v>
      </c>
      <c r="C166">
        <f>$I$13+B166</f>
        <v>39754</v>
      </c>
      <c r="E166">
        <f>IF($C$14*ReDiarioFert!C155&lt;=0,"0",$C$14*ReDiarioFert!C155)</f>
        <v>6.773388753827542</v>
      </c>
      <c r="G166">
        <f>$C$14*ReDiarioFert!E155</f>
        <v>3.0979759369565216</v>
      </c>
      <c r="I166">
        <f>$C$14*ReDiarioFert!G155</f>
        <v>8.341666666666667</v>
      </c>
      <c r="K166">
        <f>$C$14*ReDiarioFert!I155</f>
        <v>5.353813984619254</v>
      </c>
      <c r="M166">
        <f>$C$14*ReDiarioFert!K155</f>
        <v>0.0002979611635</v>
      </c>
      <c r="O166">
        <f>$C$14*ReDiarioFert!M155</f>
        <v>174.06804048780486</v>
      </c>
      <c r="S166">
        <f>((E166/100)*$G$211+(G166/100)*$G$212+(I166/100)*$G$213+(K166/100)*$G$214+(M166/100)*$G$215+(O166)*$G$216+(Q166*$G$217))</f>
        <v>187.46189742326527</v>
      </c>
    </row>
    <row r="167">
      <c r="B167">
        <v>150</v>
      </c>
      <c r="C167">
        <f>$I$13+B167</f>
        <v>39755</v>
      </c>
      <c r="E167">
        <f>IF($C$14*ReDiarioFert!C156&lt;=0,"0",$C$14*ReDiarioFert!C156)</f>
        <v>6.773388753827542</v>
      </c>
      <c r="G167">
        <f>$C$14*ReDiarioFert!E156</f>
        <v>3.0979759369565216</v>
      </c>
      <c r="I167">
        <f>$C$14*ReDiarioFert!G156</f>
        <v>8.341666666666667</v>
      </c>
      <c r="K167">
        <f>$C$14*ReDiarioFert!I156</f>
        <v>5.353813984619254</v>
      </c>
      <c r="M167">
        <f>$C$14*ReDiarioFert!K156</f>
        <v>0.0002979611635</v>
      </c>
      <c r="O167">
        <f>$C$14*ReDiarioFert!M156</f>
        <v>174.06804048780486</v>
      </c>
      <c r="S167">
        <f>((E167/100)*$G$211+(G167/100)*$G$212+(I167/100)*$G$213+(K167/100)*$G$214+(M167/100)*$G$215+(O167)*$G$216+(Q167*$G$217))</f>
        <v>187.46189742326527</v>
      </c>
    </row>
    <row r="168">
      <c r="B168">
        <v>151</v>
      </c>
      <c r="C168">
        <f>$I$13+B168</f>
        <v>39756</v>
      </c>
      <c r="E168">
        <f>IF($C$14*ReDiarioFert!C157&lt;=0,"0",$C$14*ReDiarioFert!C157)</f>
        <v>6.773388753827542</v>
      </c>
      <c r="G168">
        <f>$C$14*ReDiarioFert!E157</f>
        <v>3.0979759369565216</v>
      </c>
      <c r="I168">
        <f>$C$14*ReDiarioFert!G157</f>
        <v>8.341666666666667</v>
      </c>
      <c r="K168">
        <f>$C$14*ReDiarioFert!I157</f>
        <v>5.353813984619254</v>
      </c>
      <c r="M168">
        <f>$C$14*ReDiarioFert!K157</f>
        <v>0.0002979611635</v>
      </c>
      <c r="O168">
        <f>$C$14*ReDiarioFert!M157</f>
        <v>174.06804048780486</v>
      </c>
      <c r="S168">
        <f>((E168/100)*$G$211+(G168/100)*$G$212+(I168/100)*$G$213+(K168/100)*$G$214+(M168/100)*$G$215+(O168)*$G$216+(Q168*$G$217))</f>
        <v>187.46189742326527</v>
      </c>
    </row>
    <row r="169">
      <c r="B169">
        <v>152</v>
      </c>
      <c r="C169">
        <f>$I$13+B169</f>
        <v>39757</v>
      </c>
      <c r="E169">
        <f>IF($C$14*ReDiarioFert!C158&lt;=0,"0",$C$14*ReDiarioFert!C158)</f>
        <v>6.773388753827542</v>
      </c>
      <c r="G169">
        <f>$C$14*ReDiarioFert!E158</f>
        <v>3.0979759369565216</v>
      </c>
      <c r="I169">
        <f>$C$14*ReDiarioFert!G158</f>
        <v>8.341666666666667</v>
      </c>
      <c r="K169">
        <f>$C$14*ReDiarioFert!I158</f>
        <v>5.353813984619254</v>
      </c>
      <c r="M169">
        <f>$C$14*ReDiarioFert!K158</f>
        <v>0.0002979611635</v>
      </c>
      <c r="O169">
        <f>$C$14*ReDiarioFert!M158</f>
        <v>174.06804048780486</v>
      </c>
      <c r="S169">
        <f>((E169/100)*$G$211+(G169/100)*$G$212+(I169/100)*$G$213+(K169/100)*$G$214+(M169/100)*$G$215+(O169)*$G$216+(Q169*$G$217))</f>
        <v>187.46189742326527</v>
      </c>
    </row>
    <row r="170">
      <c r="B170">
        <v>153</v>
      </c>
      <c r="C170">
        <f>$I$13+B170</f>
        <v>39758</v>
      </c>
      <c r="E170">
        <f>IF($C$14*ReDiarioFert!C159&lt;=0,"0",$C$14*ReDiarioFert!C159)</f>
        <v>6.773388753827542</v>
      </c>
      <c r="G170">
        <f>$C$14*ReDiarioFert!E159</f>
        <v>3.0979759369565216</v>
      </c>
      <c r="I170">
        <f>$C$14*ReDiarioFert!G159</f>
        <v>8.341666666666667</v>
      </c>
      <c r="K170">
        <f>$C$14*ReDiarioFert!I159</f>
        <v>5.353813984619254</v>
      </c>
      <c r="M170">
        <f>$C$14*ReDiarioFert!K159</f>
        <v>0.0002979611635</v>
      </c>
      <c r="O170">
        <f>$C$14*ReDiarioFert!M159</f>
        <v>174.06804048780486</v>
      </c>
      <c r="S170">
        <f>((E170/100)*$G$211+(G170/100)*$G$212+(I170/100)*$G$213+(K170/100)*$G$214+(M170/100)*$G$215+(O170)*$G$216+(Q170*$G$217))</f>
        <v>187.46189742326527</v>
      </c>
    </row>
    <row r="171">
      <c r="B171">
        <v>154</v>
      </c>
      <c r="C171">
        <f>$I$13+B171</f>
        <v>39759</v>
      </c>
      <c r="E171">
        <f>IF($C$14*ReDiarioFert!C160&lt;=0,"0",$C$14*ReDiarioFert!C160)</f>
        <v>6.773388753827542</v>
      </c>
      <c r="G171">
        <f>$C$14*ReDiarioFert!E160</f>
        <v>3.0979759369565216</v>
      </c>
      <c r="I171">
        <f>$C$14*ReDiarioFert!G160</f>
        <v>8.341666666666667</v>
      </c>
      <c r="K171">
        <f>$C$14*ReDiarioFert!I160</f>
        <v>5.353813984619254</v>
      </c>
      <c r="M171">
        <f>$C$14*ReDiarioFert!K160</f>
        <v>0.0002979611635</v>
      </c>
      <c r="O171">
        <f>$C$14*ReDiarioFert!M160</f>
        <v>174.06804048780486</v>
      </c>
      <c r="S171">
        <f>((E171/100)*$G$211+(G171/100)*$G$212+(I171/100)*$G$213+(K171/100)*$G$214+(M171/100)*$G$215+(O171)*$G$216+(Q171*$G$217))</f>
        <v>187.46189742326527</v>
      </c>
    </row>
    <row r="172">
      <c r="A172">
        <v>23</v>
      </c>
      <c r="B172">
        <v>155</v>
      </c>
      <c r="C172">
        <f>$I$13+B172</f>
        <v>39760</v>
      </c>
      <c r="E172">
        <f>IF($C$14*ReDiarioFert!C161&lt;=0,"0",$C$14*ReDiarioFert!C161)</f>
        <v>6.773388753827542</v>
      </c>
      <c r="G172">
        <f>$C$14*ReDiarioFert!E161</f>
        <v>3.0979759369565216</v>
      </c>
      <c r="I172">
        <f>$C$14*ReDiarioFert!G161</f>
        <v>8.341666666666667</v>
      </c>
      <c r="K172">
        <f>$C$14*ReDiarioFert!I161</f>
        <v>5.353813984619254</v>
      </c>
      <c r="M172">
        <f>$C$14*ReDiarioFert!K161</f>
        <v>0.0002979611635</v>
      </c>
      <c r="O172">
        <f>$C$14*ReDiarioFert!M161</f>
        <v>174.06804048780486</v>
      </c>
      <c r="Q172">
        <f>$C$14*Main!$D$63</f>
        <v>20.019999999999996</v>
      </c>
      <c r="S172">
        <f>((E172/100)*$G$211+(G172/100)*$G$212+(I172/100)*$G$213+(K172/100)*$G$214+(M172/100)*$G$215+(O172)*$G$216+(Q172*$G$217))</f>
        <v>243.51789742326525</v>
      </c>
    </row>
    <row r="173">
      <c r="B173">
        <v>156</v>
      </c>
      <c r="C173">
        <f>$I$13+B173</f>
        <v>39761</v>
      </c>
      <c r="E173">
        <f>IF($C$14*ReDiarioFert!C162&lt;=0,"0",$C$14*ReDiarioFert!C162)</f>
        <v>6.773388753827542</v>
      </c>
      <c r="G173">
        <f>$C$14*ReDiarioFert!E162</f>
        <v>3.0979759369565216</v>
      </c>
      <c r="I173">
        <f>$C$14*ReDiarioFert!G162</f>
        <v>8.341666666666667</v>
      </c>
      <c r="K173">
        <f>$C$14*ReDiarioFert!I162</f>
        <v>5.353813984619254</v>
      </c>
      <c r="M173">
        <f>$C$14*ReDiarioFert!K162</f>
        <v>0.0002979611635</v>
      </c>
      <c r="O173">
        <f>$C$14*ReDiarioFert!M162</f>
        <v>174.06804048780486</v>
      </c>
      <c r="S173">
        <f>((E173/100)*$G$211+(G173/100)*$G$212+(I173/100)*$G$213+(K173/100)*$G$214+(M173/100)*$G$215+(O173)*$G$216+(Q173*$G$217))</f>
        <v>187.46189742326527</v>
      </c>
    </row>
    <row r="174">
      <c r="B174">
        <v>157</v>
      </c>
      <c r="C174">
        <f>$I$13+B174</f>
        <v>39762</v>
      </c>
      <c r="E174">
        <f>IF($C$14*ReDiarioFert!C163&lt;=0,"0",$C$14*ReDiarioFert!C163)</f>
        <v>6.773388753827542</v>
      </c>
      <c r="G174">
        <f>$C$14*ReDiarioFert!E163</f>
        <v>3.0979759369565216</v>
      </c>
      <c r="I174">
        <f>$C$14*ReDiarioFert!G163</f>
        <v>8.341666666666667</v>
      </c>
      <c r="K174">
        <f>$C$14*ReDiarioFert!I163</f>
        <v>5.353813984619254</v>
      </c>
      <c r="M174">
        <f>$C$14*ReDiarioFert!K163</f>
        <v>0.0002979611635</v>
      </c>
      <c r="O174">
        <f>$C$14*ReDiarioFert!M163</f>
        <v>174.06804048780486</v>
      </c>
      <c r="S174">
        <f>((E174/100)*$G$211+(G174/100)*$G$212+(I174/100)*$G$213+(K174/100)*$G$214+(M174/100)*$G$215+(O174)*$G$216+(Q174*$G$217))</f>
        <v>187.46189742326527</v>
      </c>
    </row>
    <row r="175">
      <c r="B175">
        <v>158</v>
      </c>
      <c r="C175">
        <f>$I$13+B175</f>
        <v>39763</v>
      </c>
      <c r="E175">
        <f>IF($C$14*ReDiarioFert!C164&lt;=0,"0",$C$14*ReDiarioFert!C164)</f>
        <v>6.773388753827542</v>
      </c>
      <c r="G175">
        <f>$C$14*ReDiarioFert!E164</f>
        <v>3.0979759369565216</v>
      </c>
      <c r="I175">
        <f>$C$14*ReDiarioFert!G164</f>
        <v>8.341666666666667</v>
      </c>
      <c r="K175">
        <f>$C$14*ReDiarioFert!I164</f>
        <v>5.353813984619254</v>
      </c>
      <c r="M175">
        <f>$C$14*ReDiarioFert!K164</f>
        <v>0.0002979611635</v>
      </c>
      <c r="O175">
        <f>$C$14*ReDiarioFert!M164</f>
        <v>174.06804048780486</v>
      </c>
      <c r="S175">
        <f>((E175/100)*$G$211+(G175/100)*$G$212+(I175/100)*$G$213+(K175/100)*$G$214+(M175/100)*$G$215+(O175)*$G$216+(Q175*$G$217))</f>
        <v>187.46189742326527</v>
      </c>
    </row>
    <row r="176">
      <c r="B176">
        <v>159</v>
      </c>
      <c r="C176">
        <f>$I$13+B176</f>
        <v>39764</v>
      </c>
      <c r="E176">
        <f>IF($C$14*ReDiarioFert!C165&lt;=0,"0",$C$14*ReDiarioFert!C165)</f>
        <v>6.773388753827542</v>
      </c>
      <c r="G176">
        <f>$C$14*ReDiarioFert!E165</f>
        <v>3.0979759369565216</v>
      </c>
      <c r="I176">
        <f>$C$14*ReDiarioFert!G165</f>
        <v>8.341666666666667</v>
      </c>
      <c r="K176">
        <f>$C$14*ReDiarioFert!I165</f>
        <v>5.353813984619254</v>
      </c>
      <c r="M176">
        <f>$C$14*ReDiarioFert!K165</f>
        <v>0.0002979611635</v>
      </c>
      <c r="O176">
        <f>$C$14*ReDiarioFert!M165</f>
        <v>174.06804048780486</v>
      </c>
      <c r="S176">
        <f>((E176/100)*$G$211+(G176/100)*$G$212+(I176/100)*$G$213+(K176/100)*$G$214+(M176/100)*$G$215+(O176)*$G$216+(Q176*$G$217))</f>
        <v>187.46189742326527</v>
      </c>
    </row>
    <row r="177">
      <c r="B177">
        <v>160</v>
      </c>
      <c r="C177">
        <f>$I$13+B177</f>
        <v>39765</v>
      </c>
      <c r="E177">
        <f>IF($C$14*ReDiarioFert!C166&lt;=0,"0",$C$14*ReDiarioFert!C166)</f>
        <v>6.773388753827542</v>
      </c>
      <c r="G177">
        <f>$C$14*ReDiarioFert!E166</f>
        <v>3.0979759369565216</v>
      </c>
      <c r="I177">
        <f>$C$14*ReDiarioFert!G166</f>
        <v>8.341666666666667</v>
      </c>
      <c r="K177">
        <f>$C$14*ReDiarioFert!I166</f>
        <v>5.353813984619254</v>
      </c>
      <c r="M177">
        <f>$C$14*ReDiarioFert!K166</f>
        <v>0.0002979611635</v>
      </c>
      <c r="O177">
        <f>$C$14*ReDiarioFert!M166</f>
        <v>174.06804048780486</v>
      </c>
      <c r="S177">
        <f>((E177/100)*$G$211+(G177/100)*$G$212+(I177/100)*$G$213+(K177/100)*$G$214+(M177/100)*$G$215+(O177)*$G$216+(Q177*$G$217))</f>
        <v>187.46189742326527</v>
      </c>
    </row>
    <row r="178">
      <c r="B178">
        <v>161</v>
      </c>
      <c r="C178">
        <f>$I$13+B178</f>
        <v>39766</v>
      </c>
      <c r="E178">
        <f>IF($C$14*ReDiarioFert!C167&lt;=0,"0",$C$14*ReDiarioFert!C167)</f>
        <v>6.773388753827542</v>
      </c>
      <c r="G178">
        <f>$C$14*ReDiarioFert!E167</f>
        <v>3.0979759369565216</v>
      </c>
      <c r="I178">
        <f>$C$14*ReDiarioFert!G167</f>
        <v>8.341666666666667</v>
      </c>
      <c r="K178">
        <f>$C$14*ReDiarioFert!I167</f>
        <v>5.353813984619254</v>
      </c>
      <c r="M178">
        <f>$C$14*ReDiarioFert!K167</f>
        <v>0.0002979611635</v>
      </c>
      <c r="O178">
        <f>$C$14*ReDiarioFert!M167</f>
        <v>174.06804048780486</v>
      </c>
      <c r="S178">
        <f>((E178/100)*$G$211+(G178/100)*$G$212+(I178/100)*$G$213+(K178/100)*$G$214+(M178/100)*$G$215+(O178)*$G$216+(Q178*$G$217))</f>
        <v>187.46189742326527</v>
      </c>
    </row>
    <row r="179">
      <c r="A179">
        <v>24</v>
      </c>
      <c r="B179">
        <v>162</v>
      </c>
      <c r="C179">
        <f>$I$13+B179</f>
        <v>39767</v>
      </c>
      <c r="E179">
        <f>IF($C$14*ReDiarioFert!C168&lt;=0,"0",$C$14*ReDiarioFert!C168)</f>
        <v>6.773388753827542</v>
      </c>
      <c r="G179">
        <f>$C$14*ReDiarioFert!E168</f>
        <v>3.0979759369565216</v>
      </c>
      <c r="I179">
        <f>$C$14*ReDiarioFert!G168</f>
        <v>8.341666666666667</v>
      </c>
      <c r="K179">
        <f>$C$14*ReDiarioFert!I168</f>
        <v>5.353813984619254</v>
      </c>
      <c r="M179">
        <f>$C$14*ReDiarioFert!K168</f>
        <v>0.0002979611635</v>
      </c>
      <c r="O179">
        <f>$C$14*ReDiarioFert!M168</f>
        <v>174.06804048780486</v>
      </c>
      <c r="Q179">
        <f>$C$14*Main!$D$63</f>
        <v>20.019999999999996</v>
      </c>
      <c r="S179">
        <f>((E179/100)*$G$211+(G179/100)*$G$212+(I179/100)*$G$213+(K179/100)*$G$214+(M179/100)*$G$215+(O179)*$G$216+(Q179*$G$217))</f>
        <v>243.51789742326525</v>
      </c>
    </row>
    <row r="180">
      <c r="B180">
        <v>163</v>
      </c>
      <c r="C180">
        <f>$I$13+B180</f>
        <v>39768</v>
      </c>
      <c r="E180">
        <f>IF($C$14*ReDiarioFert!C169&lt;=0,"0",$C$14*ReDiarioFert!C169)</f>
        <v>6.773388753827542</v>
      </c>
      <c r="G180">
        <f>$C$14*ReDiarioFert!E169</f>
        <v>3.0979759369565216</v>
      </c>
      <c r="I180">
        <f>$C$14*ReDiarioFert!G169</f>
        <v>8.341666666666667</v>
      </c>
      <c r="K180">
        <f>$C$14*ReDiarioFert!I169</f>
        <v>5.353813984619254</v>
      </c>
      <c r="M180">
        <f>$C$14*ReDiarioFert!K169</f>
        <v>0.0002979611635</v>
      </c>
      <c r="O180">
        <f>$C$14*ReDiarioFert!M169</f>
        <v>174.06804048780486</v>
      </c>
      <c r="S180">
        <f>((E180/100)*$G$211+(G180/100)*$G$212+(I180/100)*$G$213+(K180/100)*$G$214+(M180/100)*$G$215+(O180)*$G$216+(Q180*$G$217))</f>
        <v>187.46189742326527</v>
      </c>
    </row>
    <row r="181">
      <c r="B181">
        <v>164</v>
      </c>
      <c r="C181">
        <f>$I$13+B181</f>
        <v>39769</v>
      </c>
      <c r="E181">
        <f>IF($C$14*ReDiarioFert!C170&lt;=0,"0",$C$14*ReDiarioFert!C170)</f>
        <v>6.773388753827542</v>
      </c>
      <c r="G181">
        <f>$C$14*ReDiarioFert!E170</f>
        <v>3.0979759369565216</v>
      </c>
      <c r="I181">
        <f>$C$14*ReDiarioFert!G170</f>
        <v>8.341666666666667</v>
      </c>
      <c r="K181">
        <f>$C$14*ReDiarioFert!I170</f>
        <v>5.353813984619254</v>
      </c>
      <c r="M181">
        <f>$C$14*ReDiarioFert!K170</f>
        <v>0.0002979611635</v>
      </c>
      <c r="O181">
        <f>$C$14*ReDiarioFert!M170</f>
        <v>174.06804048780486</v>
      </c>
      <c r="S181">
        <f>((E181/100)*$G$211+(G181/100)*$G$212+(I181/100)*$G$213+(K181/100)*$G$214+(M181/100)*$G$215+(O181)*$G$216+(Q181*$G$217))</f>
        <v>187.46189742326527</v>
      </c>
    </row>
    <row r="182">
      <c r="B182">
        <v>165</v>
      </c>
      <c r="C182">
        <f>$I$13+B182</f>
        <v>39770</v>
      </c>
      <c r="E182">
        <f>IF($C$14*ReDiarioFert!C171&lt;=0,"0",$C$14*ReDiarioFert!C171)</f>
        <v>6.773388753827542</v>
      </c>
      <c r="G182">
        <f>$C$14*ReDiarioFert!E171</f>
        <v>3.0979759369565216</v>
      </c>
      <c r="I182">
        <f>$C$14*ReDiarioFert!G171</f>
        <v>8.341666666666667</v>
      </c>
      <c r="K182">
        <f>$C$14*ReDiarioFert!I171</f>
        <v>5.353813984619254</v>
      </c>
      <c r="M182">
        <f>$C$14*ReDiarioFert!K171</f>
        <v>0.0002979611635</v>
      </c>
      <c r="O182">
        <f>$C$14*ReDiarioFert!M171</f>
        <v>174.06804048780486</v>
      </c>
      <c r="S182">
        <f>((E182/100)*$G$211+(G182/100)*$G$212+(I182/100)*$G$213+(K182/100)*$G$214+(M182/100)*$G$215+(O182)*$G$216+(Q182*$G$217))</f>
        <v>187.46189742326527</v>
      </c>
    </row>
    <row r="183">
      <c r="B183">
        <v>166</v>
      </c>
      <c r="C183">
        <f>$I$13+B183</f>
        <v>39771</v>
      </c>
      <c r="E183">
        <f>IF($C$14*ReDiarioFert!C172&lt;=0,"0",$C$14*ReDiarioFert!C172)</f>
        <v>6.773388753827542</v>
      </c>
      <c r="G183">
        <f>$C$14*ReDiarioFert!E172</f>
        <v>3.0979759369565216</v>
      </c>
      <c r="I183">
        <f>$C$14*ReDiarioFert!G172</f>
        <v>8.341666666666667</v>
      </c>
      <c r="K183">
        <f>$C$14*ReDiarioFert!I172</f>
        <v>5.353813984619254</v>
      </c>
      <c r="M183">
        <f>$C$14*ReDiarioFert!K172</f>
        <v>0.0002979611635</v>
      </c>
      <c r="O183">
        <f>$C$14*ReDiarioFert!M172</f>
        <v>174.06804048780486</v>
      </c>
      <c r="S183">
        <f>((E183/100)*$G$211+(G183/100)*$G$212+(I183/100)*$G$213+(K183/100)*$G$214+(M183/100)*$G$215+(O183)*$G$216+(Q183*$G$217))</f>
        <v>187.46189742326527</v>
      </c>
    </row>
    <row r="184">
      <c r="B184">
        <v>167</v>
      </c>
      <c r="C184">
        <f>$I$13+B184</f>
        <v>39772</v>
      </c>
      <c r="E184">
        <f>IF($C$14*ReDiarioFert!C173&lt;=0,"0",$C$14*ReDiarioFert!C173)</f>
        <v>6.773388753827542</v>
      </c>
      <c r="G184">
        <f>$C$14*ReDiarioFert!E173</f>
        <v>3.0979759369565216</v>
      </c>
      <c r="I184">
        <f>$C$14*ReDiarioFert!G173</f>
        <v>8.341666666666667</v>
      </c>
      <c r="K184">
        <f>$C$14*ReDiarioFert!I173</f>
        <v>5.353813984619254</v>
      </c>
      <c r="M184">
        <f>$C$14*ReDiarioFert!K173</f>
        <v>0.0002979611635</v>
      </c>
      <c r="O184">
        <f>$C$14*ReDiarioFert!M173</f>
        <v>174.06804048780486</v>
      </c>
      <c r="S184">
        <f>((E184/100)*$G$211+(G184/100)*$G$212+(I184/100)*$G$213+(K184/100)*$G$214+(M184/100)*$G$215+(O184)*$G$216+(Q184*$G$217))</f>
        <v>187.46189742326527</v>
      </c>
    </row>
    <row r="185">
      <c r="B185">
        <v>168</v>
      </c>
      <c r="C185">
        <f>$I$13+B185</f>
        <v>39773</v>
      </c>
      <c r="E185">
        <f>IF($C$14*ReDiarioFert!C174&lt;=0,"0",$C$14*ReDiarioFert!C174)</f>
        <v>6.773388753827542</v>
      </c>
      <c r="G185">
        <f>$C$14*ReDiarioFert!E174</f>
        <v>3.0979759369565216</v>
      </c>
      <c r="I185">
        <f>$C$14*ReDiarioFert!G174</f>
        <v>8.341666666666667</v>
      </c>
      <c r="K185">
        <f>$C$14*ReDiarioFert!I174</f>
        <v>5.353813984619254</v>
      </c>
      <c r="M185">
        <f>$C$14*ReDiarioFert!K174</f>
        <v>0.0002979611635</v>
      </c>
      <c r="O185">
        <f>$C$14*ReDiarioFert!M174</f>
        <v>174.06804048780486</v>
      </c>
      <c r="S185">
        <f>((E185/100)*$G$211+(G185/100)*$G$212+(I185/100)*$G$213+(K185/100)*$G$214+(M185/100)*$G$215+(O185)*$G$216+(Q185*$G$217))</f>
        <v>187.46189742326527</v>
      </c>
    </row>
    <row r="186">
      <c r="A186">
        <v>25</v>
      </c>
      <c r="B186">
        <v>169</v>
      </c>
      <c r="C186">
        <f>$I$13+B186</f>
        <v>39774</v>
      </c>
      <c r="E186">
        <f>IF($C$14*ReDiarioFert!C175&lt;=0,"0",$C$14*ReDiarioFert!C175)</f>
        <v>6.773388753827542</v>
      </c>
      <c r="G186">
        <f>$C$14*ReDiarioFert!E175</f>
        <v>3.0979759369565216</v>
      </c>
      <c r="I186">
        <f>$C$14*ReDiarioFert!G175</f>
        <v>8.341666666666667</v>
      </c>
      <c r="K186">
        <f>$C$14*ReDiarioFert!I175</f>
        <v>5.353813984619254</v>
      </c>
      <c r="M186">
        <f>$C$14*ReDiarioFert!K175</f>
        <v>0.0002979611635</v>
      </c>
      <c r="O186">
        <f>$C$14*ReDiarioFert!M175</f>
        <v>174.06804048780486</v>
      </c>
      <c r="Q186">
        <f>$C$14*Main!$D$63</f>
        <v>20.019999999999996</v>
      </c>
      <c r="S186">
        <f>((E186/100)*$G$211+(G186/100)*$G$212+(I186/100)*$G$213+(K186/100)*$G$214+(M186/100)*$G$215+(O186)*$G$216+(Q186*$G$217))</f>
        <v>243.51789742326525</v>
      </c>
    </row>
    <row r="187">
      <c r="B187">
        <v>170</v>
      </c>
      <c r="C187">
        <f>$I$13+B187</f>
        <v>39775</v>
      </c>
      <c r="E187">
        <f>IF($C$14*ReDiarioFert!C176&lt;=0,"0",$C$14*ReDiarioFert!C176)</f>
        <v>6.773388753827542</v>
      </c>
      <c r="G187">
        <f>$C$14*ReDiarioFert!E176</f>
        <v>3.0979759369565216</v>
      </c>
      <c r="I187">
        <f>$C$14*ReDiarioFert!G176</f>
        <v>8.341666666666667</v>
      </c>
      <c r="K187">
        <f>$C$14*ReDiarioFert!I176</f>
        <v>5.353813984619254</v>
      </c>
      <c r="M187">
        <f>$C$14*ReDiarioFert!K176</f>
        <v>0.0002979611635</v>
      </c>
      <c r="O187">
        <f>$C$14*ReDiarioFert!M176</f>
        <v>174.06804048780486</v>
      </c>
      <c r="S187">
        <f>((E187/100)*$G$211+(G187/100)*$G$212+(I187/100)*$G$213+(K187/100)*$G$214+(M187/100)*$G$215+(O187)*$G$216+(Q187*$G$217))</f>
        <v>187.46189742326527</v>
      </c>
    </row>
    <row r="188">
      <c r="B188">
        <v>171</v>
      </c>
      <c r="C188">
        <f>$I$13+B188</f>
        <v>39776</v>
      </c>
      <c r="E188">
        <f>IF($C$14*ReDiarioFert!C177&lt;=0,"0",$C$14*ReDiarioFert!C177)</f>
        <v>6.773388753827542</v>
      </c>
      <c r="G188">
        <f>$C$14*ReDiarioFert!E177</f>
        <v>3.0979759369565216</v>
      </c>
      <c r="I188">
        <f>$C$14*ReDiarioFert!G177</f>
        <v>8.341666666666667</v>
      </c>
      <c r="K188">
        <f>$C$14*ReDiarioFert!I177</f>
        <v>5.353813984619254</v>
      </c>
      <c r="M188">
        <f>$C$14*ReDiarioFert!K177</f>
        <v>0.0002979611635</v>
      </c>
      <c r="O188">
        <f>$C$14*ReDiarioFert!M177</f>
        <v>174.06804048780486</v>
      </c>
      <c r="S188">
        <f>((E188/100)*$G$211+(G188/100)*$G$212+(I188/100)*$G$213+(K188/100)*$G$214+(M188/100)*$G$215+(O188)*$G$216+(Q188*$G$217))</f>
        <v>187.46189742326527</v>
      </c>
    </row>
    <row r="189">
      <c r="B189">
        <v>172</v>
      </c>
      <c r="C189">
        <f>$I$13+B189</f>
        <v>39777</v>
      </c>
      <c r="E189">
        <f>IF($C$14*ReDiarioFert!C178&lt;=0,"0",$C$14*ReDiarioFert!C178)</f>
        <v>6.773388753827542</v>
      </c>
      <c r="G189">
        <f>$C$14*ReDiarioFert!E178</f>
        <v>3.0979759369565216</v>
      </c>
      <c r="I189">
        <f>$C$14*ReDiarioFert!G178</f>
        <v>8.341666666666667</v>
      </c>
      <c r="K189">
        <f>$C$14*ReDiarioFert!I178</f>
        <v>5.353813984619254</v>
      </c>
      <c r="M189">
        <f>$C$14*ReDiarioFert!K178</f>
        <v>0.0002979611635</v>
      </c>
      <c r="O189">
        <f>$C$14*ReDiarioFert!M178</f>
        <v>174.06804048780486</v>
      </c>
      <c r="S189">
        <f>((E189/100)*$G$211+(G189/100)*$G$212+(I189/100)*$G$213+(K189/100)*$G$214+(M189/100)*$G$215+(O189)*$G$216+(Q189*$G$217))</f>
        <v>187.46189742326527</v>
      </c>
    </row>
    <row r="190">
      <c r="B190">
        <v>173</v>
      </c>
      <c r="C190">
        <f>$I$13+B190</f>
        <v>39778</v>
      </c>
      <c r="E190">
        <f>IF($C$14*ReDiarioFert!C179&lt;=0,"0",$C$14*ReDiarioFert!C179)</f>
        <v>6.773388753827542</v>
      </c>
      <c r="G190">
        <f>$C$14*ReDiarioFert!E179</f>
        <v>3.0979759369565216</v>
      </c>
      <c r="I190">
        <f>$C$14*ReDiarioFert!G179</f>
        <v>8.341666666666667</v>
      </c>
      <c r="K190">
        <f>$C$14*ReDiarioFert!I179</f>
        <v>5.353813984619254</v>
      </c>
      <c r="M190">
        <f>$C$14*ReDiarioFert!K179</f>
        <v>0.0002979611635</v>
      </c>
      <c r="O190">
        <f>$C$14*ReDiarioFert!M179</f>
        <v>174.06804048780486</v>
      </c>
      <c r="S190">
        <f>((E190/100)*$G$211+(G190/100)*$G$212+(I190/100)*$G$213+(K190/100)*$G$214+(M190/100)*$G$215+(O190)*$G$216+(Q190*$G$217))</f>
        <v>187.46189742326527</v>
      </c>
    </row>
    <row r="191">
      <c r="B191">
        <v>174</v>
      </c>
      <c r="C191">
        <f>$I$13+B191</f>
        <v>39779</v>
      </c>
      <c r="E191">
        <f>IF($C$14*ReDiarioFert!C180&lt;=0,"0",$C$14*ReDiarioFert!C180)</f>
        <v>6.773388753827542</v>
      </c>
      <c r="G191">
        <f>$C$14*ReDiarioFert!E180</f>
        <v>3.0979759369565216</v>
      </c>
      <c r="I191">
        <f>$C$14*ReDiarioFert!G180</f>
        <v>8.341666666666667</v>
      </c>
      <c r="K191">
        <f>$C$14*ReDiarioFert!I180</f>
        <v>5.353813984619254</v>
      </c>
      <c r="M191">
        <f>$C$14*ReDiarioFert!K180</f>
        <v>0.0002979611635</v>
      </c>
      <c r="O191">
        <f>$C$14*ReDiarioFert!M180</f>
        <v>174.06804048780486</v>
      </c>
      <c r="S191">
        <f>((E191/100)*$G$211+(G191/100)*$G$212+(I191/100)*$G$213+(K191/100)*$G$214+(M191/100)*$G$215+(O191)*$G$216+(Q191*$G$217))</f>
        <v>187.46189742326527</v>
      </c>
    </row>
    <row r="192">
      <c r="B192">
        <v>175</v>
      </c>
      <c r="C192">
        <f>$I$13+B192</f>
        <v>39780</v>
      </c>
      <c r="E192">
        <f>IF($C$14*ReDiarioFert!C181&lt;=0,"0",$C$14*ReDiarioFert!C181)</f>
        <v>6.773388753827542</v>
      </c>
      <c r="G192">
        <f>$C$14*ReDiarioFert!E181</f>
        <v>3.0979759369565216</v>
      </c>
      <c r="I192">
        <f>$C$14*ReDiarioFert!G181</f>
        <v>8.341666666666667</v>
      </c>
      <c r="K192">
        <f>$C$14*ReDiarioFert!I181</f>
        <v>5.353813984619254</v>
      </c>
      <c r="M192">
        <f>$C$14*ReDiarioFert!K181</f>
        <v>0.0002979611635</v>
      </c>
      <c r="O192">
        <f>$C$14*ReDiarioFert!M181</f>
        <v>174.06804048780486</v>
      </c>
      <c r="S192">
        <f>((E192/100)*$G$211+(G192/100)*$G$212+(I192/100)*$G$213+(K192/100)*$G$214+(M192/100)*$G$215+(O192)*$G$216+(Q192*$G$217))</f>
        <v>187.46189742326527</v>
      </c>
    </row>
    <row r="193">
      <c r="A193">
        <v>26</v>
      </c>
      <c r="B193">
        <v>176</v>
      </c>
      <c r="C193">
        <f>$I$13+B193</f>
        <v>39781</v>
      </c>
      <c r="E193">
        <f>IF($C$14*ReDiarioFert!C182&lt;=0,"0",$C$14*ReDiarioFert!C182)</f>
        <v>6.773388753827542</v>
      </c>
      <c r="G193">
        <f>$C$14*ReDiarioFert!E182</f>
        <v>3.0979759369565216</v>
      </c>
      <c r="I193">
        <f>$C$14*ReDiarioFert!G182</f>
        <v>8.341666666666667</v>
      </c>
      <c r="K193">
        <f>$C$14*ReDiarioFert!I182</f>
        <v>5.353813984619254</v>
      </c>
      <c r="M193">
        <f>$C$14*ReDiarioFert!K182</f>
        <v>0.0002979611635</v>
      </c>
      <c r="O193">
        <f>$C$14*ReDiarioFert!M182</f>
        <v>174.06804048780486</v>
      </c>
      <c r="Q193">
        <f>$C$14*Main!$D$63</f>
        <v>20.019999999999996</v>
      </c>
      <c r="S193">
        <f>((E193/100)*$G$211+(G193/100)*$G$212+(I193/100)*$G$213+(K193/100)*$G$214+(M193/100)*$G$215+(O193)*$G$216+(Q193*$G$217))</f>
        <v>243.51789742326525</v>
      </c>
    </row>
    <row r="194">
      <c r="B194">
        <v>177</v>
      </c>
      <c r="C194">
        <f>$I$13+B194</f>
        <v>39782</v>
      </c>
      <c r="E194">
        <f>IF($C$14*ReDiarioFert!C183&lt;=0,"0",$C$14*ReDiarioFert!C183)</f>
        <v>6.773388753827542</v>
      </c>
      <c r="G194">
        <f>$C$14*ReDiarioFert!E183</f>
        <v>3.0979759369565216</v>
      </c>
      <c r="I194">
        <f>$C$14*ReDiarioFert!G183</f>
        <v>8.341666666666667</v>
      </c>
      <c r="K194">
        <f>$C$14*ReDiarioFert!I183</f>
        <v>5.353813984619254</v>
      </c>
      <c r="M194">
        <f>$C$14*ReDiarioFert!K183</f>
        <v>0.0002979611635</v>
      </c>
      <c r="O194">
        <f>$C$14*ReDiarioFert!M183</f>
        <v>174.06804048780486</v>
      </c>
      <c r="S194">
        <f>((E194/100)*$G$211+(G194/100)*$G$212+(I194/100)*$G$213+(K194/100)*$G$214+(M194/100)*$G$215+(O194)*$G$216+(Q194*$G$217))</f>
        <v>187.46189742326527</v>
      </c>
    </row>
    <row r="195">
      <c r="B195">
        <v>178</v>
      </c>
      <c r="C195">
        <f>$I$13+B195</f>
        <v>39783</v>
      </c>
      <c r="E195">
        <f>IF($C$14*ReDiarioFert!C184&lt;=0,"0",$C$14*ReDiarioFert!C184)</f>
        <v>6.773388753827542</v>
      </c>
      <c r="G195">
        <f>$C$14*ReDiarioFert!E184</f>
        <v>3.0979759369565216</v>
      </c>
      <c r="I195">
        <f>$C$14*ReDiarioFert!G184</f>
        <v>8.341666666666667</v>
      </c>
      <c r="K195">
        <f>$C$14*ReDiarioFert!I184</f>
        <v>5.353813984619254</v>
      </c>
      <c r="M195">
        <f>$C$14*ReDiarioFert!K184</f>
        <v>0.0002979611635</v>
      </c>
      <c r="O195">
        <f>$C$14*ReDiarioFert!M184</f>
        <v>174.06804048780486</v>
      </c>
      <c r="S195">
        <f>((E195/100)*$G$211+(G195/100)*$G$212+(I195/100)*$G$213+(K195/100)*$G$214+(M195/100)*$G$215+(O195)*$G$216+(Q195*$G$217))</f>
        <v>187.46189742326527</v>
      </c>
    </row>
    <row r="196">
      <c r="B196">
        <v>179</v>
      </c>
      <c r="C196">
        <f>$I$13+B196</f>
        <v>39784</v>
      </c>
      <c r="E196">
        <f>IF($C$14*ReDiarioFert!C185&lt;=0,"0",$C$14*ReDiarioFert!C185)</f>
        <v>6.773388753827542</v>
      </c>
      <c r="G196">
        <f>$C$14*ReDiarioFert!E185</f>
        <v>3.0979759369565216</v>
      </c>
      <c r="I196">
        <f>$C$14*ReDiarioFert!G185</f>
        <v>8.341666666666667</v>
      </c>
      <c r="K196">
        <f>$C$14*ReDiarioFert!I185</f>
        <v>5.353813984619254</v>
      </c>
      <c r="M196">
        <f>$C$14*ReDiarioFert!K185</f>
        <v>0.0002979611635</v>
      </c>
      <c r="O196">
        <f>$C$14*ReDiarioFert!M185</f>
        <v>174.06804048780486</v>
      </c>
      <c r="S196">
        <f>((E196/100)*$G$211+(G196/100)*$G$212+(I196/100)*$G$213+(K196/100)*$G$214+(M196/100)*$G$215+(O196)*$G$216+(Q196*$G$217))</f>
        <v>187.46189742326527</v>
      </c>
    </row>
    <row r="197">
      <c r="B197">
        <v>180</v>
      </c>
      <c r="C197">
        <f>$I$13+B197</f>
        <v>39785</v>
      </c>
      <c r="E197">
        <f>IF($C$14*ReDiarioFert!C186&lt;=0,"0",$C$14*ReDiarioFert!C186)</f>
        <v>6.773388753827542</v>
      </c>
      <c r="G197">
        <f>$C$14*ReDiarioFert!E186</f>
        <v>3.0979759369565216</v>
      </c>
      <c r="I197">
        <f>$C$14*ReDiarioFert!G186</f>
        <v>8.341666666666667</v>
      </c>
      <c r="K197">
        <f>$C$14*ReDiarioFert!I186</f>
        <v>5.353813984619254</v>
      </c>
      <c r="M197">
        <f>$C$14*ReDiarioFert!K186</f>
        <v>0.0002979611635</v>
      </c>
      <c r="O197">
        <f>$C$14*ReDiarioFert!M186</f>
        <v>174.06804048780486</v>
      </c>
      <c r="S197">
        <f>((E197/100)*$G$211+(G197/100)*$G$212+(I197/100)*$G$213+(K197/100)*$G$214+(M197/100)*$G$215+(O197)*$G$216+(Q197*$G$217))</f>
        <v>187.46189742326527</v>
      </c>
    </row>
    <row r="198">
      <c r="B198">
        <v>181</v>
      </c>
      <c r="C198">
        <f>$I$13+B198</f>
        <v>39786</v>
      </c>
      <c r="E198">
        <f>IF($C$14*ReDiarioFert!C187&lt;=0,"0",$C$14*ReDiarioFert!C187)</f>
        <v>6.773388753827542</v>
      </c>
      <c r="G198">
        <f>$C$14*ReDiarioFert!E187</f>
        <v>3.0979759369565216</v>
      </c>
      <c r="I198">
        <f>$C$14*ReDiarioFert!G187</f>
        <v>8.341666666666667</v>
      </c>
      <c r="K198">
        <f>$C$14*ReDiarioFert!I187</f>
        <v>5.353813984619254</v>
      </c>
      <c r="M198">
        <f>$C$14*ReDiarioFert!K187</f>
        <v>0.0002979611635</v>
      </c>
      <c r="O198">
        <f>$C$14*ReDiarioFert!M187</f>
        <v>174.06804048780486</v>
      </c>
      <c r="S198">
        <f>((E198/100)*$G$211+(G198/100)*$G$212+(I198/100)*$G$213+(K198/100)*$G$214+(M198/100)*$G$215+(O198)*$G$216+(Q198*$G$217))</f>
        <v>187.46189742326527</v>
      </c>
    </row>
    <row r="199">
      <c r="B199">
        <v>182</v>
      </c>
      <c r="C199">
        <f>$I$13+B199</f>
        <v>39787</v>
      </c>
      <c r="E199">
        <f>IF($C$14*ReDiarioFert!C188&lt;=0,"0",$C$14*ReDiarioFert!C188)</f>
        <v>6.773388753827542</v>
      </c>
      <c r="G199">
        <f>$C$14*ReDiarioFert!E188</f>
        <v>3.0979759369565216</v>
      </c>
      <c r="I199">
        <f>$C$14*ReDiarioFert!G188</f>
        <v>8.341666666666667</v>
      </c>
      <c r="K199">
        <f>$C$14*ReDiarioFert!I188</f>
        <v>5.353813984619254</v>
      </c>
      <c r="M199">
        <f>$C$14*ReDiarioFert!K188</f>
        <v>0.0002979611635</v>
      </c>
      <c r="O199">
        <f>$C$14*ReDiarioFert!M188</f>
        <v>174.06804048780486</v>
      </c>
      <c r="S199">
        <f>((E199/100)*$G$211+(G199/100)*$G$212+(I199/100)*$G$213+(K199/100)*$G$214+(M199/100)*$G$215+(O199)*$G$216+(Q199*$G$217))</f>
        <v>187.46189742326527</v>
      </c>
    </row>
    <row r="200">
      <c r="A200">
        <v>27</v>
      </c>
      <c r="B200">
        <v>183</v>
      </c>
      <c r="C200">
        <f>$I$13+B200</f>
        <v>39788</v>
      </c>
      <c r="E200">
        <f>IF($C$14*ReDiarioFert!C189&lt;=0,"0",$C$14*ReDiarioFert!C189)</f>
        <v>6.773388753827542</v>
      </c>
      <c r="G200">
        <f>$C$14*ReDiarioFert!E189</f>
        <v>3.0979759369565216</v>
      </c>
      <c r="I200">
        <f>$C$14*ReDiarioFert!G189</f>
        <v>8.341666666666667</v>
      </c>
      <c r="K200">
        <f>$C$14*ReDiarioFert!I189</f>
        <v>5.353813984619254</v>
      </c>
      <c r="M200">
        <f>$C$14*ReDiarioFert!K189</f>
        <v>0.0002979611635</v>
      </c>
      <c r="O200">
        <f>$C$14*ReDiarioFert!M189</f>
        <v>174.06804048780486</v>
      </c>
      <c r="Q200">
        <f>$C$14*Main!$D$63</f>
        <v>20.019999999999996</v>
      </c>
      <c r="S200">
        <f>((E200/100)*$G$211+(G200/100)*$G$212+(I200/100)*$G$213+(K200/100)*$G$214+(M200/100)*$G$215+(O200)*$G$216+(Q200*$G$217))</f>
        <v>243.51789742326525</v>
      </c>
    </row>
    <row r="201">
      <c r="B201">
        <v>184</v>
      </c>
      <c r="C201">
        <f>$I$13+B201</f>
        <v>39789</v>
      </c>
      <c r="E201">
        <f>IF($C$14*ReDiarioFert!C190&lt;=0,"0",$C$14*ReDiarioFert!C190)</f>
        <v>6.773388753827542</v>
      </c>
      <c r="G201">
        <f>$C$14*ReDiarioFert!E190</f>
        <v>3.0979759369565216</v>
      </c>
      <c r="I201">
        <f>$C$14*ReDiarioFert!G190</f>
        <v>8.341666666666667</v>
      </c>
      <c r="K201">
        <f>$C$14*ReDiarioFert!I190</f>
        <v>5.353813984619254</v>
      </c>
      <c r="M201">
        <f>$C$14*ReDiarioFert!K190</f>
        <v>0.0002979611635</v>
      </c>
      <c r="O201">
        <f>$C$14*ReDiarioFert!M190</f>
        <v>174.06804048780486</v>
      </c>
      <c r="S201">
        <f>((E201/100)*$G$211+(G201/100)*$G$212+(I201/100)*$G$213+(K201/100)*$G$214+(M201/100)*$G$215+(O201)*$G$216+(Q201*$G$217))</f>
        <v>187.46189742326527</v>
      </c>
    </row>
    <row r="202">
      <c r="B202">
        <v>185</v>
      </c>
      <c r="C202">
        <f>$I$13+B202</f>
        <v>39790</v>
      </c>
      <c r="E202">
        <f>IF($C$14*ReDiarioFert!C191&lt;=0,"0",$C$14*ReDiarioFert!C191)</f>
        <v>6.773388753827542</v>
      </c>
      <c r="G202">
        <f>$C$14*ReDiarioFert!E191</f>
        <v>3.0979759369565216</v>
      </c>
      <c r="I202">
        <f>$C$14*ReDiarioFert!G191</f>
        <v>8.341666666666667</v>
      </c>
      <c r="K202">
        <f>$C$14*ReDiarioFert!I191</f>
        <v>5.353813984619254</v>
      </c>
      <c r="M202">
        <f>$C$14*ReDiarioFert!K191</f>
        <v>0.0002979611635</v>
      </c>
      <c r="O202">
        <f>$C$14*ReDiarioFert!M191</f>
        <v>174.06804048780486</v>
      </c>
      <c r="S202">
        <f>((E202/100)*$G$211+(G202/100)*$G$212+(I202/100)*$G$213+(K202/100)*$G$214+(M202/100)*$G$215+(O202)*$G$216+(Q202*$G$217))</f>
        <v>187.46189742326527</v>
      </c>
    </row>
    <row r="203">
      <c r="B203">
        <v>186</v>
      </c>
      <c r="C203">
        <f>$I$13+B203</f>
        <v>39791</v>
      </c>
      <c r="E203">
        <f>IF($C$14*ReDiarioFert!C192&lt;=0,"0",$C$14*ReDiarioFert!C192)</f>
        <v>6.773388753827542</v>
      </c>
      <c r="G203">
        <f>$C$14*ReDiarioFert!E192</f>
        <v>3.0979759369565216</v>
      </c>
      <c r="I203">
        <f>$C$14*ReDiarioFert!G192</f>
        <v>8.341666666666667</v>
      </c>
      <c r="K203">
        <f>$C$14*ReDiarioFert!I192</f>
        <v>5.353813984619254</v>
      </c>
      <c r="M203">
        <f>$C$14*ReDiarioFert!K192</f>
        <v>0.0002979611635</v>
      </c>
      <c r="O203">
        <f>$C$14*ReDiarioFert!M192</f>
        <v>174.06804048780486</v>
      </c>
      <c r="S203">
        <f>((E203/100)*$G$211+(G203/100)*$G$212+(I203/100)*$G$213+(K203/100)*$G$214+(M203/100)*$G$215+(O203)*$G$216+(Q203*$G$217))</f>
        <v>187.46189742326527</v>
      </c>
    </row>
    <row r="204">
      <c r="B204">
        <v>187</v>
      </c>
      <c r="C204">
        <f>$I$13+B204</f>
        <v>39792</v>
      </c>
      <c r="E204">
        <f>IF($C$14*ReDiarioFert!C193&lt;=0,"0",$C$14*ReDiarioFert!C193)</f>
        <v>6.773388753827542</v>
      </c>
      <c r="G204">
        <f>$C$14*ReDiarioFert!E193</f>
        <v>3.0979759369565216</v>
      </c>
      <c r="I204">
        <f>$C$14*ReDiarioFert!G193</f>
        <v>8.341666666666667</v>
      </c>
      <c r="K204">
        <f>$C$14*ReDiarioFert!I193</f>
        <v>5.353813984619254</v>
      </c>
      <c r="M204">
        <f>$C$14*ReDiarioFert!K193</f>
        <v>0.0002979611635</v>
      </c>
      <c r="O204">
        <f>$C$14*ReDiarioFert!M193</f>
        <v>174.06804048780486</v>
      </c>
      <c r="S204">
        <f>((E204/100)*$G$211+(G204/100)*$G$212+(I204/100)*$G$213+(K204/100)*$G$214+(M204/100)*$G$215+(O204)*$G$216+(Q204*$G$217))</f>
        <v>187.46189742326527</v>
      </c>
    </row>
    <row r="205">
      <c r="B205">
        <v>188</v>
      </c>
      <c r="C205">
        <f>$I$13+B205</f>
        <v>39793</v>
      </c>
      <c r="E205">
        <f>IF($C$14*ReDiarioFert!C194&lt;=0,"0",$C$14*ReDiarioFert!C194)</f>
        <v>6.773388753827542</v>
      </c>
      <c r="G205">
        <f>$C$14*ReDiarioFert!E194</f>
        <v>3.0979759369565216</v>
      </c>
      <c r="I205">
        <f>$C$14*ReDiarioFert!G194</f>
        <v>8.341666666666667</v>
      </c>
      <c r="K205">
        <f>$C$14*ReDiarioFert!I194</f>
        <v>5.353813984619254</v>
      </c>
      <c r="M205">
        <f>$C$14*ReDiarioFert!K194</f>
        <v>0.0002979611635</v>
      </c>
      <c r="O205">
        <f>$C$14*ReDiarioFert!M194</f>
        <v>174.06804048780486</v>
      </c>
      <c r="S205">
        <f>((E205/100)*$G$211+(G205/100)*$G$212+(I205/100)*$G$213+(K205/100)*$G$214+(M205/100)*$G$215+(O205)*$G$216+(Q205*$G$217))</f>
        <v>187.46189742326527</v>
      </c>
    </row>
    <row r="206">
      <c r="B206">
        <v>189</v>
      </c>
      <c r="C206">
        <f>$I$13+B206</f>
        <v>39794</v>
      </c>
      <c r="E206">
        <f>IF($C$14*ReDiarioFert!C195&lt;=0,"0",$C$14*ReDiarioFert!C195)</f>
        <v>6.773388753827542</v>
      </c>
      <c r="G206">
        <f>$C$14*ReDiarioFert!E195</f>
        <v>3.0979759369565216</v>
      </c>
      <c r="I206">
        <f>$C$14*ReDiarioFert!G195</f>
        <v>8.341666666666667</v>
      </c>
      <c r="K206">
        <f>$C$14*ReDiarioFert!I195</f>
        <v>5.353813984619254</v>
      </c>
      <c r="M206">
        <f>$C$14*ReDiarioFert!K195</f>
        <v>0.0002979611635</v>
      </c>
      <c r="O206">
        <f>$C$14*ReDiarioFert!M195</f>
        <v>174.06804048780486</v>
      </c>
      <c r="S206">
        <f>((E206/100)*$G$211+(G206/100)*$G$212+(I206/100)*$G$213+(K206/100)*$G$214+(M206/100)*$G$215+(O206)*$G$216+(Q206*$G$217))</f>
        <v>187.46189742326527</v>
      </c>
    </row>
    <row r="207">
      <c r="C207" t="str">
        <v>Total</v>
      </c>
      <c r="E207">
        <f>SUM(E18:E206)</f>
        <v>1355.8054252530412</v>
      </c>
      <c r="G207">
        <f>SUM(G18:G206)</f>
        <v>520.4599574086952</v>
      </c>
      <c r="I207">
        <f>SUM(I18:I206)</f>
        <v>1537.7570998909493</v>
      </c>
      <c r="K207">
        <f>SUM(K18:K206)</f>
        <v>986.9568990621804</v>
      </c>
      <c r="M207">
        <f>SUM(M18:M206)</f>
        <v>0.05492809926040649</v>
      </c>
      <c r="O207">
        <f>SUM(O18:O206)</f>
        <v>26010.734505853565</v>
      </c>
      <c r="Q207">
        <f>SUM(Q18:Q206)</f>
        <v>540.5399999999996</v>
      </c>
      <c r="S207">
        <f>SUM(S18:S206)</f>
        <v>35917.1474227321</v>
      </c>
    </row>
    <row r="208">
      <c r="D208" t="str">
        <v>OJO cualquier cultivo que no se termine la cosecha en el ultimo día del calendario solo seguir repitiendo la ultima aplicación de fertilizante.</v>
      </c>
    </row>
    <row r="209" ht="39.75" customHeight="1">
      <c r="B209" t="str">
        <v>Producto</v>
      </c>
      <c r="F209" t="str">
        <v>Lbs/Ha</v>
      </c>
      <c r="G209" t="str">
        <v>Costo por qq</v>
      </c>
    </row>
    <row r="210" ht="24" customHeight="1">
      <c r="G210" t="str">
        <f>Main!$E$25</f>
        <v>Lempiras</v>
      </c>
    </row>
    <row r="211">
      <c r="B211" t="str">
        <f>Main!D42</f>
        <v>Urea</v>
      </c>
      <c r="F211">
        <f>E207/C14</f>
        <v>1354.4509742787627</v>
      </c>
      <c r="G211">
        <f>Main!D43</f>
        <v>650</v>
      </c>
    </row>
    <row r="212">
      <c r="B212" t="str">
        <f>Main!D32</f>
        <v>DAP 18-46-0</v>
      </c>
      <c r="F212">
        <f>G207/C14</f>
        <v>519.940017391304</v>
      </c>
      <c r="G212">
        <f>Main!D33</f>
        <v>1200</v>
      </c>
    </row>
    <row r="213">
      <c r="B213" t="str">
        <f>Main!D37</f>
        <v>Kcl</v>
      </c>
      <c r="F213">
        <f>I207/C14</f>
        <v>1536.2208790119375</v>
      </c>
      <c r="G213">
        <f>Main!D38</f>
        <v>580</v>
      </c>
    </row>
    <row r="214">
      <c r="B214" t="str">
        <f>Main!D47</f>
        <v>Sulfato de Magnesio</v>
      </c>
      <c r="F214">
        <f>K207/C14</f>
        <v>985.9709281340464</v>
      </c>
      <c r="G214">
        <f>Main!D48</f>
        <v>951</v>
      </c>
    </row>
    <row r="215">
      <c r="B215" t="str">
        <f>Main!D52</f>
        <v>Sin Calcio</v>
      </c>
      <c r="F215">
        <f>M207/C14</f>
        <v>0.05487322603437212</v>
      </c>
      <c r="G215">
        <f>Main!D53</f>
        <v>0</v>
      </c>
    </row>
    <row r="216">
      <c r="B216" t="str">
        <f>Main!D57</f>
        <v>Solubor</v>
      </c>
      <c r="F216">
        <f>O207/C14</f>
        <v>25984.74975609747</v>
      </c>
      <c r="G216">
        <f>Main!D58</f>
        <v>0.04</v>
      </c>
      <c r="I216" t="str">
        <v xml:space="preserve">Preparado y Autorizado Por </v>
      </c>
    </row>
    <row r="217" ht="18" customHeight="1">
      <c r="B217" t="str">
        <f>Main!D61</f>
        <v>Melaza</v>
      </c>
      <c r="F217">
        <f>Q207/C14</f>
        <v>539.9999999999997</v>
      </c>
      <c r="G217">
        <f>Main!D62</f>
        <v>2.8</v>
      </c>
      <c r="I217" t="str">
        <v>MSc Ricardo D. Lardizábal</v>
      </c>
    </row>
    <row r="218">
      <c r="B218" t="str">
        <v>NOTA: El Nitrato de Calcio se debe de diluir en un barril aparte para inyectarse al sistema</v>
      </c>
    </row>
    <row r="220">
      <c r="B220" t="str">
        <v>Abreviaciones usadas</v>
      </c>
    </row>
    <row r="221">
      <c r="B221" t="str">
        <v>Mz.-Manzanas, Ha-Hectáreas, Lbs-Libras, Lts-Litros y DDT-Días después de Trasplante</v>
      </c>
    </row>
  </sheetData>
  <sheetProtection sheet="1"/>
  <mergeCells count="53">
    <mergeCell ref="B221:S221"/>
    <mergeCell ref="A9:K9"/>
    <mergeCell ref="P9:S12"/>
    <mergeCell ref="P1:S3"/>
    <mergeCell ref="P5:S7"/>
    <mergeCell ref="I11:M11"/>
    <mergeCell ref="I12:M12"/>
    <mergeCell ref="F11:H11"/>
    <mergeCell ref="C11:E11"/>
    <mergeCell ref="A11:B11"/>
    <mergeCell ref="G213:H213"/>
    <mergeCell ref="G214:H214"/>
    <mergeCell ref="G209:H209"/>
    <mergeCell ref="B209:E209"/>
    <mergeCell ref="B16:B17"/>
    <mergeCell ref="B211:E211"/>
    <mergeCell ref="B212:E212"/>
    <mergeCell ref="G217:H217"/>
    <mergeCell ref="B215:E215"/>
    <mergeCell ref="B217:E217"/>
    <mergeCell ref="G215:H215"/>
    <mergeCell ref="G216:H216"/>
    <mergeCell ref="B214:E214"/>
    <mergeCell ref="B218:I219"/>
    <mergeCell ref="I217:Q217"/>
    <mergeCell ref="B220:D220"/>
    <mergeCell ref="B213:E213"/>
    <mergeCell ref="S16:S17"/>
    <mergeCell ref="Q16:R16"/>
    <mergeCell ref="K16:L16"/>
    <mergeCell ref="O16:P16"/>
    <mergeCell ref="M16:N16"/>
    <mergeCell ref="I16:J16"/>
    <mergeCell ref="I216:Q216"/>
    <mergeCell ref="A12:B12"/>
    <mergeCell ref="C12:E12"/>
    <mergeCell ref="F12:H12"/>
    <mergeCell ref="C13:E13"/>
    <mergeCell ref="C14:E14"/>
    <mergeCell ref="A16:A17"/>
    <mergeCell ref="B216:E216"/>
    <mergeCell ref="F13:H13"/>
    <mergeCell ref="F14:H14"/>
    <mergeCell ref="A13:B13"/>
    <mergeCell ref="A14:B14"/>
    <mergeCell ref="I13:M13"/>
    <mergeCell ref="I14:M14"/>
    <mergeCell ref="G212:H212"/>
    <mergeCell ref="G210:H210"/>
    <mergeCell ref="G211:H211"/>
    <mergeCell ref="C16:D16"/>
    <mergeCell ref="E16:F16"/>
    <mergeCell ref="G16:H16"/>
  </mergeCells>
  <pageMargins left="0" right="0" top="0.2" bottom="0.56" header="0" footer="0.25"/>
  <ignoredErrors>
    <ignoredError numberStoredAsText="1" sqref="A1:Z222"/>
  </ignoredErrors>
  <legacyDrawing r:id="rId1"/>
</worksheet>
</file>

<file path=xl/worksheets/sheet4.xml><?xml version="1.0" encoding="utf-8"?>
<worksheet xmlns="http://schemas.openxmlformats.org/spreadsheetml/2006/main" xmlns:r="http://schemas.openxmlformats.org/officeDocument/2006/relationships">
  <dimension ref="A1:V121"/>
  <sheetViews>
    <sheetView workbookViewId="0" rightToLeft="0"/>
  </sheetViews>
  <sheetData>
    <row r="1" ht="32.4" customHeight="1"/>
    <row r="2" ht="39.6" customHeight="1">
      <c r="P2" t="str">
        <v>Calendario de Fertilización para Goteo 3 Veces Por Semana</v>
      </c>
    </row>
    <row r="3" ht="39.6" customHeight="1"/>
    <row r="5" ht="23.399999999999995" customHeight="1">
      <c r="P5" t="str">
        <f>Main!$E$21</f>
        <v>Cunde</v>
      </c>
    </row>
    <row r="6" ht="29.25" customHeight="1"/>
    <row r="7" ht="16.95" customHeight="1"/>
    <row r="8" ht="21" customHeight="1">
      <c r="A8" t="str">
        <f>Main!$C$13</f>
        <v>"Sin Fertilización Base"</v>
      </c>
    </row>
    <row r="9" ht="20.1" customHeight="1">
      <c r="A9" t="str">
        <v>Productor</v>
      </c>
      <c r="C9" t="str">
        <f>Main!E17</f>
        <v>Pancho Pérez</v>
      </c>
      <c r="F9" t="str">
        <v>Parcela</v>
      </c>
      <c r="I9" t="str">
        <f>Main!E19</f>
        <v>La Frondosa</v>
      </c>
      <c r="P9" t="str">
        <f>Main!$G$21</f>
        <v>Shingai</v>
      </c>
    </row>
    <row r="10" ht="20.1" customHeight="1">
      <c r="A10" t="str">
        <v>Zona</v>
      </c>
      <c r="C10" t="str">
        <f>Main!E18</f>
        <v>Cantarranas</v>
      </c>
      <c r="F10" t="str">
        <v>Técnico</v>
      </c>
      <c r="I10" t="str">
        <f>Main!E20</f>
        <v>Nelson Galindo</v>
      </c>
    </row>
    <row r="11" ht="20.1" customHeight="1">
      <c r="A11" t="str">
        <v>Área Mz.</v>
      </c>
      <c r="C11">
        <f>Main!E22</f>
        <v>1.43</v>
      </c>
      <c r="F11" t="str">
        <v>Fecha:</v>
      </c>
      <c r="I11">
        <f>Main!E23</f>
        <v>39605</v>
      </c>
    </row>
    <row r="12" ht="20.1" customHeight="1">
      <c r="A12" t="str">
        <v>Área Ha.</v>
      </c>
      <c r="C12">
        <f>Main!I22</f>
        <v>1.001</v>
      </c>
      <c r="F12" t="str">
        <v>Fecha de Cosecha:</v>
      </c>
      <c r="I12">
        <f>I11+Main!E24</f>
        <v>39670</v>
      </c>
    </row>
    <row r="13" ht="19.5" customHeight="1"/>
    <row r="14" ht="27.600000000000005" customHeight="1">
      <c r="A14" t="str">
        <v>Semana</v>
      </c>
      <c r="B14" t="str">
        <v>DDT</v>
      </c>
      <c r="C14" t="str">
        <v>FECHA</v>
      </c>
      <c r="E14" t="str">
        <f>Main!$D$42</f>
        <v>Urea</v>
      </c>
      <c r="G14" t="str">
        <f>Main!$D$32</f>
        <v>DAP 18-46-0</v>
      </c>
      <c r="I14" t="str">
        <f>Main!$D$37</f>
        <v>Kcl</v>
      </c>
      <c r="K14" t="str">
        <f>Main!$D$47</f>
        <v>Sulfato de Magnesio</v>
      </c>
      <c r="M14" t="str">
        <f>Main!$D$52</f>
        <v>Sin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f>Main!E52</f>
        <v>0</v>
      </c>
      <c r="N15" t="str">
        <v>Cambios</v>
      </c>
      <c r="O15" t="str">
        <f>Main!E57</f>
        <v>Gramos</v>
      </c>
      <c r="P15" t="str">
        <v>Cambios</v>
      </c>
      <c r="Q15" t="str">
        <f>Main!$E$61</f>
        <v>Lts</v>
      </c>
      <c r="R15" t="str">
        <v>Cambios</v>
      </c>
    </row>
    <row r="16" ht="18.75" customHeight="1">
      <c r="A16">
        <v>1</v>
      </c>
      <c r="B16">
        <v>1</v>
      </c>
      <c r="C16">
        <f>$I$11+B16</f>
        <v>39606</v>
      </c>
      <c r="E16">
        <f>IF(($C$12*(ReDiarioFert!C7+ReDiarioFert!C8))&lt;=0,"0",($C$12*(ReDiarioFert!C7+ReDiarioFert!C8)))</f>
        <v>8.39366472854442</v>
      </c>
      <c r="G16">
        <f>$C$12*(ReDiarioFert!E7+ReDiarioFert!E8)</f>
        <v>4.130634582608695</v>
      </c>
      <c r="I16">
        <f>$C$12*(ReDiarioFert!G7+ReDiarioFert!G8)</f>
        <v>8.656283949646667</v>
      </c>
      <c r="K16">
        <f>$C$12*(ReDiarioFert!I7+ReDiarioFert!I8)</f>
        <v>5.555740347387035</v>
      </c>
      <c r="M16">
        <f>$C$12*(ReDiarioFert!K7+ReDiarioFert!K8)</f>
        <v>0.00030919917329347806</v>
      </c>
      <c r="O16">
        <f>$C$12*(ReDiarioFert!M7+ReDiarioFert!M8)</f>
        <v>49.733586341463415</v>
      </c>
      <c r="Q16">
        <f>$C$12*Main!$D$63</f>
        <v>20.019999999999996</v>
      </c>
      <c r="S16">
        <f>((E16/100)*$G$101+(G16/100)*$G$102+(I16/100)*$G$103+(K16/100)*$G$104+(M16/100)*$G$105+(O16)*$G$106+(Q16*$G$107))</f>
        <v>265.213316792103</v>
      </c>
    </row>
    <row r="17" ht="18.75" customHeight="1">
      <c r="B17">
        <v>3</v>
      </c>
      <c r="C17">
        <f>$I$11+B17</f>
        <v>39608</v>
      </c>
      <c r="E17">
        <f>IF(($C$12*(ReDiarioFert!C9+ReDiarioFert!C10))&lt;=0,"0",($C$12*(ReDiarioFert!C9+ReDiarioFert!C10)))</f>
        <v>8.39366472854442</v>
      </c>
      <c r="G17">
        <f>$C$12*(ReDiarioFert!E9+ReDiarioFert!E10)</f>
        <v>4.130634582608695</v>
      </c>
      <c r="I17">
        <f>$C$12*(ReDiarioFert!G9+ReDiarioFert!G10)</f>
        <v>8.656283949646667</v>
      </c>
      <c r="K17">
        <f>$C$12*(ReDiarioFert!I9+ReDiarioFert!I10)</f>
        <v>5.555740347387035</v>
      </c>
      <c r="M17">
        <f>$C$12*(ReDiarioFert!K9+ReDiarioFert!K10)</f>
        <v>0.00030919917329347806</v>
      </c>
      <c r="O17">
        <f>$C$12*(ReDiarioFert!M9+ReDiarioFert!M10)</f>
        <v>49.733586341463415</v>
      </c>
      <c r="S17">
        <f>((E17/100)*$G$101+(G17/100)*$G$102+(I17/100)*$G$103+(K17/100)*$G$104+(M17/100)*$G$105+(O17)*$G$106+(Q17*$G$107))</f>
        <v>209.157316792103</v>
      </c>
    </row>
    <row r="18" ht="18.75" customHeight="1">
      <c r="B18">
        <v>5</v>
      </c>
      <c r="C18">
        <f>$I$11+B18</f>
        <v>39610</v>
      </c>
      <c r="E18">
        <f>IF(($C$12*(ReDiarioFert!C11+ReDiarioFert!C12+ReDiarioFert!C13))&lt;=0,"0",($C$12*(ReDiarioFert!C11+ReDiarioFert!C12+ReDiarioFert!C13)))</f>
        <v>12.590497092816632</v>
      </c>
      <c r="G18">
        <f>$C$12*(ReDiarioFert!E11+ReDiarioFert!E12+ReDiarioFert!E13)</f>
        <v>6.195951873913042</v>
      </c>
      <c r="I18">
        <f>$C$12*(ReDiarioFert!G11+ReDiarioFert!G12+ReDiarioFert!G13)</f>
        <v>12.984425924469999</v>
      </c>
      <c r="K18">
        <f>$C$12*(ReDiarioFert!I11+ReDiarioFert!I12+ReDiarioFert!I13)</f>
        <v>8.333610521080551</v>
      </c>
      <c r="M18">
        <f>$C$12*(ReDiarioFert!K11+ReDiarioFert!K12+ReDiarioFert!K13)</f>
        <v>0.0004637987599402171</v>
      </c>
      <c r="O18">
        <f>$C$12*(ReDiarioFert!M11+ReDiarioFert!M12+ReDiarioFert!M13)</f>
        <v>74.60037951219512</v>
      </c>
      <c r="S18">
        <f>((E18/100)*$G$101+(G18/100)*$G$102+(I18/100)*$G$103+(K18/100)*$G$104+(M18/100)*$G$105+(O18)*$G$106+(Q18*$G$107))</f>
        <v>313.7359751881545</v>
      </c>
    </row>
    <row r="19">
      <c r="A19">
        <v>2</v>
      </c>
      <c r="B19">
        <f>B18+3</f>
        <v>8</v>
      </c>
      <c r="C19">
        <f>$I$11+B19</f>
        <v>39613</v>
      </c>
      <c r="E19">
        <f>IF(($C$12*(ReDiarioFert!C14+ReDiarioFert!C15))&lt;=0,"0",($C$12*(ReDiarioFert!C14+ReDiarioFert!C15)))</f>
        <v>13.406786300005347</v>
      </c>
      <c r="G19">
        <f>$C$12*(ReDiarioFert!E14+ReDiarioFert!E15)</f>
        <v>4.130634582608695</v>
      </c>
      <c r="I19">
        <f>$C$12*(ReDiarioFert!G14+ReDiarioFert!G15)</f>
        <v>12.987229579190531</v>
      </c>
      <c r="K19">
        <f>$C$12*(ReDiarioFert!I14+ReDiarioFert!I15)</f>
        <v>8.335409951152581</v>
      </c>
      <c r="M19">
        <f>$C$12*(ReDiarioFert!K14+ReDiarioFert!K15)</f>
        <v>0.00046389890542144574</v>
      </c>
      <c r="O19">
        <f>$C$12*(ReDiarioFert!M14+ReDiarioFert!M15)</f>
        <v>49.733586341463415</v>
      </c>
      <c r="Q19">
        <f>$C$12*Main!$D$63</f>
        <v>20.019999999999996</v>
      </c>
      <c r="S19">
        <f>((E19/100)*$G$101+(G19/100)*$G$102+(I19/100)*$G$103+(K19/100)*$G$104+(M19/100)*$G$105+(O19)*$G$106+(Q19*$G$107))</f>
        <v>349.35274958976373</v>
      </c>
    </row>
    <row r="20">
      <c r="B20">
        <f>B19+2</f>
        <v>10</v>
      </c>
      <c r="C20">
        <f>$I$11+B20</f>
        <v>39615</v>
      </c>
      <c r="E20">
        <f>IF(($C$12*(ReDiarioFert!C16+ReDiarioFert!C17))&lt;=0,"0",($C$12*(ReDiarioFert!C16+ReDiarioFert!C17)))</f>
        <v>13.406786300005347</v>
      </c>
      <c r="G20">
        <f>$C$12*(ReDiarioFert!E16+ReDiarioFert!E17)</f>
        <v>4.130634582608695</v>
      </c>
      <c r="I20">
        <f>$C$12*(ReDiarioFert!G16+ReDiarioFert!G17)</f>
        <v>12.987229579190531</v>
      </c>
      <c r="K20">
        <f>$C$12*(ReDiarioFert!I16+ReDiarioFert!I17)</f>
        <v>8.335409951152581</v>
      </c>
      <c r="M20">
        <f>$C$12*(ReDiarioFert!K16+ReDiarioFert!K17)</f>
        <v>0.00046389890542144574</v>
      </c>
      <c r="O20">
        <f>$C$12*(ReDiarioFert!M16+ReDiarioFert!M17)</f>
        <v>69.62711853658536</v>
      </c>
      <c r="S20">
        <f>((E20/100)*$G$101+(G20/100)*$G$102+(I20/100)*$G$103+(K20/100)*$G$104+(M20/100)*$G$105+(O20)*$G$106+(Q20*$G$107))</f>
        <v>294.09249087756865</v>
      </c>
    </row>
    <row r="21">
      <c r="B21">
        <f>B20+2</f>
        <v>12</v>
      </c>
      <c r="C21">
        <f>$I$11+B21</f>
        <v>39617</v>
      </c>
      <c r="E21">
        <f>IF(($C$12*(ReDiarioFert!C18+ReDiarioFert!C19+ReDiarioFert!C20))&lt;=0,"0",($C$12*(ReDiarioFert!C18+ReDiarioFert!C19+ReDiarioFert!C20)))</f>
        <v>20.110179450008022</v>
      </c>
      <c r="G21">
        <f>$C$12*(ReDiarioFert!E18+ReDiarioFert!E19+ReDiarioFert!E20)</f>
        <v>6.195951873913042</v>
      </c>
      <c r="I21">
        <f>$C$12*(ReDiarioFert!G18+ReDiarioFert!G19+ReDiarioFert!G20)</f>
        <v>19.4808443687858</v>
      </c>
      <c r="K21">
        <f>$C$12*(ReDiarioFert!I18+ReDiarioFert!I19+ReDiarioFert!I20)</f>
        <v>12.50311492672887</v>
      </c>
      <c r="M21">
        <f>$C$12*(ReDiarioFert!K18+ReDiarioFert!K19+ReDiarioFert!K20)</f>
        <v>0.0006958483581321686</v>
      </c>
      <c r="O21">
        <f>$C$12*(ReDiarioFert!M18+ReDiarioFert!M19+ReDiarioFert!M20)</f>
        <v>134.28097609756097</v>
      </c>
      <c r="S21">
        <f>((E21/100)*$G$101+(G21/100)*$G$102+(I21/100)*$G$103+(K21/100)*$G$104+(M21/100)*$G$105+(O21)*$G$106+(Q21*$G$107))</f>
        <v>442.33234824806027</v>
      </c>
    </row>
    <row r="22">
      <c r="A22">
        <v>3</v>
      </c>
      <c r="B22">
        <f>B21+3</f>
        <v>15</v>
      </c>
      <c r="C22">
        <f>$I$11+B22</f>
        <v>39620</v>
      </c>
      <c r="E22">
        <f>IF(($C$12*(ReDiarioFert!C21+ReDiarioFert!C22))&lt;=0,"0",($C$12*(ReDiarioFert!C21+ReDiarioFert!C22)))</f>
        <v>13.406786300005347</v>
      </c>
      <c r="G22">
        <f>$C$12*(ReDiarioFert!E21+ReDiarioFert!E22)</f>
        <v>4.130634582608695</v>
      </c>
      <c r="I22">
        <f>$C$12*(ReDiarioFert!G21+ReDiarioFert!G22)</f>
        <v>12.987229579190531</v>
      </c>
      <c r="K22">
        <f>$C$12*(ReDiarioFert!I21+ReDiarioFert!I22)</f>
        <v>8.335409951152581</v>
      </c>
      <c r="M22">
        <f>$C$12*(ReDiarioFert!K21+ReDiarioFert!K22)</f>
        <v>0.00046389890542144574</v>
      </c>
      <c r="O22">
        <f>$C$12*(ReDiarioFert!M21+ReDiarioFert!M22)</f>
        <v>89.5206507317073</v>
      </c>
      <c r="Q22">
        <f>$C$12*Main!$D$63</f>
        <v>20.019999999999996</v>
      </c>
      <c r="S22">
        <f>((E22/100)*$G$101+(G22/100)*$G$102+(I22/100)*$G$103+(K22/100)*$G$104+(M22/100)*$G$105+(O22)*$G$106+(Q22*$G$107))</f>
        <v>350.9442321653735</v>
      </c>
    </row>
    <row r="23">
      <c r="B23">
        <f>B22+2</f>
        <v>17</v>
      </c>
      <c r="C23">
        <f>$I$11+B23</f>
        <v>39622</v>
      </c>
      <c r="E23">
        <f>IF(($C$12*(ReDiarioFert!C23+ReDiarioFert!C24))&lt;=0,"0",($C$12*(ReDiarioFert!C23+ReDiarioFert!C24)))</f>
        <v>13.406786300005347</v>
      </c>
      <c r="G23">
        <f>$C$12*(ReDiarioFert!E23+ReDiarioFert!E24)</f>
        <v>4.130634582608695</v>
      </c>
      <c r="I23">
        <f>$C$12*(ReDiarioFert!G23+ReDiarioFert!G24)</f>
        <v>12.987229579190531</v>
      </c>
      <c r="K23">
        <f>$C$12*(ReDiarioFert!I23+ReDiarioFert!I24)</f>
        <v>8.335409951152581</v>
      </c>
      <c r="M23">
        <f>$C$12*(ReDiarioFert!K23+ReDiarioFert!K24)</f>
        <v>0.00046389890542144574</v>
      </c>
      <c r="O23">
        <f>$C$12*(ReDiarioFert!M23+ReDiarioFert!M24)</f>
        <v>104.44043365853658</v>
      </c>
      <c r="S23">
        <f>((E23/100)*$G$101+(G23/100)*$G$102+(I23/100)*$G$103+(K23/100)*$G$104+(M23/100)*$G$105+(O23)*$G$106+(Q23*$G$107))</f>
        <v>295.48502348244665</v>
      </c>
    </row>
    <row r="24">
      <c r="B24">
        <f>B23+2</f>
        <v>19</v>
      </c>
      <c r="C24">
        <f>$I$11+B24</f>
        <v>39624</v>
      </c>
      <c r="E24">
        <f>IF(($C$12*(ReDiarioFert!C25+ReDiarioFert!C26+ReDiarioFert!C27))&lt;=0,"0",($C$12*(ReDiarioFert!C25+ReDiarioFert!C26+ReDiarioFert!C27)))</f>
        <v>20.110179450008022</v>
      </c>
      <c r="G24">
        <f>$C$12*(ReDiarioFert!E25+ReDiarioFert!E26+ReDiarioFert!E27)</f>
        <v>6.195951873913042</v>
      </c>
      <c r="I24">
        <f>$C$12*(ReDiarioFert!G25+ReDiarioFert!G26+ReDiarioFert!G27)</f>
        <v>19.4808443687858</v>
      </c>
      <c r="K24">
        <f>$C$12*(ReDiarioFert!I25+ReDiarioFert!I26+ReDiarioFert!I27)</f>
        <v>12.50311492672887</v>
      </c>
      <c r="M24">
        <f>$C$12*(ReDiarioFert!K25+ReDiarioFert!K26+ReDiarioFert!K27)</f>
        <v>0.0006958483581321686</v>
      </c>
      <c r="O24">
        <f>$C$12*(ReDiarioFert!M25+ReDiarioFert!M26+ReDiarioFert!M27)</f>
        <v>179.04032487804878</v>
      </c>
      <c r="S24">
        <f>((E24/100)*$G$101+(G24/100)*$G$102+(I24/100)*$G$103+(K24/100)*$G$104+(M24/100)*$G$105+(O24)*$G$106+(Q24*$G$107))</f>
        <v>444.1227221992798</v>
      </c>
    </row>
    <row r="25">
      <c r="A25">
        <v>4</v>
      </c>
      <c r="B25">
        <f>B24+3</f>
        <v>22</v>
      </c>
      <c r="C25">
        <f>$I$11+B25</f>
        <v>39627</v>
      </c>
      <c r="E25">
        <f>IF(($C$12*(ReDiarioFert!C28+ReDiarioFert!C29))&lt;=0,"0",($C$12*(ReDiarioFert!C28+ReDiarioFert!C29)))</f>
        <v>18.516788118998956</v>
      </c>
      <c r="G25">
        <f>$C$12*(ReDiarioFert!E28+ReDiarioFert!E29)</f>
        <v>4.130634582608695</v>
      </c>
      <c r="I25">
        <f>$C$12*(ReDiarioFert!G28+ReDiarioFert!G29)</f>
        <v>17.40473804823087</v>
      </c>
      <c r="K25">
        <f>$C$12*(ReDiarioFert!I28+ReDiarioFert!I29)</f>
        <v>11.170636958391999</v>
      </c>
      <c r="M25">
        <f>$C$12*(ReDiarioFert!K28+ReDiarioFert!K29)</f>
        <v>0.0006216906292823483</v>
      </c>
      <c r="O25">
        <f>$C$12*(ReDiarioFert!M28+ReDiarioFert!M29)</f>
        <v>119.36021658536585</v>
      </c>
      <c r="Q25">
        <f>$C$12*Main!$D$63</f>
        <v>20.019999999999996</v>
      </c>
      <c r="S25">
        <f>((E25/100)*$G$101+(G25/100)*$G$102+(I25/100)*$G$103+(K25/100)*$G$104+(M25/100)*$G$105+(O25)*$G$106+(Q25*$G$107))</f>
        <v>437.93738458225914</v>
      </c>
    </row>
    <row r="26">
      <c r="B26">
        <f>B25+2</f>
        <v>24</v>
      </c>
      <c r="C26">
        <f>$I$11+B26</f>
        <v>39629</v>
      </c>
      <c r="E26">
        <f>IF(($C$12*(ReDiarioFert!C30+ReDiarioFert!C31))&lt;=0,"0",($C$12*(ReDiarioFert!C30+ReDiarioFert!C31)))</f>
        <v>18.516788118998956</v>
      </c>
      <c r="G26">
        <f>$C$12*(ReDiarioFert!E30+ReDiarioFert!E31)</f>
        <v>4.130634582608695</v>
      </c>
      <c r="I26">
        <f>$C$12*(ReDiarioFert!G30+ReDiarioFert!G31)</f>
        <v>17.40473804823087</v>
      </c>
      <c r="K26">
        <f>$C$12*(ReDiarioFert!I30+ReDiarioFert!I31)</f>
        <v>11.170636958391999</v>
      </c>
      <c r="M26">
        <f>$C$12*(ReDiarioFert!K30+ReDiarioFert!K31)</f>
        <v>0.0006216906292823483</v>
      </c>
      <c r="O26">
        <f>$C$12*(ReDiarioFert!M30+ReDiarioFert!M31)</f>
        <v>119.36021658536585</v>
      </c>
      <c r="S26">
        <f>((E26/100)*$G$101+(G26/100)*$G$102+(I26/100)*$G$103+(K26/100)*$G$104+(M26/100)*$G$105+(O26)*$G$106+(Q26*$G$107))</f>
        <v>381.88138458225916</v>
      </c>
    </row>
    <row r="27">
      <c r="B27">
        <f>B26+2</f>
        <v>26</v>
      </c>
      <c r="C27">
        <f>$I$11+B27</f>
        <v>39631</v>
      </c>
      <c r="E27">
        <f>IF(($C$12*(ReDiarioFert!C32+ReDiarioFert!C33+ReDiarioFert!C34))&lt;=0,"0",($C$12*(ReDiarioFert!C32+ReDiarioFert!C33+ReDiarioFert!C34)))</f>
        <v>27.775182178498433</v>
      </c>
      <c r="G27">
        <f>$C$12*(ReDiarioFert!E32+ReDiarioFert!E33+ReDiarioFert!E34)</f>
        <v>6.195951873913042</v>
      </c>
      <c r="I27">
        <f>$C$12*(ReDiarioFert!G32+ReDiarioFert!G33+ReDiarioFert!G34)</f>
        <v>26.1071070723463</v>
      </c>
      <c r="K27">
        <f>$C$12*(ReDiarioFert!I32+ReDiarioFert!I33+ReDiarioFert!I34)</f>
        <v>16.755955437587996</v>
      </c>
      <c r="M27">
        <f>$C$12*(ReDiarioFert!K32+ReDiarioFert!K33+ReDiarioFert!K34)</f>
        <v>0.0009325359439235224</v>
      </c>
      <c r="O27">
        <f>$C$12*(ReDiarioFert!M32+ReDiarioFert!M33+ReDiarioFert!M34)</f>
        <v>179.04032487804878</v>
      </c>
      <c r="S27">
        <f>((E27/100)*$G$101+(G27/100)*$G$102+(I27/100)*$G$103+(K27/100)*$G$104+(M27/100)*$G$105+(O27)*$G$106+(Q27*$G$107))</f>
        <v>572.8220768733886</v>
      </c>
    </row>
    <row r="28">
      <c r="A28">
        <v>5</v>
      </c>
      <c r="B28">
        <f>B27+3</f>
        <v>29</v>
      </c>
      <c r="C28">
        <f>$I$11+B28</f>
        <v>39634</v>
      </c>
      <c r="E28">
        <f>IF(($C$12*(ReDiarioFert!C35+ReDiarioFert!C36))&lt;=0,"0",($C$12*(ReDiarioFert!C35+ReDiarioFert!C36)))</f>
        <v>18.516788118998956</v>
      </c>
      <c r="G28">
        <f>$C$12*(ReDiarioFert!E35+ReDiarioFert!E36)</f>
        <v>4.130634582608695</v>
      </c>
      <c r="I28">
        <f>$C$12*(ReDiarioFert!G35+ReDiarioFert!G36)</f>
        <v>17.40473804823087</v>
      </c>
      <c r="K28">
        <f>$C$12*(ReDiarioFert!I35+ReDiarioFert!I36)</f>
        <v>11.170636958391999</v>
      </c>
      <c r="M28">
        <f>$C$12*(ReDiarioFert!K35+ReDiarioFert!K36)</f>
        <v>0.0006216906292823483</v>
      </c>
      <c r="O28">
        <f>$C$12*(ReDiarioFert!M35+ReDiarioFert!M36)</f>
        <v>119.36021658536585</v>
      </c>
      <c r="Q28">
        <f>$C$12*Main!$D$63</f>
        <v>20.019999999999996</v>
      </c>
      <c r="S28">
        <f>((E28/100)*$G$101+(G28/100)*$G$102+(I28/100)*$G$103+(K28/100)*$G$104+(M28/100)*$G$105+(O28)*$G$106+(Q28*$G$107))</f>
        <v>437.93738458225914</v>
      </c>
    </row>
    <row r="29">
      <c r="B29">
        <f>B28+2</f>
        <v>31</v>
      </c>
      <c r="C29">
        <f>$I$11+B29</f>
        <v>39636</v>
      </c>
      <c r="E29">
        <f>IF(($C$12*(ReDiarioFert!C37+ReDiarioFert!C38))&lt;=0,"0",($C$12*(ReDiarioFert!C37+ReDiarioFert!C38)))</f>
        <v>18.516788118998956</v>
      </c>
      <c r="G29">
        <f>$C$12*(ReDiarioFert!E37+ReDiarioFert!E38)</f>
        <v>4.130634582608695</v>
      </c>
      <c r="I29">
        <f>$C$12*(ReDiarioFert!G37+ReDiarioFert!G38)</f>
        <v>17.40473804823087</v>
      </c>
      <c r="K29">
        <f>$C$12*(ReDiarioFert!I37+ReDiarioFert!I38)</f>
        <v>11.170636958391999</v>
      </c>
      <c r="M29">
        <f>$C$12*(ReDiarioFert!K37+ReDiarioFert!K38)</f>
        <v>0.0006216906292823483</v>
      </c>
      <c r="O29">
        <f>$C$12*(ReDiarioFert!M37+ReDiarioFert!M38)</f>
        <v>119.36021658536585</v>
      </c>
      <c r="S29">
        <f>((E29/100)*$G$101+(G29/100)*$G$102+(I29/100)*$G$103+(K29/100)*$G$104+(M29/100)*$G$105+(O29)*$G$106+(Q29*$G$107))</f>
        <v>381.88138458225916</v>
      </c>
    </row>
    <row r="30">
      <c r="B30">
        <f>B29+2</f>
        <v>33</v>
      </c>
      <c r="C30">
        <f>$I$11+B30</f>
        <v>39638</v>
      </c>
      <c r="E30">
        <f>IF(($C$12*(ReDiarioFert!C39+ReDiarioFert!C40+ReDiarioFert!C41))&lt;=0,"0",($C$12*(ReDiarioFert!C39+ReDiarioFert!C40+ReDiarioFert!C41)))</f>
        <v>27.775182178498433</v>
      </c>
      <c r="G30">
        <f>$C$12*(ReDiarioFert!E39+ReDiarioFert!E40+ReDiarioFert!E41)</f>
        <v>6.195951873913042</v>
      </c>
      <c r="I30">
        <f>$C$12*(ReDiarioFert!G39+ReDiarioFert!G40+ReDiarioFert!G41)</f>
        <v>26.1071070723463</v>
      </c>
      <c r="K30">
        <f>$C$12*(ReDiarioFert!I39+ReDiarioFert!I40+ReDiarioFert!I41)</f>
        <v>16.755955437587996</v>
      </c>
      <c r="M30">
        <f>$C$12*(ReDiarioFert!K39+ReDiarioFert!K40+ReDiarioFert!K41)</f>
        <v>0.0009325359439235224</v>
      </c>
      <c r="O30">
        <f>$C$12*(ReDiarioFert!M39+ReDiarioFert!M40+ReDiarioFert!M41)</f>
        <v>253.6421692682927</v>
      </c>
      <c r="S30">
        <f>((E30/100)*$G$101+(G30/100)*$G$102+(I30/100)*$G$103+(K30/100)*$G$104+(M30/100)*$G$105+(O30)*$G$106+(Q30*$G$107))</f>
        <v>575.8061506489984</v>
      </c>
    </row>
    <row r="31">
      <c r="A31">
        <v>6</v>
      </c>
      <c r="B31">
        <f>B30+3</f>
        <v>36</v>
      </c>
      <c r="C31">
        <f>$I$11+B31</f>
        <v>39641</v>
      </c>
      <c r="E31">
        <f>IF(($C$12*(ReDiarioFert!C42+ReDiarioFert!C43))&lt;=0,"0",($C$12*(ReDiarioFert!C42+ReDiarioFert!C43)))</f>
        <v>18.516788118998956</v>
      </c>
      <c r="G31">
        <f>$C$12*(ReDiarioFert!E42+ReDiarioFert!E43)</f>
        <v>4.130634582608695</v>
      </c>
      <c r="I31">
        <f>$C$12*(ReDiarioFert!G42+ReDiarioFert!G43)</f>
        <v>17.40473804823087</v>
      </c>
      <c r="K31">
        <f>$C$12*(ReDiarioFert!I42+ReDiarioFert!I43)</f>
        <v>11.170636958391999</v>
      </c>
      <c r="M31">
        <f>$C$12*(ReDiarioFert!K42+ReDiarioFert!K43)</f>
        <v>0.0006216906292823483</v>
      </c>
      <c r="O31">
        <f>$C$12*(ReDiarioFert!M42+ReDiarioFert!M43)</f>
        <v>169.09477951219515</v>
      </c>
      <c r="Q31">
        <f>$C$12*Main!$D$63</f>
        <v>20.019999999999996</v>
      </c>
      <c r="S31">
        <f>((E31/100)*$G$101+(G31/100)*$G$102+(I31/100)*$G$103+(K31/100)*$G$104+(M31/100)*$G$105+(O31)*$G$106+(Q31*$G$107))</f>
        <v>439.9267670993323</v>
      </c>
    </row>
    <row r="32">
      <c r="B32">
        <f>B31+2</f>
        <v>38</v>
      </c>
      <c r="C32">
        <f>$I$11+B32</f>
        <v>39643</v>
      </c>
      <c r="E32">
        <f>IF(($C$12*(ReDiarioFert!C44+ReDiarioFert!C45))&lt;=0,"0",($C$12*(ReDiarioFert!C44+ReDiarioFert!C45)))</f>
        <v>18.516788118998956</v>
      </c>
      <c r="G32">
        <f>$C$12*(ReDiarioFert!E44+ReDiarioFert!E45)</f>
        <v>4.130634582608695</v>
      </c>
      <c r="I32">
        <f>$C$12*(ReDiarioFert!G44+ReDiarioFert!G45)</f>
        <v>17.40473804823087</v>
      </c>
      <c r="K32">
        <f>$C$12*(ReDiarioFert!I44+ReDiarioFert!I45)</f>
        <v>11.170636958391999</v>
      </c>
      <c r="M32">
        <f>$C$12*(ReDiarioFert!K44+ReDiarioFert!K45)</f>
        <v>0.0006216906292823483</v>
      </c>
      <c r="O32">
        <f>$C$12*(ReDiarioFert!M44+ReDiarioFert!M45)</f>
        <v>169.09477951219515</v>
      </c>
      <c r="S32">
        <f>((E32/100)*$G$101+(G32/100)*$G$102+(I32/100)*$G$103+(K32/100)*$G$104+(M32/100)*$G$105+(O32)*$G$106+(Q32*$G$107))</f>
        <v>383.87076709933234</v>
      </c>
    </row>
    <row r="33">
      <c r="B33">
        <f>B32+2</f>
        <v>40</v>
      </c>
      <c r="C33">
        <f>$I$11+B33</f>
        <v>39645</v>
      </c>
      <c r="E33">
        <f>IF(($C$12*(ReDiarioFert!C46+ReDiarioFert!C47+ReDiarioFert!C48))&lt;=0,"0",($C$12*(ReDiarioFert!C46+ReDiarioFert!C47+ReDiarioFert!C48)))</f>
        <v>27.775182178498433</v>
      </c>
      <c r="G33">
        <f>$C$12*(ReDiarioFert!E46+ReDiarioFert!E47+ReDiarioFert!E48)</f>
        <v>6.195951873913042</v>
      </c>
      <c r="I33">
        <f>$C$12*(ReDiarioFert!G46+ReDiarioFert!G47+ReDiarioFert!G48)</f>
        <v>26.1071070723463</v>
      </c>
      <c r="K33">
        <f>$C$12*(ReDiarioFert!I46+ReDiarioFert!I47+ReDiarioFert!I48)</f>
        <v>16.755955437587996</v>
      </c>
      <c r="M33">
        <f>$C$12*(ReDiarioFert!K46+ReDiarioFert!K47+ReDiarioFert!K48)</f>
        <v>0.0009325359439235224</v>
      </c>
      <c r="O33">
        <f>$C$12*(ReDiarioFert!M46+ReDiarioFert!M47+ReDiarioFert!M48)</f>
        <v>253.6421692682927</v>
      </c>
      <c r="S33">
        <f>((E33/100)*$G$101+(G33/100)*$G$102+(I33/100)*$G$103+(K33/100)*$G$104+(M33/100)*$G$105+(O33)*$G$106+(Q33*$G$107))</f>
        <v>575.8061506489984</v>
      </c>
    </row>
    <row r="34">
      <c r="A34">
        <v>7</v>
      </c>
      <c r="B34">
        <f>B33+3</f>
        <v>43</v>
      </c>
      <c r="C34">
        <f>$I$11+B34</f>
        <v>39648</v>
      </c>
      <c r="E34">
        <f>IF(($C$12*(ReDiarioFert!C49+ReDiarioFert!C50))&lt;=0,"0",($C$12*(ReDiarioFert!C49+ReDiarioFert!C50)))</f>
        <v>18.516788118998956</v>
      </c>
      <c r="G34">
        <f>$C$12*(ReDiarioFert!E49+ReDiarioFert!E50)</f>
        <v>4.130634582608695</v>
      </c>
      <c r="I34">
        <f>$C$12*(ReDiarioFert!G49+ReDiarioFert!G50)</f>
        <v>17.40473804823087</v>
      </c>
      <c r="K34">
        <f>$C$12*(ReDiarioFert!I49+ReDiarioFert!I50)</f>
        <v>11.170636958391999</v>
      </c>
      <c r="M34">
        <f>$C$12*(ReDiarioFert!K49+ReDiarioFert!K50)</f>
        <v>0.0006216906292823483</v>
      </c>
      <c r="O34">
        <f>$C$12*(ReDiarioFert!M49+ReDiarioFert!M50)</f>
        <v>169.09477951219515</v>
      </c>
      <c r="Q34">
        <f>$C$12*Main!$D$63</f>
        <v>20.019999999999996</v>
      </c>
      <c r="S34">
        <f>((E34/100)*$G$101+(G34/100)*$G$102+(I34/100)*$G$103+(K34/100)*$G$104+(M34/100)*$G$105+(O34)*$G$106+(Q34*$G$107))</f>
        <v>439.9267670993323</v>
      </c>
    </row>
    <row r="35">
      <c r="B35">
        <f>B34+2</f>
        <v>45</v>
      </c>
      <c r="C35">
        <f>$I$11+B35</f>
        <v>39650</v>
      </c>
      <c r="E35">
        <f>IF(($C$12*(ReDiarioFert!C51+ReDiarioFert!C52))&lt;=0,"0",($C$12*(ReDiarioFert!C51+ReDiarioFert!C52)))</f>
        <v>18.516788118998956</v>
      </c>
      <c r="G35">
        <f>$C$12*(ReDiarioFert!E51+ReDiarioFert!E52)</f>
        <v>4.130634582608695</v>
      </c>
      <c r="I35">
        <f>$C$12*(ReDiarioFert!G51+ReDiarioFert!G52)</f>
        <v>17.40473804823087</v>
      </c>
      <c r="K35">
        <f>$C$12*(ReDiarioFert!I51+ReDiarioFert!I52)</f>
        <v>11.170636958391999</v>
      </c>
      <c r="M35">
        <f>$C$12*(ReDiarioFert!K51+ReDiarioFert!K52)</f>
        <v>0.0006216906292823483</v>
      </c>
      <c r="O35">
        <f>$C$12*(ReDiarioFert!M51+ReDiarioFert!M52)</f>
        <v>169.09477951219515</v>
      </c>
      <c r="S35">
        <f>((E35/100)*$G$101+(G35/100)*$G$102+(I35/100)*$G$103+(K35/100)*$G$104+(M35/100)*$G$105+(O35)*$G$106+(Q35*$G$107))</f>
        <v>383.87076709933234</v>
      </c>
    </row>
    <row r="36">
      <c r="B36">
        <f>B35+2</f>
        <v>47</v>
      </c>
      <c r="C36">
        <f>$I$11+B36</f>
        <v>39652</v>
      </c>
      <c r="E36">
        <f>IF(($C$12*(ReDiarioFert!C53+ReDiarioFert!C54+ReDiarioFert!C55))&lt;=0,"0",($C$12*(ReDiarioFert!C53+ReDiarioFert!C54+ReDiarioFert!C55)))</f>
        <v>27.775182178498433</v>
      </c>
      <c r="G36">
        <f>$C$12*(ReDiarioFert!E53+ReDiarioFert!E54+ReDiarioFert!E55)</f>
        <v>6.195951873913042</v>
      </c>
      <c r="I36">
        <f>$C$12*(ReDiarioFert!G53+ReDiarioFert!G54+ReDiarioFert!G55)</f>
        <v>26.1071070723463</v>
      </c>
      <c r="K36">
        <f>$C$12*(ReDiarioFert!I53+ReDiarioFert!I54+ReDiarioFert!I55)</f>
        <v>16.755955437587996</v>
      </c>
      <c r="M36">
        <f>$C$12*(ReDiarioFert!K53+ReDiarioFert!K54+ReDiarioFert!K55)</f>
        <v>0.0009325359439235224</v>
      </c>
      <c r="O36">
        <f>$C$12*(ReDiarioFert!M53+ReDiarioFert!M54+ReDiarioFert!M55)</f>
        <v>313.3222775609756</v>
      </c>
      <c r="S36">
        <f>((E36/100)*$G$101+(G36/100)*$G$102+(I36/100)*$G$103+(K36/100)*$G$104+(M36/100)*$G$105+(O36)*$G$106+(Q36*$G$107))</f>
        <v>578.1933549807057</v>
      </c>
    </row>
    <row r="37">
      <c r="A37">
        <v>8</v>
      </c>
      <c r="B37">
        <f>B36+3</f>
        <v>50</v>
      </c>
      <c r="C37">
        <f>$I$11+B37</f>
        <v>39655</v>
      </c>
      <c r="E37">
        <f>IF(($C$12*(ReDiarioFert!C56+ReDiarioFert!C57))&lt;=0,"0",($C$12*(ReDiarioFert!C56+ReDiarioFert!C57)))</f>
        <v>17.12829685069175</v>
      </c>
      <c r="G37">
        <f>$C$12*(ReDiarioFert!E56+ReDiarioFert!E57)</f>
        <v>4.130634582608695</v>
      </c>
      <c r="I37">
        <f>$C$12*(ReDiarioFert!G56+ReDiarioFert!G57)</f>
        <v>17.40473804823087</v>
      </c>
      <c r="K37">
        <f>$C$12*(ReDiarioFert!I56+ReDiarioFert!I57)</f>
        <v>11.170636958391999</v>
      </c>
      <c r="M37">
        <f>$C$12*(ReDiarioFert!K56+ReDiarioFert!K57)</f>
        <v>0.0006216906292823483</v>
      </c>
      <c r="O37">
        <f>$C$12*(ReDiarioFert!M56+ReDiarioFert!M57)</f>
        <v>228.774887804878</v>
      </c>
      <c r="Q37">
        <f>$C$12*Main!$D$63</f>
        <v>20.019999999999996</v>
      </c>
      <c r="S37">
        <f>((E37/100)*$G$101+(G37/100)*$G$102+(I37/100)*$G$103+(K37/100)*$G$104+(M37/100)*$G$105+(O37)*$G$106+(Q37*$G$107))</f>
        <v>433.28877818704274</v>
      </c>
    </row>
    <row r="38">
      <c r="B38">
        <f>B37+2</f>
        <v>52</v>
      </c>
      <c r="C38">
        <f>$I$11+B38</f>
        <v>39657</v>
      </c>
      <c r="E38">
        <f>IF(($C$12*(ReDiarioFert!C58+ReDiarioFert!C59))&lt;=0,"0",($C$12*(ReDiarioFert!C58+ReDiarioFert!C59)))</f>
        <v>17.12829685069175</v>
      </c>
      <c r="G38">
        <f>$C$12*(ReDiarioFert!E58+ReDiarioFert!E59)</f>
        <v>4.130634582608695</v>
      </c>
      <c r="I38">
        <f>$C$12*(ReDiarioFert!G58+ReDiarioFert!G59)</f>
        <v>17.40473804823087</v>
      </c>
      <c r="K38">
        <f>$C$12*(ReDiarioFert!I58+ReDiarioFert!I59)</f>
        <v>11.170636958391999</v>
      </c>
      <c r="M38">
        <f>$C$12*(ReDiarioFert!K58+ReDiarioFert!K59)</f>
        <v>0.0006216906292823483</v>
      </c>
      <c r="O38">
        <f>$C$12*(ReDiarioFert!M58+ReDiarioFert!M59)</f>
        <v>228.774887804878</v>
      </c>
      <c r="S38">
        <f>((E38/100)*$G$101+(G38/100)*$G$102+(I38/100)*$G$103+(K38/100)*$G$104+(M38/100)*$G$105+(O38)*$G$106+(Q38*$G$107))</f>
        <v>377.23277818704275</v>
      </c>
    </row>
    <row r="39">
      <c r="B39">
        <f>B38+2</f>
        <v>54</v>
      </c>
      <c r="C39">
        <f>$I$11+B39</f>
        <v>39659</v>
      </c>
      <c r="E39">
        <f>IF(($C$12*(ReDiarioFert!C60+ReDiarioFert!C61+ReDiarioFert!C62))&lt;=0,"0",($C$12*(ReDiarioFert!C60+ReDiarioFert!C61+ReDiarioFert!C62)))</f>
        <v>25.692445276037624</v>
      </c>
      <c r="G39">
        <f>$C$12*(ReDiarioFert!E60+ReDiarioFert!E61+ReDiarioFert!E62)</f>
        <v>6.195951873913042</v>
      </c>
      <c r="I39">
        <f>$C$12*(ReDiarioFert!G60+ReDiarioFert!G61+ReDiarioFert!G62)</f>
        <v>26.1071070723463</v>
      </c>
      <c r="K39">
        <f>$C$12*(ReDiarioFert!I60+ReDiarioFert!I61+ReDiarioFert!I62)</f>
        <v>16.755955437587996</v>
      </c>
      <c r="M39">
        <f>$C$12*(ReDiarioFert!K60+ReDiarioFert!K61+ReDiarioFert!K62)</f>
        <v>0.0009325359439235224</v>
      </c>
      <c r="O39">
        <f>$C$12*(ReDiarioFert!M60+ReDiarioFert!M61+ReDiarioFert!M62)</f>
        <v>343.16233170731704</v>
      </c>
      <c r="S39">
        <f>((E39/100)*$G$101+(G39/100)*$G$102+(I39/100)*$G$103+(K39/100)*$G$104+(M39/100)*$G$105+(O39)*$G$106+(Q39*$G$107))</f>
        <v>565.8491672805641</v>
      </c>
    </row>
    <row r="40">
      <c r="A40">
        <v>9</v>
      </c>
      <c r="B40">
        <f>B39+3</f>
        <v>57</v>
      </c>
      <c r="C40">
        <f>$I$11+B40</f>
        <v>39662</v>
      </c>
      <c r="E40">
        <f>IF(($C$12*(ReDiarioFert!C63+ReDiarioFert!C64))&lt;=0,"0",($C$12*(ReDiarioFert!C63+ReDiarioFert!C64)))</f>
        <v>17.12829685069175</v>
      </c>
      <c r="G40">
        <f>$C$12*(ReDiarioFert!E63+ReDiarioFert!E64)</f>
        <v>4.130634582608695</v>
      </c>
      <c r="I40">
        <f>$C$12*(ReDiarioFert!G63+ReDiarioFert!G64)</f>
        <v>17.40473804823087</v>
      </c>
      <c r="K40">
        <f>$C$12*(ReDiarioFert!I63+ReDiarioFert!I64)</f>
        <v>11.170636958391999</v>
      </c>
      <c r="M40">
        <f>$C$12*(ReDiarioFert!K63+ReDiarioFert!K64)</f>
        <v>0.0006216906292823483</v>
      </c>
      <c r="O40">
        <f>$C$12*(ReDiarioFert!M63+ReDiarioFert!M64)</f>
        <v>228.774887804878</v>
      </c>
      <c r="Q40">
        <f>$C$12*Main!$D$63</f>
        <v>20.019999999999996</v>
      </c>
      <c r="S40">
        <f>((E40/100)*$G$101+(G40/100)*$G$102+(I40/100)*$G$103+(K40/100)*$G$104+(M40/100)*$G$105+(O40)*$G$106+(Q40*$G$107))</f>
        <v>433.28877818704274</v>
      </c>
    </row>
    <row r="41">
      <c r="B41">
        <f>B40+2</f>
        <v>59</v>
      </c>
      <c r="C41">
        <f>$I$11+B41</f>
        <v>39664</v>
      </c>
      <c r="E41">
        <f>IF(($C$12*(ReDiarioFert!C65+ReDiarioFert!C66))&lt;=0,"0",($C$12*(ReDiarioFert!C65+ReDiarioFert!C66)))</f>
        <v>17.12829685069175</v>
      </c>
      <c r="G41">
        <f>$C$12*(ReDiarioFert!E65+ReDiarioFert!E66)</f>
        <v>4.130634582608695</v>
      </c>
      <c r="I41">
        <f>$C$12*(ReDiarioFert!G65+ReDiarioFert!G66)</f>
        <v>17.40473804823087</v>
      </c>
      <c r="K41">
        <f>$C$12*(ReDiarioFert!I65+ReDiarioFert!I66)</f>
        <v>11.170636958391999</v>
      </c>
      <c r="M41">
        <f>$C$12*(ReDiarioFert!K65+ReDiarioFert!K66)</f>
        <v>0.0006216906292823483</v>
      </c>
      <c r="O41">
        <f>$C$12*(ReDiarioFert!M65+ReDiarioFert!M66)</f>
        <v>228.774887804878</v>
      </c>
      <c r="S41">
        <f>((E41/100)*$G$101+(G41/100)*$G$102+(I41/100)*$G$103+(K41/100)*$G$104+(M41/100)*$G$105+(O41)*$G$106+(Q41*$G$107))</f>
        <v>377.23277818704275</v>
      </c>
    </row>
    <row r="42">
      <c r="B42">
        <f>B41+2</f>
        <v>61</v>
      </c>
      <c r="C42">
        <f>$I$11+B42</f>
        <v>39666</v>
      </c>
      <c r="E42">
        <f>IF(($C$12*(ReDiarioFert!C67+ReDiarioFert!C68+ReDiarioFert!C69))&lt;=0,"0",($C$12*(ReDiarioFert!C67+ReDiarioFert!C68+ReDiarioFert!C69)))</f>
        <v>25.692445276037624</v>
      </c>
      <c r="G42">
        <f>$C$12*(ReDiarioFert!E67+ReDiarioFert!E68+ReDiarioFert!E69)</f>
        <v>6.195951873913042</v>
      </c>
      <c r="I42">
        <f>$C$12*(ReDiarioFert!G67+ReDiarioFert!G68+ReDiarioFert!G69)</f>
        <v>26.1071070723463</v>
      </c>
      <c r="K42">
        <f>$C$12*(ReDiarioFert!I67+ReDiarioFert!I68+ReDiarioFert!I69)</f>
        <v>16.755955437587996</v>
      </c>
      <c r="M42">
        <f>$C$12*(ReDiarioFert!K67+ReDiarioFert!K68+ReDiarioFert!K69)</f>
        <v>0.0009325359439235224</v>
      </c>
      <c r="O42">
        <f>$C$12*(ReDiarioFert!M67+ReDiarioFert!M68+ReDiarioFert!M69)</f>
        <v>373.0028741463414</v>
      </c>
      <c r="S42">
        <f>((E42/100)*$G$101+(G42/100)*$G$102+(I42/100)*$G$103+(K42/100)*$G$104+(M42/100)*$G$105+(O42)*$G$106+(Q42*$G$107))</f>
        <v>567.0427889781251</v>
      </c>
    </row>
    <row r="43">
      <c r="A43">
        <v>10</v>
      </c>
      <c r="B43">
        <f>B42+3</f>
        <v>64</v>
      </c>
      <c r="C43">
        <f>$I$11+B43</f>
        <v>39669</v>
      </c>
      <c r="E43">
        <f>IF(($C$12*(ReDiarioFert!C70+ReDiarioFert!C71))&lt;=0,"0",($C$12*(ReDiarioFert!C70+ReDiarioFert!C71)))</f>
        <v>13.546777507655085</v>
      </c>
      <c r="G43">
        <f>$C$12*(ReDiarioFert!E70+ReDiarioFert!E71)</f>
        <v>6.195951873913043</v>
      </c>
      <c r="I43">
        <f>$C$12*(ReDiarioFert!G70+ReDiarioFert!G71)</f>
        <v>16.683333333333334</v>
      </c>
      <c r="K43">
        <f>$C$12*(ReDiarioFert!I70+ReDiarioFert!I71)</f>
        <v>10.707627969238509</v>
      </c>
      <c r="M43">
        <f>$C$12*(ReDiarioFert!K70+ReDiarioFert!K71)</f>
        <v>0.000595922327</v>
      </c>
      <c r="O43">
        <f>$C$12*(ReDiarioFert!M70+ReDiarioFert!M71)</f>
        <v>288.4559726829268</v>
      </c>
      <c r="Q43">
        <f>$C$12*Main!$D$63</f>
        <v>20.019999999999996</v>
      </c>
      <c r="S43">
        <f>((E43/100)*$G$101+(G43/100)*$G$102+(I43/100)*$G$103+(K43/100)*$G$104+(M43/100)*$G$105+(O43)*$G$106+(Q43*$G$107))</f>
        <v>428.5925905148232</v>
      </c>
    </row>
    <row r="44">
      <c r="B44">
        <f>B43+2</f>
        <v>66</v>
      </c>
      <c r="C44">
        <f>$I$11+B44</f>
        <v>39671</v>
      </c>
      <c r="E44">
        <f>IF(($C$12*(ReDiarioFert!C72+ReDiarioFert!C73))&lt;=0,"0",($C$12*(ReDiarioFert!C72+ReDiarioFert!C73)))</f>
        <v>13.546777507655085</v>
      </c>
      <c r="G44">
        <f>$C$12*(ReDiarioFert!E72+ReDiarioFert!E73)</f>
        <v>6.195951873913043</v>
      </c>
      <c r="I44">
        <f>$C$12*(ReDiarioFert!G72+ReDiarioFert!G73)</f>
        <v>16.683333333333334</v>
      </c>
      <c r="K44">
        <f>$C$12*(ReDiarioFert!I72+ReDiarioFert!I73)</f>
        <v>10.707627969238509</v>
      </c>
      <c r="M44">
        <f>$C$12*(ReDiarioFert!K72+ReDiarioFert!K73)</f>
        <v>0.000595922327</v>
      </c>
      <c r="O44">
        <f>$C$12*(ReDiarioFert!M72+ReDiarioFert!M73)</f>
        <v>288.4559726829268</v>
      </c>
      <c r="S44">
        <f>((E44/100)*$G$101+(G44/100)*$G$102+(I44/100)*$G$103+(K44/100)*$G$104+(M44/100)*$G$105+(O44)*$G$106+(Q44*$G$107))</f>
        <v>372.5365905148232</v>
      </c>
    </row>
    <row r="45">
      <c r="B45">
        <f>B44+2</f>
        <v>68</v>
      </c>
      <c r="C45">
        <f>$I$11+B45</f>
        <v>39673</v>
      </c>
      <c r="E45">
        <f>IF(($C$12*(ReDiarioFert!C74+ReDiarioFert!C75+ReDiarioFert!C76))&lt;=0,"0",($C$12*(ReDiarioFert!C74+ReDiarioFert!C75+ReDiarioFert!C76)))</f>
        <v>20.320166261482626</v>
      </c>
      <c r="G45">
        <f>$C$12*(ReDiarioFert!E74+ReDiarioFert!E75+ReDiarioFert!E76)</f>
        <v>9.293927810869565</v>
      </c>
      <c r="I45">
        <f>$C$12*(ReDiarioFert!G74+ReDiarioFert!G75+ReDiarioFert!G76)</f>
        <v>25.025</v>
      </c>
      <c r="K45">
        <f>$C$12*(ReDiarioFert!I74+ReDiarioFert!I75+ReDiarioFert!I76)</f>
        <v>16.061441953857763</v>
      </c>
      <c r="M45">
        <f>$C$12*(ReDiarioFert!K74+ReDiarioFert!K75+ReDiarioFert!K76)</f>
        <v>0.0008938834905</v>
      </c>
      <c r="O45">
        <f>$C$12*(ReDiarioFert!M74+ReDiarioFert!M75+ReDiarioFert!M76)</f>
        <v>432.6839590243902</v>
      </c>
      <c r="S45">
        <f>((E45/100)*$G$101+(G45/100)*$G$102+(I45/100)*$G$103+(K45/100)*$G$104+(M45/100)*$G$105+(O45)*$G$106+(Q45*$G$107))</f>
        <v>558.8048857722348</v>
      </c>
    </row>
    <row r="46">
      <c r="A46">
        <v>11</v>
      </c>
      <c r="B46">
        <f>B45+3</f>
        <v>71</v>
      </c>
      <c r="C46">
        <f>$I$11+B46</f>
        <v>39676</v>
      </c>
      <c r="E46">
        <f>IF(($C$12*(ReDiarioFert!C77+ReDiarioFert!C78))&lt;=0,"0",($C$12*(ReDiarioFert!C77+ReDiarioFert!C78)))</f>
        <v>13.546777507655085</v>
      </c>
      <c r="G46">
        <f>$C$12*(ReDiarioFert!E77+ReDiarioFert!E78)</f>
        <v>6.195951873913043</v>
      </c>
      <c r="I46">
        <f>$C$12*(ReDiarioFert!G77+ReDiarioFert!G78)</f>
        <v>16.683333333333334</v>
      </c>
      <c r="K46">
        <f>$C$12*(ReDiarioFert!I77+ReDiarioFert!I78)</f>
        <v>10.707627969238509</v>
      </c>
      <c r="M46">
        <f>$C$12*(ReDiarioFert!K77+ReDiarioFert!K78)</f>
        <v>0.000595922327</v>
      </c>
      <c r="O46">
        <f>$C$12*(ReDiarioFert!M77+ReDiarioFert!M78)</f>
        <v>288.4559726829268</v>
      </c>
      <c r="Q46">
        <f>$C$12*Main!$D$63</f>
        <v>20.019999999999996</v>
      </c>
      <c r="S46">
        <f>((E46/100)*$G$101+(G46/100)*$G$102+(I46/100)*$G$103+(K46/100)*$G$104+(M46/100)*$G$105+(O46)*$G$106+(Q46*$G$107))</f>
        <v>428.5925905148232</v>
      </c>
    </row>
    <row r="47">
      <c r="B47">
        <f>B46+2</f>
        <v>73</v>
      </c>
      <c r="C47">
        <f>$I$11+B47</f>
        <v>39678</v>
      </c>
      <c r="E47">
        <f>IF(($C$12*(ReDiarioFert!C79+ReDiarioFert!C80))&lt;=0,"0",($C$12*(ReDiarioFert!C79+ReDiarioFert!C80)))</f>
        <v>13.546777507655085</v>
      </c>
      <c r="G47">
        <f>$C$12*(ReDiarioFert!E79+ReDiarioFert!E80)</f>
        <v>6.195951873913043</v>
      </c>
      <c r="I47">
        <f>$C$12*(ReDiarioFert!G79+ReDiarioFert!G80)</f>
        <v>16.683333333333334</v>
      </c>
      <c r="K47">
        <f>$C$12*(ReDiarioFert!I79+ReDiarioFert!I80)</f>
        <v>10.707627969238509</v>
      </c>
      <c r="M47">
        <f>$C$12*(ReDiarioFert!K79+ReDiarioFert!K80)</f>
        <v>0.000595922327</v>
      </c>
      <c r="O47">
        <f>$C$12*(ReDiarioFert!M79+ReDiarioFert!M80)</f>
        <v>288.4559726829268</v>
      </c>
      <c r="S47">
        <f>((E47/100)*$G$101+(G47/100)*$G$102+(I47/100)*$G$103+(K47/100)*$G$104+(M47/100)*$G$105+(O47)*$G$106+(Q47*$G$107))</f>
        <v>372.5365905148232</v>
      </c>
    </row>
    <row r="48">
      <c r="B48">
        <f>B47+2</f>
        <v>75</v>
      </c>
      <c r="C48">
        <f>$I$11+B48</f>
        <v>39680</v>
      </c>
      <c r="E48">
        <f>IF(($C$12*(ReDiarioFert!C81+ReDiarioFert!C82+ReDiarioFert!C83))&lt;=0,"0",($C$12*(ReDiarioFert!C81+ReDiarioFert!C82+ReDiarioFert!C83)))</f>
        <v>20.320166261482626</v>
      </c>
      <c r="G48">
        <f>$C$12*(ReDiarioFert!E81+ReDiarioFert!E82+ReDiarioFert!E83)</f>
        <v>9.293927810869565</v>
      </c>
      <c r="I48">
        <f>$C$12*(ReDiarioFert!G81+ReDiarioFert!G82+ReDiarioFert!G83)</f>
        <v>25.025</v>
      </c>
      <c r="K48">
        <f>$C$12*(ReDiarioFert!I81+ReDiarioFert!I82+ReDiarioFert!I83)</f>
        <v>16.061441953857763</v>
      </c>
      <c r="M48">
        <f>$C$12*(ReDiarioFert!K81+ReDiarioFert!K82+ReDiarioFert!K83)</f>
        <v>0.0008938834905</v>
      </c>
      <c r="O48">
        <f>$C$12*(ReDiarioFert!M81+ReDiarioFert!M82+ReDiarioFert!M83)</f>
        <v>432.6839590243902</v>
      </c>
      <c r="S48">
        <f>((E48/100)*$G$101+(G48/100)*$G$102+(I48/100)*$G$103+(K48/100)*$G$104+(M48/100)*$G$105+(O48)*$G$106+(Q48*$G$107))</f>
        <v>558.8048857722348</v>
      </c>
    </row>
    <row r="49">
      <c r="A49">
        <v>12</v>
      </c>
      <c r="B49">
        <f>B48+3</f>
        <v>78</v>
      </c>
      <c r="C49">
        <f>$I$11+B49</f>
        <v>39683</v>
      </c>
      <c r="E49">
        <f>IF(($C$12*(ReDiarioFert!C84+ReDiarioFert!C85))&lt;=0,"0",($C$12*(ReDiarioFert!C84+ReDiarioFert!C85)))</f>
        <v>13.546777507655085</v>
      </c>
      <c r="G49">
        <f>$C$12*(ReDiarioFert!E84+ReDiarioFert!E85)</f>
        <v>6.195951873913043</v>
      </c>
      <c r="I49">
        <f>$C$12*(ReDiarioFert!G84+ReDiarioFert!G85)</f>
        <v>16.683333333333334</v>
      </c>
      <c r="K49">
        <f>$C$12*(ReDiarioFert!I84+ReDiarioFert!I85)</f>
        <v>10.707627969238509</v>
      </c>
      <c r="M49">
        <f>$C$12*(ReDiarioFert!K84+ReDiarioFert!K85)</f>
        <v>0.000595922327</v>
      </c>
      <c r="O49">
        <f>$C$12*(ReDiarioFert!M84+ReDiarioFert!M85)</f>
        <v>288.4559726829268</v>
      </c>
      <c r="Q49">
        <f>$C$12*Main!$D$63</f>
        <v>20.019999999999996</v>
      </c>
      <c r="S49">
        <f>((E49/100)*$G$101+(G49/100)*$G$102+(I49/100)*$G$103+(K49/100)*$G$104+(M49/100)*$G$105+(O49)*$G$106+(Q49*$G$107))</f>
        <v>428.5925905148232</v>
      </c>
    </row>
    <row r="50">
      <c r="B50">
        <f>B49+2</f>
        <v>80</v>
      </c>
      <c r="C50">
        <f>$I$11+B50</f>
        <v>39685</v>
      </c>
      <c r="E50">
        <f>IF(($C$12*(ReDiarioFert!C86+ReDiarioFert!C87))&lt;=0,"0",($C$12*(ReDiarioFert!C86+ReDiarioFert!C87)))</f>
        <v>13.546777507655085</v>
      </c>
      <c r="G50">
        <f>$C$12*(ReDiarioFert!E86+ReDiarioFert!E87)</f>
        <v>6.195951873913043</v>
      </c>
      <c r="I50">
        <f>$C$12*(ReDiarioFert!G86+ReDiarioFert!G87)</f>
        <v>16.683333333333334</v>
      </c>
      <c r="K50">
        <f>$C$12*(ReDiarioFert!I86+ReDiarioFert!I87)</f>
        <v>10.707627969238509</v>
      </c>
      <c r="M50">
        <f>$C$12*(ReDiarioFert!K86+ReDiarioFert!K87)</f>
        <v>0.000595922327</v>
      </c>
      <c r="O50">
        <f>$C$12*(ReDiarioFert!M86+ReDiarioFert!M87)</f>
        <v>318.29602682926827</v>
      </c>
      <c r="S50">
        <f>((E50/100)*$G$101+(G50/100)*$G$102+(I50/100)*$G$103+(K50/100)*$G$104+(M50/100)*$G$105+(O50)*$G$106+(Q50*$G$107))</f>
        <v>373.7301926806769</v>
      </c>
    </row>
    <row r="51">
      <c r="B51">
        <f>B50+2</f>
        <v>82</v>
      </c>
      <c r="C51">
        <f>$I$11+B51</f>
        <v>39687</v>
      </c>
      <c r="E51">
        <f>IF(($C$12*(ReDiarioFert!C88+ReDiarioFert!C89+ReDiarioFert!C90))&lt;=0,"0",($C$12*(ReDiarioFert!C88+ReDiarioFert!C89+ReDiarioFert!C90)))</f>
        <v>20.320166261482626</v>
      </c>
      <c r="G51">
        <f>$C$12*(ReDiarioFert!E88+ReDiarioFert!E89+ReDiarioFert!E90)</f>
        <v>9.293927810869565</v>
      </c>
      <c r="I51">
        <f>$C$12*(ReDiarioFert!G88+ReDiarioFert!G89+ReDiarioFert!G90)</f>
        <v>25.025</v>
      </c>
      <c r="K51">
        <f>$C$12*(ReDiarioFert!I88+ReDiarioFert!I89+ReDiarioFert!I90)</f>
        <v>16.061441953857763</v>
      </c>
      <c r="M51">
        <f>$C$12*(ReDiarioFert!K88+ReDiarioFert!K89+ReDiarioFert!K90)</f>
        <v>0.0008938834905</v>
      </c>
      <c r="O51">
        <f>$C$12*(ReDiarioFert!M88+ReDiarioFert!M89+ReDiarioFert!M90)</f>
        <v>522.2041214634146</v>
      </c>
      <c r="S51">
        <f>((E51/100)*$G$101+(G51/100)*$G$102+(I51/100)*$G$103+(K51/100)*$G$104+(M51/100)*$G$105+(O51)*$G$106+(Q51*$G$107))</f>
        <v>562.3856922697958</v>
      </c>
    </row>
    <row r="52" ht="18" customHeight="1">
      <c r="A52">
        <v>13</v>
      </c>
      <c r="B52">
        <f>B51+3</f>
        <v>85</v>
      </c>
      <c r="C52">
        <f>$I$11+B52</f>
        <v>39690</v>
      </c>
      <c r="E52">
        <f>IF(($C$12*(ReDiarioFert!C91+ReDiarioFert!C92))&lt;=0,"0",($C$12*(ReDiarioFert!C91+ReDiarioFert!C92)))</f>
        <v>13.546777507655085</v>
      </c>
      <c r="G52">
        <f>$C$12*(ReDiarioFert!E91+ReDiarioFert!E92)</f>
        <v>6.195951873913043</v>
      </c>
      <c r="I52">
        <f>$C$12*(ReDiarioFert!G91+ReDiarioFert!G92)</f>
        <v>16.683333333333334</v>
      </c>
      <c r="K52">
        <f>$C$12*(ReDiarioFert!I91+ReDiarioFert!I92)</f>
        <v>10.707627969238509</v>
      </c>
      <c r="M52">
        <f>$C$12*(ReDiarioFert!K91+ReDiarioFert!K92)</f>
        <v>0.000595922327</v>
      </c>
      <c r="O52">
        <f>$C$12*(ReDiarioFert!M91+ReDiarioFert!M92)</f>
        <v>348.13608097560973</v>
      </c>
      <c r="Q52">
        <f>$C$12*Main!$D$63</f>
        <v>20.019999999999996</v>
      </c>
      <c r="S52">
        <f>((E52/100)*$G$101+(G52/100)*$G$102+(I52/100)*$G$103+(K52/100)*$G$104+(M52/100)*$G$105+(O52)*$G$106+(Q52*$G$107))</f>
        <v>430.9797948465305</v>
      </c>
    </row>
    <row r="53" ht="18" customHeight="1">
      <c r="B53">
        <f>B52+2</f>
        <v>87</v>
      </c>
      <c r="C53">
        <f>$I$11+B53</f>
        <v>39692</v>
      </c>
      <c r="E53">
        <f>IF(($C$12*(ReDiarioFert!C93+ReDiarioFert!C94))&lt;=0,"0",($C$12*(ReDiarioFert!C93+ReDiarioFert!C94)))</f>
        <v>13.546777507655085</v>
      </c>
      <c r="G53">
        <f>$C$12*(ReDiarioFert!E93+ReDiarioFert!E94)</f>
        <v>6.195951873913043</v>
      </c>
      <c r="I53">
        <f>$C$12*(ReDiarioFert!G93+ReDiarioFert!G94)</f>
        <v>16.683333333333334</v>
      </c>
      <c r="K53">
        <f>$C$12*(ReDiarioFert!I93+ReDiarioFert!I94)</f>
        <v>10.707627969238509</v>
      </c>
      <c r="M53">
        <f>$C$12*(ReDiarioFert!K93+ReDiarioFert!K94)</f>
        <v>0.000595922327</v>
      </c>
      <c r="O53">
        <f>$C$12*(ReDiarioFert!M93+ReDiarioFert!M94)</f>
        <v>348.13608097560973</v>
      </c>
      <c r="S53">
        <f>((E53/100)*$G$101+(G53/100)*$G$102+(I53/100)*$G$103+(K53/100)*$G$104+(M53/100)*$G$105+(O53)*$G$106+(Q53*$G$107))</f>
        <v>374.92379484653054</v>
      </c>
    </row>
    <row r="54" ht="18" customHeight="1">
      <c r="B54">
        <f>B53+2</f>
        <v>89</v>
      </c>
      <c r="C54">
        <f>$I$11+B54</f>
        <v>39694</v>
      </c>
      <c r="E54">
        <f>IF(($C$12*(ReDiarioFert!C95+ReDiarioFert!C96+ReDiarioFert!C97))&lt;=0,"0",($C$12*(ReDiarioFert!C95+ReDiarioFert!C96+ReDiarioFert!C97)))</f>
        <v>20.320166261482626</v>
      </c>
      <c r="G54">
        <f>$C$12*(ReDiarioFert!E95+ReDiarioFert!E96+ReDiarioFert!E97)</f>
        <v>9.293927810869565</v>
      </c>
      <c r="I54">
        <f>$C$12*(ReDiarioFert!G95+ReDiarioFert!G96+ReDiarioFert!G97)</f>
        <v>25.025</v>
      </c>
      <c r="K54">
        <f>$C$12*(ReDiarioFert!I95+ReDiarioFert!I96+ReDiarioFert!I97)</f>
        <v>16.061441953857763</v>
      </c>
      <c r="M54">
        <f>$C$12*(ReDiarioFert!K95+ReDiarioFert!K96+ReDiarioFert!K97)</f>
        <v>0.0008938834905</v>
      </c>
      <c r="O54">
        <f>$C$12*(ReDiarioFert!M95+ReDiarioFert!M96+ReDiarioFert!M97)</f>
        <v>522.2041214634146</v>
      </c>
      <c r="S54">
        <f>((E54/100)*$G$101+(G54/100)*$G$102+(I54/100)*$G$103+(K54/100)*$G$104+(M54/100)*$G$105+(O54)*$G$106+(Q54*$G$107))</f>
        <v>562.3856922697958</v>
      </c>
    </row>
    <row r="55">
      <c r="A55">
        <v>14</v>
      </c>
      <c r="B55">
        <f>B54+3</f>
        <v>92</v>
      </c>
      <c r="C55">
        <f>$I$11+B55</f>
        <v>39697</v>
      </c>
      <c r="E55">
        <f>IF(($C$12*(ReDiarioFert!C98+ReDiarioFert!C99))&lt;=0,"0",($C$12*(ReDiarioFert!C98+ReDiarioFert!C99)))</f>
        <v>13.546777507655085</v>
      </c>
      <c r="G55">
        <f>$C$12*(ReDiarioFert!E98+ReDiarioFert!E99)</f>
        <v>6.195951873913043</v>
      </c>
      <c r="I55">
        <f>$C$12*(ReDiarioFert!G98+ReDiarioFert!G99)</f>
        <v>16.683333333333334</v>
      </c>
      <c r="K55">
        <f>$C$12*(ReDiarioFert!I98+ReDiarioFert!I99)</f>
        <v>10.707627969238509</v>
      </c>
      <c r="M55">
        <f>$C$12*(ReDiarioFert!K98+ReDiarioFert!K99)</f>
        <v>0.000595922327</v>
      </c>
      <c r="O55">
        <f>$C$12*(ReDiarioFert!M98+ReDiarioFert!M99)</f>
        <v>348.13608097560973</v>
      </c>
      <c r="Q55">
        <f>$C$12*Main!$D$63</f>
        <v>20.019999999999996</v>
      </c>
      <c r="S55">
        <f>((E55/100)*$G$101+(G55/100)*$G$102+(I55/100)*$G$103+(K55/100)*$G$104+(M55/100)*$G$105+(O55)*$G$106+(Q55*$G$107))</f>
        <v>430.9797948465305</v>
      </c>
    </row>
    <row r="56">
      <c r="B56">
        <f>B55+2</f>
        <v>94</v>
      </c>
      <c r="C56">
        <f>$I$11+B56</f>
        <v>39699</v>
      </c>
      <c r="E56">
        <f>IF(($C$12*(ReDiarioFert!C100+ReDiarioFert!C101))&lt;=0,"0",($C$12*(ReDiarioFert!C100+ReDiarioFert!C101)))</f>
        <v>13.546777507655085</v>
      </c>
      <c r="G56">
        <f>$C$12*(ReDiarioFert!E100+ReDiarioFert!E101)</f>
        <v>6.195951873913043</v>
      </c>
      <c r="I56">
        <f>$C$12*(ReDiarioFert!G100+ReDiarioFert!G101)</f>
        <v>16.683333333333334</v>
      </c>
      <c r="K56">
        <f>$C$12*(ReDiarioFert!I100+ReDiarioFert!I101)</f>
        <v>10.707627969238509</v>
      </c>
      <c r="M56">
        <f>$C$12*(ReDiarioFert!K100+ReDiarioFert!K101)</f>
        <v>0.000595922327</v>
      </c>
      <c r="O56">
        <f>$C$12*(ReDiarioFert!M100+ReDiarioFert!M101)</f>
        <v>348.13608097560973</v>
      </c>
      <c r="S56">
        <f>((E56/100)*$G$101+(G56/100)*$G$102+(I56/100)*$G$103+(K56/100)*$G$104+(M56/100)*$G$105+(O56)*$G$106+(Q56*$G$107))</f>
        <v>374.92379484653054</v>
      </c>
    </row>
    <row r="57">
      <c r="B57">
        <f>B56+2</f>
        <v>96</v>
      </c>
      <c r="C57">
        <f>$I$11+B57</f>
        <v>39701</v>
      </c>
      <c r="E57">
        <f>IF(($C$12*(ReDiarioFert!C102+ReDiarioFert!C103+ReDiarioFert!C104))&lt;=0,"0",($C$12*(ReDiarioFert!C102+ReDiarioFert!C103+ReDiarioFert!C104)))</f>
        <v>20.320166261482626</v>
      </c>
      <c r="G57">
        <f>$C$12*(ReDiarioFert!E102+ReDiarioFert!E103+ReDiarioFert!E104)</f>
        <v>9.293927810869565</v>
      </c>
      <c r="I57">
        <f>$C$12*(ReDiarioFert!G102+ReDiarioFert!G103+ReDiarioFert!G104)</f>
        <v>25.025</v>
      </c>
      <c r="K57">
        <f>$C$12*(ReDiarioFert!I102+ReDiarioFert!I103+ReDiarioFert!I104)</f>
        <v>16.061441953857763</v>
      </c>
      <c r="M57">
        <f>$C$12*(ReDiarioFert!K102+ReDiarioFert!K103+ReDiarioFert!K104)</f>
        <v>0.0008938834905</v>
      </c>
      <c r="O57">
        <f>$C$12*(ReDiarioFert!M102+ReDiarioFert!M103+ReDiarioFert!M104)</f>
        <v>522.2041214634146</v>
      </c>
      <c r="S57">
        <f>((E57/100)*$G$101+(G57/100)*$G$102+(I57/100)*$G$103+(K57/100)*$G$104+(M57/100)*$G$105+(O57)*$G$106+(Q57*$G$107))</f>
        <v>562.3856922697958</v>
      </c>
    </row>
    <row r="58">
      <c r="A58">
        <v>15</v>
      </c>
      <c r="B58">
        <f>B57+3</f>
        <v>99</v>
      </c>
      <c r="C58">
        <f>$I$11+B58</f>
        <v>39704</v>
      </c>
      <c r="E58">
        <f>IF(($C$12*(ReDiarioFert!C105+ReDiarioFert!C106))&lt;=0,"0",($C$12*(ReDiarioFert!C105+ReDiarioFert!C106)))</f>
        <v>13.546777507655085</v>
      </c>
      <c r="G58">
        <f>$C$12*(ReDiarioFert!E105+ReDiarioFert!E106)</f>
        <v>6.195951873913043</v>
      </c>
      <c r="I58">
        <f>$C$12*(ReDiarioFert!G105+ReDiarioFert!G106)</f>
        <v>16.683333333333334</v>
      </c>
      <c r="K58">
        <f>$C$12*(ReDiarioFert!I105+ReDiarioFert!I106)</f>
        <v>10.707627969238509</v>
      </c>
      <c r="M58">
        <f>$C$12*(ReDiarioFert!K105+ReDiarioFert!K106)</f>
        <v>0.000595922327</v>
      </c>
      <c r="O58">
        <f>$C$12*(ReDiarioFert!M105+ReDiarioFert!M106)</f>
        <v>348.13608097560973</v>
      </c>
      <c r="Q58">
        <f>$C$12*Main!$D$63</f>
        <v>20.019999999999996</v>
      </c>
      <c r="S58">
        <f>((E58/100)*$G$101+(G58/100)*$G$102+(I58/100)*$G$103+(K58/100)*$G$104+(M58/100)*$G$105+(O58)*$G$106+(Q58*$G$107))</f>
        <v>430.9797948465305</v>
      </c>
    </row>
    <row r="59">
      <c r="B59">
        <f>B58+2</f>
        <v>101</v>
      </c>
      <c r="C59">
        <f>$I$11+B59</f>
        <v>39706</v>
      </c>
      <c r="E59">
        <f>IF(($C$12*(ReDiarioFert!C107+ReDiarioFert!C108))&lt;=0,"0",($C$12*(ReDiarioFert!C107+ReDiarioFert!C108)))</f>
        <v>13.546777507655085</v>
      </c>
      <c r="G59">
        <f>$C$12*(ReDiarioFert!E107+ReDiarioFert!E108)</f>
        <v>6.195951873913043</v>
      </c>
      <c r="I59">
        <f>$C$12*(ReDiarioFert!G107+ReDiarioFert!G108)</f>
        <v>16.683333333333334</v>
      </c>
      <c r="K59">
        <f>$C$12*(ReDiarioFert!I107+ReDiarioFert!I108)</f>
        <v>10.707627969238509</v>
      </c>
      <c r="M59">
        <f>$C$12*(ReDiarioFert!K107+ReDiarioFert!K108)</f>
        <v>0.000595922327</v>
      </c>
      <c r="O59">
        <f>$C$12*(ReDiarioFert!M107+ReDiarioFert!M108)</f>
        <v>348.13608097560973</v>
      </c>
      <c r="S59">
        <f>((E59/100)*$G$101+(G59/100)*$G$102+(I59/100)*$G$103+(K59/100)*$G$104+(M59/100)*$G$105+(O59)*$G$106+(Q59*$G$107))</f>
        <v>374.92379484653054</v>
      </c>
    </row>
    <row r="60">
      <c r="B60">
        <f>B59+2</f>
        <v>103</v>
      </c>
      <c r="C60">
        <f>$I$11+B60</f>
        <v>39708</v>
      </c>
      <c r="E60">
        <f>IF(($C$12*(ReDiarioFert!C109+ReDiarioFert!C110+ReDiarioFert!C111))&lt;=0,"0",($C$12*(ReDiarioFert!C109+ReDiarioFert!C110+ReDiarioFert!C111)))</f>
        <v>20.320166261482626</v>
      </c>
      <c r="G60">
        <f>$C$12*(ReDiarioFert!E109+ReDiarioFert!E110+ReDiarioFert!E111)</f>
        <v>9.293927810869565</v>
      </c>
      <c r="I60">
        <f>$C$12*(ReDiarioFert!G109+ReDiarioFert!G110+ReDiarioFert!G111)</f>
        <v>25.025</v>
      </c>
      <c r="K60">
        <f>$C$12*(ReDiarioFert!I109+ReDiarioFert!I110+ReDiarioFert!I111)</f>
        <v>16.061441953857763</v>
      </c>
      <c r="M60">
        <f>$C$12*(ReDiarioFert!K109+ReDiarioFert!K110+ReDiarioFert!K111)</f>
        <v>0.0008938834905</v>
      </c>
      <c r="O60">
        <f>$C$12*(ReDiarioFert!M109+ReDiarioFert!M110+ReDiarioFert!M111)</f>
        <v>522.2041214634146</v>
      </c>
      <c r="S60">
        <f>((E60/100)*$G$101+(G60/100)*$G$102+(I60/100)*$G$103+(K60/100)*$G$104+(M60/100)*$G$105+(O60)*$G$106+(Q60*$G$107))</f>
        <v>562.3856922697958</v>
      </c>
    </row>
    <row r="61">
      <c r="A61">
        <v>16</v>
      </c>
      <c r="B61">
        <f>B60+3</f>
        <v>106</v>
      </c>
      <c r="C61">
        <f>$I$11+B61</f>
        <v>39711</v>
      </c>
      <c r="E61">
        <f>IF(($C$12*(ReDiarioFert!C112+ReDiarioFert!C113))&lt;=0,"0",($C$12*(ReDiarioFert!C112+ReDiarioFert!C113)))</f>
        <v>13.546777507655085</v>
      </c>
      <c r="G61">
        <f>$C$12*(ReDiarioFert!E112+ReDiarioFert!E113)</f>
        <v>6.195951873913043</v>
      </c>
      <c r="I61">
        <f>$C$12*(ReDiarioFert!G112+ReDiarioFert!G113)</f>
        <v>16.683333333333334</v>
      </c>
      <c r="K61">
        <f>$C$12*(ReDiarioFert!I112+ReDiarioFert!I113)</f>
        <v>10.707627969238509</v>
      </c>
      <c r="M61">
        <f>$C$12*(ReDiarioFert!K112+ReDiarioFert!K113)</f>
        <v>0.000595922327</v>
      </c>
      <c r="O61">
        <f>$C$12*(ReDiarioFert!M112+ReDiarioFert!M113)</f>
        <v>348.13608097560973</v>
      </c>
      <c r="Q61">
        <f>$C$12*Main!$D$63</f>
        <v>20.019999999999996</v>
      </c>
      <c r="S61">
        <f>((E61/100)*$G$101+(G61/100)*$G$102+(I61/100)*$G$103+(K61/100)*$G$104+(M61/100)*$G$105+(O61)*$G$106+(Q61*$G$107))</f>
        <v>430.9797948465305</v>
      </c>
    </row>
    <row r="62">
      <c r="B62">
        <f>B61+2</f>
        <v>108</v>
      </c>
      <c r="C62">
        <f>$I$11+B62</f>
        <v>39713</v>
      </c>
      <c r="E62">
        <f>IF(($C$12*(ReDiarioFert!C114+ReDiarioFert!C115))&lt;=0,"0",($C$12*(ReDiarioFert!C114+ReDiarioFert!C115)))</f>
        <v>13.546777507655085</v>
      </c>
      <c r="G62">
        <f>$C$12*(ReDiarioFert!E114+ReDiarioFert!E115)</f>
        <v>6.195951873913043</v>
      </c>
      <c r="I62">
        <f>$C$12*(ReDiarioFert!G114+ReDiarioFert!G115)</f>
        <v>16.683333333333334</v>
      </c>
      <c r="K62">
        <f>$C$12*(ReDiarioFert!I114+ReDiarioFert!I115)</f>
        <v>10.707627969238509</v>
      </c>
      <c r="M62">
        <f>$C$12*(ReDiarioFert!K114+ReDiarioFert!K115)</f>
        <v>0.000595922327</v>
      </c>
      <c r="O62">
        <f>$C$12*(ReDiarioFert!M114+ReDiarioFert!M115)</f>
        <v>348.13608097560973</v>
      </c>
      <c r="S62">
        <f>((E62/100)*$G$101+(G62/100)*$G$102+(I62/100)*$G$103+(K62/100)*$G$104+(M62/100)*$G$105+(O62)*$G$106+(Q62*$G$107))</f>
        <v>374.92379484653054</v>
      </c>
    </row>
    <row r="63">
      <c r="B63">
        <f>B62+2</f>
        <v>110</v>
      </c>
      <c r="C63">
        <f>$I$11+B63</f>
        <v>39715</v>
      </c>
      <c r="E63">
        <f>IF(($C$12*(ReDiarioFert!C116+ReDiarioFert!C117+ReDiarioFert!C118))&lt;=0,"0",($C$12*(ReDiarioFert!C116+ReDiarioFert!C117+ReDiarioFert!C118)))</f>
        <v>20.320166261482626</v>
      </c>
      <c r="G63">
        <f>$C$12*(ReDiarioFert!E116+ReDiarioFert!E117+ReDiarioFert!E118)</f>
        <v>9.293927810869565</v>
      </c>
      <c r="I63">
        <f>$C$12*(ReDiarioFert!G116+ReDiarioFert!G117+ReDiarioFert!G118)</f>
        <v>25.025</v>
      </c>
      <c r="K63">
        <f>$C$12*(ReDiarioFert!I116+ReDiarioFert!I117+ReDiarioFert!I118)</f>
        <v>16.061441953857763</v>
      </c>
      <c r="M63">
        <f>$C$12*(ReDiarioFert!K116+ReDiarioFert!K117+ReDiarioFert!K118)</f>
        <v>0.0008938834905</v>
      </c>
      <c r="O63">
        <f>$C$12*(ReDiarioFert!M116+ReDiarioFert!M117+ReDiarioFert!M118)</f>
        <v>522.2041214634146</v>
      </c>
      <c r="S63">
        <f>((E63/100)*$G$101+(G63/100)*$G$102+(I63/100)*$G$103+(K63/100)*$G$104+(M63/100)*$G$105+(O63)*$G$106+(Q63*$G$107))</f>
        <v>562.3856922697958</v>
      </c>
    </row>
    <row r="64">
      <c r="A64">
        <v>17</v>
      </c>
      <c r="B64">
        <f>B63+3</f>
        <v>113</v>
      </c>
      <c r="C64">
        <f>$I$11+B64</f>
        <v>39718</v>
      </c>
      <c r="E64">
        <f>IF(($C$12*(ReDiarioFert!C119+ReDiarioFert!C120))&lt;=0,"0",($C$12*(ReDiarioFert!C119+ReDiarioFert!C120)))</f>
        <v>13.546777507655085</v>
      </c>
      <c r="G64">
        <f>$C$12*(ReDiarioFert!E119+ReDiarioFert!E120)</f>
        <v>6.195951873913043</v>
      </c>
      <c r="I64">
        <f>$C$12*(ReDiarioFert!G119+ReDiarioFert!G120)</f>
        <v>16.683333333333334</v>
      </c>
      <c r="K64">
        <f>$C$12*(ReDiarioFert!I119+ReDiarioFert!I120)</f>
        <v>10.707627969238509</v>
      </c>
      <c r="M64">
        <f>$C$12*(ReDiarioFert!K119+ReDiarioFert!K120)</f>
        <v>0.000595922327</v>
      </c>
      <c r="O64">
        <f>$C$12*(ReDiarioFert!M119+ReDiarioFert!M120)</f>
        <v>348.13608097560973</v>
      </c>
      <c r="Q64">
        <f>$C$12*Main!$D$63</f>
        <v>20.019999999999996</v>
      </c>
      <c r="S64">
        <f>((E64/100)*$G$101+(G64/100)*$G$102+(I64/100)*$G$103+(K64/100)*$G$104+(M64/100)*$G$105+(O64)*$G$106+(Q64*$G$107))</f>
        <v>430.9797948465305</v>
      </c>
    </row>
    <row r="65">
      <c r="B65">
        <f>B64+2</f>
        <v>115</v>
      </c>
      <c r="C65">
        <f>$I$11+B65</f>
        <v>39720</v>
      </c>
      <c r="E65">
        <f>IF(($C$12*(ReDiarioFert!C121+ReDiarioFert!C122))&lt;=0,"0",($C$12*(ReDiarioFert!C121+ReDiarioFert!C122)))</f>
        <v>13.546777507655085</v>
      </c>
      <c r="G65">
        <f>$C$12*(ReDiarioFert!E121+ReDiarioFert!E122)</f>
        <v>6.195951873913043</v>
      </c>
      <c r="I65">
        <f>$C$12*(ReDiarioFert!G121+ReDiarioFert!G122)</f>
        <v>16.683333333333334</v>
      </c>
      <c r="K65">
        <f>$C$12*(ReDiarioFert!I121+ReDiarioFert!I122)</f>
        <v>10.707627969238509</v>
      </c>
      <c r="M65">
        <f>$C$12*(ReDiarioFert!K121+ReDiarioFert!K122)</f>
        <v>0.000595922327</v>
      </c>
      <c r="O65">
        <f>$C$12*(ReDiarioFert!M121+ReDiarioFert!M122)</f>
        <v>348.13608097560973</v>
      </c>
      <c r="S65">
        <f>((E65/100)*$G$101+(G65/100)*$G$102+(I65/100)*$G$103+(K65/100)*$G$104+(M65/100)*$G$105+(O65)*$G$106+(Q65*$G$107))</f>
        <v>374.92379484653054</v>
      </c>
    </row>
    <row r="66">
      <c r="B66">
        <f>B65+2</f>
        <v>117</v>
      </c>
      <c r="C66">
        <f>$I$11+B66</f>
        <v>39722</v>
      </c>
      <c r="E66">
        <f>IF(($C$12*(ReDiarioFert!C123+ReDiarioFert!C124+ReDiarioFert!C125))&lt;=0,"0",($C$12*(ReDiarioFert!C123+ReDiarioFert!C124+ReDiarioFert!C125)))</f>
        <v>20.320166261482626</v>
      </c>
      <c r="G66">
        <f>$C$12*(ReDiarioFert!E123+ReDiarioFert!E124+ReDiarioFert!E125)</f>
        <v>9.293927810869565</v>
      </c>
      <c r="I66">
        <f>$C$12*(ReDiarioFert!G123+ReDiarioFert!G124+ReDiarioFert!G125)</f>
        <v>25.025</v>
      </c>
      <c r="K66">
        <f>$C$12*(ReDiarioFert!I123+ReDiarioFert!I124+ReDiarioFert!I125)</f>
        <v>16.061441953857763</v>
      </c>
      <c r="M66">
        <f>$C$12*(ReDiarioFert!K123+ReDiarioFert!K124+ReDiarioFert!K125)</f>
        <v>0.0008938834905</v>
      </c>
      <c r="O66">
        <f>$C$12*(ReDiarioFert!M123+ReDiarioFert!M124+ReDiarioFert!M125)</f>
        <v>522.2041214634146</v>
      </c>
      <c r="S66">
        <f>((E66/100)*$G$101+(G66/100)*$G$102+(I66/100)*$G$103+(K66/100)*$G$104+(M66/100)*$G$105+(O66)*$G$106+(Q66*$G$107))</f>
        <v>562.3856922697958</v>
      </c>
    </row>
    <row r="67">
      <c r="A67">
        <v>18</v>
      </c>
      <c r="B67">
        <f>B66+3</f>
        <v>120</v>
      </c>
      <c r="C67">
        <f>$I$11+B67</f>
        <v>39725</v>
      </c>
      <c r="E67">
        <f>IF(($C$12*(ReDiarioFert!C126+ReDiarioFert!C127))&lt;=0,"0",($C$12*(ReDiarioFert!C126+ReDiarioFert!C127)))</f>
        <v>13.546777507655085</v>
      </c>
      <c r="G67">
        <f>$C$12*(ReDiarioFert!E126+ReDiarioFert!E127)</f>
        <v>6.195951873913043</v>
      </c>
      <c r="I67">
        <f>$C$12*(ReDiarioFert!G126+ReDiarioFert!G127)</f>
        <v>16.683333333333334</v>
      </c>
      <c r="K67">
        <f>$C$12*(ReDiarioFert!I126+ReDiarioFert!I127)</f>
        <v>10.707627969238509</v>
      </c>
      <c r="M67">
        <f>$C$12*(ReDiarioFert!K126+ReDiarioFert!K127)</f>
        <v>0.000595922327</v>
      </c>
      <c r="O67">
        <f>$C$12*(ReDiarioFert!M126+ReDiarioFert!M127)</f>
        <v>348.13608097560973</v>
      </c>
      <c r="Q67">
        <f>$C$12*Main!$D$63</f>
        <v>20.019999999999996</v>
      </c>
      <c r="S67">
        <f>((E67/100)*$G$101+(G67/100)*$G$102+(I67/100)*$G$103+(K67/100)*$G$104+(M67/100)*$G$105+(O67)*$G$106+(Q67*$G$107))</f>
        <v>430.9797948465305</v>
      </c>
    </row>
    <row r="68">
      <c r="B68">
        <f>B67+2</f>
        <v>122</v>
      </c>
      <c r="C68">
        <f>$I$11+B68</f>
        <v>39727</v>
      </c>
      <c r="E68">
        <f>IF(($C$12*(ReDiarioFert!C128+ReDiarioFert!C129))&lt;=0,"0",($C$12*(ReDiarioFert!C128+ReDiarioFert!C129)))</f>
        <v>13.546777507655085</v>
      </c>
      <c r="G68">
        <f>$C$12*(ReDiarioFert!E128+ReDiarioFert!E129)</f>
        <v>6.195951873913043</v>
      </c>
      <c r="I68">
        <f>$C$12*(ReDiarioFert!G128+ReDiarioFert!G129)</f>
        <v>16.683333333333334</v>
      </c>
      <c r="K68">
        <f>$C$12*(ReDiarioFert!I128+ReDiarioFert!I129)</f>
        <v>10.707627969238509</v>
      </c>
      <c r="M68">
        <f>$C$12*(ReDiarioFert!K128+ReDiarioFert!K129)</f>
        <v>0.000595922327</v>
      </c>
      <c r="O68">
        <f>$C$12*(ReDiarioFert!M128+ReDiarioFert!M129)</f>
        <v>348.13608097560973</v>
      </c>
      <c r="S68">
        <f>((E68/100)*$G$101+(G68/100)*$G$102+(I68/100)*$G$103+(K68/100)*$G$104+(M68/100)*$G$105+(O68)*$G$106+(Q68*$G$107))</f>
        <v>374.92379484653054</v>
      </c>
    </row>
    <row r="69">
      <c r="B69">
        <f>B68+2</f>
        <v>124</v>
      </c>
      <c r="C69">
        <f>$I$11+B69</f>
        <v>39729</v>
      </c>
      <c r="E69">
        <f>IF(($C$12*(ReDiarioFert!C130+ReDiarioFert!C131+ReDiarioFert!C132))&lt;=0,"0",($C$12*(ReDiarioFert!C130+ReDiarioFert!C131+ReDiarioFert!C132)))</f>
        <v>20.320166261482626</v>
      </c>
      <c r="G69">
        <f>$C$12*(ReDiarioFert!E130+ReDiarioFert!E131+ReDiarioFert!E132)</f>
        <v>9.293927810869565</v>
      </c>
      <c r="I69">
        <f>$C$12*(ReDiarioFert!G130+ReDiarioFert!G131+ReDiarioFert!G132)</f>
        <v>25.025</v>
      </c>
      <c r="K69">
        <f>$C$12*(ReDiarioFert!I130+ReDiarioFert!I131+ReDiarioFert!I132)</f>
        <v>16.061441953857763</v>
      </c>
      <c r="M69">
        <f>$C$12*(ReDiarioFert!K130+ReDiarioFert!K131+ReDiarioFert!K132)</f>
        <v>0.0008938834905</v>
      </c>
      <c r="O69">
        <f>$C$12*(ReDiarioFert!M130+ReDiarioFert!M131+ReDiarioFert!M132)</f>
        <v>522.2041214634146</v>
      </c>
      <c r="S69">
        <f>((E69/100)*$G$101+(G69/100)*$G$102+(I69/100)*$G$103+(K69/100)*$G$104+(M69/100)*$G$105+(O69)*$G$106+(Q69*$G$107))</f>
        <v>562.3856922697958</v>
      </c>
    </row>
    <row r="70">
      <c r="A70">
        <v>19</v>
      </c>
      <c r="B70">
        <f>B69+3</f>
        <v>127</v>
      </c>
      <c r="C70">
        <f>$I$11+B70</f>
        <v>39732</v>
      </c>
      <c r="E70">
        <f>IF(($C$12*(ReDiarioFert!C133+ReDiarioFert!C134))&lt;=0,"0",($C$12*(ReDiarioFert!C133+ReDiarioFert!C134)))</f>
        <v>13.546777507655085</v>
      </c>
      <c r="G70">
        <f>$C$12*(ReDiarioFert!E133+ReDiarioFert!E134)</f>
        <v>6.195951873913043</v>
      </c>
      <c r="I70">
        <f>$C$12*(ReDiarioFert!G133+ReDiarioFert!G134)</f>
        <v>16.683333333333334</v>
      </c>
      <c r="K70">
        <f>$C$12*(ReDiarioFert!I133+ReDiarioFert!I134)</f>
        <v>10.707627969238509</v>
      </c>
      <c r="M70">
        <f>$C$12*(ReDiarioFert!K133+ReDiarioFert!K134)</f>
        <v>0.000595922327</v>
      </c>
      <c r="O70">
        <f>$C$12*(ReDiarioFert!M133+ReDiarioFert!M134)</f>
        <v>348.13608097560973</v>
      </c>
      <c r="Q70">
        <f>$C$12*Main!$D$63</f>
        <v>20.019999999999996</v>
      </c>
      <c r="S70">
        <f>((E70/100)*$G$101+(G70/100)*$G$102+(I70/100)*$G$103+(K70/100)*$G$104+(M70/100)*$G$105+(O70)*$G$106+(Q70*$G$107))</f>
        <v>430.9797948465305</v>
      </c>
    </row>
    <row r="71">
      <c r="B71">
        <f>B70+2</f>
        <v>129</v>
      </c>
      <c r="C71">
        <f>$I$11+B71</f>
        <v>39734</v>
      </c>
      <c r="E71">
        <f>IF(($C$12*(ReDiarioFert!C135+ReDiarioFert!C136))&lt;=0,"0",($C$12*(ReDiarioFert!C135+ReDiarioFert!C136)))</f>
        <v>13.546777507655085</v>
      </c>
      <c r="G71">
        <f>$C$12*(ReDiarioFert!E135+ReDiarioFert!E136)</f>
        <v>6.195951873913043</v>
      </c>
      <c r="I71">
        <f>$C$12*(ReDiarioFert!G135+ReDiarioFert!G136)</f>
        <v>16.683333333333334</v>
      </c>
      <c r="K71">
        <f>$C$12*(ReDiarioFert!I135+ReDiarioFert!I136)</f>
        <v>10.707627969238509</v>
      </c>
      <c r="M71">
        <f>$C$12*(ReDiarioFert!K135+ReDiarioFert!K136)</f>
        <v>0.000595922327</v>
      </c>
      <c r="O71">
        <f>$C$12*(ReDiarioFert!M135+ReDiarioFert!M136)</f>
        <v>348.13608097560973</v>
      </c>
      <c r="S71">
        <f>((E71/100)*$G$101+(G71/100)*$G$102+(I71/100)*$G$103+(K71/100)*$G$104+(M71/100)*$G$105+(O71)*$G$106+(Q71*$G$107))</f>
        <v>374.92379484653054</v>
      </c>
    </row>
    <row r="72">
      <c r="B72">
        <f>B71+2</f>
        <v>131</v>
      </c>
      <c r="C72">
        <f>$I$11+B72</f>
        <v>39736</v>
      </c>
      <c r="E72">
        <f>IF(($C$12*(ReDiarioFert!C137+ReDiarioFert!C138+ReDiarioFert!C139))&lt;=0,"0",($C$12*(ReDiarioFert!C137+ReDiarioFert!C138+ReDiarioFert!C139)))</f>
        <v>20.320166261482626</v>
      </c>
      <c r="G72">
        <f>$C$12*(ReDiarioFert!E137+ReDiarioFert!E138+ReDiarioFert!E139)</f>
        <v>9.293927810869565</v>
      </c>
      <c r="I72">
        <f>$C$12*(ReDiarioFert!G137+ReDiarioFert!G138+ReDiarioFert!G139)</f>
        <v>25.025</v>
      </c>
      <c r="K72">
        <f>$C$12*(ReDiarioFert!I137+ReDiarioFert!I138+ReDiarioFert!I139)</f>
        <v>16.061441953857763</v>
      </c>
      <c r="M72">
        <f>$C$12*(ReDiarioFert!K137+ReDiarioFert!K138+ReDiarioFert!K139)</f>
        <v>0.0008938834905</v>
      </c>
      <c r="O72">
        <f>$C$12*(ReDiarioFert!M137+ReDiarioFert!M138+ReDiarioFert!M139)</f>
        <v>522.2041214634146</v>
      </c>
      <c r="S72">
        <f>((E72/100)*$G$101+(G72/100)*$G$102+(I72/100)*$G$103+(K72/100)*$G$104+(M72/100)*$G$105+(O72)*$G$106+(Q72*$G$107))</f>
        <v>562.3856922697958</v>
      </c>
    </row>
    <row r="73">
      <c r="A73">
        <v>20</v>
      </c>
      <c r="B73">
        <f>B72+3</f>
        <v>134</v>
      </c>
      <c r="C73">
        <f>$I$11+B73</f>
        <v>39739</v>
      </c>
      <c r="E73">
        <f>IF(($C$12*(ReDiarioFert!C140+ReDiarioFert!C141))&lt;=0,"0",($C$12*(ReDiarioFert!C140+ReDiarioFert!C141)))</f>
        <v>13.546777507655085</v>
      </c>
      <c r="G73">
        <f>$C$12*(ReDiarioFert!E140+ReDiarioFert!E141)</f>
        <v>6.195951873913043</v>
      </c>
      <c r="I73">
        <f>$C$12*(ReDiarioFert!G140+ReDiarioFert!G141)</f>
        <v>16.683333333333334</v>
      </c>
      <c r="K73">
        <f>$C$12*(ReDiarioFert!I140+ReDiarioFert!I141)</f>
        <v>10.707627969238509</v>
      </c>
      <c r="M73">
        <f>$C$12*(ReDiarioFert!K140+ReDiarioFert!K141)</f>
        <v>0.000595922327</v>
      </c>
      <c r="O73">
        <f>$C$12*(ReDiarioFert!M140+ReDiarioFert!M141)</f>
        <v>348.13608097560973</v>
      </c>
      <c r="Q73">
        <f>$C$12*Main!$D$63</f>
        <v>20.019999999999996</v>
      </c>
      <c r="S73">
        <f>((E73/100)*$G$101+(G73/100)*$G$102+(I73/100)*$G$103+(K73/100)*$G$104+(M73/100)*$G$105+(O73)*$G$106+(Q73*$G$107))</f>
        <v>430.9797948465305</v>
      </c>
    </row>
    <row r="74">
      <c r="B74">
        <f>B73+2</f>
        <v>136</v>
      </c>
      <c r="C74">
        <f>$I$11+B74</f>
        <v>39741</v>
      </c>
      <c r="E74">
        <f>IF(($C$12*(ReDiarioFert!C142+ReDiarioFert!C143))&lt;=0,"0",($C$12*(ReDiarioFert!C142+ReDiarioFert!C143)))</f>
        <v>13.546777507655085</v>
      </c>
      <c r="G74">
        <f>$C$12*(ReDiarioFert!E142+ReDiarioFert!E143)</f>
        <v>6.195951873913043</v>
      </c>
      <c r="I74">
        <f>$C$12*(ReDiarioFert!G142+ReDiarioFert!G143)</f>
        <v>16.683333333333334</v>
      </c>
      <c r="K74">
        <f>$C$12*(ReDiarioFert!I142+ReDiarioFert!I143)</f>
        <v>10.707627969238509</v>
      </c>
      <c r="M74">
        <f>$C$12*(ReDiarioFert!K142+ReDiarioFert!K143)</f>
        <v>0.000595922327</v>
      </c>
      <c r="O74">
        <f>$C$12*(ReDiarioFert!M142+ReDiarioFert!M143)</f>
        <v>348.13608097560973</v>
      </c>
      <c r="S74">
        <f>((E74/100)*$G$101+(G74/100)*$G$102+(I74/100)*$G$103+(K74/100)*$G$104+(M74/100)*$G$105+(O74)*$G$106+(Q74*$G$107))</f>
        <v>374.92379484653054</v>
      </c>
    </row>
    <row r="75">
      <c r="B75">
        <f>B74+2</f>
        <v>138</v>
      </c>
      <c r="C75">
        <f>$I$11+B75</f>
        <v>39743</v>
      </c>
      <c r="E75">
        <f>IF(($C$12*(ReDiarioFert!C144+ReDiarioFert!C145+ReDiarioFert!C146))&lt;=0,"0",($C$12*(ReDiarioFert!C144+ReDiarioFert!C145+ReDiarioFert!C146)))</f>
        <v>20.320166261482626</v>
      </c>
      <c r="G75">
        <f>$C$12*(ReDiarioFert!E144+ReDiarioFert!E145+ReDiarioFert!E146)</f>
        <v>9.293927810869565</v>
      </c>
      <c r="I75">
        <f>$C$12*(ReDiarioFert!G144+ReDiarioFert!G145+ReDiarioFert!G146)</f>
        <v>25.025</v>
      </c>
      <c r="K75">
        <f>$C$12*(ReDiarioFert!I144+ReDiarioFert!I145+ReDiarioFert!I146)</f>
        <v>16.061441953857763</v>
      </c>
      <c r="M75">
        <f>$C$12*(ReDiarioFert!K144+ReDiarioFert!K145+ReDiarioFert!K146)</f>
        <v>0.0008938834905</v>
      </c>
      <c r="O75">
        <f>$C$12*(ReDiarioFert!M144+ReDiarioFert!M145+ReDiarioFert!M146)</f>
        <v>522.2041214634146</v>
      </c>
      <c r="S75">
        <f>((E75/100)*$G$101+(G75/100)*$G$102+(I75/100)*$G$103+(K75/100)*$G$104+(M75/100)*$G$105+(O75)*$G$106+(Q75*$G$107))</f>
        <v>562.3856922697958</v>
      </c>
    </row>
    <row r="76">
      <c r="A76">
        <v>21</v>
      </c>
      <c r="B76">
        <f>B75+3</f>
        <v>141</v>
      </c>
      <c r="C76">
        <f>$I$11+B76</f>
        <v>39746</v>
      </c>
      <c r="E76">
        <f>IF(($C$12*(ReDiarioFert!C147+ReDiarioFert!C148))&lt;=0,"0",($C$12*(ReDiarioFert!C147+ReDiarioFert!C148)))</f>
        <v>13.546777507655085</v>
      </c>
      <c r="G76">
        <f>$C$12*(ReDiarioFert!E147+ReDiarioFert!E148)</f>
        <v>6.195951873913043</v>
      </c>
      <c r="I76">
        <f>$C$12*(ReDiarioFert!G147+ReDiarioFert!G148)</f>
        <v>16.683333333333334</v>
      </c>
      <c r="K76">
        <f>$C$12*(ReDiarioFert!I147+ReDiarioFert!I148)</f>
        <v>10.707627969238509</v>
      </c>
      <c r="M76">
        <f>$C$12*(ReDiarioFert!K147+ReDiarioFert!K148)</f>
        <v>0.000595922327</v>
      </c>
      <c r="O76">
        <f>$C$12*(ReDiarioFert!M147+ReDiarioFert!M148)</f>
        <v>348.13608097560973</v>
      </c>
      <c r="Q76">
        <f>$C$12*Main!$D$63</f>
        <v>20.019999999999996</v>
      </c>
      <c r="S76">
        <f>((E76/100)*$G$101+(G76/100)*$G$102+(I76/100)*$G$103+(K76/100)*$G$104+(M76/100)*$G$105+(O76)*$G$106+(Q76*$G$107))</f>
        <v>430.9797948465305</v>
      </c>
    </row>
    <row r="77">
      <c r="B77">
        <f>B76+2</f>
        <v>143</v>
      </c>
      <c r="C77">
        <f>$I$11+B77</f>
        <v>39748</v>
      </c>
      <c r="E77">
        <f>IF(($C$12*(ReDiarioFert!C149+ReDiarioFert!C150))&lt;=0,"0",($C$12*(ReDiarioFert!C149+ReDiarioFert!C150)))</f>
        <v>13.546777507655085</v>
      </c>
      <c r="G77">
        <f>$C$12*(ReDiarioFert!E149+ReDiarioFert!E150)</f>
        <v>6.195951873913043</v>
      </c>
      <c r="I77">
        <f>$C$12*(ReDiarioFert!G149+ReDiarioFert!G150)</f>
        <v>16.683333333333334</v>
      </c>
      <c r="K77">
        <f>$C$12*(ReDiarioFert!I149+ReDiarioFert!I150)</f>
        <v>10.707627969238509</v>
      </c>
      <c r="M77">
        <f>$C$12*(ReDiarioFert!K149+ReDiarioFert!K150)</f>
        <v>0.000595922327</v>
      </c>
      <c r="O77">
        <f>$C$12*(ReDiarioFert!M149+ReDiarioFert!M150)</f>
        <v>348.13608097560973</v>
      </c>
      <c r="S77">
        <f>((E77/100)*$G$101+(G77/100)*$G$102+(I77/100)*$G$103+(K77/100)*$G$104+(M77/100)*$G$105+(O77)*$G$106+(Q77*$G$107))</f>
        <v>374.92379484653054</v>
      </c>
    </row>
    <row r="78">
      <c r="B78">
        <f>B77+2</f>
        <v>145</v>
      </c>
      <c r="C78">
        <f>$I$11+B78</f>
        <v>39750</v>
      </c>
      <c r="E78">
        <f>IF(($C$12*(ReDiarioFert!C151+ReDiarioFert!C152+ReDiarioFert!C153))&lt;=0,"0",($C$12*(ReDiarioFert!C151+ReDiarioFert!C152+ReDiarioFert!C153)))</f>
        <v>20.320166261482626</v>
      </c>
      <c r="G78">
        <f>$C$12*(ReDiarioFert!E151+ReDiarioFert!E152+ReDiarioFert!E153)</f>
        <v>9.293927810869565</v>
      </c>
      <c r="I78">
        <f>$C$12*(ReDiarioFert!G151+ReDiarioFert!G152+ReDiarioFert!G153)</f>
        <v>25.025</v>
      </c>
      <c r="K78">
        <f>$C$12*(ReDiarioFert!I151+ReDiarioFert!I152+ReDiarioFert!I153)</f>
        <v>16.061441953857763</v>
      </c>
      <c r="M78">
        <f>$C$12*(ReDiarioFert!K151+ReDiarioFert!K152+ReDiarioFert!K153)</f>
        <v>0.0008938834905</v>
      </c>
      <c r="O78">
        <f>$C$12*(ReDiarioFert!M151+ReDiarioFert!M152+ReDiarioFert!M153)</f>
        <v>522.2041214634146</v>
      </c>
      <c r="S78">
        <f>((E78/100)*$G$101+(G78/100)*$G$102+(I78/100)*$G$103+(K78/100)*$G$104+(M78/100)*$G$105+(O78)*$G$106+(Q78*$G$107))</f>
        <v>562.3856922697958</v>
      </c>
    </row>
    <row r="79">
      <c r="A79">
        <v>22</v>
      </c>
      <c r="B79">
        <f>B78+3</f>
        <v>148</v>
      </c>
      <c r="C79">
        <f>$I$11+B79</f>
        <v>39753</v>
      </c>
      <c r="E79">
        <f>IF(($C$12*(ReDiarioFert!C154+ReDiarioFert!C155))&lt;=0,"0",($C$12*(ReDiarioFert!C154+ReDiarioFert!C155)))</f>
        <v>13.546777507655085</v>
      </c>
      <c r="G79">
        <f>$C$12*(ReDiarioFert!E154+ReDiarioFert!E155)</f>
        <v>6.195951873913043</v>
      </c>
      <c r="I79">
        <f>$C$12*(ReDiarioFert!G154+ReDiarioFert!G155)</f>
        <v>16.683333333333334</v>
      </c>
      <c r="K79">
        <f>$C$12*(ReDiarioFert!I154+ReDiarioFert!I155)</f>
        <v>10.707627969238509</v>
      </c>
      <c r="M79">
        <f>$C$12*(ReDiarioFert!K154+ReDiarioFert!K155)</f>
        <v>0.000595922327</v>
      </c>
      <c r="O79">
        <f>$C$12*(ReDiarioFert!M154+ReDiarioFert!M155)</f>
        <v>348.13608097560973</v>
      </c>
      <c r="Q79">
        <f>$C$12*Main!$D$63</f>
        <v>20.019999999999996</v>
      </c>
      <c r="S79">
        <f>((E79/100)*$G$101+(G79/100)*$G$102+(I79/100)*$G$103+(K79/100)*$G$104+(M79/100)*$G$105+(O79)*$G$106+(Q79*$G$107))</f>
        <v>430.9797948465305</v>
      </c>
    </row>
    <row r="80">
      <c r="B80">
        <f>B79+2</f>
        <v>150</v>
      </c>
      <c r="C80">
        <f>$I$11+B80</f>
        <v>39755</v>
      </c>
      <c r="E80">
        <f>IF(($C$12*(ReDiarioFert!C156+ReDiarioFert!C157))&lt;=0,"0",($C$12*(ReDiarioFert!C156+ReDiarioFert!C157)))</f>
        <v>13.546777507655085</v>
      </c>
      <c r="G80">
        <f>$C$12*(ReDiarioFert!E156+ReDiarioFert!E157)</f>
        <v>6.195951873913043</v>
      </c>
      <c r="I80">
        <f>$C$12*(ReDiarioFert!G156+ReDiarioFert!G157)</f>
        <v>16.683333333333334</v>
      </c>
      <c r="K80">
        <f>$C$12*(ReDiarioFert!I156+ReDiarioFert!I157)</f>
        <v>10.707627969238509</v>
      </c>
      <c r="M80">
        <f>$C$12*(ReDiarioFert!K156+ReDiarioFert!K157)</f>
        <v>0.000595922327</v>
      </c>
      <c r="O80">
        <f>$C$12*(ReDiarioFert!M156+ReDiarioFert!M157)</f>
        <v>348.13608097560973</v>
      </c>
      <c r="S80">
        <f>((E80/100)*$G$101+(G80/100)*$G$102+(I80/100)*$G$103+(K80/100)*$G$104+(M80/100)*$G$105+(O80)*$G$106+(Q80*$G$107))</f>
        <v>374.92379484653054</v>
      </c>
    </row>
    <row r="81">
      <c r="B81">
        <f>B80+2</f>
        <v>152</v>
      </c>
      <c r="C81">
        <f>$I$11+B81</f>
        <v>39757</v>
      </c>
      <c r="E81">
        <f>IF(($C$12*(ReDiarioFert!C158+ReDiarioFert!C159+ReDiarioFert!C160))&lt;=0,"0",($C$12*(ReDiarioFert!C158+ReDiarioFert!C159+ReDiarioFert!C160)))</f>
        <v>20.320166261482626</v>
      </c>
      <c r="G81">
        <f>$C$12*(ReDiarioFert!E158+ReDiarioFert!E159+ReDiarioFert!E160)</f>
        <v>9.293927810869565</v>
      </c>
      <c r="I81">
        <f>$C$12*(ReDiarioFert!G158+ReDiarioFert!G159+ReDiarioFert!G160)</f>
        <v>25.025</v>
      </c>
      <c r="K81">
        <f>$C$12*(ReDiarioFert!I158+ReDiarioFert!I159+ReDiarioFert!I160)</f>
        <v>16.061441953857763</v>
      </c>
      <c r="M81">
        <f>$C$12*(ReDiarioFert!K158+ReDiarioFert!K159+ReDiarioFert!K160)</f>
        <v>0.0008938834905</v>
      </c>
      <c r="O81">
        <f>$C$12*(ReDiarioFert!M158+ReDiarioFert!M159+ReDiarioFert!M160)</f>
        <v>522.2041214634146</v>
      </c>
      <c r="S81">
        <f>((E81/100)*$G$101+(G81/100)*$G$102+(I81/100)*$G$103+(K81/100)*$G$104+(M81/100)*$G$105+(O81)*$G$106+(Q81*$G$107))</f>
        <v>562.3856922697958</v>
      </c>
    </row>
    <row r="82">
      <c r="A82">
        <v>23</v>
      </c>
      <c r="B82">
        <f>B81+3</f>
        <v>155</v>
      </c>
      <c r="C82">
        <f>$I$11+B82</f>
        <v>39760</v>
      </c>
      <c r="E82">
        <f>IF(($C$12*(ReDiarioFert!C161+ReDiarioFert!C162))&lt;=0,"0",($C$12*(ReDiarioFert!C161+ReDiarioFert!C162)))</f>
        <v>13.546777507655085</v>
      </c>
      <c r="G82">
        <f>$C$12*(ReDiarioFert!E161+ReDiarioFert!E162)</f>
        <v>6.195951873913043</v>
      </c>
      <c r="I82">
        <f>$C$12*(ReDiarioFert!G161+ReDiarioFert!G162)</f>
        <v>16.683333333333334</v>
      </c>
      <c r="K82">
        <f>$C$12*(ReDiarioFert!I161+ReDiarioFert!I162)</f>
        <v>10.707627969238509</v>
      </c>
      <c r="M82">
        <f>$C$12*(ReDiarioFert!K161+ReDiarioFert!K162)</f>
        <v>0.000595922327</v>
      </c>
      <c r="O82">
        <f>$C$12*(ReDiarioFert!M161+ReDiarioFert!M162)</f>
        <v>348.13608097560973</v>
      </c>
      <c r="Q82">
        <f>$C$12*Main!$D$63</f>
        <v>20.019999999999996</v>
      </c>
      <c r="S82">
        <f>((E82/100)*$G$101+(G82/100)*$G$102+(I82/100)*$G$103+(K82/100)*$G$104+(M82/100)*$G$105+(O82)*$G$106+(Q82*$G$107))</f>
        <v>430.9797948465305</v>
      </c>
    </row>
    <row r="83">
      <c r="B83">
        <f>B82+2</f>
        <v>157</v>
      </c>
      <c r="C83">
        <f>$I$11+B83</f>
        <v>39762</v>
      </c>
      <c r="E83">
        <f>IF(($C$12*(ReDiarioFert!C163+ReDiarioFert!C164))&lt;=0,"0",($C$12*(ReDiarioFert!C163+ReDiarioFert!C164)))</f>
        <v>13.546777507655085</v>
      </c>
      <c r="G83">
        <f>$C$12*(ReDiarioFert!E163+ReDiarioFert!E164)</f>
        <v>6.195951873913043</v>
      </c>
      <c r="I83">
        <f>$C$12*(ReDiarioFert!G163+ReDiarioFert!G164)</f>
        <v>16.683333333333334</v>
      </c>
      <c r="K83">
        <f>$C$12*(ReDiarioFert!I163+ReDiarioFert!I164)</f>
        <v>10.707627969238509</v>
      </c>
      <c r="M83">
        <f>$C$12*(ReDiarioFert!K163+ReDiarioFert!K164)</f>
        <v>0.000595922327</v>
      </c>
      <c r="O83">
        <f>$C$12*(ReDiarioFert!M163+ReDiarioFert!M164)</f>
        <v>348.13608097560973</v>
      </c>
      <c r="S83">
        <f>((E83/100)*$G$101+(G83/100)*$G$102+(I83/100)*$G$103+(K83/100)*$G$104+(M83/100)*$G$105+(O83)*$G$106+(Q83*$G$107))</f>
        <v>374.92379484653054</v>
      </c>
    </row>
    <row r="84">
      <c r="B84">
        <f>B83+2</f>
        <v>159</v>
      </c>
      <c r="C84">
        <f>$I$11+B84</f>
        <v>39764</v>
      </c>
      <c r="E84">
        <f>IF(($C$12*(ReDiarioFert!C165+ReDiarioFert!C166+ReDiarioFert!C167))&lt;=0,"0",($C$12*(ReDiarioFert!C165+ReDiarioFert!C166+ReDiarioFert!C167)))</f>
        <v>20.320166261482626</v>
      </c>
      <c r="G84">
        <f>$C$12*(ReDiarioFert!E165+ReDiarioFert!E166+ReDiarioFert!E167)</f>
        <v>9.293927810869565</v>
      </c>
      <c r="I84">
        <f>$C$12*(ReDiarioFert!G165+ReDiarioFert!G166+ReDiarioFert!G167)</f>
        <v>25.025</v>
      </c>
      <c r="K84">
        <f>$C$12*(ReDiarioFert!I165+ReDiarioFert!I166+ReDiarioFert!I167)</f>
        <v>16.061441953857763</v>
      </c>
      <c r="M84">
        <f>$C$12*(ReDiarioFert!K165+ReDiarioFert!K166+ReDiarioFert!K167)</f>
        <v>0.0008938834905</v>
      </c>
      <c r="O84">
        <f>$C$12*(ReDiarioFert!M165+ReDiarioFert!M166+ReDiarioFert!M167)</f>
        <v>522.2041214634146</v>
      </c>
      <c r="S84">
        <f>((E84/100)*$G$101+(G84/100)*$G$102+(I84/100)*$G$103+(K84/100)*$G$104+(M84/100)*$G$105+(O84)*$G$106+(Q84*$G$107))</f>
        <v>562.3856922697958</v>
      </c>
    </row>
    <row r="85">
      <c r="A85">
        <v>24</v>
      </c>
      <c r="B85">
        <f>B84+3</f>
        <v>162</v>
      </c>
      <c r="C85">
        <f>$I$11+B85</f>
        <v>39767</v>
      </c>
      <c r="E85">
        <f>IF(($C$12*(ReDiarioFert!C168+ReDiarioFert!C169))&lt;=0,"0",($C$12*(ReDiarioFert!C168+ReDiarioFert!C169)))</f>
        <v>13.546777507655085</v>
      </c>
      <c r="G85">
        <f>$C$12*(ReDiarioFert!E168+ReDiarioFert!E169)</f>
        <v>6.195951873913043</v>
      </c>
      <c r="I85">
        <f>$C$12*(ReDiarioFert!G168+ReDiarioFert!G169)</f>
        <v>16.683333333333334</v>
      </c>
      <c r="K85">
        <f>$C$12*(ReDiarioFert!I168+ReDiarioFert!I169)</f>
        <v>10.707627969238509</v>
      </c>
      <c r="M85">
        <f>$C$12*(ReDiarioFert!K168+ReDiarioFert!K169)</f>
        <v>0.000595922327</v>
      </c>
      <c r="O85">
        <f>$C$12*(ReDiarioFert!M168+ReDiarioFert!M169)</f>
        <v>348.13608097560973</v>
      </c>
      <c r="Q85">
        <f>$C$12*Main!$D$63</f>
        <v>20.019999999999996</v>
      </c>
      <c r="S85">
        <f>((E85/100)*$G$101+(G85/100)*$G$102+(I85/100)*$G$103+(K85/100)*$G$104+(M85/100)*$G$105+(O85)*$G$106+(Q85*$G$107))</f>
        <v>430.9797948465305</v>
      </c>
    </row>
    <row r="86">
      <c r="B86">
        <f>B85+2</f>
        <v>164</v>
      </c>
      <c r="C86">
        <f>$I$11+B86</f>
        <v>39769</v>
      </c>
      <c r="E86">
        <f>IF(($C$12*(ReDiarioFert!C170+ReDiarioFert!C171))&lt;=0,"0",($C$12*(ReDiarioFert!C170+ReDiarioFert!C171)))</f>
        <v>13.546777507655085</v>
      </c>
      <c r="G86">
        <f>$C$12*(ReDiarioFert!E170+ReDiarioFert!E171)</f>
        <v>6.195951873913043</v>
      </c>
      <c r="I86">
        <f>$C$12*(ReDiarioFert!G170+ReDiarioFert!G171)</f>
        <v>16.683333333333334</v>
      </c>
      <c r="K86">
        <f>$C$12*(ReDiarioFert!I170+ReDiarioFert!I171)</f>
        <v>10.707627969238509</v>
      </c>
      <c r="M86">
        <f>$C$12*(ReDiarioFert!K170+ReDiarioFert!K171)</f>
        <v>0.000595922327</v>
      </c>
      <c r="O86">
        <f>$C$12*(ReDiarioFert!M170+ReDiarioFert!M171)</f>
        <v>348.13608097560973</v>
      </c>
      <c r="S86">
        <f>((E86/100)*$G$101+(G86/100)*$G$102+(I86/100)*$G$103+(K86/100)*$G$104+(M86/100)*$G$105+(O86)*$G$106+(Q86*$G$107))</f>
        <v>374.92379484653054</v>
      </c>
    </row>
    <row r="87">
      <c r="B87">
        <f>B86+2</f>
        <v>166</v>
      </c>
      <c r="C87">
        <f>$I$11+B87</f>
        <v>39771</v>
      </c>
      <c r="E87">
        <f>IF(($C$12*(ReDiarioFert!C172+ReDiarioFert!C173+ReDiarioFert!C174))&lt;=0,"0",($C$12*(ReDiarioFert!C172+ReDiarioFert!C173+ReDiarioFert!C174)))</f>
        <v>20.320166261482626</v>
      </c>
      <c r="G87">
        <f>$C$12*(ReDiarioFert!E172+ReDiarioFert!E173+ReDiarioFert!E174)</f>
        <v>9.293927810869565</v>
      </c>
      <c r="I87">
        <f>$C$12*(ReDiarioFert!G172+ReDiarioFert!G173+ReDiarioFert!G174)</f>
        <v>25.025</v>
      </c>
      <c r="K87">
        <f>$C$12*(ReDiarioFert!I172+ReDiarioFert!I173+ReDiarioFert!I174)</f>
        <v>16.061441953857763</v>
      </c>
      <c r="M87">
        <f>$C$12*(ReDiarioFert!K172+ReDiarioFert!K173+ReDiarioFert!K174)</f>
        <v>0.0008938834905</v>
      </c>
      <c r="O87">
        <f>$C$12*(ReDiarioFert!M172+ReDiarioFert!M173+ReDiarioFert!M174)</f>
        <v>522.2041214634146</v>
      </c>
      <c r="S87">
        <f>((E87/100)*$G$101+(G87/100)*$G$102+(I87/100)*$G$103+(K87/100)*$G$104+(M87/100)*$G$105+(O87)*$G$106+(Q87*$G$107))</f>
        <v>562.3856922697958</v>
      </c>
    </row>
    <row r="88">
      <c r="A88">
        <v>25</v>
      </c>
      <c r="B88">
        <f>B87+3</f>
        <v>169</v>
      </c>
      <c r="C88">
        <f>$I$11+B88</f>
        <v>39774</v>
      </c>
      <c r="E88">
        <f>IF(($C$12*(ReDiarioFert!C175+ReDiarioFert!C176))&lt;=0,"0",($C$12*(ReDiarioFert!C175+ReDiarioFert!C176)))</f>
        <v>13.546777507655085</v>
      </c>
      <c r="G88">
        <f>$C$12*(ReDiarioFert!E175+ReDiarioFert!E176)</f>
        <v>6.195951873913043</v>
      </c>
      <c r="I88">
        <f>$C$12*(ReDiarioFert!G175+ReDiarioFert!G176)</f>
        <v>16.683333333333334</v>
      </c>
      <c r="K88">
        <f>$C$12*(ReDiarioFert!I175+ReDiarioFert!I176)</f>
        <v>10.707627969238509</v>
      </c>
      <c r="M88">
        <f>$C$12*(ReDiarioFert!K175+ReDiarioFert!K176)</f>
        <v>0.000595922327</v>
      </c>
      <c r="O88">
        <f>$C$12*(ReDiarioFert!M175+ReDiarioFert!M176)</f>
        <v>348.13608097560973</v>
      </c>
      <c r="Q88">
        <f>$C$12*Main!$D$63</f>
        <v>20.019999999999996</v>
      </c>
      <c r="S88">
        <f>((E88/100)*$G$101+(G88/100)*$G$102+(I88/100)*$G$103+(K88/100)*$G$104+(M88/100)*$G$105+(O88)*$G$106+(Q88*$G$107))</f>
        <v>430.9797948465305</v>
      </c>
    </row>
    <row r="89">
      <c r="B89">
        <f>B88+2</f>
        <v>171</v>
      </c>
      <c r="C89">
        <f>$I$11+B89</f>
        <v>39776</v>
      </c>
      <c r="E89">
        <f>IF(($C$12*(ReDiarioFert!C177+ReDiarioFert!C178))&lt;=0,"0",($C$12*(ReDiarioFert!C177+ReDiarioFert!C178)))</f>
        <v>13.546777507655085</v>
      </c>
      <c r="G89">
        <f>$C$12*(ReDiarioFert!E177+ReDiarioFert!E178)</f>
        <v>6.195951873913043</v>
      </c>
      <c r="I89">
        <f>$C$12*(ReDiarioFert!G177+ReDiarioFert!G178)</f>
        <v>16.683333333333334</v>
      </c>
      <c r="K89">
        <f>$C$12*(ReDiarioFert!I177+ReDiarioFert!I178)</f>
        <v>10.707627969238509</v>
      </c>
      <c r="M89">
        <f>$C$12*(ReDiarioFert!K177+ReDiarioFert!K178)</f>
        <v>0.000595922327</v>
      </c>
      <c r="O89">
        <f>$C$12*(ReDiarioFert!M177+ReDiarioFert!M178)</f>
        <v>348.13608097560973</v>
      </c>
      <c r="S89">
        <f>((E89/100)*$G$101+(G89/100)*$G$102+(I89/100)*$G$103+(K89/100)*$G$104+(M89/100)*$G$105+(O89)*$G$106+(Q89*$G$107))</f>
        <v>374.92379484653054</v>
      </c>
    </row>
    <row r="90">
      <c r="B90">
        <f>B89+2</f>
        <v>173</v>
      </c>
      <c r="C90">
        <f>$I$11+B90</f>
        <v>39778</v>
      </c>
      <c r="E90">
        <f>IF(($C$12*(ReDiarioFert!C179+ReDiarioFert!C180+ReDiarioFert!C181))&lt;=0,"0",($C$12*(ReDiarioFert!C179+ReDiarioFert!C180+ReDiarioFert!C181)))</f>
        <v>20.320166261482626</v>
      </c>
      <c r="G90">
        <f>$C$12*(ReDiarioFert!E179+ReDiarioFert!E180+ReDiarioFert!E181)</f>
        <v>9.293927810869565</v>
      </c>
      <c r="I90">
        <f>$C$12*(ReDiarioFert!G179+ReDiarioFert!G180+ReDiarioFert!G181)</f>
        <v>25.025</v>
      </c>
      <c r="K90">
        <f>$C$12*(ReDiarioFert!I179+ReDiarioFert!I180+ReDiarioFert!I181)</f>
        <v>16.061441953857763</v>
      </c>
      <c r="M90">
        <f>$C$12*(ReDiarioFert!K179+ReDiarioFert!K180+ReDiarioFert!K181)</f>
        <v>0.0008938834905</v>
      </c>
      <c r="O90">
        <f>$C$12*(ReDiarioFert!M179+ReDiarioFert!M180+ReDiarioFert!M181)</f>
        <v>522.2041214634146</v>
      </c>
      <c r="S90">
        <f>((E90/100)*$G$101+(G90/100)*$G$102+(I90/100)*$G$103+(K90/100)*$G$104+(M90/100)*$G$105+(O90)*$G$106+(Q90*$G$107))</f>
        <v>562.3856922697958</v>
      </c>
    </row>
    <row r="91">
      <c r="A91">
        <v>26</v>
      </c>
      <c r="B91">
        <f>B90+3</f>
        <v>176</v>
      </c>
      <c r="C91">
        <f>$I$11+B91</f>
        <v>39781</v>
      </c>
      <c r="E91">
        <f>IF(($C$12*(ReDiarioFert!C182+ReDiarioFert!C183))&lt;=0,"0",($C$12*(ReDiarioFert!C182+ReDiarioFert!C183)))</f>
        <v>13.546777507655085</v>
      </c>
      <c r="G91">
        <f>$C$12*(ReDiarioFert!E182+ReDiarioFert!E183)</f>
        <v>6.195951873913043</v>
      </c>
      <c r="I91">
        <f>$C$12*(ReDiarioFert!G182+ReDiarioFert!G183)</f>
        <v>16.683333333333334</v>
      </c>
      <c r="K91">
        <f>$C$12*(ReDiarioFert!I182+ReDiarioFert!I183)</f>
        <v>10.707627969238509</v>
      </c>
      <c r="M91">
        <f>$C$12*(ReDiarioFert!K182+ReDiarioFert!K183)</f>
        <v>0.000595922327</v>
      </c>
      <c r="O91">
        <f>$C$12*(ReDiarioFert!M182+ReDiarioFert!M183)</f>
        <v>348.13608097560973</v>
      </c>
      <c r="Q91">
        <f>$C$12*Main!$D$63</f>
        <v>20.019999999999996</v>
      </c>
      <c r="S91">
        <f>((E91/100)*$G$101+(G91/100)*$G$102+(I91/100)*$G$103+(K91/100)*$G$104+(M91/100)*$G$105+(O91)*$G$106+(Q91*$G$107))</f>
        <v>430.9797948465305</v>
      </c>
    </row>
    <row r="92">
      <c r="B92">
        <f>B91+2</f>
        <v>178</v>
      </c>
      <c r="C92">
        <f>$I$11+B92</f>
        <v>39783</v>
      </c>
      <c r="E92">
        <f>IF(($C$12*(ReDiarioFert!C184+ReDiarioFert!C185))&lt;=0,"0",($C$12*(ReDiarioFert!C184+ReDiarioFert!C185)))</f>
        <v>13.546777507655085</v>
      </c>
      <c r="G92">
        <f>$C$12*(ReDiarioFert!E184+ReDiarioFert!E185)</f>
        <v>6.195951873913043</v>
      </c>
      <c r="I92">
        <f>$C$12*(ReDiarioFert!G184+ReDiarioFert!G185)</f>
        <v>16.683333333333334</v>
      </c>
      <c r="K92">
        <f>$C$12*(ReDiarioFert!I184+ReDiarioFert!I185)</f>
        <v>10.707627969238509</v>
      </c>
      <c r="M92">
        <f>$C$12*(ReDiarioFert!K184+ReDiarioFert!K185)</f>
        <v>0.000595922327</v>
      </c>
      <c r="O92">
        <f>$C$12*(ReDiarioFert!M184+ReDiarioFert!M185)</f>
        <v>348.13608097560973</v>
      </c>
      <c r="S92">
        <f>((E92/100)*$G$101+(G92/100)*$G$102+(I92/100)*$G$103+(K92/100)*$G$104+(M92/100)*$G$105+(O92)*$G$106+(Q92*$G$107))</f>
        <v>374.92379484653054</v>
      </c>
    </row>
    <row r="93">
      <c r="B93">
        <f>B92+2</f>
        <v>180</v>
      </c>
      <c r="C93">
        <f>$I$11+B93</f>
        <v>39785</v>
      </c>
      <c r="E93">
        <f>IF(($C$12*(ReDiarioFert!C186+ReDiarioFert!C187+ReDiarioFert!C188))&lt;=0,"0",($C$12*(ReDiarioFert!C186+ReDiarioFert!C187+ReDiarioFert!C188)))</f>
        <v>20.320166261482626</v>
      </c>
      <c r="G93">
        <f>$C$12*(ReDiarioFert!E186+ReDiarioFert!E187+ReDiarioFert!E188)</f>
        <v>9.293927810869565</v>
      </c>
      <c r="I93">
        <f>$C$12*(ReDiarioFert!G186+ReDiarioFert!G187+ReDiarioFert!G188)</f>
        <v>25.025</v>
      </c>
      <c r="K93">
        <f>$C$12*(ReDiarioFert!I186+ReDiarioFert!I187+ReDiarioFert!I188)</f>
        <v>16.061441953857763</v>
      </c>
      <c r="M93">
        <f>$C$12*(ReDiarioFert!K186+ReDiarioFert!K187+ReDiarioFert!K188)</f>
        <v>0.0008938834905</v>
      </c>
      <c r="O93">
        <f>$C$12*(ReDiarioFert!M186+ReDiarioFert!M187+ReDiarioFert!M188)</f>
        <v>522.2041214634146</v>
      </c>
      <c r="S93">
        <f>((E93/100)*$G$101+(G93/100)*$G$102+(I93/100)*$G$103+(K93/100)*$G$104+(M93/100)*$G$105+(O93)*$G$106+(Q93*$G$107))</f>
        <v>562.3856922697958</v>
      </c>
    </row>
    <row r="94">
      <c r="A94">
        <v>27</v>
      </c>
      <c r="B94">
        <f>B93+3</f>
        <v>183</v>
      </c>
      <c r="C94">
        <f>$I$11+B94</f>
        <v>39788</v>
      </c>
      <c r="E94">
        <f>IF(($C$12*(ReDiarioFert!C189+ReDiarioFert!C190))&lt;=0,"0",($C$12*(ReDiarioFert!C189+ReDiarioFert!C190)))</f>
        <v>13.546777507655085</v>
      </c>
      <c r="G94">
        <f>$C$12*(ReDiarioFert!E189+ReDiarioFert!E190)</f>
        <v>6.195951873913043</v>
      </c>
      <c r="I94">
        <f>$C$12*(ReDiarioFert!G189+ReDiarioFert!G190)</f>
        <v>16.683333333333334</v>
      </c>
      <c r="K94">
        <f>$C$12*(ReDiarioFert!I189+ReDiarioFert!I190)</f>
        <v>10.707627969238509</v>
      </c>
      <c r="M94">
        <f>$C$12*(ReDiarioFert!K189+ReDiarioFert!K190)</f>
        <v>0.000595922327</v>
      </c>
      <c r="O94">
        <f>$C$12*(ReDiarioFert!M189+ReDiarioFert!M190)</f>
        <v>348.13608097560973</v>
      </c>
      <c r="Q94">
        <f>$C$12*Main!$D$63</f>
        <v>20.019999999999996</v>
      </c>
      <c r="S94">
        <f>((E94/100)*$G$101+(G94/100)*$G$102+(I94/100)*$G$103+(K94/100)*$G$104+(M94/100)*$G$105+(O94)*$G$106+(Q94*$G$107))</f>
        <v>430.9797948465305</v>
      </c>
    </row>
    <row r="95">
      <c r="B95">
        <f>B94+2</f>
        <v>185</v>
      </c>
      <c r="C95">
        <f>$I$11+B95</f>
        <v>39790</v>
      </c>
      <c r="E95">
        <f>IF(($C$12*(ReDiarioFert!C191+ReDiarioFert!C192))&lt;=0,"0",($C$12*(ReDiarioFert!C191+ReDiarioFert!C192)))</f>
        <v>13.546777507655085</v>
      </c>
      <c r="G95">
        <f>$C$12*(ReDiarioFert!E191+ReDiarioFert!E192)</f>
        <v>6.195951873913043</v>
      </c>
      <c r="I95">
        <f>$C$12*(ReDiarioFert!G191+ReDiarioFert!G192)</f>
        <v>16.683333333333334</v>
      </c>
      <c r="K95">
        <f>$C$12*(ReDiarioFert!I191+ReDiarioFert!I192)</f>
        <v>10.707627969238509</v>
      </c>
      <c r="M95">
        <f>$C$12*(ReDiarioFert!K191+ReDiarioFert!K192)</f>
        <v>0.000595922327</v>
      </c>
      <c r="O95">
        <f>$C$12*(ReDiarioFert!M191+ReDiarioFert!M192)</f>
        <v>348.13608097560973</v>
      </c>
      <c r="S95">
        <f>((E95/100)*$G$101+(G95/100)*$G$102+(I95/100)*$G$103+(K95/100)*$G$104+(M95/100)*$G$105+(O95)*$G$106+(Q95*$G$107))</f>
        <v>374.92379484653054</v>
      </c>
    </row>
    <row r="96">
      <c r="B96">
        <f>B95+2</f>
        <v>187</v>
      </c>
      <c r="C96">
        <f>$I$11+B96</f>
        <v>39792</v>
      </c>
      <c r="E96">
        <f>IF(($C$12*(ReDiarioFert!C193+ReDiarioFert!C194+ReDiarioFert!C195))&lt;=0,"0",($C$12*(ReDiarioFert!C193+ReDiarioFert!C194+ReDiarioFert!C195)))</f>
        <v>20.320166261482626</v>
      </c>
      <c r="G96">
        <f>$C$12*(ReDiarioFert!E193+ReDiarioFert!E194+ReDiarioFert!E195)</f>
        <v>9.293927810869565</v>
      </c>
      <c r="I96">
        <f>$C$12*(ReDiarioFert!G193+ReDiarioFert!G194+ReDiarioFert!G195)</f>
        <v>25.025</v>
      </c>
      <c r="K96">
        <f>$C$12*(ReDiarioFert!I193+ReDiarioFert!I194+ReDiarioFert!I195)</f>
        <v>16.061441953857763</v>
      </c>
      <c r="M96">
        <f>$C$12*(ReDiarioFert!K193+ReDiarioFert!K194+ReDiarioFert!K195)</f>
        <v>0.0008938834905</v>
      </c>
      <c r="O96">
        <f>$C$12*(ReDiarioFert!M193+ReDiarioFert!M194+ReDiarioFert!M195)</f>
        <v>522.2041214634146</v>
      </c>
      <c r="S96">
        <f>((E96/100)*$G$101+(G96/100)*$G$102+(I96/100)*$G$103+(K96/100)*$G$104+(M96/100)*$G$105+(O96)*$G$106+(Q96*$G$107))</f>
        <v>562.3856922697958</v>
      </c>
    </row>
    <row r="97">
      <c r="C97" t="str">
        <v>Total</v>
      </c>
      <c r="E97">
        <f>SUM(E16:E96)</f>
        <v>1355.8054252530421</v>
      </c>
      <c r="G97">
        <f>SUM(G16:G96)</f>
        <v>520.459957408695</v>
      </c>
      <c r="I97">
        <f>SUM(I16:I96)</f>
        <v>1537.757099890946</v>
      </c>
      <c r="K97">
        <f>SUM(K16:K96)</f>
        <v>986.9568990621804</v>
      </c>
      <c r="M97">
        <f>SUM(M16:M96)</f>
        <v>0.054928099260406635</v>
      </c>
      <c r="O97">
        <f>SUM(O16:O96)</f>
        <v>26010.734505853638</v>
      </c>
      <c r="Q97">
        <f>SUM(Q16:Q96)</f>
        <v>540.5399999999996</v>
      </c>
      <c r="S97">
        <f>SUM(S16:S96)</f>
        <v>35917.14742273209</v>
      </c>
    </row>
    <row r="98">
      <c r="D98" t="str">
        <v>OJO cualquier cultivo que no se termine la cosecha en el ultimo día del calendario solo seguir repitiendo la ultima aplicación de fertilizante.</v>
      </c>
    </row>
    <row r="99" ht="39.75" customHeight="1">
      <c r="B99" t="str">
        <v>Producto</v>
      </c>
      <c r="F99" t="str">
        <v>Lbs/Ha</v>
      </c>
      <c r="G99" t="str">
        <v>Costo por qq</v>
      </c>
    </row>
    <row r="100" ht="24" customHeight="1">
      <c r="G100" t="str">
        <f>Main!$E$25</f>
        <v>Lempiras</v>
      </c>
    </row>
    <row r="101">
      <c r="B101" t="str">
        <f>Main!D42</f>
        <v>Urea</v>
      </c>
      <c r="F101">
        <f>E97/C12</f>
        <v>1354.4509742787636</v>
      </c>
      <c r="G101">
        <f>Main!D43</f>
        <v>650</v>
      </c>
    </row>
    <row r="102">
      <c r="B102" t="str">
        <f>Main!D32</f>
        <v>DAP 18-46-0</v>
      </c>
      <c r="F102">
        <f>G97/C12</f>
        <v>519.9400173913037</v>
      </c>
      <c r="G102">
        <f>Main!D33</f>
        <v>1200</v>
      </c>
    </row>
    <row r="103">
      <c r="B103" t="str">
        <f>Main!D37</f>
        <v>Kcl</v>
      </c>
      <c r="F103">
        <f>I97/C12</f>
        <v>1536.2208790119341</v>
      </c>
      <c r="G103">
        <f>Main!D38</f>
        <v>580</v>
      </c>
    </row>
    <row r="104">
      <c r="B104" t="str">
        <f>Main!D47</f>
        <v>Sulfato de Magnesio</v>
      </c>
      <c r="F104">
        <f>K97/C12</f>
        <v>985.9709281340464</v>
      </c>
      <c r="G104">
        <f>Main!D48</f>
        <v>951</v>
      </c>
    </row>
    <row r="105">
      <c r="B105" t="str">
        <f>Main!D52</f>
        <v>Sin Calcio</v>
      </c>
      <c r="F105">
        <f>M97/C12</f>
        <v>0.054873226034372266</v>
      </c>
      <c r="G105">
        <f>Main!D53</f>
        <v>0</v>
      </c>
    </row>
    <row r="106">
      <c r="B106" t="str">
        <f>Main!D57</f>
        <v>Solubor</v>
      </c>
      <c r="F106">
        <f>O97/C12</f>
        <v>25984.749756097543</v>
      </c>
      <c r="G106">
        <f>Main!D58</f>
        <v>0.04</v>
      </c>
      <c r="I106" t="str">
        <v xml:space="preserve">Preparado y Autorizado Por </v>
      </c>
    </row>
    <row r="107" ht="18" customHeight="1">
      <c r="B107" t="str">
        <f>Main!D61</f>
        <v>Melaza</v>
      </c>
      <c r="F107">
        <f>Q97/C12</f>
        <v>539.9999999999997</v>
      </c>
      <c r="G107">
        <f>Main!D62</f>
        <v>2.8</v>
      </c>
      <c r="I107" t="str">
        <v>MSc Ricardo D. Lardizábal</v>
      </c>
    </row>
    <row r="108" ht="17.4" customHeight="1">
      <c r="B108" t="str">
        <v>NOTA: El Nitrato de Calcio se debe de diluir en un barril aparte para inyectarse al sistema</v>
      </c>
    </row>
    <row r="111">
      <c r="B111" t="str">
        <v>Abreviaciones usadas</v>
      </c>
    </row>
    <row r="112">
      <c r="B112" t="str">
        <v>Mz.-Manzanas, Ha-Hectáreas, Lbs-Libras, Lts-Litros y DDT-Días después de Trasplante</v>
      </c>
    </row>
  </sheetData>
  <sheetProtection sheet="1"/>
  <mergeCells count="53">
    <mergeCell ref="B112:S112"/>
    <mergeCell ref="P2:S3"/>
    <mergeCell ref="A8:M8"/>
    <mergeCell ref="P5:S7"/>
    <mergeCell ref="P9:S12"/>
    <mergeCell ref="F10:H10"/>
    <mergeCell ref="F11:H11"/>
    <mergeCell ref="C9:E9"/>
    <mergeCell ref="B111:C111"/>
    <mergeCell ref="B107:E107"/>
    <mergeCell ref="B105:E105"/>
    <mergeCell ref="B108:I109"/>
    <mergeCell ref="B106:E106"/>
    <mergeCell ref="F9:H9"/>
    <mergeCell ref="G105:H105"/>
    <mergeCell ref="A12:B12"/>
    <mergeCell ref="C12:E12"/>
    <mergeCell ref="G104:H104"/>
    <mergeCell ref="A9:B9"/>
    <mergeCell ref="G103:H103"/>
    <mergeCell ref="A10:B10"/>
    <mergeCell ref="C10:E10"/>
    <mergeCell ref="C11:E11"/>
    <mergeCell ref="A11:B11"/>
    <mergeCell ref="B104:E104"/>
    <mergeCell ref="B99:E99"/>
    <mergeCell ref="B101:E101"/>
    <mergeCell ref="B102:E102"/>
    <mergeCell ref="B103:E103"/>
    <mergeCell ref="A14:A15"/>
    <mergeCell ref="B14:B15"/>
    <mergeCell ref="C14:D14"/>
    <mergeCell ref="E14:F14"/>
    <mergeCell ref="S14:S15"/>
    <mergeCell ref="M14:N14"/>
    <mergeCell ref="Q14:R14"/>
    <mergeCell ref="O14:P14"/>
    <mergeCell ref="G101:H101"/>
    <mergeCell ref="G102:H102"/>
    <mergeCell ref="I14:J14"/>
    <mergeCell ref="K14:L14"/>
    <mergeCell ref="G99:H99"/>
    <mergeCell ref="G100:H100"/>
    <mergeCell ref="G106:H106"/>
    <mergeCell ref="I107:Q107"/>
    <mergeCell ref="I9:M9"/>
    <mergeCell ref="I10:M10"/>
    <mergeCell ref="I11:M11"/>
    <mergeCell ref="I12:M12"/>
    <mergeCell ref="I106:Q106"/>
    <mergeCell ref="G107:H107"/>
    <mergeCell ref="F12:H12"/>
    <mergeCell ref="G14:H14"/>
  </mergeCells>
  <pageMargins left="0.25" right="0.25" top="0.39" bottom="0.5" header="0.27" footer="0.25"/>
  <ignoredErrors>
    <ignoredError numberStoredAsText="1" sqref="A1:V121"/>
  </ignoredErrors>
  <legacyDrawing r:id="rId1"/>
</worksheet>
</file>

<file path=xl/worksheets/sheet5.xml><?xml version="1.0" encoding="utf-8"?>
<worksheet xmlns="http://schemas.openxmlformats.org/spreadsheetml/2006/main" xmlns:r="http://schemas.openxmlformats.org/officeDocument/2006/relationships">
  <dimension ref="A1:V94"/>
  <sheetViews>
    <sheetView workbookViewId="0" rightToLeft="0"/>
  </sheetViews>
  <sheetData>
    <row r="1" ht="56.4" customHeight="1"/>
    <row r="2" ht="32.7" customHeight="1">
      <c r="P2" t="str">
        <v>Calendario de Fertilización para Goteo 2 Veces Por Semana</v>
      </c>
    </row>
    <row r="3" ht="32.7" customHeight="1"/>
    <row r="5">
      <c r="P5" t="str">
        <f>Main!$E$21</f>
        <v>Cunde</v>
      </c>
    </row>
    <row r="6" ht="29.25" customHeight="1"/>
    <row r="7" ht="26.25" customHeight="1"/>
    <row r="8" ht="25.95" customHeight="1">
      <c r="A8" t="str">
        <f>Main!$C$13</f>
        <v>"Sin Fertilización Base"</v>
      </c>
    </row>
    <row r="9" ht="20.1" customHeight="1">
      <c r="A9" t="str">
        <v>Productor</v>
      </c>
      <c r="C9" t="str">
        <f>Main!E17</f>
        <v>Pancho Pérez</v>
      </c>
      <c r="G9" t="str">
        <v>Parcela</v>
      </c>
      <c r="J9" t="str">
        <f>Main!E19</f>
        <v>La Frondosa</v>
      </c>
      <c r="P9" t="str">
        <f>Main!$G$21</f>
        <v>Shingai</v>
      </c>
    </row>
    <row r="10" ht="20.1" customHeight="1">
      <c r="A10" t="str">
        <v>Zona</v>
      </c>
      <c r="C10" t="str">
        <f>Main!E18</f>
        <v>Cantarranas</v>
      </c>
      <c r="G10" t="str">
        <v>Técnico</v>
      </c>
      <c r="J10" t="str">
        <f>Main!E20</f>
        <v>Nelson Galindo</v>
      </c>
    </row>
    <row r="11" ht="20.1" customHeight="1">
      <c r="A11" t="str">
        <v>Área Mz.</v>
      </c>
      <c r="C11">
        <f>Main!E22</f>
        <v>1.43</v>
      </c>
      <c r="G11" t="str">
        <v>Fecha:</v>
      </c>
      <c r="J11">
        <f>Main!E23</f>
        <v>39605</v>
      </c>
    </row>
    <row r="12" ht="20.1" customHeight="1">
      <c r="A12" t="str">
        <v>Área Ha.</v>
      </c>
      <c r="C12">
        <f>Main!I22</f>
        <v>1.001</v>
      </c>
      <c r="G12" t="str">
        <v>Fecha de Cosecha:</v>
      </c>
      <c r="J12">
        <f>J11+Main!E24</f>
        <v>39670</v>
      </c>
    </row>
    <row r="13" ht="19.5" customHeight="1"/>
    <row r="14" ht="28.5" customHeight="1">
      <c r="A14" t="str">
        <v>Semana</v>
      </c>
      <c r="B14" t="str">
        <v>DDT</v>
      </c>
      <c r="C14" t="str">
        <v>FECHA</v>
      </c>
      <c r="E14" t="str">
        <f>Main!$D$42</f>
        <v>Urea</v>
      </c>
      <c r="G14" t="str">
        <f>Main!$D$32</f>
        <v>DAP 18-46-0</v>
      </c>
      <c r="I14" t="str">
        <f>Main!$D$37</f>
        <v>Kcl</v>
      </c>
      <c r="K14" t="str">
        <f>Main!$D$47</f>
        <v>Sulfato de Magnesio</v>
      </c>
      <c r="M14" t="str">
        <f>Main!$D$52</f>
        <v>Sin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f>Main!E52</f>
        <v>0</v>
      </c>
      <c r="N15" t="str">
        <v>Cambios</v>
      </c>
      <c r="O15" t="str">
        <f>Main!E57</f>
        <v>Gramos</v>
      </c>
      <c r="P15" t="str">
        <v>Cambios</v>
      </c>
      <c r="Q15" t="str">
        <f>Main!$E$61</f>
        <v>Lts</v>
      </c>
      <c r="R15" t="str">
        <v>Cambios</v>
      </c>
    </row>
    <row r="16" ht="18.75" customHeight="1">
      <c r="A16">
        <v>1</v>
      </c>
      <c r="B16">
        <v>3</v>
      </c>
      <c r="C16">
        <f>$J$11+B16</f>
        <v>39608</v>
      </c>
      <c r="D16" t="str">
        <f>Main!$H$81</f>
        <v>Furadan 48 SC</v>
      </c>
      <c r="E16">
        <f>IF(((SUM(ReDiarioFert!C7:C13)/2)*$C$12)&lt;=0,"0",(((SUM(ReDiarioFert!C7:C13)/2)*$C$12)))</f>
        <v>14.68891327495274</v>
      </c>
      <c r="G16">
        <f>IF(((SUM(ReDiarioFert!E7:E13)/2)*$C$12)&lt;=0,"0",(((SUM(ReDiarioFert!E7:E13)/2)*$C$12)))</f>
        <v>7.228610519565216</v>
      </c>
      <c r="I16">
        <f>IF(((SUM(ReDiarioFert!G7:G13)/2)*$C$12)&lt;=0,"0",(((SUM(ReDiarioFert!G7:G13)/2)*$C$12)))</f>
        <v>15.148496911881669</v>
      </c>
      <c r="K16">
        <f>IF(((SUM(ReDiarioFert!I7:I13)/2)*$C$12)&lt;=0,"0",(((SUM(ReDiarioFert!I7:I13)/2)*$C$12)))</f>
        <v>9.72254560792731</v>
      </c>
      <c r="M16">
        <f>IF(((SUM(ReDiarioFert!K7:K13)/2)*$C$12)&lt;=0,"0",(((SUM(ReDiarioFert!K7:K13)/2)*$C$12)))</f>
        <v>0.0005410985532635866</v>
      </c>
      <c r="O16">
        <f>IF(((SUM(ReDiarioFert!M7:M13)/2)*$C$12)&lt;=0,"0",(((SUM(ReDiarioFert!M7:M13)/2)*$C$12)))</f>
        <v>87.03377609756097</v>
      </c>
      <c r="Q16">
        <f>$C$12*Main!$D$63</f>
        <v>20.019999999999996</v>
      </c>
      <c r="R16">
        <f>Main!$K$81*Main!$I$22</f>
        <v>3.788785</v>
      </c>
      <c r="S16">
        <f>((E16/100)*$G$74+(G16/100)*$G$75+(I16/100)*$G$76+(K16/100)*$G$77+(M16/100)*$G$78+(O16)*$G$79+(Q16*$G$80)+(R16*Main!$J$81))</f>
        <v>1873.18595938618</v>
      </c>
    </row>
    <row r="17" ht="18.75" customHeight="1">
      <c r="B17">
        <v>7</v>
      </c>
      <c r="C17">
        <f>$J$11+B17</f>
        <v>39612</v>
      </c>
      <c r="E17">
        <f>E16</f>
        <v>14.68891327495274</v>
      </c>
      <c r="G17">
        <f>G16</f>
        <v>7.228610519565216</v>
      </c>
      <c r="I17">
        <f>I16</f>
        <v>15.148496911881669</v>
      </c>
      <c r="K17">
        <f>K16</f>
        <v>9.72254560792731</v>
      </c>
      <c r="M17">
        <f>M16</f>
        <v>0.0005410985532635866</v>
      </c>
      <c r="O17">
        <f>O16</f>
        <v>87.03377609756097</v>
      </c>
      <c r="S17">
        <f>((E17/100)*$G$74+(G17/100)*$G$75+(I17/100)*$G$76+(K17/100)*$G$77+(M17/100)*$G$78+(O17)*$G$79+(Q17*$G$80))</f>
        <v>366.0253043861802</v>
      </c>
    </row>
    <row r="18">
      <c r="A18">
        <v>2</v>
      </c>
      <c r="B18">
        <f>B17+3</f>
        <v>10</v>
      </c>
      <c r="C18">
        <f>$J$11+B18</f>
        <v>39615</v>
      </c>
      <c r="E18">
        <f>IF(((SUM(ReDiarioFert!C14:C20)/2)*$C$12)&lt;=0,"0",(((SUM(ReDiarioFert!C14:C20)/2)*$C$12)))</f>
        <v>23.461876025009357</v>
      </c>
      <c r="G18">
        <f>IF(((SUM(ReDiarioFert!E14:E20)/2)*$C$12)&lt;=0,"0",(((SUM(ReDiarioFert!E14:E20)/2)*$C$12)))</f>
        <v>7.228610519565216</v>
      </c>
      <c r="I18">
        <f>IF(((SUM(ReDiarioFert!G14:G20)/2)*$C$12)&lt;=0,"0",(((SUM(ReDiarioFert!G14:G20)/2)*$C$12)))</f>
        <v>22.72765176358343</v>
      </c>
      <c r="K18">
        <f>IF(((SUM(ReDiarioFert!I14:I20)/2)*$C$12)&lt;=0,"0",(((SUM(ReDiarioFert!I14:I20)/2)*$C$12)))</f>
        <v>14.586967414517012</v>
      </c>
      <c r="M18">
        <f>IF(((SUM(ReDiarioFert!K14:K20)/2)*$C$12)&lt;=0,"0",(((SUM(ReDiarioFert!K14:K20)/2)*$C$12)))</f>
        <v>0.00081182308448753</v>
      </c>
      <c r="O18">
        <f>IF(((SUM(ReDiarioFert!M14:M20)/2)*$C$12)&lt;=0,"0",(((SUM(ReDiarioFert!M14:M20)/2)*$C$12)))</f>
        <v>126.82084048780487</v>
      </c>
      <c r="Q18">
        <f>$C$12*Main!$D$63</f>
        <v>20.019999999999996</v>
      </c>
      <c r="S18">
        <f>((E18/100)*$G$74+(G18/100)*$G$75+(I18/100)*$G$76+(K18/100)*$G$77+(M18/100)*$G$78+(O18)*$G$79+(Q18*$G$80))</f>
        <v>570.9167943576963</v>
      </c>
    </row>
    <row r="19">
      <c r="B19">
        <f>B18+4</f>
        <v>14</v>
      </c>
      <c r="C19">
        <f>$J$11+B19</f>
        <v>39619</v>
      </c>
      <c r="E19">
        <f>E18</f>
        <v>23.461876025009357</v>
      </c>
      <c r="G19">
        <f>G18</f>
        <v>7.228610519565216</v>
      </c>
      <c r="I19">
        <f>I18</f>
        <v>22.72765176358343</v>
      </c>
      <c r="K19">
        <f>K18</f>
        <v>14.586967414517012</v>
      </c>
      <c r="M19">
        <f>M18</f>
        <v>0.00081182308448753</v>
      </c>
      <c r="O19">
        <f>O18</f>
        <v>126.82084048780487</v>
      </c>
      <c r="S19">
        <f>((E19/100)*$G$74+(G19/100)*$G$75+(I19/100)*$G$76+(K19/100)*$G$77+(M19/100)*$G$78+(O19)*$G$79+(Q19*$G$80))</f>
        <v>514.8607943576962</v>
      </c>
    </row>
    <row r="20">
      <c r="A20">
        <v>3</v>
      </c>
      <c r="B20">
        <f>B19+3</f>
        <v>17</v>
      </c>
      <c r="C20">
        <f>$J$11+B20</f>
        <v>39622</v>
      </c>
      <c r="E20">
        <f>IF(((SUM(ReDiarioFert!C21:C27)/2)*$C$12)&lt;=0,"0",(((SUM(ReDiarioFert!C21:C27)/2)*$C$12)))</f>
        <v>23.461876025009357</v>
      </c>
      <c r="G20">
        <f>IF(((SUM(ReDiarioFert!E21:E27)/2)*$C$12)&lt;=0,"0",(((SUM(ReDiarioFert!E21:E27)/2)*$C$12)))</f>
        <v>7.228610519565216</v>
      </c>
      <c r="I20">
        <f>IF(((SUM(ReDiarioFert!G21:G27)/2)*$C$12)&lt;=0,"0",(((SUM(ReDiarioFert!G21:G27)/2)*$C$12)))</f>
        <v>22.72765176358343</v>
      </c>
      <c r="K20">
        <f>IF(((SUM(ReDiarioFert!I21:I27)/2)*$C$12)&lt;=0,"0",(((SUM(ReDiarioFert!I21:I27)/2)*$C$12)))</f>
        <v>14.586967414517012</v>
      </c>
      <c r="M20">
        <f>IF(((SUM(ReDiarioFert!K21:K27)/2)*$C$12)&lt;=0,"0",(((SUM(ReDiarioFert!K21:K27)/2)*$C$12)))</f>
        <v>0.00081182308448753</v>
      </c>
      <c r="O20">
        <f>IF(((SUM(ReDiarioFert!M21:M27)/2)*$C$12)&lt;=0,"0",(((SUM(ReDiarioFert!M21:M27)/2)*$C$12)))</f>
        <v>186.50070463414633</v>
      </c>
      <c r="Q20">
        <f>$C$12*Main!$D$63</f>
        <v>20.019999999999996</v>
      </c>
      <c r="S20">
        <f>((E20/100)*$G$74+(G20/100)*$G$75+(I20/100)*$G$76+(K20/100)*$G$77+(M20/100)*$G$78+(O20)*$G$79+(Q20*$G$80))</f>
        <v>573.3039889235499</v>
      </c>
    </row>
    <row r="21">
      <c r="B21">
        <f>B20+4</f>
        <v>21</v>
      </c>
      <c r="C21">
        <f>$J$11+B21</f>
        <v>39626</v>
      </c>
      <c r="E21">
        <f>E20</f>
        <v>23.461876025009357</v>
      </c>
      <c r="G21">
        <f>G20</f>
        <v>7.228610519565216</v>
      </c>
      <c r="I21">
        <f>I20</f>
        <v>22.72765176358343</v>
      </c>
      <c r="K21">
        <f>K20</f>
        <v>14.586967414517012</v>
      </c>
      <c r="M21">
        <f>M20</f>
        <v>0.00081182308448753</v>
      </c>
      <c r="O21">
        <f>O20</f>
        <v>186.50070463414633</v>
      </c>
      <c r="S21">
        <f>((E21/100)*$G$74+(G21/100)*$G$75+(I21/100)*$G$76+(K21/100)*$G$77+(M21/100)*$G$78+(O21)*$G$79+(Q21*$G$80))</f>
        <v>517.24798892355</v>
      </c>
    </row>
    <row r="22">
      <c r="A22">
        <v>4</v>
      </c>
      <c r="B22">
        <f>B21+3</f>
        <v>24</v>
      </c>
      <c r="C22">
        <f>$J$11+B22</f>
        <v>39629</v>
      </c>
      <c r="E22">
        <f>IF(((SUM(ReDiarioFert!C28:C34)/2)*$C$12)&lt;=0,"0",(((SUM(ReDiarioFert!C28:C34)/2)*$C$12)))</f>
        <v>32.40437920824817</v>
      </c>
      <c r="G22">
        <f>IF(((SUM(ReDiarioFert!E28:E34)/2)*$C$12)&lt;=0,"0",(((SUM(ReDiarioFert!E28:E34)/2)*$C$12)))</f>
        <v>7.228610519565216</v>
      </c>
      <c r="I22">
        <f>IF(((SUM(ReDiarioFert!G28:G34)/2)*$C$12)&lt;=0,"0",(((SUM(ReDiarioFert!G28:G34)/2)*$C$12)))</f>
        <v>30.458291584404016</v>
      </c>
      <c r="K22">
        <f>IF(((SUM(ReDiarioFert!I28:I34)/2)*$C$12)&lt;=0,"0",(((SUM(ReDiarioFert!I28:I34)/2)*$C$12)))</f>
        <v>19.548614677186002</v>
      </c>
      <c r="M22">
        <f>IF(((SUM(ReDiarioFert!K28:K34)/2)*$C$12)&lt;=0,"0",(((SUM(ReDiarioFert!K28:K34)/2)*$C$12)))</f>
        <v>0.0010879586012441094</v>
      </c>
      <c r="O22">
        <f>IF(((SUM(ReDiarioFert!M28:M34)/2)*$C$12)&lt;=0,"0",(((SUM(ReDiarioFert!M28:M34)/2)*$C$12)))</f>
        <v>208.88037902439024</v>
      </c>
      <c r="Q22">
        <f>$C$12*Main!$D$63</f>
        <v>20.019999999999996</v>
      </c>
      <c r="S22">
        <f>((E22/100)*$G$74+(G22/100)*$G$75+(I22/100)*$G$76+(K22/100)*$G$77+(M22/100)*$G$78+(O22)*$G$79+(Q22*$G$80))</f>
        <v>724.3484230189536</v>
      </c>
    </row>
    <row r="23">
      <c r="B23">
        <f>B22+4</f>
        <v>28</v>
      </c>
      <c r="C23">
        <f>$J$11+B23</f>
        <v>39633</v>
      </c>
      <c r="D23" t="str">
        <f>Main!$H$83</f>
        <v>Acido Salicílico</v>
      </c>
      <c r="E23">
        <f>E22</f>
        <v>32.40437920824817</v>
      </c>
      <c r="G23">
        <f>G22</f>
        <v>7.228610519565216</v>
      </c>
      <c r="I23">
        <f>I22</f>
        <v>30.458291584404016</v>
      </c>
      <c r="K23">
        <f>K22</f>
        <v>19.548614677186002</v>
      </c>
      <c r="M23">
        <f>M22</f>
        <v>0.0010879586012441094</v>
      </c>
      <c r="O23">
        <f>O22</f>
        <v>208.88037902439024</v>
      </c>
      <c r="R23">
        <f>Main!$K$83*Main!$I$22</f>
        <v>250.24999999999997</v>
      </c>
      <c r="S23">
        <f>((E23/100)*$G$74+(G23/100)*$G$75+(I23/100)*$G$76+(K23/100)*$G$77+(M23/100)*$G$78+(O23)*$G$79+(Q23*$G$80)+(R23*Main!$J$83))</f>
        <v>710.8349230189535</v>
      </c>
    </row>
    <row r="24">
      <c r="A24">
        <v>5</v>
      </c>
      <c r="B24">
        <f>B23+3</f>
        <v>31</v>
      </c>
      <c r="C24">
        <f>$J$11+B24</f>
        <v>39636</v>
      </c>
      <c r="D24" t="str">
        <f>Main!$H$86</f>
        <v>BaZam</v>
      </c>
      <c r="E24">
        <f>IF(((SUM(ReDiarioFert!C35:C41)/2)*$C$12)&lt;=0,"0",(((SUM(ReDiarioFert!C35:C41)/2)*$C$12)))</f>
        <v>32.40437920824817</v>
      </c>
      <c r="G24">
        <f>IF(((SUM(ReDiarioFert!E35:E41)/2)*$C$12)&lt;=0,"0",(((SUM(ReDiarioFert!E35:E41)/2)*$C$12)))</f>
        <v>7.228610519565216</v>
      </c>
      <c r="I24">
        <f>IF(((SUM(ReDiarioFert!G35:G41)/2)*$C$12)&lt;=0,"0",(((SUM(ReDiarioFert!G35:G41)/2)*$C$12)))</f>
        <v>30.458291584404016</v>
      </c>
      <c r="K24">
        <f>IF(((SUM(ReDiarioFert!I35:I41)/2)*$C$12)&lt;=0,"0",(((SUM(ReDiarioFert!I35:I41)/2)*$C$12)))</f>
        <v>19.548614677186002</v>
      </c>
      <c r="M24">
        <f>IF(((SUM(ReDiarioFert!K35:K41)/2)*$C$12)&lt;=0,"0",(((SUM(ReDiarioFert!K35:K41)/2)*$C$12)))</f>
        <v>0.0010879586012441094</v>
      </c>
      <c r="O24">
        <f>IF(((SUM(ReDiarioFert!M35:M41)/2)*$C$12)&lt;=0,"0",(((SUM(ReDiarioFert!M35:M41)/2)*$C$12)))</f>
        <v>246.18130121951222</v>
      </c>
      <c r="Q24">
        <f>$C$12*Main!$D$63</f>
        <v>20.019999999999996</v>
      </c>
      <c r="R24">
        <f>Main!$K$86*Main!$I$22</f>
        <v>1.001</v>
      </c>
      <c r="S24">
        <f>((E24/100)*$G$74+(G24/100)*$G$75+(I24/100)*$G$76+(K24/100)*$G$77+(M24/100)*$G$78+(O24)*$G$79+(Q24*$G$80)+(R24*Main!$J$86))</f>
        <v>1106.2204599067582</v>
      </c>
    </row>
    <row r="25">
      <c r="B25">
        <f>B24+4</f>
        <v>35</v>
      </c>
      <c r="C25">
        <f>$J$11+B25</f>
        <v>39640</v>
      </c>
      <c r="D25" t="str">
        <f>Main!$H$84</f>
        <v>Acido Fosforoso</v>
      </c>
      <c r="E25">
        <f>E24</f>
        <v>32.40437920824817</v>
      </c>
      <c r="G25">
        <f>G24</f>
        <v>7.228610519565216</v>
      </c>
      <c r="I25">
        <f>I24</f>
        <v>30.458291584404016</v>
      </c>
      <c r="K25">
        <f>K24</f>
        <v>19.548614677186002</v>
      </c>
      <c r="M25">
        <f>M24</f>
        <v>0.0010879586012441094</v>
      </c>
      <c r="O25">
        <f>O24</f>
        <v>246.18130121951222</v>
      </c>
      <c r="R25">
        <f>Main!$K$84*Main!$I$22</f>
        <v>5.004999999999999</v>
      </c>
      <c r="S25">
        <f>((E25/100)*$G$74+(G25/100)*$G$75+(I25/100)*$G$76+(K25/100)*$G$77+(M25/100)*$G$78+(O25)*$G$79+(Q25*$G$80)+(R25*Main!$J$84))</f>
        <v>1070.1844599067583</v>
      </c>
    </row>
    <row r="26">
      <c r="A26">
        <v>6</v>
      </c>
      <c r="B26">
        <f>B25+3</f>
        <v>38</v>
      </c>
      <c r="C26">
        <f>$J$11+B26</f>
        <v>39643</v>
      </c>
      <c r="E26">
        <f>IF(((SUM(ReDiarioFert!C42:C48)/2)*$C$12)&lt;=0,"0",(((SUM(ReDiarioFert!C42:C48)/2)*$C$12)))</f>
        <v>32.40437920824817</v>
      </c>
      <c r="G26">
        <f>IF(((SUM(ReDiarioFert!E42:E48)/2)*$C$12)&lt;=0,"0",(((SUM(ReDiarioFert!E42:E48)/2)*$C$12)))</f>
        <v>7.228610519565216</v>
      </c>
      <c r="I26">
        <f>IF(((SUM(ReDiarioFert!G42:G48)/2)*$C$12)&lt;=0,"0",(((SUM(ReDiarioFert!G42:G48)/2)*$C$12)))</f>
        <v>30.458291584404016</v>
      </c>
      <c r="K26">
        <f>IF(((SUM(ReDiarioFert!I42:I48)/2)*$C$12)&lt;=0,"0",(((SUM(ReDiarioFert!I42:I48)/2)*$C$12)))</f>
        <v>19.548614677186002</v>
      </c>
      <c r="M26">
        <f>IF(((SUM(ReDiarioFert!K42:K48)/2)*$C$12)&lt;=0,"0",(((SUM(ReDiarioFert!K42:K48)/2)*$C$12)))</f>
        <v>0.0010879586012441094</v>
      </c>
      <c r="O26">
        <f>IF(((SUM(ReDiarioFert!M42:M48)/2)*$C$12)&lt;=0,"0",(((SUM(ReDiarioFert!M42:M48)/2)*$C$12)))</f>
        <v>295.9158641463415</v>
      </c>
      <c r="Q26">
        <f>$C$12*Main!$D$63</f>
        <v>20.019999999999996</v>
      </c>
      <c r="S26">
        <f>((E26/100)*$G$74+(G26/100)*$G$75+(I26/100)*$G$76+(K26/100)*$G$77+(M26/100)*$G$78+(O26)*$G$79+(Q26*$G$80))</f>
        <v>727.8298424238315</v>
      </c>
    </row>
    <row r="27">
      <c r="B27">
        <f>B26+4</f>
        <v>42</v>
      </c>
      <c r="C27">
        <f>$J$11+B27</f>
        <v>39647</v>
      </c>
      <c r="E27">
        <f>E26</f>
        <v>32.40437920824817</v>
      </c>
      <c r="G27">
        <f>G26</f>
        <v>7.228610519565216</v>
      </c>
      <c r="I27">
        <f>I26</f>
        <v>30.458291584404016</v>
      </c>
      <c r="K27">
        <f>K26</f>
        <v>19.548614677186002</v>
      </c>
      <c r="M27">
        <f>M26</f>
        <v>0.0010879586012441094</v>
      </c>
      <c r="O27">
        <f>O26</f>
        <v>295.9158641463415</v>
      </c>
      <c r="S27">
        <f>((E27/100)*$G$74+(G27/100)*$G$75+(I27/100)*$G$76+(K27/100)*$G$77+(M27/100)*$G$78+(O27)*$G$79+(Q27*$G$80))</f>
        <v>671.7738424238315</v>
      </c>
    </row>
    <row r="28">
      <c r="A28">
        <v>7</v>
      </c>
      <c r="B28">
        <f>B27+3</f>
        <v>45</v>
      </c>
      <c r="C28">
        <f>$J$11+B28</f>
        <v>39650</v>
      </c>
      <c r="E28">
        <f>IF(((SUM(ReDiarioFert!C49:C55)/2)*$C$12)&lt;=0,"0",(((SUM(ReDiarioFert!C49:C55)/2)*$C$12)))</f>
        <v>32.40437920824817</v>
      </c>
      <c r="G28">
        <f>IF(((SUM(ReDiarioFert!E49:E55)/2)*$C$12)&lt;=0,"0",(((SUM(ReDiarioFert!E49:E55)/2)*$C$12)))</f>
        <v>7.228610519565216</v>
      </c>
      <c r="I28">
        <f>IF(((SUM(ReDiarioFert!G49:G55)/2)*$C$12)&lt;=0,"0",(((SUM(ReDiarioFert!G49:G55)/2)*$C$12)))</f>
        <v>30.458291584404016</v>
      </c>
      <c r="K28">
        <f>IF(((SUM(ReDiarioFert!I49:I55)/2)*$C$12)&lt;=0,"0",(((SUM(ReDiarioFert!I49:I55)/2)*$C$12)))</f>
        <v>19.548614677186002</v>
      </c>
      <c r="M28">
        <f>IF(((SUM(ReDiarioFert!K49:K55)/2)*$C$12)&lt;=0,"0",(((SUM(ReDiarioFert!K49:K55)/2)*$C$12)))</f>
        <v>0.0010879586012441094</v>
      </c>
      <c r="O28">
        <f>IF(((SUM(ReDiarioFert!M49:M55)/2)*$C$12)&lt;=0,"0",(((SUM(ReDiarioFert!M49:M55)/2)*$C$12)))</f>
        <v>325.75591829268296</v>
      </c>
      <c r="Q28">
        <f>$C$12*Main!$D$63</f>
        <v>20.019999999999996</v>
      </c>
      <c r="S28">
        <f>((E28/100)*$G$74+(G28/100)*$G$75+(I28/100)*$G$76+(K28/100)*$G$77+(M28/100)*$G$78+(O28)*$G$79+(Q28*$G$80))</f>
        <v>729.0234445896851</v>
      </c>
    </row>
    <row r="29">
      <c r="B29">
        <f>B28+4</f>
        <v>49</v>
      </c>
      <c r="C29">
        <f>$J$11+B29</f>
        <v>39654</v>
      </c>
      <c r="D29" t="str">
        <f>Main!$H$83</f>
        <v>Acido Salicílico</v>
      </c>
      <c r="E29">
        <f>E28</f>
        <v>32.40437920824817</v>
      </c>
      <c r="G29">
        <f>G28</f>
        <v>7.228610519565216</v>
      </c>
      <c r="I29">
        <f>I28</f>
        <v>30.458291584404016</v>
      </c>
      <c r="K29">
        <f>K28</f>
        <v>19.548614677186002</v>
      </c>
      <c r="M29">
        <f>M28</f>
        <v>0.0010879586012441094</v>
      </c>
      <c r="O29">
        <f>O28</f>
        <v>325.75591829268296</v>
      </c>
      <c r="R29">
        <f>Main!$K$83*Main!$I$22</f>
        <v>250.24999999999997</v>
      </c>
      <c r="S29">
        <f>((E29/100)*$G$74+(G29/100)*$G$75+(I29/100)*$G$76+(K29/100)*$G$77+(M29/100)*$G$78+(O29)*$G$79+(Q29*$G$80)+(R29*Main!$J$83))</f>
        <v>715.5099445896852</v>
      </c>
    </row>
    <row r="30">
      <c r="A30">
        <v>8</v>
      </c>
      <c r="B30">
        <f>B29+3</f>
        <v>52</v>
      </c>
      <c r="C30">
        <f>$J$11+B30</f>
        <v>39657</v>
      </c>
      <c r="E30">
        <f>IF(((SUM(ReDiarioFert!C56:C62)/2)*$C$12)&lt;=0,"0",(((SUM(ReDiarioFert!C56:C62)/2)*$C$12)))</f>
        <v>29.974519488710563</v>
      </c>
      <c r="G30">
        <f>IF(((SUM(ReDiarioFert!E56:E62)/2)*$C$12)&lt;=0,"0",(((SUM(ReDiarioFert!E56:E62)/2)*$C$12)))</f>
        <v>7.228610519565216</v>
      </c>
      <c r="I30">
        <f>IF(((SUM(ReDiarioFert!G56:G62)/2)*$C$12)&lt;=0,"0",(((SUM(ReDiarioFert!G56:G62)/2)*$C$12)))</f>
        <v>30.458291584404016</v>
      </c>
      <c r="K30">
        <f>IF(((SUM(ReDiarioFert!I56:I62)/2)*$C$12)&lt;=0,"0",(((SUM(ReDiarioFert!I56:I62)/2)*$C$12)))</f>
        <v>19.548614677186002</v>
      </c>
      <c r="M30">
        <f>IF(((SUM(ReDiarioFert!K56:K62)/2)*$C$12)&lt;=0,"0",(((SUM(ReDiarioFert!K56:K62)/2)*$C$12)))</f>
        <v>0.0010879586012441094</v>
      </c>
      <c r="O30">
        <f>IF(((SUM(ReDiarioFert!M56:M62)/2)*$C$12)&lt;=0,"0",(((SUM(ReDiarioFert!M56:M62)/2)*$C$12)))</f>
        <v>400.35605365853655</v>
      </c>
      <c r="Q30">
        <f>$C$12*Main!$D$63</f>
        <v>20.019999999999996</v>
      </c>
      <c r="S30">
        <f>((E30/100)*$G$74+(G30/100)*$G$75+(I30/100)*$G$76+(K30/100)*$G$77+(M30/100)*$G$78+(O30)*$G$79+(Q30*$G$80))</f>
        <v>716.2133618273249</v>
      </c>
    </row>
    <row r="31">
      <c r="B31">
        <f>B30+4</f>
        <v>56</v>
      </c>
      <c r="C31">
        <f>$J$11+B31</f>
        <v>39661</v>
      </c>
      <c r="E31">
        <f>E30</f>
        <v>29.974519488710563</v>
      </c>
      <c r="G31">
        <f>G30</f>
        <v>7.228610519565216</v>
      </c>
      <c r="I31">
        <f>I30</f>
        <v>30.458291584404016</v>
      </c>
      <c r="K31">
        <f>K30</f>
        <v>19.548614677186002</v>
      </c>
      <c r="M31">
        <f>M30</f>
        <v>0.0010879586012441094</v>
      </c>
      <c r="O31">
        <f>O30</f>
        <v>400.35605365853655</v>
      </c>
      <c r="S31">
        <f>((E31/100)*$G$74+(G31/100)*$G$75+(I31/100)*$G$76+(K31/100)*$G$77+(M31/100)*$G$78+(O31)*$G$79+(Q31*$G$80))</f>
        <v>660.1573618273248</v>
      </c>
    </row>
    <row r="32">
      <c r="A32">
        <v>9</v>
      </c>
      <c r="B32">
        <f>B31+3</f>
        <v>59</v>
      </c>
      <c r="C32">
        <f>$J$11+B32</f>
        <v>39664</v>
      </c>
      <c r="D32" t="str">
        <f>Main!$H$85</f>
        <v>TricoZam</v>
      </c>
      <c r="E32">
        <f>IF(((SUM(ReDiarioFert!C63:C69)/2)*$C$12)&lt;=0,"0",(((SUM(ReDiarioFert!C63:C69)/2)*$C$12)))</f>
        <v>29.974519488710563</v>
      </c>
      <c r="G32">
        <f>IF(((SUM(ReDiarioFert!E63:E69)/2)*$C$12)&lt;=0,"0",(((SUM(ReDiarioFert!E63:E69)/2)*$C$12)))</f>
        <v>7.228610519565216</v>
      </c>
      <c r="I32">
        <f>IF(((SUM(ReDiarioFert!G63:G69)/2)*$C$12)&lt;=0,"0",(((SUM(ReDiarioFert!G63:G69)/2)*$C$12)))</f>
        <v>30.458291584404016</v>
      </c>
      <c r="K32">
        <f>IF(((SUM(ReDiarioFert!I63:I69)/2)*$C$12)&lt;=0,"0",(((SUM(ReDiarioFert!I63:I69)/2)*$C$12)))</f>
        <v>19.548614677186002</v>
      </c>
      <c r="M32">
        <f>IF(((SUM(ReDiarioFert!K63:K69)/2)*$C$12)&lt;=0,"0",(((SUM(ReDiarioFert!K63:K69)/2)*$C$12)))</f>
        <v>0.0010879586012441094</v>
      </c>
      <c r="O32">
        <f>IF(((SUM(ReDiarioFert!M63:M69)/2)*$C$12)&lt;=0,"0",(((SUM(ReDiarioFert!M63:M69)/2)*$C$12)))</f>
        <v>415.27632487804874</v>
      </c>
      <c r="Q32">
        <f>$C$12*Main!$D$63</f>
        <v>20.019999999999996</v>
      </c>
      <c r="R32">
        <f>Main!$K$85*Main!$I$22</f>
        <v>1.001</v>
      </c>
      <c r="S32">
        <f>((E32/100)*$G$74+(G32/100)*$G$75+(I32/100)*$G$76+(K32/100)*$G$77+(M32/100)*$G$78+(O32)*$G$79+(Q32*$G$80)+(R32*Main!$J$85))</f>
        <v>1097.1901726761052</v>
      </c>
    </row>
    <row r="33">
      <c r="B33">
        <f>B32+4</f>
        <v>63</v>
      </c>
      <c r="C33">
        <f>$J$11+B33</f>
        <v>39668</v>
      </c>
      <c r="E33">
        <f>E32</f>
        <v>29.974519488710563</v>
      </c>
      <c r="G33">
        <f>G32</f>
        <v>7.228610519565216</v>
      </c>
      <c r="I33">
        <f>I32</f>
        <v>30.458291584404016</v>
      </c>
      <c r="K33">
        <f>K32</f>
        <v>19.548614677186002</v>
      </c>
      <c r="M33">
        <f>M32</f>
        <v>0.0010879586012441094</v>
      </c>
      <c r="O33">
        <f>O32</f>
        <v>415.27632487804874</v>
      </c>
      <c r="S33">
        <f>((E33/100)*$G$74+(G33/100)*$G$75+(I33/100)*$G$76+(K33/100)*$G$77+(M33/100)*$G$78+(O33)*$G$79+(Q33*$G$80))</f>
        <v>660.7541726761053</v>
      </c>
    </row>
    <row r="34">
      <c r="A34">
        <v>10</v>
      </c>
      <c r="B34">
        <f>B33+3</f>
        <v>66</v>
      </c>
      <c r="C34">
        <f>$J$11+B34</f>
        <v>39671</v>
      </c>
      <c r="E34">
        <f>IF(((SUM(ReDiarioFert!C70:C76)/2)*$C$12)&lt;=0,"0",(((SUM(ReDiarioFert!C70:C76)/2)*$C$12)))</f>
        <v>23.706860638396396</v>
      </c>
      <c r="G34">
        <f>IF(((SUM(ReDiarioFert!E70:E76)/2)*$C$12)&lt;=0,"0",(((SUM(ReDiarioFert!E70:E76)/2)*$C$12)))</f>
        <v>10.842915779347825</v>
      </c>
      <c r="I34">
        <f>IF(((SUM(ReDiarioFert!G70:G76)/2)*$C$12)&lt;=0,"0",(((SUM(ReDiarioFert!G70:G76)/2)*$C$12)))</f>
        <v>29.195833333333336</v>
      </c>
      <c r="K34">
        <f>IF(((SUM(ReDiarioFert!I70:I76)/2)*$C$12)&lt;=0,"0",(((SUM(ReDiarioFert!I70:I76)/2)*$C$12)))</f>
        <v>18.738348946167388</v>
      </c>
      <c r="M34">
        <f>IF(((SUM(ReDiarioFert!K70:K76)/2)*$C$12)&lt;=0,"0",(((SUM(ReDiarioFert!K70:K76)/2)*$C$12)))</f>
        <v>0.0010428640722500002</v>
      </c>
      <c r="O34">
        <f>IF(((SUM(ReDiarioFert!M70:M76)/2)*$C$12)&lt;=0,"0",(((SUM(ReDiarioFert!M70:M76)/2)*$C$12)))</f>
        <v>504.797952195122</v>
      </c>
      <c r="Q34">
        <f>$C$12*Main!$D$63</f>
        <v>20.019999999999996</v>
      </c>
      <c r="S34">
        <f>((E34/100)*$G$74+(G34/100)*$G$75+(I34/100)*$G$76+(K34/100)*$G$77+(M34/100)*$G$78+(O34)*$G$79+(Q34*$G$80))</f>
        <v>707.9950334009407</v>
      </c>
    </row>
    <row r="35">
      <c r="B35">
        <f>B34+4</f>
        <v>70</v>
      </c>
      <c r="C35">
        <f>$J$11+B35</f>
        <v>39675</v>
      </c>
      <c r="D35" t="str">
        <f>Main!$H$83</f>
        <v>Acido Salicílico</v>
      </c>
      <c r="E35">
        <f>E34</f>
        <v>23.706860638396396</v>
      </c>
      <c r="G35">
        <f>G34</f>
        <v>10.842915779347825</v>
      </c>
      <c r="I35">
        <f>I34</f>
        <v>29.195833333333336</v>
      </c>
      <c r="K35">
        <f>K34</f>
        <v>18.738348946167388</v>
      </c>
      <c r="M35">
        <f>M34</f>
        <v>0.0010428640722500002</v>
      </c>
      <c r="O35">
        <f>O34</f>
        <v>504.797952195122</v>
      </c>
      <c r="R35">
        <f>Main!$K$83*Main!$I$22</f>
        <v>250.24999999999997</v>
      </c>
      <c r="S35">
        <f>((E35/100)*$G$74+(G35/100)*$G$75+(I35/100)*$G$76+(K35/100)*$G$77+(M35/100)*$G$78+(O35)*$G$79+(Q35*$G$80)+(R35*Main!$J$83))</f>
        <v>694.4815334009406</v>
      </c>
    </row>
    <row r="36">
      <c r="A36">
        <v>11</v>
      </c>
      <c r="B36">
        <f>B35+3</f>
        <v>73</v>
      </c>
      <c r="C36">
        <f>$J$11+B36</f>
        <v>39678</v>
      </c>
      <c r="E36">
        <f>IF(((SUM(ReDiarioFert!C77:C83)/2)*$C$12)&lt;=0,"0",(((SUM(ReDiarioFert!C77:C83)/2)*$C$12)))</f>
        <v>23.706860638396396</v>
      </c>
      <c r="G36">
        <f>IF(((SUM(ReDiarioFert!E77:E83)/2)*$C$12)&lt;=0,"0",(((SUM(ReDiarioFert!E77:E83)/2)*$C$12)))</f>
        <v>10.842915779347825</v>
      </c>
      <c r="I36">
        <f>IF(((SUM(ReDiarioFert!G77:G83)/2)*$C$12)&lt;=0,"0",(((SUM(ReDiarioFert!G77:G83)/2)*$C$12)))</f>
        <v>29.195833333333336</v>
      </c>
      <c r="K36">
        <f>IF(((SUM(ReDiarioFert!I77:I83)/2)*$C$12)&lt;=0,"0",(((SUM(ReDiarioFert!I77:I83)/2)*$C$12)))</f>
        <v>18.738348946167388</v>
      </c>
      <c r="M36">
        <f>IF(((SUM(ReDiarioFert!K77:K83)/2)*$C$12)&lt;=0,"0",(((SUM(ReDiarioFert!K77:K83)/2)*$C$12)))</f>
        <v>0.0010428640722500002</v>
      </c>
      <c r="O36">
        <f>IF(((SUM(ReDiarioFert!M77:M83)/2)*$C$12)&lt;=0,"0",(((SUM(ReDiarioFert!M77:M83)/2)*$C$12)))</f>
        <v>504.797952195122</v>
      </c>
      <c r="Q36">
        <f>$C$12*Main!$D$63</f>
        <v>20.019999999999996</v>
      </c>
      <c r="S36">
        <f>((E36/100)*$G$74+(G36/100)*$G$75+(I36/100)*$G$76+(K36/100)*$G$77+(M36/100)*$G$78+(O36)*$G$79+(Q36*$G$80))</f>
        <v>707.9950334009407</v>
      </c>
    </row>
    <row r="37">
      <c r="B37">
        <f>B36+4</f>
        <v>77</v>
      </c>
      <c r="C37">
        <f>$J$11+B37</f>
        <v>39682</v>
      </c>
      <c r="E37">
        <f>E36</f>
        <v>23.706860638396396</v>
      </c>
      <c r="G37">
        <f>G36</f>
        <v>10.842915779347825</v>
      </c>
      <c r="I37">
        <f>I36</f>
        <v>29.195833333333336</v>
      </c>
      <c r="K37">
        <f>K36</f>
        <v>18.738348946167388</v>
      </c>
      <c r="M37">
        <f>M36</f>
        <v>0.0010428640722500002</v>
      </c>
      <c r="O37">
        <f>O36</f>
        <v>504.797952195122</v>
      </c>
      <c r="S37">
        <f>((E37/100)*$G$74+(G37/100)*$G$75+(I37/100)*$G$76+(K37/100)*$G$77+(M37/100)*$G$78+(O37)*$G$79+(Q37*$G$80))</f>
        <v>651.9390334009406</v>
      </c>
    </row>
    <row r="38">
      <c r="A38">
        <v>12</v>
      </c>
      <c r="B38">
        <f>B37+3</f>
        <v>80</v>
      </c>
      <c r="C38">
        <f>$J$11+B38</f>
        <v>39685</v>
      </c>
      <c r="E38">
        <f>IF(((SUM(ReDiarioFert!C84:C90)/2)*$C$12)&lt;=0,"0",(((SUM(ReDiarioFert!C84:C90)/2)*$C$12)))</f>
        <v>23.706860638396396</v>
      </c>
      <c r="G38">
        <f>IF(((SUM(ReDiarioFert!E84:E90)/2)*$C$12)&lt;=0,"0",(((SUM(ReDiarioFert!E84:E90)/2)*$C$12)))</f>
        <v>10.842915779347825</v>
      </c>
      <c r="I38">
        <f>IF(((SUM(ReDiarioFert!G84:G90)/2)*$C$12)&lt;=0,"0",(((SUM(ReDiarioFert!G84:G90)/2)*$C$12)))</f>
        <v>29.195833333333336</v>
      </c>
      <c r="K38">
        <f>IF(((SUM(ReDiarioFert!I84:I90)/2)*$C$12)&lt;=0,"0",(((SUM(ReDiarioFert!I84:I90)/2)*$C$12)))</f>
        <v>18.738348946167388</v>
      </c>
      <c r="M38">
        <f>IF(((SUM(ReDiarioFert!K84:K90)/2)*$C$12)&lt;=0,"0",(((SUM(ReDiarioFert!K84:K90)/2)*$C$12)))</f>
        <v>0.0010428640722500002</v>
      </c>
      <c r="O38">
        <f>IF(((SUM(ReDiarioFert!M84:M90)/2)*$C$12)&lt;=0,"0",(((SUM(ReDiarioFert!M84:M90)/2)*$C$12)))</f>
        <v>564.4780604878048</v>
      </c>
      <c r="Q38">
        <f>$C$12*Main!$D$63</f>
        <v>20.019999999999996</v>
      </c>
      <c r="S38">
        <f>((E38/100)*$G$74+(G38/100)*$G$75+(I38/100)*$G$76+(K38/100)*$G$77+(M38/100)*$G$78+(O38)*$G$79+(Q38*$G$80))</f>
        <v>710.3822377326478</v>
      </c>
    </row>
    <row r="39">
      <c r="B39">
        <f>B38+4</f>
        <v>84</v>
      </c>
      <c r="C39">
        <f>$J$11+B39</f>
        <v>39689</v>
      </c>
      <c r="E39">
        <f>E38</f>
        <v>23.706860638396396</v>
      </c>
      <c r="G39">
        <f>G38</f>
        <v>10.842915779347825</v>
      </c>
      <c r="I39">
        <f>I38</f>
        <v>29.195833333333336</v>
      </c>
      <c r="K39">
        <f>K38</f>
        <v>18.738348946167388</v>
      </c>
      <c r="M39">
        <f>M38</f>
        <v>0.0010428640722500002</v>
      </c>
      <c r="O39">
        <f>O38</f>
        <v>564.4780604878048</v>
      </c>
      <c r="S39">
        <f>((E39/100)*$G$74+(G39/100)*$G$75+(I39/100)*$G$76+(K39/100)*$G$77+(M39/100)*$G$78+(O39)*$G$79+(Q39*$G$80))</f>
        <v>654.3262377326479</v>
      </c>
    </row>
    <row r="40" ht="18" customHeight="1">
      <c r="A40">
        <v>13</v>
      </c>
      <c r="B40">
        <f>B39+3</f>
        <v>87</v>
      </c>
      <c r="C40">
        <f>$J$11+B40</f>
        <v>39692</v>
      </c>
      <c r="D40" t="str">
        <f>Main!$H$86</f>
        <v>BaZam</v>
      </c>
      <c r="E40">
        <f>IF(((SUM(ReDiarioFert!C91:C97)/2)*$C$12)&lt;=0,"0",(((SUM(ReDiarioFert!C91:C97)/2)*$C$12)))</f>
        <v>23.706860638396396</v>
      </c>
      <c r="G40">
        <f>IF(((SUM(ReDiarioFert!E91:E97)/2)*$C$12)&lt;=0,"0",(((SUM(ReDiarioFert!E91:E97)/2)*$C$12)))</f>
        <v>10.842915779347825</v>
      </c>
      <c r="I40">
        <f>IF(((SUM(ReDiarioFert!G91:G97)/2)*$C$12)&lt;=0,"0",(((SUM(ReDiarioFert!G91:G97)/2)*$C$12)))</f>
        <v>29.195833333333336</v>
      </c>
      <c r="K40">
        <f>IF(((SUM(ReDiarioFert!I91:I97)/2)*$C$12)&lt;=0,"0",(((SUM(ReDiarioFert!I91:I97)/2)*$C$12)))</f>
        <v>18.738348946167388</v>
      </c>
      <c r="M40">
        <f>IF(((SUM(ReDiarioFert!K91:K97)/2)*$C$12)&lt;=0,"0",(((SUM(ReDiarioFert!K91:K97)/2)*$C$12)))</f>
        <v>0.0010428640722500002</v>
      </c>
      <c r="O40">
        <f>IF(((SUM(ReDiarioFert!M91:M97)/2)*$C$12)&lt;=0,"0",(((SUM(ReDiarioFert!M91:M97)/2)*$C$12)))</f>
        <v>609.2381417073171</v>
      </c>
      <c r="Q40">
        <f>$C$12*Main!$D$63</f>
        <v>20.019999999999996</v>
      </c>
      <c r="R40">
        <f>Main!$K$86*Main!$I$22</f>
        <v>1.001</v>
      </c>
      <c r="S40">
        <f>((E40/100)*$G$74+(G40/100)*$G$75+(I40/100)*$G$76+(K40/100)*$G$77+(M40/100)*$G$78+(O40)*$G$79+(Q40*$G$80)+(R40*Main!$J$86))</f>
        <v>1092.5526409814283</v>
      </c>
    </row>
    <row r="41" ht="18" customHeight="1">
      <c r="B41">
        <f>B40+4</f>
        <v>91</v>
      </c>
      <c r="C41">
        <f>$J$11+B41</f>
        <v>39696</v>
      </c>
      <c r="D41" t="str">
        <f>Main!$H$83</f>
        <v>Acido Salicílico</v>
      </c>
      <c r="E41">
        <f>E40</f>
        <v>23.706860638396396</v>
      </c>
      <c r="G41">
        <f>G40</f>
        <v>10.842915779347825</v>
      </c>
      <c r="I41">
        <f>I40</f>
        <v>29.195833333333336</v>
      </c>
      <c r="K41">
        <f>K40</f>
        <v>18.738348946167388</v>
      </c>
      <c r="M41">
        <f>M40</f>
        <v>0.0010428640722500002</v>
      </c>
      <c r="O41">
        <f>O40</f>
        <v>609.2381417073171</v>
      </c>
      <c r="R41">
        <f>Main!$K$83*Main!$I$22</f>
        <v>250.24999999999997</v>
      </c>
      <c r="S41">
        <f>((E41/100)*$G$74+(G41/100)*$G$75+(I41/100)*$G$76+(K41/100)*$G$77+(M41/100)*$G$78+(O41)*$G$79+(Q41*$G$80)+(R41*Main!$J$83))</f>
        <v>698.6591409814284</v>
      </c>
    </row>
    <row r="42">
      <c r="A42">
        <v>14</v>
      </c>
      <c r="B42">
        <f>B41+3</f>
        <v>94</v>
      </c>
      <c r="C42">
        <f>$J$11+B42</f>
        <v>39699</v>
      </c>
      <c r="E42">
        <f>IF(((SUM(ReDiarioFert!C98:C104)/2)*$C$12)&lt;=0,"0",(((SUM(ReDiarioFert!C98:C104)/2)*$C$12)))</f>
        <v>23.706860638396396</v>
      </c>
      <c r="G42">
        <f>IF(((SUM(ReDiarioFert!E98:E104)/2)*$C$12)&lt;=0,"0",(((SUM(ReDiarioFert!E98:E104)/2)*$C$12)))</f>
        <v>10.842915779347825</v>
      </c>
      <c r="I42">
        <f>IF(((SUM(ReDiarioFert!G98:G104)/2)*$C$12)&lt;=0,"0",(((SUM(ReDiarioFert!G98:G104)/2)*$C$12)))</f>
        <v>29.195833333333336</v>
      </c>
      <c r="K42">
        <f>IF(((SUM(ReDiarioFert!I98:I104)/2)*$C$12)&lt;=0,"0",(((SUM(ReDiarioFert!I98:I104)/2)*$C$12)))</f>
        <v>18.738348946167388</v>
      </c>
      <c r="M42">
        <f>IF(((SUM(ReDiarioFert!K98:K104)/2)*$C$12)&lt;=0,"0",(((SUM(ReDiarioFert!K98:K104)/2)*$C$12)))</f>
        <v>0.0010428640722500002</v>
      </c>
      <c r="O42">
        <f>IF(((SUM(ReDiarioFert!M98:M104)/2)*$C$12)&lt;=0,"0",(((SUM(ReDiarioFert!M98:M104)/2)*$C$12)))</f>
        <v>609.2381417073171</v>
      </c>
      <c r="Q42">
        <f>$C$12*Main!$D$63</f>
        <v>20.019999999999996</v>
      </c>
      <c r="S42">
        <f>((E42/100)*$G$74+(G42/100)*$G$75+(I42/100)*$G$76+(K42/100)*$G$77+(M42/100)*$G$78+(O42)*$G$79+(Q42*$G$80))</f>
        <v>712.1726409814285</v>
      </c>
    </row>
    <row r="43">
      <c r="B43">
        <f>B42+4</f>
        <v>98</v>
      </c>
      <c r="C43">
        <f>$J$11+B43</f>
        <v>39703</v>
      </c>
      <c r="D43" t="str">
        <f>Main!$H$84</f>
        <v>Acido Fosforoso</v>
      </c>
      <c r="E43">
        <f>E42</f>
        <v>23.706860638396396</v>
      </c>
      <c r="G43">
        <f>G42</f>
        <v>10.842915779347825</v>
      </c>
      <c r="I43">
        <f>I42</f>
        <v>29.195833333333336</v>
      </c>
      <c r="K43">
        <f>K42</f>
        <v>18.738348946167388</v>
      </c>
      <c r="M43">
        <f>M42</f>
        <v>0.0010428640722500002</v>
      </c>
      <c r="O43">
        <f>O42</f>
        <v>609.2381417073171</v>
      </c>
      <c r="R43">
        <f>Main!$K$84*Main!$I$22</f>
        <v>5.004999999999999</v>
      </c>
      <c r="S43">
        <f>((E43/100)*$G$74+(G43/100)*$G$75+(I43/100)*$G$76+(K43/100)*$G$77+(M43/100)*$G$78+(O43)*$G$79+(Q43*$G$80)+(R43*Main!$J$84))</f>
        <v>1056.5166409814283</v>
      </c>
    </row>
    <row r="44">
      <c r="A44">
        <v>15</v>
      </c>
      <c r="B44">
        <f>B43+3</f>
        <v>101</v>
      </c>
      <c r="C44">
        <f>$J$11+B44</f>
        <v>39706</v>
      </c>
      <c r="E44">
        <f>IF(((SUM(ReDiarioFert!C105:C111)/2)*$C$12)&lt;=0,"0",(((SUM(ReDiarioFert!C105:C111)/2)*$C$12)))</f>
        <v>23.706860638396396</v>
      </c>
      <c r="G44">
        <f>IF(((SUM(ReDiarioFert!E105:E111)/2)*$C$12)&lt;=0,"0",(((SUM(ReDiarioFert!E105:E111)/2)*$C$12)))</f>
        <v>10.842915779347825</v>
      </c>
      <c r="I44">
        <f>IF(((SUM(ReDiarioFert!G105:G111)/2)*$C$12)&lt;=0,"0",(((SUM(ReDiarioFert!G105:G111)/2)*$C$12)))</f>
        <v>29.195833333333336</v>
      </c>
      <c r="K44">
        <f>IF(((SUM(ReDiarioFert!I105:I111)/2)*$C$12)&lt;=0,"0",(((SUM(ReDiarioFert!I105:I111)/2)*$C$12)))</f>
        <v>18.738348946167388</v>
      </c>
      <c r="M44">
        <f>IF(((SUM(ReDiarioFert!K105:K111)/2)*$C$12)&lt;=0,"0",(((SUM(ReDiarioFert!K105:K111)/2)*$C$12)))</f>
        <v>0.0010428640722500002</v>
      </c>
      <c r="O44">
        <f>IF(((SUM(ReDiarioFert!M105:M111)/2)*$C$12)&lt;=0,"0",(((SUM(ReDiarioFert!M105:M111)/2)*$C$12)))</f>
        <v>609.2381417073171</v>
      </c>
      <c r="Q44">
        <f>$C$12*Main!$D$63</f>
        <v>20.019999999999996</v>
      </c>
      <c r="S44">
        <f>((E44/100)*$G$74+(G44/100)*$G$75+(I44/100)*$G$76+(K44/100)*$G$77+(M44/100)*$G$78+(O44)*$G$79+(Q44*$G$80))</f>
        <v>712.1726409814285</v>
      </c>
    </row>
    <row r="45">
      <c r="B45">
        <f>B44+4</f>
        <v>105</v>
      </c>
      <c r="C45">
        <f>$J$11+B45</f>
        <v>39710</v>
      </c>
      <c r="E45">
        <f>E44</f>
        <v>23.706860638396396</v>
      </c>
      <c r="G45">
        <f>G44</f>
        <v>10.842915779347825</v>
      </c>
      <c r="I45">
        <f>I44</f>
        <v>29.195833333333336</v>
      </c>
      <c r="K45">
        <f>K44</f>
        <v>18.738348946167388</v>
      </c>
      <c r="M45">
        <f>M44</f>
        <v>0.0010428640722500002</v>
      </c>
      <c r="O45">
        <f>O44</f>
        <v>609.2381417073171</v>
      </c>
      <c r="S45">
        <f>((E45/100)*$G$74+(G45/100)*$G$75+(I45/100)*$G$76+(K45/100)*$G$77+(M45/100)*$G$78+(O45)*$G$79+(Q45*$G$80))</f>
        <v>656.1166409814284</v>
      </c>
    </row>
    <row r="46">
      <c r="A46">
        <v>16</v>
      </c>
      <c r="B46">
        <f>B45+3</f>
        <v>108</v>
      </c>
      <c r="C46">
        <f>$J$11+B46</f>
        <v>39713</v>
      </c>
      <c r="E46">
        <f>IF(((SUM(ReDiarioFert!C112:C118)/2)*$C$12)&lt;=0,"0",(((SUM(ReDiarioFert!C112:C118)/2)*$C$12)))</f>
        <v>23.706860638396396</v>
      </c>
      <c r="G46">
        <f>IF(((SUM(ReDiarioFert!E112:E118)/2)*$C$12)&lt;=0,"0",(((SUM(ReDiarioFert!E112:E118)/2)*$C$12)))</f>
        <v>10.842915779347825</v>
      </c>
      <c r="I46">
        <f>IF(((SUM(ReDiarioFert!G112:G118)/2)*$C$12)&lt;=0,"0",(((SUM(ReDiarioFert!G112:G118)/2)*$C$12)))</f>
        <v>29.195833333333336</v>
      </c>
      <c r="K46">
        <f>IF(((SUM(ReDiarioFert!I112:I118)/2)*$C$12)&lt;=0,"0",(((SUM(ReDiarioFert!I112:I118)/2)*$C$12)))</f>
        <v>18.738348946167388</v>
      </c>
      <c r="M46">
        <f>IF(((SUM(ReDiarioFert!K112:K118)/2)*$C$12)&lt;=0,"0",(((SUM(ReDiarioFert!K112:K118)/2)*$C$12)))</f>
        <v>0.0010428640722500002</v>
      </c>
      <c r="O46">
        <f>IF(((SUM(ReDiarioFert!M112:M118)/2)*$C$12)&lt;=0,"0",(((SUM(ReDiarioFert!M112:M118)/2)*$C$12)))</f>
        <v>609.2381417073171</v>
      </c>
      <c r="Q46">
        <f>$C$12*Main!$D$63</f>
        <v>20.019999999999996</v>
      </c>
      <c r="S46">
        <f>((E46/100)*$G$74+(G46/100)*$G$75+(I46/100)*$G$76+(K46/100)*$G$77+(M46/100)*$G$78+(O46)*$G$79+(Q46*$G$80))</f>
        <v>712.1726409814285</v>
      </c>
    </row>
    <row r="47">
      <c r="B47">
        <f>B46+4</f>
        <v>112</v>
      </c>
      <c r="C47">
        <f>$J$11+B47</f>
        <v>39717</v>
      </c>
      <c r="D47" t="str">
        <f>Main!$H$83</f>
        <v>Acido Salicílico</v>
      </c>
      <c r="E47">
        <f>E46</f>
        <v>23.706860638396396</v>
      </c>
      <c r="G47">
        <f>G46</f>
        <v>10.842915779347825</v>
      </c>
      <c r="I47">
        <f>I46</f>
        <v>29.195833333333336</v>
      </c>
      <c r="K47">
        <f>K46</f>
        <v>18.738348946167388</v>
      </c>
      <c r="M47">
        <f>M46</f>
        <v>0.0010428640722500002</v>
      </c>
      <c r="O47">
        <f>O46</f>
        <v>609.2381417073171</v>
      </c>
      <c r="R47">
        <f>Main!$K$83*Main!$I$22</f>
        <v>250.24999999999997</v>
      </c>
      <c r="S47">
        <f>((E47/100)*$G$74+(G47/100)*$G$75+(I47/100)*$G$76+(K47/100)*$G$77+(M47/100)*$G$78+(O47)*$G$79+(Q47*$G$80)+(R47*Main!$J$83))</f>
        <v>698.6591409814284</v>
      </c>
    </row>
    <row r="48">
      <c r="A48">
        <v>17</v>
      </c>
      <c r="B48">
        <f>B47+3</f>
        <v>115</v>
      </c>
      <c r="C48">
        <f>$J$11+B48</f>
        <v>39720</v>
      </c>
      <c r="D48" t="str">
        <f>Main!$H$85</f>
        <v>TricoZam</v>
      </c>
      <c r="E48">
        <f>IF(((SUM(ReDiarioFert!C119:C125)/2)*$C$12)&lt;=0,"0",(((SUM(ReDiarioFert!C119:C125)/2)*$C$12)))</f>
        <v>23.706860638396396</v>
      </c>
      <c r="G48">
        <f>IF(((SUM(ReDiarioFert!E119:E125)/2)*$C$12)&lt;=0,"0",(((SUM(ReDiarioFert!E119:E125)/2)*$C$12)))</f>
        <v>10.842915779347825</v>
      </c>
      <c r="I48">
        <f>IF(((SUM(ReDiarioFert!G119:G125)/2)*$C$12)&lt;=0,"0",(((SUM(ReDiarioFert!G119:G125)/2)*$C$12)))</f>
        <v>29.195833333333336</v>
      </c>
      <c r="K48">
        <f>IF(((SUM(ReDiarioFert!I119:I125)/2)*$C$12)&lt;=0,"0",(((SUM(ReDiarioFert!I119:I125)/2)*$C$12)))</f>
        <v>18.738348946167388</v>
      </c>
      <c r="M48">
        <f>IF(((SUM(ReDiarioFert!K119:K125)/2)*$C$12)&lt;=0,"0",(((SUM(ReDiarioFert!K119:K125)/2)*$C$12)))</f>
        <v>0.0010428640722500002</v>
      </c>
      <c r="O48">
        <f>IF(((SUM(ReDiarioFert!M119:M125)/2)*$C$12)&lt;=0,"0",(((SUM(ReDiarioFert!M119:M125)/2)*$C$12)))</f>
        <v>609.2381417073171</v>
      </c>
      <c r="Q48">
        <f>$C$12*Main!$D$63</f>
        <v>20.019999999999996</v>
      </c>
      <c r="R48">
        <f>Main!$K$85*Main!$I$22</f>
        <v>1.001</v>
      </c>
      <c r="S48">
        <f>((E48/100)*$G$74+(G48/100)*$G$75+(I48/100)*$G$76+(K48/100)*$G$77+(M48/100)*$G$78+(O48)*$G$79+(Q48*$G$80)+(R48*Main!$J$85))</f>
        <v>1092.5526409814283</v>
      </c>
    </row>
    <row r="49">
      <c r="B49">
        <f>B48+4</f>
        <v>119</v>
      </c>
      <c r="C49">
        <f>$J$11+B49</f>
        <v>39724</v>
      </c>
      <c r="E49">
        <f>E48</f>
        <v>23.706860638396396</v>
      </c>
      <c r="G49">
        <f>G48</f>
        <v>10.842915779347825</v>
      </c>
      <c r="I49">
        <f>I48</f>
        <v>29.195833333333336</v>
      </c>
      <c r="K49">
        <f>K48</f>
        <v>18.738348946167388</v>
      </c>
      <c r="M49">
        <f>M48</f>
        <v>0.0010428640722500002</v>
      </c>
      <c r="O49">
        <f>O48</f>
        <v>609.2381417073171</v>
      </c>
      <c r="S49">
        <f>((E49/100)*$G$74+(G49/100)*$G$75+(I49/100)*$G$76+(K49/100)*$G$77+(M49/100)*$G$78+(O49)*$G$79+(Q49*$G$80))</f>
        <v>656.1166409814284</v>
      </c>
    </row>
    <row r="50">
      <c r="A50">
        <v>18</v>
      </c>
      <c r="B50">
        <f>B49+3</f>
        <v>122</v>
      </c>
      <c r="C50">
        <f>$J$11+B50</f>
        <v>39727</v>
      </c>
      <c r="E50">
        <f>IF(((SUM(ReDiarioFert!C126:C132)/2)*$C$12)&lt;=0,"0",(((SUM(ReDiarioFert!C126:C132)/2)*$C$12)))</f>
        <v>23.706860638396396</v>
      </c>
      <c r="G50">
        <f>IF(((SUM(ReDiarioFert!E126:E132)/2)*$C$12)&lt;=0,"0",(((SUM(ReDiarioFert!E126:E132)/2)*$C$12)))</f>
        <v>10.842915779347825</v>
      </c>
      <c r="I50">
        <f>IF(((SUM(ReDiarioFert!G126:G132)/2)*$C$12)&lt;=0,"0",(((SUM(ReDiarioFert!G126:G132)/2)*$C$12)))</f>
        <v>29.195833333333336</v>
      </c>
      <c r="K50">
        <f>IF(((SUM(ReDiarioFert!I126:I132)/2)*$C$12)&lt;=0,"0",(((SUM(ReDiarioFert!I126:I132)/2)*$C$12)))</f>
        <v>18.738348946167388</v>
      </c>
      <c r="M50">
        <f>IF(((SUM(ReDiarioFert!K126:K132)/2)*$C$12)&lt;=0,"0",(((SUM(ReDiarioFert!K126:K132)/2)*$C$12)))</f>
        <v>0.0010428640722500002</v>
      </c>
      <c r="O50">
        <f>IF(((SUM(ReDiarioFert!M126:M132)/2)*$C$12)&lt;=0,"0",(((SUM(ReDiarioFert!M126:M132)/2)*$C$12)))</f>
        <v>609.2381417073171</v>
      </c>
      <c r="Q50">
        <f>$C$12*Main!$D$63</f>
        <v>20.019999999999996</v>
      </c>
      <c r="S50">
        <f>((E50/100)*$G$74+(G50/100)*$G$75+(I50/100)*$G$76+(K50/100)*$G$77+(M50/100)*$G$78+(O50)*$G$79+(Q50*$G$80))</f>
        <v>712.1726409814285</v>
      </c>
    </row>
    <row r="51">
      <c r="B51">
        <f>B50+4</f>
        <v>126</v>
      </c>
      <c r="C51">
        <f>$J$11+B51</f>
        <v>39731</v>
      </c>
      <c r="E51">
        <f>E50</f>
        <v>23.706860638396396</v>
      </c>
      <c r="G51">
        <f>G50</f>
        <v>10.842915779347825</v>
      </c>
      <c r="I51">
        <f>I50</f>
        <v>29.195833333333336</v>
      </c>
      <c r="K51">
        <f>K50</f>
        <v>18.738348946167388</v>
      </c>
      <c r="M51">
        <f>M50</f>
        <v>0.0010428640722500002</v>
      </c>
      <c r="O51">
        <f>O50</f>
        <v>609.2381417073171</v>
      </c>
      <c r="S51">
        <f>((E51/100)*$G$74+(G51/100)*$G$75+(I51/100)*$G$76+(K51/100)*$G$77+(M51/100)*$G$78+(O51)*$G$79+(Q51*$G$80))</f>
        <v>656.1166409814284</v>
      </c>
    </row>
    <row r="52">
      <c r="A52">
        <v>19</v>
      </c>
      <c r="B52">
        <f>B51+3</f>
        <v>129</v>
      </c>
      <c r="C52">
        <f>$J$11+B52</f>
        <v>39734</v>
      </c>
      <c r="E52">
        <f>IF(((SUM(ReDiarioFert!C133:C139)/2)*$C$12)&lt;=0,"0",(((SUM(ReDiarioFert!C133:C139)/2)*$C$12)))</f>
        <v>23.706860638396396</v>
      </c>
      <c r="G52">
        <f>IF(((SUM(ReDiarioFert!E133:E139)/2)*$C$12)&lt;=0,"0",(((SUM(ReDiarioFert!E133:E139)/2)*$C$12)))</f>
        <v>10.842915779347825</v>
      </c>
      <c r="I52">
        <f>IF(((SUM(ReDiarioFert!G133:G139)/2)*$C$12)&lt;=0,"0",(((SUM(ReDiarioFert!G133:G139)/2)*$C$12)))</f>
        <v>29.195833333333336</v>
      </c>
      <c r="K52">
        <f>IF(((SUM(ReDiarioFert!I133:I139)/2)*$C$12)&lt;=0,"0",(((SUM(ReDiarioFert!I133:I139)/2)*$C$12)))</f>
        <v>18.738348946167388</v>
      </c>
      <c r="M52">
        <f>IF(((SUM(ReDiarioFert!K133:K139)/2)*$C$12)&lt;=0,"0",(((SUM(ReDiarioFert!K133:K139)/2)*$C$12)))</f>
        <v>0.0010428640722500002</v>
      </c>
      <c r="O52">
        <f>IF(((SUM(ReDiarioFert!M133:M139)/2)*$C$12)&lt;=0,"0",(((SUM(ReDiarioFert!M133:M139)/2)*$C$12)))</f>
        <v>609.2381417073171</v>
      </c>
      <c r="Q52">
        <f>$C$12*Main!$D$63</f>
        <v>20.019999999999996</v>
      </c>
      <c r="S52">
        <f>((E52/100)*$G$74+(G52/100)*$G$75+(I52/100)*$G$76+(K52/100)*$G$77+(M52/100)*$G$78+(O52)*$G$79+(Q52*$G$80))</f>
        <v>712.1726409814285</v>
      </c>
    </row>
    <row r="53">
      <c r="B53">
        <f>B52+4</f>
        <v>133</v>
      </c>
      <c r="C53">
        <f>$J$11+B53</f>
        <v>39738</v>
      </c>
      <c r="E53">
        <f>E52</f>
        <v>23.706860638396396</v>
      </c>
      <c r="G53">
        <f>G52</f>
        <v>10.842915779347825</v>
      </c>
      <c r="I53">
        <f>I52</f>
        <v>29.195833333333336</v>
      </c>
      <c r="K53">
        <f>K52</f>
        <v>18.738348946167388</v>
      </c>
      <c r="M53">
        <f>M52</f>
        <v>0.0010428640722500002</v>
      </c>
      <c r="O53">
        <f>O52</f>
        <v>609.2381417073171</v>
      </c>
      <c r="S53">
        <f>((E53/100)*$G$74+(G53/100)*$G$75+(I53/100)*$G$76+(K53/100)*$G$77+(M53/100)*$G$78+(O53)*$G$79+(Q53*$G$80))</f>
        <v>656.1166409814284</v>
      </c>
    </row>
    <row r="54">
      <c r="A54">
        <v>20</v>
      </c>
      <c r="B54">
        <f>B53+3</f>
        <v>136</v>
      </c>
      <c r="C54">
        <f>$J$11+B54</f>
        <v>39741</v>
      </c>
      <c r="D54" t="str">
        <f>Main!$H$83</f>
        <v>Acido Salicílico</v>
      </c>
      <c r="E54">
        <f>IF(((SUM(ReDiarioFert!C140:C146)/2)*$C$12)&lt;=0,"0",(((SUM(ReDiarioFert!C140:C146)/2)*$C$12)))</f>
        <v>23.706860638396396</v>
      </c>
      <c r="G54">
        <f>IF(((SUM(ReDiarioFert!E140:E146)/2)*$C$12)&lt;=0,"0",(((SUM(ReDiarioFert!E140:E146)/2)*$C$12)))</f>
        <v>10.842915779347825</v>
      </c>
      <c r="I54">
        <f>IF(((SUM(ReDiarioFert!G140:G146)/2)*$C$12)&lt;=0,"0",(((SUM(ReDiarioFert!G140:G146)/2)*$C$12)))</f>
        <v>29.195833333333336</v>
      </c>
      <c r="K54">
        <f>IF(((SUM(ReDiarioFert!I140:I146)/2)*$C$12)&lt;=0,"0",(((SUM(ReDiarioFert!I140:I146)/2)*$C$12)))</f>
        <v>18.738348946167388</v>
      </c>
      <c r="M54">
        <f>IF(((SUM(ReDiarioFert!K140:K146)/2)*$C$12)&lt;=0,"0",(((SUM(ReDiarioFert!K140:K146)/2)*$C$12)))</f>
        <v>0.0010428640722500002</v>
      </c>
      <c r="O54">
        <f>IF(((SUM(ReDiarioFert!M140:M146)/2)*$C$12)&lt;=0,"0",(((SUM(ReDiarioFert!M140:M146)/2)*$C$12)))</f>
        <v>609.2381417073171</v>
      </c>
      <c r="Q54">
        <f>$C$12*Main!$D$63</f>
        <v>20.019999999999996</v>
      </c>
      <c r="R54">
        <f>Main!$K$83*Main!$I$22</f>
        <v>250.24999999999997</v>
      </c>
      <c r="S54">
        <f>((E54/100)*$G$74+(G54/100)*$G$75+(I54/100)*$G$76+(K54/100)*$G$77+(M54/100)*$G$78+(O54)*$G$79+(Q54*$G$80)+(R54*Main!$J$83))</f>
        <v>754.7151409814285</v>
      </c>
    </row>
    <row r="55">
      <c r="B55">
        <f>B54+4</f>
        <v>140</v>
      </c>
      <c r="C55">
        <f>$J$11+B55</f>
        <v>39745</v>
      </c>
      <c r="E55">
        <f>E54</f>
        <v>23.706860638396396</v>
      </c>
      <c r="G55">
        <f>G54</f>
        <v>10.842915779347825</v>
      </c>
      <c r="I55">
        <f>I54</f>
        <v>29.195833333333336</v>
      </c>
      <c r="K55">
        <f>K54</f>
        <v>18.738348946167388</v>
      </c>
      <c r="M55">
        <f>M54</f>
        <v>0.0010428640722500002</v>
      </c>
      <c r="O55">
        <f>O54</f>
        <v>609.2381417073171</v>
      </c>
      <c r="S55">
        <f>((E55/100)*$G$74+(G55/100)*$G$75+(I55/100)*$G$76+(K55/100)*$G$77+(M55/100)*$G$78+(O55)*$G$79+(Q55*$G$80))</f>
        <v>656.1166409814284</v>
      </c>
    </row>
    <row r="56">
      <c r="A56">
        <v>21</v>
      </c>
      <c r="B56">
        <f>B55+3</f>
        <v>143</v>
      </c>
      <c r="C56">
        <f>$J$11+B56</f>
        <v>39748</v>
      </c>
      <c r="D56" t="str">
        <f>Main!$H$86</f>
        <v>BaZam</v>
      </c>
      <c r="E56">
        <f>IF(((SUM(ReDiarioFert!C147:C153)/2)*$C$12)&lt;=0,"0",(((SUM(ReDiarioFert!C147:C153)/2)*$C$12)))</f>
        <v>23.706860638396396</v>
      </c>
      <c r="G56">
        <f>IF(((SUM(ReDiarioFert!E147:E153)/2)*$C$12)&lt;=0,"0",(((SUM(ReDiarioFert!E147:E153)/2)*$C$12)))</f>
        <v>10.842915779347825</v>
      </c>
      <c r="I56">
        <f>IF(((SUM(ReDiarioFert!G147:G153)/2)*$C$12)&lt;=0,"0",(((SUM(ReDiarioFert!G147:G153)/2)*$C$12)))</f>
        <v>29.195833333333336</v>
      </c>
      <c r="K56">
        <f>IF(((SUM(ReDiarioFert!I147:I153)/2)*$C$12)&lt;=0,"0",(((SUM(ReDiarioFert!I147:I153)/2)*$C$12)))</f>
        <v>18.738348946167388</v>
      </c>
      <c r="M56">
        <f>IF(((SUM(ReDiarioFert!K147:K153)/2)*$C$12)&lt;=0,"0",(((SUM(ReDiarioFert!K147:K153)/2)*$C$12)))</f>
        <v>0.0010428640722500002</v>
      </c>
      <c r="O56">
        <f>IF(((SUM(ReDiarioFert!M147:M153)/2)*$C$12)&lt;=0,"0",(((SUM(ReDiarioFert!M147:M153)/2)*$C$12)))</f>
        <v>609.2381417073171</v>
      </c>
      <c r="Q56">
        <f>$C$12*Main!$D$63</f>
        <v>20.019999999999996</v>
      </c>
      <c r="R56">
        <f>Main!$K$86*Main!$I$22</f>
        <v>1.001</v>
      </c>
      <c r="S56">
        <f>((E56/100)*$G$74+(G56/100)*$G$75+(I56/100)*$G$76+(K56/100)*$G$77+(M56/100)*$G$78+(O56)*$G$79+(Q56*$G$80)+(R56*Main!$J$86))</f>
        <v>1092.5526409814283</v>
      </c>
    </row>
    <row r="57">
      <c r="B57">
        <f>B56+4</f>
        <v>147</v>
      </c>
      <c r="C57">
        <f>$J$11+B57</f>
        <v>39752</v>
      </c>
      <c r="E57">
        <f>E56</f>
        <v>23.706860638396396</v>
      </c>
      <c r="G57">
        <f>G56</f>
        <v>10.842915779347825</v>
      </c>
      <c r="I57">
        <f>I56</f>
        <v>29.195833333333336</v>
      </c>
      <c r="K57">
        <f>K56</f>
        <v>18.738348946167388</v>
      </c>
      <c r="M57">
        <f>M56</f>
        <v>0.0010428640722500002</v>
      </c>
      <c r="O57">
        <f>O56</f>
        <v>609.2381417073171</v>
      </c>
      <c r="S57">
        <f>((E57/100)*$G$74+(G57/100)*$G$75+(I57/100)*$G$76+(K57/100)*$G$77+(M57/100)*$G$78+(O57)*$G$79+(Q57*$G$80))</f>
        <v>656.1166409814284</v>
      </c>
    </row>
    <row r="58">
      <c r="A58">
        <v>22</v>
      </c>
      <c r="B58">
        <f>B57+3</f>
        <v>150</v>
      </c>
      <c r="C58">
        <f>$J$11+B58</f>
        <v>39755</v>
      </c>
      <c r="E58">
        <f>IF(((SUM(ReDiarioFert!C154:C160)/2)*$C$12)&lt;=0,"0",(((SUM(ReDiarioFert!C154:C160)/2)*$C$12)))</f>
        <v>23.706860638396396</v>
      </c>
      <c r="G58">
        <f>IF(((SUM(ReDiarioFert!E154:E160)/2)*$C$12)&lt;=0,"0",(((SUM(ReDiarioFert!E154:E160)/2)*$C$12)))</f>
        <v>10.842915779347825</v>
      </c>
      <c r="I58">
        <f>IF(((SUM(ReDiarioFert!G154:G160)/2)*$C$12)&lt;=0,"0",(((SUM(ReDiarioFert!G154:G160)/2)*$C$12)))</f>
        <v>29.195833333333336</v>
      </c>
      <c r="K58">
        <f>IF(((SUM(ReDiarioFert!I154:I160)/2)*$C$12)&lt;=0,"0",(((SUM(ReDiarioFert!I154:I160)/2)*$C$12)))</f>
        <v>18.738348946167388</v>
      </c>
      <c r="M58">
        <f>IF(((SUM(ReDiarioFert!K154:K160)/2)*$C$12)&lt;=0,"0",(((SUM(ReDiarioFert!K154:K160)/2)*$C$12)))</f>
        <v>0.0010428640722500002</v>
      </c>
      <c r="O58">
        <f>IF(((SUM(ReDiarioFert!M154:M160)/2)*$C$12)&lt;=0,"0",(((SUM(ReDiarioFert!M154:M160)/2)*$C$12)))</f>
        <v>609.2381417073171</v>
      </c>
      <c r="Q58">
        <f>$C$12*Main!$D$63</f>
        <v>20.019999999999996</v>
      </c>
      <c r="S58">
        <f>((E58/100)*$G$74+(G58/100)*$G$75+(I58/100)*$G$76+(K58/100)*$G$77+(M58/100)*$G$78+(O58)*$G$79+(Q58*$G$80))</f>
        <v>712.1726409814285</v>
      </c>
    </row>
    <row r="59">
      <c r="B59">
        <f>B58+4</f>
        <v>154</v>
      </c>
      <c r="C59">
        <f>$J$11+B59</f>
        <v>39759</v>
      </c>
      <c r="D59" t="str">
        <f>Main!$H$83</f>
        <v>Acido Salicílico</v>
      </c>
      <c r="E59">
        <f>E58</f>
        <v>23.706860638396396</v>
      </c>
      <c r="G59">
        <f>G58</f>
        <v>10.842915779347825</v>
      </c>
      <c r="I59">
        <f>I58</f>
        <v>29.195833333333336</v>
      </c>
      <c r="K59">
        <f>K58</f>
        <v>18.738348946167388</v>
      </c>
      <c r="M59">
        <f>M58</f>
        <v>0.0010428640722500002</v>
      </c>
      <c r="O59">
        <f>O58</f>
        <v>609.2381417073171</v>
      </c>
      <c r="R59">
        <f>Main!$K$83*Main!$I$22</f>
        <v>250.24999999999997</v>
      </c>
      <c r="S59">
        <f>((E59/100)*$G$74+(G59/100)*$G$75+(I59/100)*$G$76+(K59/100)*$G$77+(M59/100)*$G$78+(O59)*$G$79+(Q59*$G$80)+(R59*Main!$J$83))</f>
        <v>698.6591409814284</v>
      </c>
    </row>
    <row r="60">
      <c r="A60">
        <v>23</v>
      </c>
      <c r="B60">
        <f>B59+3</f>
        <v>157</v>
      </c>
      <c r="C60">
        <f>$J$11+B60</f>
        <v>39762</v>
      </c>
      <c r="E60">
        <f>IF(((SUM(ReDiarioFert!C161:C167)/2)*$C$12)&lt;=0,"0",(((SUM(ReDiarioFert!C161:C167)/2)*$C$12)))</f>
        <v>23.706860638396396</v>
      </c>
      <c r="G60">
        <f>IF(((SUM(ReDiarioFert!E161:E167)/2)*$C$12)&lt;=0,"0",(((SUM(ReDiarioFert!E161:E167)/2)*$C$12)))</f>
        <v>10.842915779347825</v>
      </c>
      <c r="I60">
        <f>IF(((SUM(ReDiarioFert!G161:G167)/2)*$C$12)&lt;=0,"0",(((SUM(ReDiarioFert!G161:G167)/2)*$C$12)))</f>
        <v>29.195833333333336</v>
      </c>
      <c r="K60">
        <f>IF(((SUM(ReDiarioFert!I161:I167)/2)*$C$12)&lt;=0,"0",(((SUM(ReDiarioFert!I161:I167)/2)*$C$12)))</f>
        <v>18.738348946167388</v>
      </c>
      <c r="M60">
        <f>IF(((SUM(ReDiarioFert!K161:K167)/2)*$C$12)&lt;=0,"0",(((SUM(ReDiarioFert!K161:K167)/2)*$C$12)))</f>
        <v>0.0010428640722500002</v>
      </c>
      <c r="O60">
        <f>IF(((SUM(ReDiarioFert!M161:M167)/2)*$C$12)&lt;=0,"0",(((SUM(ReDiarioFert!M161:M167)/2)*$C$12)))</f>
        <v>609.2381417073171</v>
      </c>
      <c r="Q60">
        <f>$C$12*Main!$D$63</f>
        <v>20.019999999999996</v>
      </c>
      <c r="S60">
        <f>((E60/100)*$G$74+(G60/100)*$G$75+(I60/100)*$G$76+(K60/100)*$G$77+(M60/100)*$G$78+(O60)*$G$79+(Q60*$G$80))</f>
        <v>712.1726409814285</v>
      </c>
    </row>
    <row r="61">
      <c r="B61">
        <f>B60+4</f>
        <v>161</v>
      </c>
      <c r="C61">
        <f>$J$11+B61</f>
        <v>39766</v>
      </c>
      <c r="E61">
        <f>E60</f>
        <v>23.706860638396396</v>
      </c>
      <c r="G61">
        <f>G60</f>
        <v>10.842915779347825</v>
      </c>
      <c r="I61">
        <f>I60</f>
        <v>29.195833333333336</v>
      </c>
      <c r="K61">
        <f>K60</f>
        <v>18.738348946167388</v>
      </c>
      <c r="M61">
        <f>M60</f>
        <v>0.0010428640722500002</v>
      </c>
      <c r="O61">
        <f>O60</f>
        <v>609.2381417073171</v>
      </c>
      <c r="S61">
        <f>((E61/100)*$G$74+(G61/100)*$G$75+(I61/100)*$G$76+(K61/100)*$G$77+(M61/100)*$G$78+(O61)*$G$79+(Q61*$G$80))</f>
        <v>656.1166409814284</v>
      </c>
    </row>
    <row r="62">
      <c r="A62">
        <v>24</v>
      </c>
      <c r="B62">
        <f>B61+3</f>
        <v>164</v>
      </c>
      <c r="C62">
        <f>$J$11+B62</f>
        <v>39769</v>
      </c>
      <c r="E62">
        <f>IF(((SUM(ReDiarioFert!C168:C174)/2)*$C$12)&lt;=0,"0",(((SUM(ReDiarioFert!C168:C174)/2)*$C$12)))</f>
        <v>23.706860638396396</v>
      </c>
      <c r="G62">
        <f>IF(((SUM(ReDiarioFert!E168:E174)/2)*$C$12)&lt;=0,"0",(((SUM(ReDiarioFert!E168:E174)/2)*$C$12)))</f>
        <v>10.842915779347825</v>
      </c>
      <c r="I62">
        <f>IF(((SUM(ReDiarioFert!G168:G174)/2)*$C$12)&lt;=0,"0",(((SUM(ReDiarioFert!G168:G174)/2)*$C$12)))</f>
        <v>29.195833333333336</v>
      </c>
      <c r="K62">
        <f>IF(((SUM(ReDiarioFert!I168:I174)/2)*$C$12)&lt;=0,"0",(((SUM(ReDiarioFert!I168:I174)/2)*$C$12)))</f>
        <v>18.738348946167388</v>
      </c>
      <c r="M62">
        <f>IF(((SUM(ReDiarioFert!K168:K174)/2)*$C$12)&lt;=0,"0",(((SUM(ReDiarioFert!K168:K174)/2)*$C$12)))</f>
        <v>0.0010428640722500002</v>
      </c>
      <c r="O62">
        <f>IF(((SUM(ReDiarioFert!M168:M174)/2)*$C$12)&lt;=0,"0",(((SUM(ReDiarioFert!M168:M174)/2)*$C$12)))</f>
        <v>609.2381417073171</v>
      </c>
      <c r="Q62">
        <f>$C$12*Main!$D$63</f>
        <v>20.019999999999996</v>
      </c>
      <c r="S62">
        <f>((E62/100)*$G$74+(G62/100)*$G$75+(I62/100)*$G$76+(K62/100)*$G$77+(M62/100)*$G$78+(O62)*$G$79+(Q62*$G$80))</f>
        <v>712.1726409814285</v>
      </c>
    </row>
    <row r="63">
      <c r="B63">
        <f>B62+4</f>
        <v>168</v>
      </c>
      <c r="C63">
        <f>$J$11+B63</f>
        <v>39773</v>
      </c>
      <c r="E63">
        <f>E62</f>
        <v>23.706860638396396</v>
      </c>
      <c r="G63">
        <f>G62</f>
        <v>10.842915779347825</v>
      </c>
      <c r="I63">
        <f>I62</f>
        <v>29.195833333333336</v>
      </c>
      <c r="K63">
        <f>K62</f>
        <v>18.738348946167388</v>
      </c>
      <c r="M63">
        <f>M62</f>
        <v>0.0010428640722500002</v>
      </c>
      <c r="O63">
        <f>O62</f>
        <v>609.2381417073171</v>
      </c>
      <c r="S63">
        <f>((E63/100)*$G$74+(G63/100)*$G$75+(I63/100)*$G$76+(K63/100)*$G$77+(M63/100)*$G$78+(O63)*$G$79+(Q63*$G$80))</f>
        <v>656.1166409814284</v>
      </c>
    </row>
    <row r="64">
      <c r="A64">
        <v>25</v>
      </c>
      <c r="B64">
        <f>B63+3</f>
        <v>171</v>
      </c>
      <c r="C64">
        <f>$J$11+B64</f>
        <v>39776</v>
      </c>
      <c r="E64">
        <f>IF(((SUM(ReDiarioFert!C175:C181)/2)*$C$12)&lt;=0,"0",(((SUM(ReDiarioFert!C175:C181)/2)*$C$12)))</f>
        <v>23.706860638396396</v>
      </c>
      <c r="G64">
        <f>IF(((SUM(ReDiarioFert!E175:E181)/2)*$C$12)&lt;=0,"0",(((SUM(ReDiarioFert!E175:E181)/2)*$C$12)))</f>
        <v>10.842915779347825</v>
      </c>
      <c r="I64">
        <f>IF(((SUM(ReDiarioFert!G175:G181)/2)*$C$12)&lt;=0,"0",(((SUM(ReDiarioFert!G175:G181)/2)*$C$12)))</f>
        <v>29.195833333333336</v>
      </c>
      <c r="K64">
        <f>IF(((SUM(ReDiarioFert!I175:I181)/2)*$C$12)&lt;=0,"0",(((SUM(ReDiarioFert!I175:I181)/2)*$C$12)))</f>
        <v>18.738348946167388</v>
      </c>
      <c r="M64">
        <f>IF(((SUM(ReDiarioFert!K175:K181)/2)*$C$12)&lt;=0,"0",(((SUM(ReDiarioFert!K175:K181)/2)*$C$12)))</f>
        <v>0.0010428640722500002</v>
      </c>
      <c r="O64">
        <f>IF(((SUM(ReDiarioFert!M175:M181)/2)*$C$12)&lt;=0,"0",(((SUM(ReDiarioFert!M175:M181)/2)*$C$12)))</f>
        <v>609.2381417073171</v>
      </c>
      <c r="Q64">
        <f>$C$12*Main!$D$63</f>
        <v>20.019999999999996</v>
      </c>
      <c r="S64">
        <f>((E64/100)*$G$74+(G64/100)*$G$75+(I64/100)*$G$76+(K64/100)*$G$77+(M64/100)*$G$78+(O64)*$G$79+(Q64*$G$80))</f>
        <v>712.1726409814285</v>
      </c>
    </row>
    <row r="65">
      <c r="B65">
        <f>B64+4</f>
        <v>175</v>
      </c>
      <c r="C65">
        <f>$J$11+B65</f>
        <v>39780</v>
      </c>
      <c r="E65">
        <f>E64</f>
        <v>23.706860638396396</v>
      </c>
      <c r="G65">
        <f>G64</f>
        <v>10.842915779347825</v>
      </c>
      <c r="I65">
        <f>I64</f>
        <v>29.195833333333336</v>
      </c>
      <c r="K65">
        <f>K64</f>
        <v>18.738348946167388</v>
      </c>
      <c r="M65">
        <f>M64</f>
        <v>0.0010428640722500002</v>
      </c>
      <c r="O65">
        <f>O64</f>
        <v>609.2381417073171</v>
      </c>
      <c r="S65">
        <f>((E65/100)*$G$74+(G65/100)*$G$75+(I65/100)*$G$76+(K65/100)*$G$77+(M65/100)*$G$78+(O65)*$G$79+(Q65*$G$80))</f>
        <v>656.1166409814284</v>
      </c>
    </row>
    <row r="66">
      <c r="A66">
        <v>26</v>
      </c>
      <c r="B66">
        <f>B65+3</f>
        <v>178</v>
      </c>
      <c r="C66">
        <f>$J$11+B66</f>
        <v>39783</v>
      </c>
      <c r="E66">
        <f>IF(((SUM(ReDiarioFert!C182:C188)/2)*$C$12)&lt;=0,"0",(((SUM(ReDiarioFert!C182:C188)/2)*$C$12)))</f>
        <v>23.706860638396396</v>
      </c>
      <c r="G66">
        <f>IF(((SUM(ReDiarioFert!E182:E188)/2)*$C$12)&lt;=0,"0",(((SUM(ReDiarioFert!E182:E188)/2)*$C$12)))</f>
        <v>10.842915779347825</v>
      </c>
      <c r="I66">
        <f>IF(((SUM(ReDiarioFert!G182:G188)/2)*$C$12)&lt;=0,"0",(((SUM(ReDiarioFert!G182:G188)/2)*$C$12)))</f>
        <v>29.195833333333336</v>
      </c>
      <c r="K66">
        <f>IF(((SUM(ReDiarioFert!I182:I188)/2)*$C$12)&lt;=0,"0",(((SUM(ReDiarioFert!I182:I188)/2)*$C$12)))</f>
        <v>18.738348946167388</v>
      </c>
      <c r="M66">
        <f>IF(((SUM(ReDiarioFert!K182:K188)/2)*$C$12)&lt;=0,"0",(((SUM(ReDiarioFert!K182:K188)/2)*$C$12)))</f>
        <v>0.0010428640722500002</v>
      </c>
      <c r="O66">
        <f>IF(((SUM(ReDiarioFert!M182:M188)/2)*$C$12)&lt;=0,"0",(((SUM(ReDiarioFert!M182:M188)/2)*$C$12)))</f>
        <v>609.2381417073171</v>
      </c>
      <c r="Q66">
        <f>$C$12*Main!$D$63</f>
        <v>20.019999999999996</v>
      </c>
      <c r="S66">
        <f>((E66/100)*$G$74+(G66/100)*$G$75+(I66/100)*$G$76+(K66/100)*$G$77+(M66/100)*$G$78+(O66)*$G$79+(Q66*$G$80))</f>
        <v>712.1726409814285</v>
      </c>
    </row>
    <row r="67">
      <c r="B67">
        <f>B66+4</f>
        <v>182</v>
      </c>
      <c r="C67">
        <f>$J$11+B67</f>
        <v>39787</v>
      </c>
      <c r="E67">
        <f>E66</f>
        <v>23.706860638396396</v>
      </c>
      <c r="G67">
        <f>G66</f>
        <v>10.842915779347825</v>
      </c>
      <c r="I67">
        <f>I66</f>
        <v>29.195833333333336</v>
      </c>
      <c r="K67">
        <f>K66</f>
        <v>18.738348946167388</v>
      </c>
      <c r="M67">
        <f>M66</f>
        <v>0.0010428640722500002</v>
      </c>
      <c r="O67">
        <f>O66</f>
        <v>609.2381417073171</v>
      </c>
      <c r="S67">
        <f>((E67/100)*$G$74+(G67/100)*$G$75+(I67/100)*$G$76+(K67/100)*$G$77+(M67/100)*$G$78+(O67)*$G$79+(Q67*$G$80))</f>
        <v>656.1166409814284</v>
      </c>
    </row>
    <row r="68">
      <c r="A68">
        <v>27</v>
      </c>
      <c r="B68">
        <f>B67+3</f>
        <v>185</v>
      </c>
      <c r="C68">
        <f>$J$11+B68</f>
        <v>39790</v>
      </c>
      <c r="E68">
        <f>IF(((SUM(ReDiarioFert!C189:C195)/2)*$C$12)&lt;=0,"0",(((SUM(ReDiarioFert!C189:C195)/2)*$C$12)))</f>
        <v>23.706860638396396</v>
      </c>
      <c r="G68">
        <f>IF(((SUM(ReDiarioFert!E189:E195)/2)*$C$12)&lt;=0,"0",(((SUM(ReDiarioFert!E189:E195)/2)*$C$12)))</f>
        <v>10.842915779347825</v>
      </c>
      <c r="I68">
        <f>IF(((SUM(ReDiarioFert!G189:G195)/2)*$C$12)&lt;=0,"0",(((SUM(ReDiarioFert!G189:G195)/2)*$C$12)))</f>
        <v>29.195833333333336</v>
      </c>
      <c r="K68">
        <f>IF(((SUM(ReDiarioFert!I189:I195)/2)*$C$12)&lt;=0,"0",(((SUM(ReDiarioFert!I189:I195)/2)*$C$12)))</f>
        <v>18.738348946167388</v>
      </c>
      <c r="M68">
        <f>IF(((SUM(ReDiarioFert!K189:K195)/2)*$C$12)&lt;=0,"0",(((SUM(ReDiarioFert!K189:K195)/2)*$C$12)))</f>
        <v>0.0010428640722500002</v>
      </c>
      <c r="O68">
        <f>IF(((SUM(ReDiarioFert!M189:M195)/2)*$C$12)&lt;=0,"0",(((SUM(ReDiarioFert!M189:M195)/2)*$C$12)))</f>
        <v>609.2381417073171</v>
      </c>
      <c r="Q68">
        <f>$C$12*Main!$D$63</f>
        <v>20.019999999999996</v>
      </c>
      <c r="S68">
        <f>((E68/100)*$G$74+(G68/100)*$G$75+(I68/100)*$G$76+(K68/100)*$G$77+(M68/100)*$G$78+(O68)*$G$79+(Q68*$G$80))</f>
        <v>712.1726409814285</v>
      </c>
    </row>
    <row r="69">
      <c r="B69">
        <f>B68+4</f>
        <v>189</v>
      </c>
      <c r="C69">
        <f>$J$11+B69</f>
        <v>39794</v>
      </c>
      <c r="E69">
        <f>E68</f>
        <v>23.706860638396396</v>
      </c>
      <c r="G69">
        <f>G68</f>
        <v>10.842915779347825</v>
      </c>
      <c r="I69">
        <f>I68</f>
        <v>29.195833333333336</v>
      </c>
      <c r="K69">
        <f>K68</f>
        <v>18.738348946167388</v>
      </c>
      <c r="M69">
        <f>M68</f>
        <v>0.0010428640722500002</v>
      </c>
      <c r="O69">
        <f>O68</f>
        <v>609.2381417073171</v>
      </c>
      <c r="S69">
        <f>((E69/100)*$G$74+(G69/100)*$G$75+(I69/100)*$G$76+(K69/100)*$G$77+(M69/100)*$G$78+(O69)*$G$79+(Q69*$G$80))</f>
        <v>656.1166409814284</v>
      </c>
    </row>
    <row r="70">
      <c r="C70" t="str">
        <v>Total</v>
      </c>
      <c r="E70">
        <f>SUM(E16:E69)</f>
        <v>1355.8054252530408</v>
      </c>
      <c r="G70">
        <f>SUM(G16:G69)</f>
        <v>520.4599574086959</v>
      </c>
      <c r="I70">
        <f>SUM(I16:I69)</f>
        <v>1537.757099890947</v>
      </c>
      <c r="K70">
        <f>SUM(K16:K69)</f>
        <v>986.9568990621817</v>
      </c>
      <c r="M70">
        <f>SUM(M16:M69)</f>
        <v>0.05492809926040664</v>
      </c>
      <c r="O70">
        <f>SUM(O16:O69)</f>
        <v>26010.73450585364</v>
      </c>
      <c r="Q70">
        <f>SUM(Q16:Q69)</f>
        <v>540.5399999999996</v>
      </c>
      <c r="S70">
        <f>SUM(S16:S69)</f>
        <v>40368.749577732066</v>
      </c>
    </row>
    <row r="71">
      <c r="D71" t="str">
        <v>OJO cualquier cultivo que no se termine la cosecha en el ultimo día del calendario solo seguir repitiendo la ultima aplicación de fertilizante.</v>
      </c>
    </row>
    <row r="72" ht="39.75" customHeight="1">
      <c r="B72" t="str">
        <v>Producto</v>
      </c>
      <c r="F72" t="str">
        <v>Lbs/Ha</v>
      </c>
      <c r="G72" t="str">
        <v>Costo por qq</v>
      </c>
    </row>
    <row r="73" ht="24" customHeight="1">
      <c r="G73" t="str">
        <f>Main!$E$25</f>
        <v>Lempiras</v>
      </c>
    </row>
    <row r="74">
      <c r="B74" t="str">
        <f>Main!D42</f>
        <v>Urea</v>
      </c>
      <c r="F74">
        <f>E70/C12</f>
        <v>1354.4509742787623</v>
      </c>
      <c r="G74">
        <f>Main!D43</f>
        <v>650</v>
      </c>
    </row>
    <row r="75">
      <c r="B75" t="str">
        <f>Main!D32</f>
        <v>DAP 18-46-0</v>
      </c>
      <c r="F75">
        <f>G70/C12</f>
        <v>519.9400173913047</v>
      </c>
      <c r="G75">
        <f>Main!D33</f>
        <v>1200</v>
      </c>
    </row>
    <row r="76">
      <c r="B76" t="str">
        <f>Main!D37</f>
        <v>Kcl</v>
      </c>
      <c r="F76">
        <f>I70/C12</f>
        <v>1536.2208790119353</v>
      </c>
      <c r="G76">
        <f>Main!D38</f>
        <v>580</v>
      </c>
    </row>
    <row r="77">
      <c r="B77" t="str">
        <f>Main!D47</f>
        <v>Sulfato de Magnesio</v>
      </c>
      <c r="F77">
        <f>K70/C12</f>
        <v>985.9709281340478</v>
      </c>
      <c r="G77">
        <f>Main!D48</f>
        <v>951</v>
      </c>
    </row>
    <row r="78">
      <c r="B78" t="str">
        <f>Main!D52</f>
        <v>Sin Calcio</v>
      </c>
      <c r="F78">
        <f>M70/C12</f>
        <v>0.05487322603437227</v>
      </c>
      <c r="G78">
        <f>Main!D53</f>
        <v>0</v>
      </c>
    </row>
    <row r="79">
      <c r="B79" t="str">
        <f>Main!D57</f>
        <v>Solubor</v>
      </c>
      <c r="F79">
        <f>O70/C12</f>
        <v>25984.749756097546</v>
      </c>
      <c r="G79">
        <f>Main!D58</f>
        <v>0.04</v>
      </c>
      <c r="I79" t="str">
        <v xml:space="preserve">Preparado y Autorizado Por </v>
      </c>
    </row>
    <row r="80" ht="18" customHeight="1">
      <c r="B80" t="str">
        <f>Main!D61</f>
        <v>Melaza</v>
      </c>
      <c r="F80">
        <f>Q70/C12</f>
        <v>539.9999999999997</v>
      </c>
      <c r="G80">
        <f>Main!D62</f>
        <v>2.8</v>
      </c>
      <c r="I80" t="str">
        <v>MSc Ricardo D. Lardizábal</v>
      </c>
    </row>
    <row r="81" ht="17.4" customHeight="1">
      <c r="B81" t="str">
        <v>NOTA: El Nitrato de Calcio se debe de diluir en un barril aparte para inyectarse al sistema</v>
      </c>
    </row>
    <row r="84">
      <c r="B84" t="str">
        <v>Abreviaciones usadas</v>
      </c>
    </row>
    <row r="85">
      <c r="B85" t="str">
        <v>Mz.-Manzanas, Ha-Hectáreas, Lbs-Libras, Lts-Litros y DDT-Días después de Trasplante</v>
      </c>
    </row>
  </sheetData>
  <sheetProtection sheet="1"/>
  <mergeCells count="53">
    <mergeCell ref="G74:H74"/>
    <mergeCell ref="G75:H75"/>
    <mergeCell ref="J9:N9"/>
    <mergeCell ref="J10:N10"/>
    <mergeCell ref="J11:N11"/>
    <mergeCell ref="J12:N12"/>
    <mergeCell ref="G76:H76"/>
    <mergeCell ref="S14:S15"/>
    <mergeCell ref="O14:P14"/>
    <mergeCell ref="Q14:R14"/>
    <mergeCell ref="G14:H14"/>
    <mergeCell ref="I14:J14"/>
    <mergeCell ref="K14:L14"/>
    <mergeCell ref="M14:N14"/>
    <mergeCell ref="G72:H72"/>
    <mergeCell ref="G73:H73"/>
    <mergeCell ref="C11:F11"/>
    <mergeCell ref="C12:F12"/>
    <mergeCell ref="G11:I11"/>
    <mergeCell ref="G12:I12"/>
    <mergeCell ref="A14:A15"/>
    <mergeCell ref="B14:B15"/>
    <mergeCell ref="A11:B11"/>
    <mergeCell ref="A12:B12"/>
    <mergeCell ref="B85:S85"/>
    <mergeCell ref="E14:F14"/>
    <mergeCell ref="B84:C84"/>
    <mergeCell ref="B80:E80"/>
    <mergeCell ref="B72:E72"/>
    <mergeCell ref="B74:E74"/>
    <mergeCell ref="B75:E75"/>
    <mergeCell ref="B76:E76"/>
    <mergeCell ref="C14:D14"/>
    <mergeCell ref="B81:I82"/>
    <mergeCell ref="B78:E78"/>
    <mergeCell ref="B77:E77"/>
    <mergeCell ref="I80:Q80"/>
    <mergeCell ref="B79:E79"/>
    <mergeCell ref="G80:H80"/>
    <mergeCell ref="G79:H79"/>
    <mergeCell ref="G77:H77"/>
    <mergeCell ref="G78:H78"/>
    <mergeCell ref="I79:Q79"/>
    <mergeCell ref="P9:S12"/>
    <mergeCell ref="P5:S7"/>
    <mergeCell ref="A8:N8"/>
    <mergeCell ref="P2:S3"/>
    <mergeCell ref="A10:B10"/>
    <mergeCell ref="G9:I9"/>
    <mergeCell ref="G10:I10"/>
    <mergeCell ref="A9:B9"/>
    <mergeCell ref="C9:F9"/>
    <mergeCell ref="C10:F10"/>
  </mergeCells>
  <pageMargins left="0.25" right="0.25" top="0.48" bottom="0.8" header="0.25" footer="0.25"/>
  <ignoredErrors>
    <ignoredError numberStoredAsText="1" sqref="A1:V94"/>
  </ignoredErrors>
  <legacyDrawing r:id="rId1"/>
</worksheet>
</file>

<file path=xl/worksheets/sheet6.xml><?xml version="1.0" encoding="utf-8"?>
<worksheet xmlns="http://schemas.openxmlformats.org/spreadsheetml/2006/main" xmlns:r="http://schemas.openxmlformats.org/officeDocument/2006/relationships">
  <dimension ref="A1:V94"/>
  <sheetViews>
    <sheetView workbookViewId="0" rightToLeft="0"/>
  </sheetViews>
  <sheetData>
    <row r="1" ht="32.7" customHeight="1"/>
    <row r="2" ht="32.7" customHeight="1">
      <c r="P2" t="str">
        <v>Calendario de Fertilización para Goteo 2 Veces Por Semana</v>
      </c>
    </row>
    <row r="3" ht="32.7" customHeight="1"/>
    <row r="5">
      <c r="P5" t="str">
        <f>Main!$E$21</f>
        <v>Cunde</v>
      </c>
    </row>
    <row r="6" ht="29.25" customHeight="1"/>
    <row r="7" ht="26.25" customHeight="1"/>
    <row r="8" ht="25.95" customHeight="1">
      <c r="A8" t="str">
        <f>Main!$C$13</f>
        <v>"Sin Fertilización Base"</v>
      </c>
    </row>
    <row r="9" ht="20.1" customHeight="1">
      <c r="A9" t="str">
        <v>Productor</v>
      </c>
      <c r="C9" t="str">
        <f>Main!E17</f>
        <v>Pancho Pérez</v>
      </c>
      <c r="G9" t="str">
        <v>Parcela</v>
      </c>
      <c r="J9" t="str">
        <f>Main!E19</f>
        <v>La Frondosa</v>
      </c>
      <c r="P9" t="str">
        <f>Main!$G$21</f>
        <v>Shingai</v>
      </c>
    </row>
    <row r="10" ht="20.1" customHeight="1">
      <c r="A10" t="str">
        <v>Zona</v>
      </c>
      <c r="C10" t="str">
        <f>Main!E18</f>
        <v>Cantarranas</v>
      </c>
      <c r="G10" t="str">
        <v>Técnico</v>
      </c>
      <c r="J10" t="str">
        <f>Main!E20</f>
        <v>Nelson Galindo</v>
      </c>
    </row>
    <row r="11" ht="20.1" customHeight="1">
      <c r="A11" t="str">
        <v>Área Mz.</v>
      </c>
      <c r="C11">
        <f>Main!E22</f>
        <v>1.43</v>
      </c>
      <c r="G11" t="str">
        <v>Fecha:</v>
      </c>
      <c r="J11">
        <f>Main!E23</f>
        <v>39605</v>
      </c>
    </row>
    <row r="12" ht="20.1" customHeight="1">
      <c r="A12" t="str">
        <v>Área Ha.</v>
      </c>
      <c r="C12">
        <f>Main!I22</f>
        <v>1.001</v>
      </c>
      <c r="G12" t="str">
        <v>Fecha de Cosecha:</v>
      </c>
      <c r="J12">
        <f>J11+Main!E24</f>
        <v>39670</v>
      </c>
    </row>
    <row r="13" ht="19.5" customHeight="1"/>
    <row r="14" ht="28.5" customHeight="1">
      <c r="A14" t="str">
        <v>Semana</v>
      </c>
      <c r="B14" t="str">
        <v>DDT</v>
      </c>
      <c r="C14" t="str">
        <v>FECHA</v>
      </c>
      <c r="E14" t="str">
        <f>Main!$D$42</f>
        <v>Urea</v>
      </c>
      <c r="G14" t="str">
        <f>Main!$D$32</f>
        <v>DAP 18-46-0</v>
      </c>
      <c r="I14" t="str">
        <f>Main!$D$37</f>
        <v>Kcl</v>
      </c>
      <c r="K14" t="str">
        <f>Main!$D$47</f>
        <v>Sulfato de Magnesio</v>
      </c>
      <c r="M14" t="str">
        <f>Main!$D$52</f>
        <v>Sin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f>Main!E52</f>
        <v>0</v>
      </c>
      <c r="N15" t="str">
        <v>Cambios</v>
      </c>
      <c r="O15" t="str">
        <f>Main!E57</f>
        <v>Gramos</v>
      </c>
      <c r="P15" t="str">
        <v>Cambios</v>
      </c>
      <c r="Q15" t="str">
        <f>Main!$E$61</f>
        <v>Lts</v>
      </c>
      <c r="R15" t="str">
        <v>Cambios</v>
      </c>
    </row>
    <row r="16" ht="18.75" customHeight="1">
      <c r="A16">
        <v>1</v>
      </c>
      <c r="B16">
        <v>3</v>
      </c>
      <c r="C16">
        <f>$J$11+B16</f>
        <v>39608</v>
      </c>
      <c r="E16">
        <f>IF(((SUM(ReDiarioFert!C7:C13)/2)*$C$12)&lt;=0,"0",(((SUM(ReDiarioFert!C7:C13)/2)*$C$12)))</f>
        <v>14.68891327495274</v>
      </c>
      <c r="G16">
        <f>IF(((SUM(ReDiarioFert!E7:E13)/2)*$C$12)&lt;=0,"0",(((SUM(ReDiarioFert!E7:E13)/2)*$C$12)))</f>
        <v>7.228610519565216</v>
      </c>
      <c r="I16">
        <f>IF(((SUM(ReDiarioFert!G7:G13)/2)*$C$12)&lt;=0,"0",(((SUM(ReDiarioFert!G7:G13)/2)*$C$12)))</f>
        <v>15.148496911881669</v>
      </c>
      <c r="K16">
        <f>IF(((SUM(ReDiarioFert!I7:I13)/2)*$C$12)&lt;=0,"0",(((SUM(ReDiarioFert!I7:I13)/2)*$C$12)))</f>
        <v>9.72254560792731</v>
      </c>
      <c r="M16">
        <f>IF(((SUM(ReDiarioFert!K7:K13)/2)*$C$12)&lt;=0,"0",(((SUM(ReDiarioFert!K7:K13)/2)*$C$12)))</f>
        <v>0.0005410985532635866</v>
      </c>
      <c r="O16">
        <f>IF(((SUM(ReDiarioFert!M7:M13)/2)*$C$12)&lt;=0,"0",(((SUM(ReDiarioFert!M7:M13)/2)*$C$12)))</f>
        <v>87.03377609756097</v>
      </c>
      <c r="Q16">
        <f>$C$12*Main!$D$63</f>
        <v>20.019999999999996</v>
      </c>
      <c r="S16">
        <f>((E16/100)*$G$74+(G16/100)*$G$75+(I16/100)*$G$76+(K16/100)*$G$77+(M16/100)*$G$78+(O16)*$G$79+(Q16*$G$80))</f>
        <v>422.0813043861802</v>
      </c>
    </row>
    <row r="17" ht="18.75" customHeight="1">
      <c r="B17">
        <v>7</v>
      </c>
      <c r="C17">
        <f>$J$11+B17</f>
        <v>39612</v>
      </c>
      <c r="E17">
        <f>E16</f>
        <v>14.68891327495274</v>
      </c>
      <c r="G17">
        <f>G16</f>
        <v>7.228610519565216</v>
      </c>
      <c r="I17">
        <f>I16</f>
        <v>15.148496911881669</v>
      </c>
      <c r="K17">
        <f>K16</f>
        <v>9.72254560792731</v>
      </c>
      <c r="M17">
        <f>M16</f>
        <v>0.0005410985532635866</v>
      </c>
      <c r="O17">
        <f>O16</f>
        <v>87.03377609756097</v>
      </c>
      <c r="S17">
        <f>((E17/100)*$G$74+(G17/100)*$G$75+(I17/100)*$G$76+(K17/100)*$G$77+(M17/100)*$G$78+(O17)*$G$79+(Q17*$G$80))</f>
        <v>366.0253043861802</v>
      </c>
    </row>
    <row r="18">
      <c r="A18">
        <v>2</v>
      </c>
      <c r="B18">
        <f>B17+3</f>
        <v>10</v>
      </c>
      <c r="C18">
        <f>$J$11+B18</f>
        <v>39615</v>
      </c>
      <c r="E18">
        <f>IF(((SUM(ReDiarioFert!C14:C20)/2)*$C$12)&lt;=0,"0",(((SUM(ReDiarioFert!C14:C20)/2)*$C$12)))</f>
        <v>23.461876025009357</v>
      </c>
      <c r="G18">
        <f>IF(((SUM(ReDiarioFert!E14:E20)/2)*$C$12)&lt;=0,"0",(((SUM(ReDiarioFert!E14:E20)/2)*$C$12)))</f>
        <v>7.228610519565216</v>
      </c>
      <c r="I18">
        <f>IF(((SUM(ReDiarioFert!G14:G20)/2)*$C$12)&lt;=0,"0",(((SUM(ReDiarioFert!G14:G20)/2)*$C$12)))</f>
        <v>22.72765176358343</v>
      </c>
      <c r="K18">
        <f>IF(((SUM(ReDiarioFert!I14:I20)/2)*$C$12)&lt;=0,"0",(((SUM(ReDiarioFert!I14:I20)/2)*$C$12)))</f>
        <v>14.586967414517012</v>
      </c>
      <c r="M18">
        <f>IF(((SUM(ReDiarioFert!K14:K20)/2)*$C$12)&lt;=0,"0",(((SUM(ReDiarioFert!K14:K20)/2)*$C$12)))</f>
        <v>0.00081182308448753</v>
      </c>
      <c r="O18">
        <f>IF(((SUM(ReDiarioFert!M14:M20)/2)*$C$12)&lt;=0,"0",(((SUM(ReDiarioFert!M14:M20)/2)*$C$12)))</f>
        <v>126.82084048780487</v>
      </c>
      <c r="Q18">
        <f>$C$12*Main!$D$63</f>
        <v>20.019999999999996</v>
      </c>
      <c r="S18">
        <f>((E18/100)*$G$74+(G18/100)*$G$75+(I18/100)*$G$76+(K18/100)*$G$77+(M18/100)*$G$78+(O18)*$G$79+(Q18*$G$80))</f>
        <v>570.9167943576963</v>
      </c>
    </row>
    <row r="19">
      <c r="B19">
        <f>B18+4</f>
        <v>14</v>
      </c>
      <c r="C19">
        <f>$J$11+B19</f>
        <v>39619</v>
      </c>
      <c r="E19">
        <f>E18</f>
        <v>23.461876025009357</v>
      </c>
      <c r="G19">
        <f>G18</f>
        <v>7.228610519565216</v>
      </c>
      <c r="I19">
        <f>I18</f>
        <v>22.72765176358343</v>
      </c>
      <c r="K19">
        <f>K18</f>
        <v>14.586967414517012</v>
      </c>
      <c r="M19">
        <f>M18</f>
        <v>0.00081182308448753</v>
      </c>
      <c r="O19">
        <f>O18</f>
        <v>126.82084048780487</v>
      </c>
      <c r="S19">
        <f>((E19/100)*$G$74+(G19/100)*$G$75+(I19/100)*$G$76+(K19/100)*$G$77+(M19/100)*$G$78+(O19)*$G$79+(Q19*$G$80))</f>
        <v>514.8607943576962</v>
      </c>
    </row>
    <row r="20">
      <c r="A20">
        <v>3</v>
      </c>
      <c r="B20">
        <f>B19+3</f>
        <v>17</v>
      </c>
      <c r="C20">
        <f>$J$11+B20</f>
        <v>39622</v>
      </c>
      <c r="E20">
        <f>IF(((SUM(ReDiarioFert!C21:C27)/2)*$C$12)&lt;=0,"0",(((SUM(ReDiarioFert!C21:C27)/2)*$C$12)))</f>
        <v>23.461876025009357</v>
      </c>
      <c r="G20">
        <f>IF(((SUM(ReDiarioFert!E21:E27)/2)*$C$12)&lt;=0,"0",(((SUM(ReDiarioFert!E21:E27)/2)*$C$12)))</f>
        <v>7.228610519565216</v>
      </c>
      <c r="I20">
        <f>IF(((SUM(ReDiarioFert!G21:G27)/2)*$C$12)&lt;=0,"0",(((SUM(ReDiarioFert!G21:G27)/2)*$C$12)))</f>
        <v>22.72765176358343</v>
      </c>
      <c r="K20">
        <f>IF(((SUM(ReDiarioFert!I21:I27)/2)*$C$12)&lt;=0,"0",(((SUM(ReDiarioFert!I21:I27)/2)*$C$12)))</f>
        <v>14.586967414517012</v>
      </c>
      <c r="M20">
        <f>IF(((SUM(ReDiarioFert!K21:K27)/2)*$C$12)&lt;=0,"0",(((SUM(ReDiarioFert!K21:K27)/2)*$C$12)))</f>
        <v>0.00081182308448753</v>
      </c>
      <c r="O20">
        <f>IF(((SUM(ReDiarioFert!M21:M27)/2)*$C$12)&lt;=0,"0",(((SUM(ReDiarioFert!M21:M27)/2)*$C$12)))</f>
        <v>186.50070463414633</v>
      </c>
      <c r="Q20">
        <f>$C$12*Main!$D$63</f>
        <v>20.019999999999996</v>
      </c>
      <c r="S20">
        <f>((E20/100)*$G$74+(G20/100)*$G$75+(I20/100)*$G$76+(K20/100)*$G$77+(M20/100)*$G$78+(O20)*$G$79+(Q20*$G$80))</f>
        <v>573.3039889235499</v>
      </c>
    </row>
    <row r="21">
      <c r="B21">
        <f>B20+4</f>
        <v>21</v>
      </c>
      <c r="C21">
        <f>$J$11+B21</f>
        <v>39626</v>
      </c>
      <c r="E21">
        <f>E20</f>
        <v>23.461876025009357</v>
      </c>
      <c r="G21">
        <f>G20</f>
        <v>7.228610519565216</v>
      </c>
      <c r="I21">
        <f>I20</f>
        <v>22.72765176358343</v>
      </c>
      <c r="K21">
        <f>K20</f>
        <v>14.586967414517012</v>
      </c>
      <c r="M21">
        <f>M20</f>
        <v>0.00081182308448753</v>
      </c>
      <c r="O21">
        <f>O20</f>
        <v>186.50070463414633</v>
      </c>
      <c r="S21">
        <f>((E21/100)*$G$74+(G21/100)*$G$75+(I21/100)*$G$76+(K21/100)*$G$77+(M21/100)*$G$78+(O21)*$G$79+(Q21*$G$80))</f>
        <v>517.24798892355</v>
      </c>
    </row>
    <row r="22">
      <c r="A22">
        <v>4</v>
      </c>
      <c r="B22">
        <f>B21+3</f>
        <v>24</v>
      </c>
      <c r="C22">
        <f>$J$11+B22</f>
        <v>39629</v>
      </c>
      <c r="E22">
        <f>IF(((SUM(ReDiarioFert!C28:C34)/2)*$C$12)&lt;=0,"0",(((SUM(ReDiarioFert!C28:C34)/2)*$C$12)))</f>
        <v>32.40437920824817</v>
      </c>
      <c r="G22">
        <f>IF(((SUM(ReDiarioFert!E28:E34)/2)*$C$12)&lt;=0,"0",(((SUM(ReDiarioFert!E28:E34)/2)*$C$12)))</f>
        <v>7.228610519565216</v>
      </c>
      <c r="I22">
        <f>IF(((SUM(ReDiarioFert!G28:G34)/2)*$C$12)&lt;=0,"0",(((SUM(ReDiarioFert!G28:G34)/2)*$C$12)))</f>
        <v>30.458291584404016</v>
      </c>
      <c r="K22">
        <f>IF(((SUM(ReDiarioFert!I28:I34)/2)*$C$12)&lt;=0,"0",(((SUM(ReDiarioFert!I28:I34)/2)*$C$12)))</f>
        <v>19.548614677186002</v>
      </c>
      <c r="M22">
        <f>IF(((SUM(ReDiarioFert!K28:K34)/2)*$C$12)&lt;=0,"0",(((SUM(ReDiarioFert!K28:K34)/2)*$C$12)))</f>
        <v>0.0010879586012441094</v>
      </c>
      <c r="O22">
        <f>IF(((SUM(ReDiarioFert!M28:M34)/2)*$C$12)&lt;=0,"0",(((SUM(ReDiarioFert!M28:M34)/2)*$C$12)))</f>
        <v>208.88037902439024</v>
      </c>
      <c r="Q22">
        <f>$C$12*Main!$D$63</f>
        <v>20.019999999999996</v>
      </c>
      <c r="S22">
        <f>((E22/100)*$G$74+(G22/100)*$G$75+(I22/100)*$G$76+(K22/100)*$G$77+(M22/100)*$G$78+(O22)*$G$79+(Q22*$G$80))</f>
        <v>724.3484230189536</v>
      </c>
    </row>
    <row r="23">
      <c r="B23">
        <f>B22+4</f>
        <v>28</v>
      </c>
      <c r="C23">
        <f>$J$11+B23</f>
        <v>39633</v>
      </c>
      <c r="E23">
        <f>E22</f>
        <v>32.40437920824817</v>
      </c>
      <c r="G23">
        <f>G22</f>
        <v>7.228610519565216</v>
      </c>
      <c r="I23">
        <f>I22</f>
        <v>30.458291584404016</v>
      </c>
      <c r="K23">
        <f>K22</f>
        <v>19.548614677186002</v>
      </c>
      <c r="M23">
        <f>M22</f>
        <v>0.0010879586012441094</v>
      </c>
      <c r="O23">
        <f>O22</f>
        <v>208.88037902439024</v>
      </c>
      <c r="S23">
        <f>((E23/100)*$G$74+(G23/100)*$G$75+(I23/100)*$G$76+(K23/100)*$G$77+(M23/100)*$G$78+(O23)*$G$79+(Q23*$G$80))</f>
        <v>668.2924230189535</v>
      </c>
    </row>
    <row r="24">
      <c r="A24">
        <v>5</v>
      </c>
      <c r="B24">
        <f>B23+3</f>
        <v>31</v>
      </c>
      <c r="C24">
        <f>$J$11+B24</f>
        <v>39636</v>
      </c>
      <c r="E24">
        <f>IF(((SUM(ReDiarioFert!C35:C41)/2)*$C$12)&lt;=0,"0",(((SUM(ReDiarioFert!C35:C41)/2)*$C$12)))</f>
        <v>32.40437920824817</v>
      </c>
      <c r="G24">
        <f>IF(((SUM(ReDiarioFert!E35:E41)/2)*$C$12)&lt;=0,"0",(((SUM(ReDiarioFert!E35:E41)/2)*$C$12)))</f>
        <v>7.228610519565216</v>
      </c>
      <c r="I24">
        <f>IF(((SUM(ReDiarioFert!G35:G41)/2)*$C$12)&lt;=0,"0",(((SUM(ReDiarioFert!G35:G41)/2)*$C$12)))</f>
        <v>30.458291584404016</v>
      </c>
      <c r="K24">
        <f>IF(((SUM(ReDiarioFert!I35:I41)/2)*$C$12)&lt;=0,"0",(((SUM(ReDiarioFert!I35:I41)/2)*$C$12)))</f>
        <v>19.548614677186002</v>
      </c>
      <c r="M24">
        <f>IF(((SUM(ReDiarioFert!K35:K41)/2)*$C$12)&lt;=0,"0",(((SUM(ReDiarioFert!K35:K41)/2)*$C$12)))</f>
        <v>0.0010879586012441094</v>
      </c>
      <c r="O24">
        <f>IF(((SUM(ReDiarioFert!M35:M41)/2)*$C$12)&lt;=0,"0",(((SUM(ReDiarioFert!M35:M41)/2)*$C$12)))</f>
        <v>246.18130121951222</v>
      </c>
      <c r="Q24">
        <f>$C$12*Main!$D$63</f>
        <v>20.019999999999996</v>
      </c>
      <c r="S24">
        <f>((E24/100)*$G$74+(G24/100)*$G$75+(I24/100)*$G$76+(K24/100)*$G$77+(M24/100)*$G$78+(O24)*$G$79+(Q24*$G$80))</f>
        <v>725.8404599067583</v>
      </c>
    </row>
    <row r="25">
      <c r="B25">
        <f>B24+4</f>
        <v>35</v>
      </c>
      <c r="C25">
        <f>$J$11+B25</f>
        <v>39640</v>
      </c>
      <c r="E25">
        <f>E24</f>
        <v>32.40437920824817</v>
      </c>
      <c r="G25">
        <f>G24</f>
        <v>7.228610519565216</v>
      </c>
      <c r="I25">
        <f>I24</f>
        <v>30.458291584404016</v>
      </c>
      <c r="K25">
        <f>K24</f>
        <v>19.548614677186002</v>
      </c>
      <c r="M25">
        <f>M24</f>
        <v>0.0010879586012441094</v>
      </c>
      <c r="O25">
        <f>O24</f>
        <v>246.18130121951222</v>
      </c>
      <c r="S25">
        <f>((E25/100)*$G$74+(G25/100)*$G$75+(I25/100)*$G$76+(K25/100)*$G$77+(M25/100)*$G$78+(O25)*$G$79+(Q25*$G$80))</f>
        <v>669.7844599067583</v>
      </c>
    </row>
    <row r="26">
      <c r="A26">
        <v>6</v>
      </c>
      <c r="B26">
        <f>B25+3</f>
        <v>38</v>
      </c>
      <c r="C26">
        <f>$J$11+B26</f>
        <v>39643</v>
      </c>
      <c r="E26">
        <f>IF(((SUM(ReDiarioFert!C42:C48)/2)*$C$12)&lt;=0,"0",(((SUM(ReDiarioFert!C42:C48)/2)*$C$12)))</f>
        <v>32.40437920824817</v>
      </c>
      <c r="G26">
        <f>IF(((SUM(ReDiarioFert!E42:E48)/2)*$C$12)&lt;=0,"0",(((SUM(ReDiarioFert!E42:E48)/2)*$C$12)))</f>
        <v>7.228610519565216</v>
      </c>
      <c r="I26">
        <f>IF(((SUM(ReDiarioFert!G42:G48)/2)*$C$12)&lt;=0,"0",(((SUM(ReDiarioFert!G42:G48)/2)*$C$12)))</f>
        <v>30.458291584404016</v>
      </c>
      <c r="K26">
        <f>IF(((SUM(ReDiarioFert!I42:I48)/2)*$C$12)&lt;=0,"0",(((SUM(ReDiarioFert!I42:I48)/2)*$C$12)))</f>
        <v>19.548614677186002</v>
      </c>
      <c r="M26">
        <f>IF(((SUM(ReDiarioFert!K42:K48)/2)*$C$12)&lt;=0,"0",(((SUM(ReDiarioFert!K42:K48)/2)*$C$12)))</f>
        <v>0.0010879586012441094</v>
      </c>
      <c r="O26">
        <f>IF(((SUM(ReDiarioFert!M42:M48)/2)*$C$12)&lt;=0,"0",(((SUM(ReDiarioFert!M42:M48)/2)*$C$12)))</f>
        <v>295.9158641463415</v>
      </c>
      <c r="Q26">
        <f>$C$12*Main!$D$63</f>
        <v>20.019999999999996</v>
      </c>
      <c r="S26">
        <f>((E26/100)*$G$74+(G26/100)*$G$75+(I26/100)*$G$76+(K26/100)*$G$77+(M26/100)*$G$78+(O26)*$G$79+(Q26*$G$80))</f>
        <v>727.8298424238315</v>
      </c>
    </row>
    <row r="27">
      <c r="B27">
        <f>B26+4</f>
        <v>42</v>
      </c>
      <c r="C27">
        <f>$J$11+B27</f>
        <v>39647</v>
      </c>
      <c r="E27">
        <f>E26</f>
        <v>32.40437920824817</v>
      </c>
      <c r="G27">
        <f>G26</f>
        <v>7.228610519565216</v>
      </c>
      <c r="I27">
        <f>I26</f>
        <v>30.458291584404016</v>
      </c>
      <c r="K27">
        <f>K26</f>
        <v>19.548614677186002</v>
      </c>
      <c r="M27">
        <f>M26</f>
        <v>0.0010879586012441094</v>
      </c>
      <c r="O27">
        <f>O26</f>
        <v>295.9158641463415</v>
      </c>
      <c r="S27">
        <f>((E27/100)*$G$74+(G27/100)*$G$75+(I27/100)*$G$76+(K27/100)*$G$77+(M27/100)*$G$78+(O27)*$G$79+(Q27*$G$80))</f>
        <v>671.7738424238315</v>
      </c>
    </row>
    <row r="28">
      <c r="A28">
        <v>7</v>
      </c>
      <c r="B28">
        <f>B27+3</f>
        <v>45</v>
      </c>
      <c r="C28">
        <f>$J$11+B28</f>
        <v>39650</v>
      </c>
      <c r="E28">
        <f>IF(((SUM(ReDiarioFert!C49:C55)/2)*$C$12)&lt;=0,"0",(((SUM(ReDiarioFert!C49:C55)/2)*$C$12)))</f>
        <v>32.40437920824817</v>
      </c>
      <c r="G28">
        <f>IF(((SUM(ReDiarioFert!E49:E55)/2)*$C$12)&lt;=0,"0",(((SUM(ReDiarioFert!E49:E55)/2)*$C$12)))</f>
        <v>7.228610519565216</v>
      </c>
      <c r="I28">
        <f>IF(((SUM(ReDiarioFert!G49:G55)/2)*$C$12)&lt;=0,"0",(((SUM(ReDiarioFert!G49:G55)/2)*$C$12)))</f>
        <v>30.458291584404016</v>
      </c>
      <c r="K28">
        <f>IF(((SUM(ReDiarioFert!I49:I55)/2)*$C$12)&lt;=0,"0",(((SUM(ReDiarioFert!I49:I55)/2)*$C$12)))</f>
        <v>19.548614677186002</v>
      </c>
      <c r="M28">
        <f>IF(((SUM(ReDiarioFert!K49:K55)/2)*$C$12)&lt;=0,"0",(((SUM(ReDiarioFert!K49:K55)/2)*$C$12)))</f>
        <v>0.0010879586012441094</v>
      </c>
      <c r="O28">
        <f>IF(((SUM(ReDiarioFert!M49:M55)/2)*$C$12)&lt;=0,"0",(((SUM(ReDiarioFert!M49:M55)/2)*$C$12)))</f>
        <v>325.75591829268296</v>
      </c>
      <c r="Q28">
        <f>$C$12*Main!$D$63</f>
        <v>20.019999999999996</v>
      </c>
      <c r="S28">
        <f>((E28/100)*$G$74+(G28/100)*$G$75+(I28/100)*$G$76+(K28/100)*$G$77+(M28/100)*$G$78+(O28)*$G$79+(Q28*$G$80))</f>
        <v>729.0234445896851</v>
      </c>
    </row>
    <row r="29">
      <c r="B29">
        <f>B28+4</f>
        <v>49</v>
      </c>
      <c r="C29">
        <f>$J$11+B29</f>
        <v>39654</v>
      </c>
      <c r="E29">
        <f>E28</f>
        <v>32.40437920824817</v>
      </c>
      <c r="G29">
        <f>G28</f>
        <v>7.228610519565216</v>
      </c>
      <c r="I29">
        <f>I28</f>
        <v>30.458291584404016</v>
      </c>
      <c r="K29">
        <f>K28</f>
        <v>19.548614677186002</v>
      </c>
      <c r="M29">
        <f>M28</f>
        <v>0.0010879586012441094</v>
      </c>
      <c r="O29">
        <f>O28</f>
        <v>325.75591829268296</v>
      </c>
      <c r="S29">
        <f>((E29/100)*$G$74+(G29/100)*$G$75+(I29/100)*$G$76+(K29/100)*$G$77+(M29/100)*$G$78+(O29)*$G$79+(Q29*$G$80))</f>
        <v>672.9674445896852</v>
      </c>
    </row>
    <row r="30">
      <c r="A30">
        <v>8</v>
      </c>
      <c r="B30">
        <f>B29+3</f>
        <v>52</v>
      </c>
      <c r="C30">
        <f>$J$11+B30</f>
        <v>39657</v>
      </c>
      <c r="E30">
        <f>IF(((SUM(ReDiarioFert!C56:C62)/2)*$C$12)&lt;=0,"0",(((SUM(ReDiarioFert!C56:C62)/2)*$C$12)))</f>
        <v>29.974519488710563</v>
      </c>
      <c r="G30">
        <f>IF(((SUM(ReDiarioFert!E56:E62)/2)*$C$12)&lt;=0,"0",(((SUM(ReDiarioFert!E56:E62)/2)*$C$12)))</f>
        <v>7.228610519565216</v>
      </c>
      <c r="I30">
        <f>IF(((SUM(ReDiarioFert!G56:G62)/2)*$C$12)&lt;=0,"0",(((SUM(ReDiarioFert!G56:G62)/2)*$C$12)))</f>
        <v>30.458291584404016</v>
      </c>
      <c r="K30">
        <f>IF(((SUM(ReDiarioFert!I56:I62)/2)*$C$12)&lt;=0,"0",(((SUM(ReDiarioFert!I56:I62)/2)*$C$12)))</f>
        <v>19.548614677186002</v>
      </c>
      <c r="M30">
        <f>IF(((SUM(ReDiarioFert!K56:K62)/2)*$C$12)&lt;=0,"0",(((SUM(ReDiarioFert!K56:K62)/2)*$C$12)))</f>
        <v>0.0010879586012441094</v>
      </c>
      <c r="O30">
        <f>IF(((SUM(ReDiarioFert!M56:M62)/2)*$C$12)&lt;=0,"0",(((SUM(ReDiarioFert!M56:M62)/2)*$C$12)))</f>
        <v>400.35605365853655</v>
      </c>
      <c r="Q30">
        <f>$C$12*Main!$D$63</f>
        <v>20.019999999999996</v>
      </c>
      <c r="S30">
        <f>((E30/100)*$G$74+(G30/100)*$G$75+(I30/100)*$G$76+(K30/100)*$G$77+(M30/100)*$G$78+(O30)*$G$79+(Q30*$G$80))</f>
        <v>716.2133618273249</v>
      </c>
    </row>
    <row r="31">
      <c r="B31">
        <f>B30+4</f>
        <v>56</v>
      </c>
      <c r="C31">
        <f>$J$11+B31</f>
        <v>39661</v>
      </c>
      <c r="E31">
        <f>E30</f>
        <v>29.974519488710563</v>
      </c>
      <c r="G31">
        <f>G30</f>
        <v>7.228610519565216</v>
      </c>
      <c r="I31">
        <f>I30</f>
        <v>30.458291584404016</v>
      </c>
      <c r="K31">
        <f>K30</f>
        <v>19.548614677186002</v>
      </c>
      <c r="M31">
        <f>M30</f>
        <v>0.0010879586012441094</v>
      </c>
      <c r="O31">
        <f>O30</f>
        <v>400.35605365853655</v>
      </c>
      <c r="S31">
        <f>((E31/100)*$G$74+(G31/100)*$G$75+(I31/100)*$G$76+(K31/100)*$G$77+(M31/100)*$G$78+(O31)*$G$79+(Q31*$G$80))</f>
        <v>660.1573618273248</v>
      </c>
    </row>
    <row r="32">
      <c r="A32">
        <v>9</v>
      </c>
      <c r="B32">
        <f>B31+3</f>
        <v>59</v>
      </c>
      <c r="C32">
        <f>$J$11+B32</f>
        <v>39664</v>
      </c>
      <c r="E32">
        <f>IF(((SUM(ReDiarioFert!C63:C69)/2)*$C$12)&lt;=0,"0",(((SUM(ReDiarioFert!C63:C69)/2)*$C$12)))</f>
        <v>29.974519488710563</v>
      </c>
      <c r="G32">
        <f>IF(((SUM(ReDiarioFert!E63:E69)/2)*$C$12)&lt;=0,"0",(((SUM(ReDiarioFert!E63:E69)/2)*$C$12)))</f>
        <v>7.228610519565216</v>
      </c>
      <c r="I32">
        <f>IF(((SUM(ReDiarioFert!G63:G69)/2)*$C$12)&lt;=0,"0",(((SUM(ReDiarioFert!G63:G69)/2)*$C$12)))</f>
        <v>30.458291584404016</v>
      </c>
      <c r="K32">
        <f>IF(((SUM(ReDiarioFert!I63:I69)/2)*$C$12)&lt;=0,"0",(((SUM(ReDiarioFert!I63:I69)/2)*$C$12)))</f>
        <v>19.548614677186002</v>
      </c>
      <c r="M32">
        <f>IF(((SUM(ReDiarioFert!K63:K69)/2)*$C$12)&lt;=0,"0",(((SUM(ReDiarioFert!K63:K69)/2)*$C$12)))</f>
        <v>0.0010879586012441094</v>
      </c>
      <c r="O32">
        <f>IF(((SUM(ReDiarioFert!M63:M69)/2)*$C$12)&lt;=0,"0",(((SUM(ReDiarioFert!M63:M69)/2)*$C$12)))</f>
        <v>415.27632487804874</v>
      </c>
      <c r="Q32">
        <f>$C$12*Main!$D$63</f>
        <v>20.019999999999996</v>
      </c>
      <c r="S32">
        <f>((E32/100)*$G$74+(G32/100)*$G$75+(I32/100)*$G$76+(K32/100)*$G$77+(M32/100)*$G$78+(O32)*$G$79+(Q32*$G$80))</f>
        <v>716.8101726761054</v>
      </c>
    </row>
    <row r="33">
      <c r="B33">
        <f>B32+4</f>
        <v>63</v>
      </c>
      <c r="C33">
        <f>$J$11+B33</f>
        <v>39668</v>
      </c>
      <c r="E33">
        <f>E32</f>
        <v>29.974519488710563</v>
      </c>
      <c r="G33">
        <f>G32</f>
        <v>7.228610519565216</v>
      </c>
      <c r="I33">
        <f>I32</f>
        <v>30.458291584404016</v>
      </c>
      <c r="K33">
        <f>K32</f>
        <v>19.548614677186002</v>
      </c>
      <c r="M33">
        <f>M32</f>
        <v>0.0010879586012441094</v>
      </c>
      <c r="O33">
        <f>O32</f>
        <v>415.27632487804874</v>
      </c>
      <c r="S33">
        <f>((E33/100)*$G$74+(G33/100)*$G$75+(I33/100)*$G$76+(K33/100)*$G$77+(M33/100)*$G$78+(O33)*$G$79+(Q33*$G$80))</f>
        <v>660.7541726761053</v>
      </c>
    </row>
    <row r="34">
      <c r="A34">
        <v>10</v>
      </c>
      <c r="B34">
        <f>B33+3</f>
        <v>66</v>
      </c>
      <c r="C34">
        <f>$J$11+B34</f>
        <v>39671</v>
      </c>
      <c r="E34">
        <f>IF(((SUM(ReDiarioFert!C70:C76)/2)*$C$12)&lt;=0,"0",(((SUM(ReDiarioFert!C70:C76)/2)*$C$12)))</f>
        <v>23.706860638396396</v>
      </c>
      <c r="G34">
        <f>IF(((SUM(ReDiarioFert!E70:E76)/2)*$C$12)&lt;=0,"0",(((SUM(ReDiarioFert!E70:E76)/2)*$C$12)))</f>
        <v>10.842915779347825</v>
      </c>
      <c r="I34">
        <f>IF(((SUM(ReDiarioFert!G70:G76)/2)*$C$12)&lt;=0,"0",(((SUM(ReDiarioFert!G70:G76)/2)*$C$12)))</f>
        <v>29.195833333333336</v>
      </c>
      <c r="K34">
        <f>IF(((SUM(ReDiarioFert!I70:I76)/2)*$C$12)&lt;=0,"0",(((SUM(ReDiarioFert!I70:I76)/2)*$C$12)))</f>
        <v>18.738348946167388</v>
      </c>
      <c r="M34">
        <f>IF(((SUM(ReDiarioFert!K70:K76)/2)*$C$12)&lt;=0,"0",(((SUM(ReDiarioFert!K70:K76)/2)*$C$12)))</f>
        <v>0.0010428640722500002</v>
      </c>
      <c r="O34">
        <f>IF(((SUM(ReDiarioFert!M70:M76)/2)*$C$12)&lt;=0,"0",(((SUM(ReDiarioFert!M70:M76)/2)*$C$12)))</f>
        <v>504.797952195122</v>
      </c>
      <c r="Q34">
        <f>$C$12*Main!$D$63</f>
        <v>20.019999999999996</v>
      </c>
      <c r="S34">
        <f>((E34/100)*$G$74+(G34/100)*$G$75+(I34/100)*$G$76+(K34/100)*$G$77+(M34/100)*$G$78+(O34)*$G$79+(Q34*$G$80))</f>
        <v>707.9950334009407</v>
      </c>
    </row>
    <row r="35">
      <c r="B35">
        <f>B34+4</f>
        <v>70</v>
      </c>
      <c r="C35">
        <f>$J$11+B35</f>
        <v>39675</v>
      </c>
      <c r="E35">
        <f>E34</f>
        <v>23.706860638396396</v>
      </c>
      <c r="G35">
        <f>G34</f>
        <v>10.842915779347825</v>
      </c>
      <c r="I35">
        <f>I34</f>
        <v>29.195833333333336</v>
      </c>
      <c r="K35">
        <f>K34</f>
        <v>18.738348946167388</v>
      </c>
      <c r="M35">
        <f>M34</f>
        <v>0.0010428640722500002</v>
      </c>
      <c r="O35">
        <f>O34</f>
        <v>504.797952195122</v>
      </c>
      <c r="S35">
        <f>((E35/100)*$G$74+(G35/100)*$G$75+(I35/100)*$G$76+(K35/100)*$G$77+(M35/100)*$G$78+(O35)*$G$79+(Q35*$G$80))</f>
        <v>651.9390334009406</v>
      </c>
    </row>
    <row r="36">
      <c r="A36">
        <v>11</v>
      </c>
      <c r="B36">
        <f>B35+3</f>
        <v>73</v>
      </c>
      <c r="C36">
        <f>$J$11+B36</f>
        <v>39678</v>
      </c>
      <c r="E36">
        <f>IF(((SUM(ReDiarioFert!C77:C83)/2)*$C$12)&lt;=0,"0",(((SUM(ReDiarioFert!C77:C83)/2)*$C$12)))</f>
        <v>23.706860638396396</v>
      </c>
      <c r="G36">
        <f>IF(((SUM(ReDiarioFert!E77:E83)/2)*$C$12)&lt;=0,"0",(((SUM(ReDiarioFert!E77:E83)/2)*$C$12)))</f>
        <v>10.842915779347825</v>
      </c>
      <c r="I36">
        <f>IF(((SUM(ReDiarioFert!G77:G83)/2)*$C$12)&lt;=0,"0",(((SUM(ReDiarioFert!G77:G83)/2)*$C$12)))</f>
        <v>29.195833333333336</v>
      </c>
      <c r="K36">
        <f>IF(((SUM(ReDiarioFert!I77:I83)/2)*$C$12)&lt;=0,"0",(((SUM(ReDiarioFert!I77:I83)/2)*$C$12)))</f>
        <v>18.738348946167388</v>
      </c>
      <c r="M36">
        <f>IF(((SUM(ReDiarioFert!K77:K83)/2)*$C$12)&lt;=0,"0",(((SUM(ReDiarioFert!K77:K83)/2)*$C$12)))</f>
        <v>0.0010428640722500002</v>
      </c>
      <c r="O36">
        <f>IF(((SUM(ReDiarioFert!M77:M83)/2)*$C$12)&lt;=0,"0",(((SUM(ReDiarioFert!M77:M83)/2)*$C$12)))</f>
        <v>504.797952195122</v>
      </c>
      <c r="Q36">
        <f>$C$12*Main!$D$63</f>
        <v>20.019999999999996</v>
      </c>
      <c r="S36">
        <f>((E36/100)*$G$74+(G36/100)*$G$75+(I36/100)*$G$76+(K36/100)*$G$77+(M36/100)*$G$78+(O36)*$G$79+(Q36*$G$80))</f>
        <v>707.9950334009407</v>
      </c>
    </row>
    <row r="37">
      <c r="B37">
        <f>B36+4</f>
        <v>77</v>
      </c>
      <c r="C37">
        <f>$J$11+B37</f>
        <v>39682</v>
      </c>
      <c r="E37">
        <f>E36</f>
        <v>23.706860638396396</v>
      </c>
      <c r="G37">
        <f>G36</f>
        <v>10.842915779347825</v>
      </c>
      <c r="I37">
        <f>I36</f>
        <v>29.195833333333336</v>
      </c>
      <c r="K37">
        <f>K36</f>
        <v>18.738348946167388</v>
      </c>
      <c r="M37">
        <f>M36</f>
        <v>0.0010428640722500002</v>
      </c>
      <c r="O37">
        <f>O36</f>
        <v>504.797952195122</v>
      </c>
      <c r="S37">
        <f>((E37/100)*$G$74+(G37/100)*$G$75+(I37/100)*$G$76+(K37/100)*$G$77+(M37/100)*$G$78+(O37)*$G$79+(Q37*$G$80))</f>
        <v>651.9390334009406</v>
      </c>
    </row>
    <row r="38">
      <c r="A38">
        <v>12</v>
      </c>
      <c r="B38">
        <f>B37+3</f>
        <v>80</v>
      </c>
      <c r="C38">
        <f>$J$11+B38</f>
        <v>39685</v>
      </c>
      <c r="E38">
        <f>IF(((SUM(ReDiarioFert!C84:C90)/2)*$C$12)&lt;=0,"0",(((SUM(ReDiarioFert!C84:C90)/2)*$C$12)))</f>
        <v>23.706860638396396</v>
      </c>
      <c r="G38">
        <f>IF(((SUM(ReDiarioFert!E84:E90)/2)*$C$12)&lt;=0,"0",(((SUM(ReDiarioFert!E84:E90)/2)*$C$12)))</f>
        <v>10.842915779347825</v>
      </c>
      <c r="I38">
        <f>IF(((SUM(ReDiarioFert!G84:G90)/2)*$C$12)&lt;=0,"0",(((SUM(ReDiarioFert!G84:G90)/2)*$C$12)))</f>
        <v>29.195833333333336</v>
      </c>
      <c r="K38">
        <f>IF(((SUM(ReDiarioFert!I84:I90)/2)*$C$12)&lt;=0,"0",(((SUM(ReDiarioFert!I84:I90)/2)*$C$12)))</f>
        <v>18.738348946167388</v>
      </c>
      <c r="M38">
        <f>IF(((SUM(ReDiarioFert!K84:K90)/2)*$C$12)&lt;=0,"0",(((SUM(ReDiarioFert!K84:K90)/2)*$C$12)))</f>
        <v>0.0010428640722500002</v>
      </c>
      <c r="O38">
        <f>IF(((SUM(ReDiarioFert!M84:M90)/2)*$C$12)&lt;=0,"0",(((SUM(ReDiarioFert!M84:M90)/2)*$C$12)))</f>
        <v>564.4780604878048</v>
      </c>
      <c r="Q38">
        <f>$C$12*Main!$D$63</f>
        <v>20.019999999999996</v>
      </c>
      <c r="S38">
        <f>((E38/100)*$G$74+(G38/100)*$G$75+(I38/100)*$G$76+(K38/100)*$G$77+(M38/100)*$G$78+(O38)*$G$79+(Q38*$G$80))</f>
        <v>710.3822377326478</v>
      </c>
    </row>
    <row r="39">
      <c r="B39">
        <f>B38+4</f>
        <v>84</v>
      </c>
      <c r="C39">
        <f>$J$11+B39</f>
        <v>39689</v>
      </c>
      <c r="E39">
        <f>E38</f>
        <v>23.706860638396396</v>
      </c>
      <c r="G39">
        <f>G38</f>
        <v>10.842915779347825</v>
      </c>
      <c r="I39">
        <f>I38</f>
        <v>29.195833333333336</v>
      </c>
      <c r="K39">
        <f>K38</f>
        <v>18.738348946167388</v>
      </c>
      <c r="M39">
        <f>M38</f>
        <v>0.0010428640722500002</v>
      </c>
      <c r="O39">
        <f>O38</f>
        <v>564.4780604878048</v>
      </c>
      <c r="S39">
        <f>((E39/100)*$G$74+(G39/100)*$G$75+(I39/100)*$G$76+(K39/100)*$G$77+(M39/100)*$G$78+(O39)*$G$79+(Q39*$G$80))</f>
        <v>654.3262377326479</v>
      </c>
    </row>
    <row r="40" ht="18" customHeight="1">
      <c r="A40">
        <v>13</v>
      </c>
      <c r="B40">
        <f>B39+3</f>
        <v>87</v>
      </c>
      <c r="C40">
        <f>$J$11+B40</f>
        <v>39692</v>
      </c>
      <c r="E40">
        <f>IF(((SUM(ReDiarioFert!C91:C97)/2)*$C$12)&lt;=0,"0",(((SUM(ReDiarioFert!C91:C97)/2)*$C$12)))</f>
        <v>23.706860638396396</v>
      </c>
      <c r="G40">
        <f>IF(((SUM(ReDiarioFert!E91:E97)/2)*$C$12)&lt;=0,"0",(((SUM(ReDiarioFert!E91:E97)/2)*$C$12)))</f>
        <v>10.842915779347825</v>
      </c>
      <c r="I40">
        <f>IF(((SUM(ReDiarioFert!G91:G97)/2)*$C$12)&lt;=0,"0",(((SUM(ReDiarioFert!G91:G97)/2)*$C$12)))</f>
        <v>29.195833333333336</v>
      </c>
      <c r="K40">
        <f>IF(((SUM(ReDiarioFert!I91:I97)/2)*$C$12)&lt;=0,"0",(((SUM(ReDiarioFert!I91:I97)/2)*$C$12)))</f>
        <v>18.738348946167388</v>
      </c>
      <c r="M40">
        <f>IF(((SUM(ReDiarioFert!K91:K97)/2)*$C$12)&lt;=0,"0",(((SUM(ReDiarioFert!K91:K97)/2)*$C$12)))</f>
        <v>0.0010428640722500002</v>
      </c>
      <c r="O40">
        <f>IF(((SUM(ReDiarioFert!M91:M97)/2)*$C$12)&lt;=0,"0",(((SUM(ReDiarioFert!M91:M97)/2)*$C$12)))</f>
        <v>609.2381417073171</v>
      </c>
      <c r="Q40">
        <f>$C$12*Main!$D$63</f>
        <v>20.019999999999996</v>
      </c>
      <c r="S40">
        <f>((E40/100)*$G$74+(G40/100)*$G$75+(I40/100)*$G$76+(K40/100)*$G$77+(M40/100)*$G$78+(O40)*$G$79+(Q40*$G$80))</f>
        <v>712.1726409814285</v>
      </c>
    </row>
    <row r="41" ht="18" customHeight="1">
      <c r="B41">
        <f>B40+4</f>
        <v>91</v>
      </c>
      <c r="C41">
        <f>$J$11+B41</f>
        <v>39696</v>
      </c>
      <c r="E41">
        <f>E40</f>
        <v>23.706860638396396</v>
      </c>
      <c r="G41">
        <f>G40</f>
        <v>10.842915779347825</v>
      </c>
      <c r="I41">
        <f>I40</f>
        <v>29.195833333333336</v>
      </c>
      <c r="K41">
        <f>K40</f>
        <v>18.738348946167388</v>
      </c>
      <c r="M41">
        <f>M40</f>
        <v>0.0010428640722500002</v>
      </c>
      <c r="O41">
        <f>O40</f>
        <v>609.2381417073171</v>
      </c>
      <c r="S41">
        <f>((E41/100)*$G$74+(G41/100)*$G$75+(I41/100)*$G$76+(K41/100)*$G$77+(M41/100)*$G$78+(O41)*$G$79+(Q41*$G$80))</f>
        <v>656.1166409814284</v>
      </c>
    </row>
    <row r="42">
      <c r="A42">
        <v>14</v>
      </c>
      <c r="B42">
        <f>B41+3</f>
        <v>94</v>
      </c>
      <c r="C42">
        <f>$J$11+B42</f>
        <v>39699</v>
      </c>
      <c r="E42">
        <f>IF(((SUM(ReDiarioFert!C98:C104)/2)*$C$12)&lt;=0,"0",(((SUM(ReDiarioFert!C98:C104)/2)*$C$12)))</f>
        <v>23.706860638396396</v>
      </c>
      <c r="G42">
        <f>IF(((SUM(ReDiarioFert!E98:E104)/2)*$C$12)&lt;=0,"0",(((SUM(ReDiarioFert!E98:E104)/2)*$C$12)))</f>
        <v>10.842915779347825</v>
      </c>
      <c r="I42">
        <f>IF(((SUM(ReDiarioFert!G98:G104)/2)*$C$12)&lt;=0,"0",(((SUM(ReDiarioFert!G98:G104)/2)*$C$12)))</f>
        <v>29.195833333333336</v>
      </c>
      <c r="K42">
        <f>IF(((SUM(ReDiarioFert!I98:I104)/2)*$C$12)&lt;=0,"0",(((SUM(ReDiarioFert!I98:I104)/2)*$C$12)))</f>
        <v>18.738348946167388</v>
      </c>
      <c r="M42">
        <f>IF(((SUM(ReDiarioFert!K98:K104)/2)*$C$12)&lt;=0,"0",(((SUM(ReDiarioFert!K98:K104)/2)*$C$12)))</f>
        <v>0.0010428640722500002</v>
      </c>
      <c r="O42">
        <f>IF(((SUM(ReDiarioFert!M98:M104)/2)*$C$12)&lt;=0,"0",(((SUM(ReDiarioFert!M98:M104)/2)*$C$12)))</f>
        <v>609.2381417073171</v>
      </c>
      <c r="Q42">
        <f>$C$12*Main!$D$63</f>
        <v>20.019999999999996</v>
      </c>
      <c r="S42">
        <f>((E42/100)*$G$74+(G42/100)*$G$75+(I42/100)*$G$76+(K42/100)*$G$77+(M42/100)*$G$78+(O42)*$G$79+(Q42*$G$80))</f>
        <v>712.1726409814285</v>
      </c>
    </row>
    <row r="43">
      <c r="B43">
        <f>B42+4</f>
        <v>98</v>
      </c>
      <c r="C43">
        <f>$J$11+B43</f>
        <v>39703</v>
      </c>
      <c r="E43">
        <f>E42</f>
        <v>23.706860638396396</v>
      </c>
      <c r="G43">
        <f>G42</f>
        <v>10.842915779347825</v>
      </c>
      <c r="I43">
        <f>I42</f>
        <v>29.195833333333336</v>
      </c>
      <c r="K43">
        <f>K42</f>
        <v>18.738348946167388</v>
      </c>
      <c r="M43">
        <f>M42</f>
        <v>0.0010428640722500002</v>
      </c>
      <c r="O43">
        <f>O42</f>
        <v>609.2381417073171</v>
      </c>
      <c r="S43">
        <f>((E43/100)*$G$74+(G43/100)*$G$75+(I43/100)*$G$76+(K43/100)*$G$77+(M43/100)*$G$78+(O43)*$G$79+(Q43*$G$80))</f>
        <v>656.1166409814284</v>
      </c>
    </row>
    <row r="44">
      <c r="A44">
        <v>15</v>
      </c>
      <c r="B44">
        <f>B43+3</f>
        <v>101</v>
      </c>
      <c r="C44">
        <f>$J$11+B44</f>
        <v>39706</v>
      </c>
      <c r="E44">
        <f>IF(((SUM(ReDiarioFert!C105:C111)/2)*$C$12)&lt;=0,"0",(((SUM(ReDiarioFert!C105:C111)/2)*$C$12)))</f>
        <v>23.706860638396396</v>
      </c>
      <c r="G44">
        <f>IF(((SUM(ReDiarioFert!E105:E111)/2)*$C$12)&lt;=0,"0",(((SUM(ReDiarioFert!E105:E111)/2)*$C$12)))</f>
        <v>10.842915779347825</v>
      </c>
      <c r="I44">
        <f>IF(((SUM(ReDiarioFert!G105:G111)/2)*$C$12)&lt;=0,"0",(((SUM(ReDiarioFert!G105:G111)/2)*$C$12)))</f>
        <v>29.195833333333336</v>
      </c>
      <c r="K44">
        <f>IF(((SUM(ReDiarioFert!I105:I111)/2)*$C$12)&lt;=0,"0",(((SUM(ReDiarioFert!I105:I111)/2)*$C$12)))</f>
        <v>18.738348946167388</v>
      </c>
      <c r="M44">
        <f>IF(((SUM(ReDiarioFert!K105:K111)/2)*$C$12)&lt;=0,"0",(((SUM(ReDiarioFert!K105:K111)/2)*$C$12)))</f>
        <v>0.0010428640722500002</v>
      </c>
      <c r="O44">
        <f>IF(((SUM(ReDiarioFert!M105:M111)/2)*$C$12)&lt;=0,"0",(((SUM(ReDiarioFert!M105:M111)/2)*$C$12)))</f>
        <v>609.2381417073171</v>
      </c>
      <c r="Q44">
        <f>$C$12*Main!$D$63</f>
        <v>20.019999999999996</v>
      </c>
      <c r="S44">
        <f>((E44/100)*$G$74+(G44/100)*$G$75+(I44/100)*$G$76+(K44/100)*$G$77+(M44/100)*$G$78+(O44)*$G$79+(Q44*$G$80))</f>
        <v>712.1726409814285</v>
      </c>
    </row>
    <row r="45">
      <c r="B45">
        <f>B44+4</f>
        <v>105</v>
      </c>
      <c r="C45">
        <f>$J$11+B45</f>
        <v>39710</v>
      </c>
      <c r="E45">
        <f>E44</f>
        <v>23.706860638396396</v>
      </c>
      <c r="G45">
        <f>G44</f>
        <v>10.842915779347825</v>
      </c>
      <c r="I45">
        <f>I44</f>
        <v>29.195833333333336</v>
      </c>
      <c r="K45">
        <f>K44</f>
        <v>18.738348946167388</v>
      </c>
      <c r="M45">
        <f>M44</f>
        <v>0.0010428640722500002</v>
      </c>
      <c r="O45">
        <f>O44</f>
        <v>609.2381417073171</v>
      </c>
      <c r="S45">
        <f>((E45/100)*$G$74+(G45/100)*$G$75+(I45/100)*$G$76+(K45/100)*$G$77+(M45/100)*$G$78+(O45)*$G$79+(Q45*$G$80))</f>
        <v>656.1166409814284</v>
      </c>
    </row>
    <row r="46">
      <c r="A46">
        <v>16</v>
      </c>
      <c r="B46">
        <f>B45+3</f>
        <v>108</v>
      </c>
      <c r="C46">
        <f>$J$11+B46</f>
        <v>39713</v>
      </c>
      <c r="E46">
        <f>IF(((SUM(ReDiarioFert!C112:C118)/2)*$C$12)&lt;=0,"0",(((SUM(ReDiarioFert!C112:C118)/2)*$C$12)))</f>
        <v>23.706860638396396</v>
      </c>
      <c r="G46">
        <f>IF(((SUM(ReDiarioFert!E112:E118)/2)*$C$12)&lt;=0,"0",(((SUM(ReDiarioFert!E112:E118)/2)*$C$12)))</f>
        <v>10.842915779347825</v>
      </c>
      <c r="I46">
        <f>IF(((SUM(ReDiarioFert!G112:G118)/2)*$C$12)&lt;=0,"0",(((SUM(ReDiarioFert!G112:G118)/2)*$C$12)))</f>
        <v>29.195833333333336</v>
      </c>
      <c r="K46">
        <f>IF(((SUM(ReDiarioFert!I112:I118)/2)*$C$12)&lt;=0,"0",(((SUM(ReDiarioFert!I112:I118)/2)*$C$12)))</f>
        <v>18.738348946167388</v>
      </c>
      <c r="M46">
        <f>IF(((SUM(ReDiarioFert!K112:K118)/2)*$C$12)&lt;=0,"0",(((SUM(ReDiarioFert!K112:K118)/2)*$C$12)))</f>
        <v>0.0010428640722500002</v>
      </c>
      <c r="O46">
        <f>IF(((SUM(ReDiarioFert!M112:M118)/2)*$C$12)&lt;=0,"0",(((SUM(ReDiarioFert!M112:M118)/2)*$C$12)))</f>
        <v>609.2381417073171</v>
      </c>
      <c r="Q46">
        <f>$C$12*Main!$D$63</f>
        <v>20.019999999999996</v>
      </c>
      <c r="S46">
        <f>((E46/100)*$G$74+(G46/100)*$G$75+(I46/100)*$G$76+(K46/100)*$G$77+(M46/100)*$G$78+(O46)*$G$79+(Q46*$G$80))</f>
        <v>712.1726409814285</v>
      </c>
    </row>
    <row r="47">
      <c r="B47">
        <f>B46+4</f>
        <v>112</v>
      </c>
      <c r="C47">
        <f>$J$11+B47</f>
        <v>39717</v>
      </c>
      <c r="E47">
        <f>E46</f>
        <v>23.706860638396396</v>
      </c>
      <c r="G47">
        <f>G46</f>
        <v>10.842915779347825</v>
      </c>
      <c r="I47">
        <f>I46</f>
        <v>29.195833333333336</v>
      </c>
      <c r="K47">
        <f>K46</f>
        <v>18.738348946167388</v>
      </c>
      <c r="M47">
        <f>M46</f>
        <v>0.0010428640722500002</v>
      </c>
      <c r="O47">
        <f>O46</f>
        <v>609.2381417073171</v>
      </c>
      <c r="S47">
        <f>((E47/100)*$G$74+(G47/100)*$G$75+(I47/100)*$G$76+(K47/100)*$G$77+(M47/100)*$G$78+(O47)*$G$79+(Q47*$G$80))</f>
        <v>656.1166409814284</v>
      </c>
    </row>
    <row r="48">
      <c r="A48">
        <v>17</v>
      </c>
      <c r="B48">
        <f>B47+3</f>
        <v>115</v>
      </c>
      <c r="C48">
        <f>$J$11+B48</f>
        <v>39720</v>
      </c>
      <c r="E48">
        <f>IF(((SUM(ReDiarioFert!C119:C125)/2)*$C$12)&lt;=0,"0",(((SUM(ReDiarioFert!C119:C125)/2)*$C$12)))</f>
        <v>23.706860638396396</v>
      </c>
      <c r="G48">
        <f>IF(((SUM(ReDiarioFert!E119:E125)/2)*$C$12)&lt;=0,"0",(((SUM(ReDiarioFert!E119:E125)/2)*$C$12)))</f>
        <v>10.842915779347825</v>
      </c>
      <c r="I48">
        <f>IF(((SUM(ReDiarioFert!G119:G125)/2)*$C$12)&lt;=0,"0",(((SUM(ReDiarioFert!G119:G125)/2)*$C$12)))</f>
        <v>29.195833333333336</v>
      </c>
      <c r="K48">
        <f>IF(((SUM(ReDiarioFert!I119:I125)/2)*$C$12)&lt;=0,"0",(((SUM(ReDiarioFert!I119:I125)/2)*$C$12)))</f>
        <v>18.738348946167388</v>
      </c>
      <c r="M48">
        <f>IF(((SUM(ReDiarioFert!K119:K125)/2)*$C$12)&lt;=0,"0",(((SUM(ReDiarioFert!K119:K125)/2)*$C$12)))</f>
        <v>0.0010428640722500002</v>
      </c>
      <c r="O48">
        <f>IF(((SUM(ReDiarioFert!M119:M125)/2)*$C$12)&lt;=0,"0",(((SUM(ReDiarioFert!M119:M125)/2)*$C$12)))</f>
        <v>609.2381417073171</v>
      </c>
      <c r="Q48">
        <f>$C$12*Main!$D$63</f>
        <v>20.019999999999996</v>
      </c>
      <c r="S48">
        <f>((E48/100)*$G$74+(G48/100)*$G$75+(I48/100)*$G$76+(K48/100)*$G$77+(M48/100)*$G$78+(O48)*$G$79+(Q48*$G$80))</f>
        <v>712.1726409814285</v>
      </c>
    </row>
    <row r="49">
      <c r="B49">
        <f>B48+4</f>
        <v>119</v>
      </c>
      <c r="C49">
        <f>$J$11+B49</f>
        <v>39724</v>
      </c>
      <c r="E49">
        <f>E48</f>
        <v>23.706860638396396</v>
      </c>
      <c r="G49">
        <f>G48</f>
        <v>10.842915779347825</v>
      </c>
      <c r="I49">
        <f>I48</f>
        <v>29.195833333333336</v>
      </c>
      <c r="K49">
        <f>K48</f>
        <v>18.738348946167388</v>
      </c>
      <c r="M49">
        <f>M48</f>
        <v>0.0010428640722500002</v>
      </c>
      <c r="O49">
        <f>O48</f>
        <v>609.2381417073171</v>
      </c>
      <c r="S49">
        <f>((E49/100)*$G$74+(G49/100)*$G$75+(I49/100)*$G$76+(K49/100)*$G$77+(M49/100)*$G$78+(O49)*$G$79+(Q49*$G$80))</f>
        <v>656.1166409814284</v>
      </c>
    </row>
    <row r="50">
      <c r="A50">
        <v>18</v>
      </c>
      <c r="B50">
        <f>B49+3</f>
        <v>122</v>
      </c>
      <c r="C50">
        <f>$J$11+B50</f>
        <v>39727</v>
      </c>
      <c r="E50">
        <f>IF(((SUM(ReDiarioFert!C126:C132)/2)*$C$12)&lt;=0,"0",(((SUM(ReDiarioFert!C126:C132)/2)*$C$12)))</f>
        <v>23.706860638396396</v>
      </c>
      <c r="G50">
        <f>IF(((SUM(ReDiarioFert!E126:E132)/2)*$C$12)&lt;=0,"0",(((SUM(ReDiarioFert!E126:E132)/2)*$C$12)))</f>
        <v>10.842915779347825</v>
      </c>
      <c r="I50">
        <f>IF(((SUM(ReDiarioFert!G126:G132)/2)*$C$12)&lt;=0,"0",(((SUM(ReDiarioFert!G126:G132)/2)*$C$12)))</f>
        <v>29.195833333333336</v>
      </c>
      <c r="K50">
        <f>IF(((SUM(ReDiarioFert!I126:I132)/2)*$C$12)&lt;=0,"0",(((SUM(ReDiarioFert!I126:I132)/2)*$C$12)))</f>
        <v>18.738348946167388</v>
      </c>
      <c r="M50">
        <f>IF(((SUM(ReDiarioFert!K126:K132)/2)*$C$12)&lt;=0,"0",(((SUM(ReDiarioFert!K126:K132)/2)*$C$12)))</f>
        <v>0.0010428640722500002</v>
      </c>
      <c r="O50">
        <f>IF(((SUM(ReDiarioFert!M126:M132)/2)*$C$12)&lt;=0,"0",(((SUM(ReDiarioFert!M126:M132)/2)*$C$12)))</f>
        <v>609.2381417073171</v>
      </c>
      <c r="Q50">
        <f>$C$12*Main!$D$63</f>
        <v>20.019999999999996</v>
      </c>
      <c r="S50">
        <f>((E50/100)*$G$74+(G50/100)*$G$75+(I50/100)*$G$76+(K50/100)*$G$77+(M50/100)*$G$78+(O50)*$G$79+(Q50*$G$80))</f>
        <v>712.1726409814285</v>
      </c>
    </row>
    <row r="51">
      <c r="B51">
        <f>B50+4</f>
        <v>126</v>
      </c>
      <c r="C51">
        <f>$J$11+B51</f>
        <v>39731</v>
      </c>
      <c r="E51">
        <f>E50</f>
        <v>23.706860638396396</v>
      </c>
      <c r="G51">
        <f>G50</f>
        <v>10.842915779347825</v>
      </c>
      <c r="I51">
        <f>I50</f>
        <v>29.195833333333336</v>
      </c>
      <c r="K51">
        <f>K50</f>
        <v>18.738348946167388</v>
      </c>
      <c r="M51">
        <f>M50</f>
        <v>0.0010428640722500002</v>
      </c>
      <c r="O51">
        <f>O50</f>
        <v>609.2381417073171</v>
      </c>
      <c r="S51">
        <f>((E51/100)*$G$74+(G51/100)*$G$75+(I51/100)*$G$76+(K51/100)*$G$77+(M51/100)*$G$78+(O51)*$G$79+(Q51*$G$80))</f>
        <v>656.1166409814284</v>
      </c>
    </row>
    <row r="52">
      <c r="A52">
        <v>19</v>
      </c>
      <c r="B52">
        <f>B51+3</f>
        <v>129</v>
      </c>
      <c r="C52">
        <f>$J$11+B52</f>
        <v>39734</v>
      </c>
      <c r="E52">
        <f>IF(((SUM(ReDiarioFert!C133:C139)/2)*$C$12)&lt;=0,"0",(((SUM(ReDiarioFert!C133:C139)/2)*$C$12)))</f>
        <v>23.706860638396396</v>
      </c>
      <c r="G52">
        <f>IF(((SUM(ReDiarioFert!E133:E139)/2)*$C$12)&lt;=0,"0",(((SUM(ReDiarioFert!E133:E139)/2)*$C$12)))</f>
        <v>10.842915779347825</v>
      </c>
      <c r="I52">
        <f>IF(((SUM(ReDiarioFert!G133:G139)/2)*$C$12)&lt;=0,"0",(((SUM(ReDiarioFert!G133:G139)/2)*$C$12)))</f>
        <v>29.195833333333336</v>
      </c>
      <c r="K52">
        <f>IF(((SUM(ReDiarioFert!I133:I139)/2)*$C$12)&lt;=0,"0",(((SUM(ReDiarioFert!I133:I139)/2)*$C$12)))</f>
        <v>18.738348946167388</v>
      </c>
      <c r="M52">
        <f>IF(((SUM(ReDiarioFert!K133:K139)/2)*$C$12)&lt;=0,"0",(((SUM(ReDiarioFert!K133:K139)/2)*$C$12)))</f>
        <v>0.0010428640722500002</v>
      </c>
      <c r="O52">
        <f>IF(((SUM(ReDiarioFert!M133:M139)/2)*$C$12)&lt;=0,"0",(((SUM(ReDiarioFert!M133:M139)/2)*$C$12)))</f>
        <v>609.2381417073171</v>
      </c>
      <c r="Q52">
        <f>$C$12*Main!$D$63</f>
        <v>20.019999999999996</v>
      </c>
      <c r="S52">
        <f>((E52/100)*$G$74+(G52/100)*$G$75+(I52/100)*$G$76+(K52/100)*$G$77+(M52/100)*$G$78+(O52)*$G$79+(Q52*$G$80))</f>
        <v>712.1726409814285</v>
      </c>
    </row>
    <row r="53">
      <c r="B53">
        <f>B52+4</f>
        <v>133</v>
      </c>
      <c r="C53">
        <f>$J$11+B53</f>
        <v>39738</v>
      </c>
      <c r="E53">
        <f>E52</f>
        <v>23.706860638396396</v>
      </c>
      <c r="G53">
        <f>G52</f>
        <v>10.842915779347825</v>
      </c>
      <c r="I53">
        <f>I52</f>
        <v>29.195833333333336</v>
      </c>
      <c r="K53">
        <f>K52</f>
        <v>18.738348946167388</v>
      </c>
      <c r="M53">
        <f>M52</f>
        <v>0.0010428640722500002</v>
      </c>
      <c r="O53">
        <f>O52</f>
        <v>609.2381417073171</v>
      </c>
      <c r="S53">
        <f>((E53/100)*$G$74+(G53/100)*$G$75+(I53/100)*$G$76+(K53/100)*$G$77+(M53/100)*$G$78+(O53)*$G$79+(Q53*$G$80))</f>
        <v>656.1166409814284</v>
      </c>
    </row>
    <row r="54">
      <c r="A54">
        <v>20</v>
      </c>
      <c r="B54">
        <f>B53+3</f>
        <v>136</v>
      </c>
      <c r="C54">
        <f>$J$11+B54</f>
        <v>39741</v>
      </c>
      <c r="E54">
        <f>IF(((SUM(ReDiarioFert!C140:C146)/2)*$C$12)&lt;=0,"0",(((SUM(ReDiarioFert!C140:C146)/2)*$C$12)))</f>
        <v>23.706860638396396</v>
      </c>
      <c r="G54">
        <f>IF(((SUM(ReDiarioFert!E140:E146)/2)*$C$12)&lt;=0,"0",(((SUM(ReDiarioFert!E140:E146)/2)*$C$12)))</f>
        <v>10.842915779347825</v>
      </c>
      <c r="I54">
        <f>IF(((SUM(ReDiarioFert!G140:G146)/2)*$C$12)&lt;=0,"0",(((SUM(ReDiarioFert!G140:G146)/2)*$C$12)))</f>
        <v>29.195833333333336</v>
      </c>
      <c r="K54">
        <f>IF(((SUM(ReDiarioFert!I140:I146)/2)*$C$12)&lt;=0,"0",(((SUM(ReDiarioFert!I140:I146)/2)*$C$12)))</f>
        <v>18.738348946167388</v>
      </c>
      <c r="M54">
        <f>IF(((SUM(ReDiarioFert!K140:K146)/2)*$C$12)&lt;=0,"0",(((SUM(ReDiarioFert!K140:K146)/2)*$C$12)))</f>
        <v>0.0010428640722500002</v>
      </c>
      <c r="O54">
        <f>IF(((SUM(ReDiarioFert!M140:M146)/2)*$C$12)&lt;=0,"0",(((SUM(ReDiarioFert!M140:M146)/2)*$C$12)))</f>
        <v>609.2381417073171</v>
      </c>
      <c r="Q54">
        <f>$C$12*Main!$D$63</f>
        <v>20.019999999999996</v>
      </c>
      <c r="S54">
        <f>((E54/100)*$G$74+(G54/100)*$G$75+(I54/100)*$G$76+(K54/100)*$G$77+(M54/100)*$G$78+(O54)*$G$79+(Q54*$G$80))</f>
        <v>712.1726409814285</v>
      </c>
    </row>
    <row r="55">
      <c r="B55">
        <f>B54+4</f>
        <v>140</v>
      </c>
      <c r="C55">
        <f>$J$11+B55</f>
        <v>39745</v>
      </c>
      <c r="E55">
        <f>E54</f>
        <v>23.706860638396396</v>
      </c>
      <c r="G55">
        <f>G54</f>
        <v>10.842915779347825</v>
      </c>
      <c r="I55">
        <f>I54</f>
        <v>29.195833333333336</v>
      </c>
      <c r="K55">
        <f>K54</f>
        <v>18.738348946167388</v>
      </c>
      <c r="M55">
        <f>M54</f>
        <v>0.0010428640722500002</v>
      </c>
      <c r="O55">
        <f>O54</f>
        <v>609.2381417073171</v>
      </c>
      <c r="S55">
        <f>((E55/100)*$G$74+(G55/100)*$G$75+(I55/100)*$G$76+(K55/100)*$G$77+(M55/100)*$G$78+(O55)*$G$79+(Q55*$G$80))</f>
        <v>656.1166409814284</v>
      </c>
    </row>
    <row r="56">
      <c r="A56">
        <v>21</v>
      </c>
      <c r="B56">
        <f>B55+3</f>
        <v>143</v>
      </c>
      <c r="C56">
        <f>$J$11+B56</f>
        <v>39748</v>
      </c>
      <c r="E56">
        <f>IF(((SUM(ReDiarioFert!C147:C153)/2)*$C$12)&lt;=0,"0",(((SUM(ReDiarioFert!C147:C153)/2)*$C$12)))</f>
        <v>23.706860638396396</v>
      </c>
      <c r="G56">
        <f>IF(((SUM(ReDiarioFert!E147:E153)/2)*$C$12)&lt;=0,"0",(((SUM(ReDiarioFert!E147:E153)/2)*$C$12)))</f>
        <v>10.842915779347825</v>
      </c>
      <c r="I56">
        <f>IF(((SUM(ReDiarioFert!G147:G153)/2)*$C$12)&lt;=0,"0",(((SUM(ReDiarioFert!G147:G153)/2)*$C$12)))</f>
        <v>29.195833333333336</v>
      </c>
      <c r="K56">
        <f>IF(((SUM(ReDiarioFert!I147:I153)/2)*$C$12)&lt;=0,"0",(((SUM(ReDiarioFert!I147:I153)/2)*$C$12)))</f>
        <v>18.738348946167388</v>
      </c>
      <c r="M56">
        <f>IF(((SUM(ReDiarioFert!K147:K153)/2)*$C$12)&lt;=0,"0",(((SUM(ReDiarioFert!K147:K153)/2)*$C$12)))</f>
        <v>0.0010428640722500002</v>
      </c>
      <c r="O56">
        <f>IF(((SUM(ReDiarioFert!M147:M153)/2)*$C$12)&lt;=0,"0",(((SUM(ReDiarioFert!M147:M153)/2)*$C$12)))</f>
        <v>609.2381417073171</v>
      </c>
      <c r="Q56">
        <f>$C$12*Main!$D$63</f>
        <v>20.019999999999996</v>
      </c>
      <c r="S56">
        <f>((E56/100)*$G$74+(G56/100)*$G$75+(I56/100)*$G$76+(K56/100)*$G$77+(M56/100)*$G$78+(O56)*$G$79+(Q56*$G$80))</f>
        <v>712.1726409814285</v>
      </c>
    </row>
    <row r="57">
      <c r="B57">
        <f>B56+4</f>
        <v>147</v>
      </c>
      <c r="C57">
        <f>$J$11+B57</f>
        <v>39752</v>
      </c>
      <c r="E57">
        <f>E56</f>
        <v>23.706860638396396</v>
      </c>
      <c r="G57">
        <f>G56</f>
        <v>10.842915779347825</v>
      </c>
      <c r="I57">
        <f>I56</f>
        <v>29.195833333333336</v>
      </c>
      <c r="K57">
        <f>K56</f>
        <v>18.738348946167388</v>
      </c>
      <c r="M57">
        <f>M56</f>
        <v>0.0010428640722500002</v>
      </c>
      <c r="O57">
        <f>O56</f>
        <v>609.2381417073171</v>
      </c>
      <c r="S57">
        <f>((E57/100)*$G$74+(G57/100)*$G$75+(I57/100)*$G$76+(K57/100)*$G$77+(M57/100)*$G$78+(O57)*$G$79+(Q57*$G$80))</f>
        <v>656.1166409814284</v>
      </c>
    </row>
    <row r="58">
      <c r="A58">
        <v>22</v>
      </c>
      <c r="B58">
        <f>B57+3</f>
        <v>150</v>
      </c>
      <c r="C58">
        <f>$J$11+B58</f>
        <v>39755</v>
      </c>
      <c r="E58">
        <f>IF(((SUM(ReDiarioFert!C154:C160)/2)*$C$12)&lt;=0,"0",(((SUM(ReDiarioFert!C154:C160)/2)*$C$12)))</f>
        <v>23.706860638396396</v>
      </c>
      <c r="G58">
        <f>IF(((SUM(ReDiarioFert!E154:E160)/2)*$C$12)&lt;=0,"0",(((SUM(ReDiarioFert!E154:E160)/2)*$C$12)))</f>
        <v>10.842915779347825</v>
      </c>
      <c r="I58">
        <f>IF(((SUM(ReDiarioFert!G154:G160)/2)*$C$12)&lt;=0,"0",(((SUM(ReDiarioFert!G154:G160)/2)*$C$12)))</f>
        <v>29.195833333333336</v>
      </c>
      <c r="K58">
        <f>IF(((SUM(ReDiarioFert!I154:I160)/2)*$C$12)&lt;=0,"0",(((SUM(ReDiarioFert!I154:I160)/2)*$C$12)))</f>
        <v>18.738348946167388</v>
      </c>
      <c r="M58">
        <f>IF(((SUM(ReDiarioFert!K154:K160)/2)*$C$12)&lt;=0,"0",(((SUM(ReDiarioFert!K154:K160)/2)*$C$12)))</f>
        <v>0.0010428640722500002</v>
      </c>
      <c r="O58">
        <f>IF(((SUM(ReDiarioFert!M154:M160)/2)*$C$12)&lt;=0,"0",(((SUM(ReDiarioFert!M154:M160)/2)*$C$12)))</f>
        <v>609.2381417073171</v>
      </c>
      <c r="Q58">
        <f>$C$12*Main!$D$63</f>
        <v>20.019999999999996</v>
      </c>
      <c r="S58">
        <f>((E58/100)*$G$74+(G58/100)*$G$75+(I58/100)*$G$76+(K58/100)*$G$77+(M58/100)*$G$78+(O58)*$G$79+(Q58*$G$80))</f>
        <v>712.1726409814285</v>
      </c>
    </row>
    <row r="59">
      <c r="B59">
        <f>B58+4</f>
        <v>154</v>
      </c>
      <c r="C59">
        <f>$J$11+B59</f>
        <v>39759</v>
      </c>
      <c r="E59">
        <f>E58</f>
        <v>23.706860638396396</v>
      </c>
      <c r="G59">
        <f>G58</f>
        <v>10.842915779347825</v>
      </c>
      <c r="I59">
        <f>I58</f>
        <v>29.195833333333336</v>
      </c>
      <c r="K59">
        <f>K58</f>
        <v>18.738348946167388</v>
      </c>
      <c r="M59">
        <f>M58</f>
        <v>0.0010428640722500002</v>
      </c>
      <c r="O59">
        <f>O58</f>
        <v>609.2381417073171</v>
      </c>
      <c r="S59">
        <f>((E59/100)*$G$74+(G59/100)*$G$75+(I59/100)*$G$76+(K59/100)*$G$77+(M59/100)*$G$78+(O59)*$G$79+(Q59*$G$80))</f>
        <v>656.1166409814284</v>
      </c>
    </row>
    <row r="60">
      <c r="A60">
        <v>23</v>
      </c>
      <c r="B60">
        <f>B59+3</f>
        <v>157</v>
      </c>
      <c r="C60">
        <f>$J$11+B60</f>
        <v>39762</v>
      </c>
      <c r="E60">
        <f>IF(((SUM(ReDiarioFert!C161:C167)/2)*$C$12)&lt;=0,"0",(((SUM(ReDiarioFert!C161:C167)/2)*$C$12)))</f>
        <v>23.706860638396396</v>
      </c>
      <c r="G60">
        <f>IF(((SUM(ReDiarioFert!E161:E167)/2)*$C$12)&lt;=0,"0",(((SUM(ReDiarioFert!E161:E167)/2)*$C$12)))</f>
        <v>10.842915779347825</v>
      </c>
      <c r="I60">
        <f>IF(((SUM(ReDiarioFert!G161:G167)/2)*$C$12)&lt;=0,"0",(((SUM(ReDiarioFert!G161:G167)/2)*$C$12)))</f>
        <v>29.195833333333336</v>
      </c>
      <c r="K60">
        <f>IF(((SUM(ReDiarioFert!I161:I167)/2)*$C$12)&lt;=0,"0",(((SUM(ReDiarioFert!I161:I167)/2)*$C$12)))</f>
        <v>18.738348946167388</v>
      </c>
      <c r="M60">
        <f>IF(((SUM(ReDiarioFert!K161:K167)/2)*$C$12)&lt;=0,"0",(((SUM(ReDiarioFert!K161:K167)/2)*$C$12)))</f>
        <v>0.0010428640722500002</v>
      </c>
      <c r="O60">
        <f>IF(((SUM(ReDiarioFert!M161:M167)/2)*$C$12)&lt;=0,"0",(((SUM(ReDiarioFert!M161:M167)/2)*$C$12)))</f>
        <v>609.2381417073171</v>
      </c>
      <c r="Q60">
        <f>$C$12*Main!$D$63</f>
        <v>20.019999999999996</v>
      </c>
      <c r="S60">
        <f>((E60/100)*$G$74+(G60/100)*$G$75+(I60/100)*$G$76+(K60/100)*$G$77+(M60/100)*$G$78+(O60)*$G$79+(Q60*$G$80))</f>
        <v>712.1726409814285</v>
      </c>
    </row>
    <row r="61">
      <c r="B61">
        <f>B60+4</f>
        <v>161</v>
      </c>
      <c r="C61">
        <f>$J$11+B61</f>
        <v>39766</v>
      </c>
      <c r="E61">
        <f>E60</f>
        <v>23.706860638396396</v>
      </c>
      <c r="G61">
        <f>G60</f>
        <v>10.842915779347825</v>
      </c>
      <c r="I61">
        <f>I60</f>
        <v>29.195833333333336</v>
      </c>
      <c r="K61">
        <f>K60</f>
        <v>18.738348946167388</v>
      </c>
      <c r="M61">
        <f>M60</f>
        <v>0.0010428640722500002</v>
      </c>
      <c r="O61">
        <f>O60</f>
        <v>609.2381417073171</v>
      </c>
      <c r="S61">
        <f>((E61/100)*$G$74+(G61/100)*$G$75+(I61/100)*$G$76+(K61/100)*$G$77+(M61/100)*$G$78+(O61)*$G$79+(Q61*$G$80))</f>
        <v>656.1166409814284</v>
      </c>
    </row>
    <row r="62">
      <c r="A62">
        <v>24</v>
      </c>
      <c r="B62">
        <f>B61+3</f>
        <v>164</v>
      </c>
      <c r="C62">
        <f>$J$11+B62</f>
        <v>39769</v>
      </c>
      <c r="E62">
        <f>IF(((SUM(ReDiarioFert!C168:C174)/2)*$C$12)&lt;=0,"0",(((SUM(ReDiarioFert!C168:C174)/2)*$C$12)))</f>
        <v>23.706860638396396</v>
      </c>
      <c r="G62">
        <f>IF(((SUM(ReDiarioFert!E168:E174)/2)*$C$12)&lt;=0,"0",(((SUM(ReDiarioFert!E168:E174)/2)*$C$12)))</f>
        <v>10.842915779347825</v>
      </c>
      <c r="I62">
        <f>IF(((SUM(ReDiarioFert!G168:G174)/2)*$C$12)&lt;=0,"0",(((SUM(ReDiarioFert!G168:G174)/2)*$C$12)))</f>
        <v>29.195833333333336</v>
      </c>
      <c r="K62">
        <f>IF(((SUM(ReDiarioFert!I168:I174)/2)*$C$12)&lt;=0,"0",(((SUM(ReDiarioFert!I168:I174)/2)*$C$12)))</f>
        <v>18.738348946167388</v>
      </c>
      <c r="M62">
        <f>IF(((SUM(ReDiarioFert!K168:K174)/2)*$C$12)&lt;=0,"0",(((SUM(ReDiarioFert!K168:K174)/2)*$C$12)))</f>
        <v>0.0010428640722500002</v>
      </c>
      <c r="O62">
        <f>IF(((SUM(ReDiarioFert!M168:M174)/2)*$C$12)&lt;=0,"0",(((SUM(ReDiarioFert!M168:M174)/2)*$C$12)))</f>
        <v>609.2381417073171</v>
      </c>
      <c r="Q62">
        <f>$C$12*Main!$D$63</f>
        <v>20.019999999999996</v>
      </c>
      <c r="S62">
        <f>((E62/100)*$G$74+(G62/100)*$G$75+(I62/100)*$G$76+(K62/100)*$G$77+(M62/100)*$G$78+(O62)*$G$79+(Q62*$G$80))</f>
        <v>712.1726409814285</v>
      </c>
    </row>
    <row r="63">
      <c r="B63">
        <f>B62+4</f>
        <v>168</v>
      </c>
      <c r="C63">
        <f>$J$11+B63</f>
        <v>39773</v>
      </c>
      <c r="E63">
        <f>E62</f>
        <v>23.706860638396396</v>
      </c>
      <c r="G63">
        <f>G62</f>
        <v>10.842915779347825</v>
      </c>
      <c r="I63">
        <f>I62</f>
        <v>29.195833333333336</v>
      </c>
      <c r="K63">
        <f>K62</f>
        <v>18.738348946167388</v>
      </c>
      <c r="M63">
        <f>M62</f>
        <v>0.0010428640722500002</v>
      </c>
      <c r="O63">
        <f>O62</f>
        <v>609.2381417073171</v>
      </c>
      <c r="S63">
        <f>((E63/100)*$G$74+(G63/100)*$G$75+(I63/100)*$G$76+(K63/100)*$G$77+(M63/100)*$G$78+(O63)*$G$79+(Q63*$G$80))</f>
        <v>656.1166409814284</v>
      </c>
    </row>
    <row r="64">
      <c r="A64">
        <v>25</v>
      </c>
      <c r="B64">
        <f>B63+3</f>
        <v>171</v>
      </c>
      <c r="C64">
        <f>$J$11+B64</f>
        <v>39776</v>
      </c>
      <c r="E64">
        <f>IF(((SUM(ReDiarioFert!C175:C181)/2)*$C$12)&lt;=0,"0",(((SUM(ReDiarioFert!C175:C181)/2)*$C$12)))</f>
        <v>23.706860638396396</v>
      </c>
      <c r="G64">
        <f>IF(((SUM(ReDiarioFert!E175:E181)/2)*$C$12)&lt;=0,"0",(((SUM(ReDiarioFert!E175:E181)/2)*$C$12)))</f>
        <v>10.842915779347825</v>
      </c>
      <c r="I64">
        <f>IF(((SUM(ReDiarioFert!G175:G181)/2)*$C$12)&lt;=0,"0",(((SUM(ReDiarioFert!G175:G181)/2)*$C$12)))</f>
        <v>29.195833333333336</v>
      </c>
      <c r="K64">
        <f>IF(((SUM(ReDiarioFert!I175:I181)/2)*$C$12)&lt;=0,"0",(((SUM(ReDiarioFert!I175:I181)/2)*$C$12)))</f>
        <v>18.738348946167388</v>
      </c>
      <c r="M64">
        <f>IF(((SUM(ReDiarioFert!K175:K181)/2)*$C$12)&lt;=0,"0",(((SUM(ReDiarioFert!K175:K181)/2)*$C$12)))</f>
        <v>0.0010428640722500002</v>
      </c>
      <c r="O64">
        <f>IF(((SUM(ReDiarioFert!M175:M181)/2)*$C$12)&lt;=0,"0",(((SUM(ReDiarioFert!M175:M181)/2)*$C$12)))</f>
        <v>609.2381417073171</v>
      </c>
      <c r="Q64">
        <f>$C$12*Main!$D$63</f>
        <v>20.019999999999996</v>
      </c>
      <c r="S64">
        <f>((E64/100)*$G$74+(G64/100)*$G$75+(I64/100)*$G$76+(K64/100)*$G$77+(M64/100)*$G$78+(O64)*$G$79+(Q64*$G$80))</f>
        <v>712.1726409814285</v>
      </c>
    </row>
    <row r="65">
      <c r="B65">
        <f>B64+4</f>
        <v>175</v>
      </c>
      <c r="C65">
        <f>$J$11+B65</f>
        <v>39780</v>
      </c>
      <c r="E65">
        <f>E64</f>
        <v>23.706860638396396</v>
      </c>
      <c r="G65">
        <f>G64</f>
        <v>10.842915779347825</v>
      </c>
      <c r="I65">
        <f>I64</f>
        <v>29.195833333333336</v>
      </c>
      <c r="K65">
        <f>K64</f>
        <v>18.738348946167388</v>
      </c>
      <c r="M65">
        <f>M64</f>
        <v>0.0010428640722500002</v>
      </c>
      <c r="O65">
        <f>O64</f>
        <v>609.2381417073171</v>
      </c>
      <c r="S65">
        <f>((E65/100)*$G$74+(G65/100)*$G$75+(I65/100)*$G$76+(K65/100)*$G$77+(M65/100)*$G$78+(O65)*$G$79+(Q65*$G$80))</f>
        <v>656.1166409814284</v>
      </c>
    </row>
    <row r="66">
      <c r="A66">
        <v>26</v>
      </c>
      <c r="B66">
        <f>B65+3</f>
        <v>178</v>
      </c>
      <c r="C66">
        <f>$J$11+B66</f>
        <v>39783</v>
      </c>
      <c r="E66">
        <f>IF(((SUM(ReDiarioFert!C182:C188)/2)*$C$12)&lt;=0,"0",(((SUM(ReDiarioFert!C182:C188)/2)*$C$12)))</f>
        <v>23.706860638396396</v>
      </c>
      <c r="G66">
        <f>IF(((SUM(ReDiarioFert!E182:E188)/2)*$C$12)&lt;=0,"0",(((SUM(ReDiarioFert!E182:E188)/2)*$C$12)))</f>
        <v>10.842915779347825</v>
      </c>
      <c r="I66">
        <f>IF(((SUM(ReDiarioFert!G182:G188)/2)*$C$12)&lt;=0,"0",(((SUM(ReDiarioFert!G182:G188)/2)*$C$12)))</f>
        <v>29.195833333333336</v>
      </c>
      <c r="K66">
        <f>IF(((SUM(ReDiarioFert!I182:I188)/2)*$C$12)&lt;=0,"0",(((SUM(ReDiarioFert!I182:I188)/2)*$C$12)))</f>
        <v>18.738348946167388</v>
      </c>
      <c r="M66">
        <f>IF(((SUM(ReDiarioFert!K182:K188)/2)*$C$12)&lt;=0,"0",(((SUM(ReDiarioFert!K182:K188)/2)*$C$12)))</f>
        <v>0.0010428640722500002</v>
      </c>
      <c r="O66">
        <f>IF(((SUM(ReDiarioFert!M182:M188)/2)*$C$12)&lt;=0,"0",(((SUM(ReDiarioFert!M182:M188)/2)*$C$12)))</f>
        <v>609.2381417073171</v>
      </c>
      <c r="Q66">
        <f>$C$12*Main!$D$63</f>
        <v>20.019999999999996</v>
      </c>
      <c r="S66">
        <f>((E66/100)*$G$74+(G66/100)*$G$75+(I66/100)*$G$76+(K66/100)*$G$77+(M66/100)*$G$78+(O66)*$G$79+(Q66*$G$80))</f>
        <v>712.1726409814285</v>
      </c>
    </row>
    <row r="67">
      <c r="B67">
        <f>B66+4</f>
        <v>182</v>
      </c>
      <c r="C67">
        <f>$J$11+B67</f>
        <v>39787</v>
      </c>
      <c r="E67">
        <f>E66</f>
        <v>23.706860638396396</v>
      </c>
      <c r="G67">
        <f>G66</f>
        <v>10.842915779347825</v>
      </c>
      <c r="I67">
        <f>I66</f>
        <v>29.195833333333336</v>
      </c>
      <c r="K67">
        <f>K66</f>
        <v>18.738348946167388</v>
      </c>
      <c r="M67">
        <f>M66</f>
        <v>0.0010428640722500002</v>
      </c>
      <c r="O67">
        <f>O66</f>
        <v>609.2381417073171</v>
      </c>
      <c r="S67">
        <f>((E67/100)*$G$74+(G67/100)*$G$75+(I67/100)*$G$76+(K67/100)*$G$77+(M67/100)*$G$78+(O67)*$G$79+(Q67*$G$80))</f>
        <v>656.1166409814284</v>
      </c>
    </row>
    <row r="68">
      <c r="A68">
        <v>27</v>
      </c>
      <c r="B68">
        <f>B67+3</f>
        <v>185</v>
      </c>
      <c r="C68">
        <f>$J$11+B68</f>
        <v>39790</v>
      </c>
      <c r="E68">
        <f>IF(((SUM(ReDiarioFert!C189:C195)/2)*$C$12)&lt;=0,"0",(((SUM(ReDiarioFert!C189:C195)/2)*$C$12)))</f>
        <v>23.706860638396396</v>
      </c>
      <c r="G68">
        <f>IF(((SUM(ReDiarioFert!E189:E195)/2)*$C$12)&lt;=0,"0",(((SUM(ReDiarioFert!E189:E195)/2)*$C$12)))</f>
        <v>10.842915779347825</v>
      </c>
      <c r="I68">
        <f>IF(((SUM(ReDiarioFert!G189:G195)/2)*$C$12)&lt;=0,"0",(((SUM(ReDiarioFert!G189:G195)/2)*$C$12)))</f>
        <v>29.195833333333336</v>
      </c>
      <c r="K68">
        <f>IF(((SUM(ReDiarioFert!I189:I195)/2)*$C$12)&lt;=0,"0",(((SUM(ReDiarioFert!I189:I195)/2)*$C$12)))</f>
        <v>18.738348946167388</v>
      </c>
      <c r="M68">
        <f>IF(((SUM(ReDiarioFert!K189:K195)/2)*$C$12)&lt;=0,"0",(((SUM(ReDiarioFert!K189:K195)/2)*$C$12)))</f>
        <v>0.0010428640722500002</v>
      </c>
      <c r="O68">
        <f>IF(((SUM(ReDiarioFert!M189:M195)/2)*$C$12)&lt;=0,"0",(((SUM(ReDiarioFert!M189:M195)/2)*$C$12)))</f>
        <v>609.2381417073171</v>
      </c>
      <c r="Q68">
        <f>$C$12*Main!$D$63</f>
        <v>20.019999999999996</v>
      </c>
      <c r="S68">
        <f>((E68/100)*$G$74+(G68/100)*$G$75+(I68/100)*$G$76+(K68/100)*$G$77+(M68/100)*$G$78+(O68)*$G$79+(Q68*$G$80))</f>
        <v>712.1726409814285</v>
      </c>
    </row>
    <row r="69">
      <c r="B69">
        <f>B68+4</f>
        <v>189</v>
      </c>
      <c r="C69">
        <f>$J$11+B69</f>
        <v>39794</v>
      </c>
      <c r="E69">
        <f>E68</f>
        <v>23.706860638396396</v>
      </c>
      <c r="G69">
        <f>G68</f>
        <v>10.842915779347825</v>
      </c>
      <c r="I69">
        <f>I68</f>
        <v>29.195833333333336</v>
      </c>
      <c r="K69">
        <f>K68</f>
        <v>18.738348946167388</v>
      </c>
      <c r="M69">
        <f>M68</f>
        <v>0.0010428640722500002</v>
      </c>
      <c r="O69">
        <f>O68</f>
        <v>609.2381417073171</v>
      </c>
      <c r="S69">
        <f>((E69/100)*$G$74+(G69/100)*$G$75+(I69/100)*$G$76+(K69/100)*$G$77+(M69/100)*$G$78+(O69)*$G$79+(Q69*$G$80))</f>
        <v>656.1166409814284</v>
      </c>
    </row>
    <row r="70">
      <c r="C70" t="str">
        <v>Total</v>
      </c>
      <c r="E70">
        <f>SUM(E16:E69)</f>
        <v>1355.8054252530408</v>
      </c>
      <c r="G70">
        <f>SUM(G16:G69)</f>
        <v>520.4599574086959</v>
      </c>
      <c r="I70">
        <f>SUM(I16:I69)</f>
        <v>1537.757099890947</v>
      </c>
      <c r="K70">
        <f>SUM(K16:K69)</f>
        <v>986.9568990621817</v>
      </c>
      <c r="M70">
        <f>SUM(M16:M69)</f>
        <v>0.05492809926040664</v>
      </c>
      <c r="O70">
        <f>SUM(O16:O69)</f>
        <v>26010.73450585364</v>
      </c>
      <c r="Q70">
        <f>SUM(Q16:Q69)</f>
        <v>540.5399999999996</v>
      </c>
      <c r="S70">
        <f>SUM(S16:S69)</f>
        <v>35917.14742273209</v>
      </c>
    </row>
    <row r="71">
      <c r="D71" t="str">
        <v>OJO cualquier cultivo que no se termine la cosecha en el ultimo día del calendario solo seguir repitiendo la ultima aplicación de fertilizante.</v>
      </c>
    </row>
    <row r="72" ht="39.75" customHeight="1">
      <c r="B72" t="str">
        <v>Producto</v>
      </c>
      <c r="F72" t="str">
        <v>Lbs/Ha</v>
      </c>
      <c r="G72" t="str">
        <v>Costo por qq</v>
      </c>
    </row>
    <row r="73" ht="24" customHeight="1">
      <c r="G73" t="str">
        <f>Main!$E$25</f>
        <v>Lempiras</v>
      </c>
    </row>
    <row r="74">
      <c r="B74" t="str">
        <f>Main!D42</f>
        <v>Urea</v>
      </c>
      <c r="F74">
        <f>E70/C12</f>
        <v>1354.4509742787623</v>
      </c>
      <c r="G74">
        <f>Main!D43</f>
        <v>650</v>
      </c>
    </row>
    <row r="75">
      <c r="B75" t="str">
        <f>Main!D32</f>
        <v>DAP 18-46-0</v>
      </c>
      <c r="F75">
        <f>G70/C12</f>
        <v>519.9400173913047</v>
      </c>
      <c r="G75">
        <f>Main!D33</f>
        <v>1200</v>
      </c>
    </row>
    <row r="76">
      <c r="B76" t="str">
        <f>Main!D37</f>
        <v>Kcl</v>
      </c>
      <c r="F76">
        <f>I70/C12</f>
        <v>1536.2208790119353</v>
      </c>
      <c r="G76">
        <f>Main!D38</f>
        <v>580</v>
      </c>
    </row>
    <row r="77">
      <c r="B77" t="str">
        <f>Main!D47</f>
        <v>Sulfato de Magnesio</v>
      </c>
      <c r="F77">
        <f>K70/C12</f>
        <v>985.9709281340478</v>
      </c>
      <c r="G77">
        <f>Main!D48</f>
        <v>951</v>
      </c>
    </row>
    <row r="78">
      <c r="B78" t="str">
        <f>Main!D52</f>
        <v>Sin Calcio</v>
      </c>
      <c r="F78">
        <f>M70/C12</f>
        <v>0.05487322603437227</v>
      </c>
      <c r="G78">
        <f>Main!D53</f>
        <v>0</v>
      </c>
    </row>
    <row r="79">
      <c r="B79" t="str">
        <f>Main!D57</f>
        <v>Solubor</v>
      </c>
      <c r="F79">
        <f>O70/C12</f>
        <v>25984.749756097546</v>
      </c>
      <c r="G79">
        <f>Main!D58</f>
        <v>0.04</v>
      </c>
      <c r="I79" t="str">
        <v xml:space="preserve">Preparado y Autorizado Por </v>
      </c>
    </row>
    <row r="80" ht="18" customHeight="1">
      <c r="B80" t="str">
        <f>Main!D61</f>
        <v>Melaza</v>
      </c>
      <c r="F80">
        <f>Q70/C12</f>
        <v>539.9999999999997</v>
      </c>
      <c r="G80">
        <f>Main!D62</f>
        <v>2.8</v>
      </c>
      <c r="I80" t="str">
        <v>MSc Ricardo D. Lardizábal</v>
      </c>
    </row>
    <row r="81" ht="17.4" customHeight="1">
      <c r="B81" t="str">
        <v>NOTA: El Nitrato de Calcio se debe de diluir en un barril aparte para inyectarse al sistema</v>
      </c>
    </row>
    <row r="84">
      <c r="B84" t="str">
        <v>Abreviaciones usadas</v>
      </c>
    </row>
    <row r="85">
      <c r="B85" t="str">
        <v>Mz.-Manzanas, Ha-Hectáreas, Lbs-Libras, Lts-Litros y DDT-Días después de Trasplante</v>
      </c>
    </row>
  </sheetData>
  <sheetProtection sheet="1"/>
  <mergeCells count="53">
    <mergeCell ref="P9:S12"/>
    <mergeCell ref="P5:S7"/>
    <mergeCell ref="A8:N8"/>
    <mergeCell ref="P2:S3"/>
    <mergeCell ref="A10:B10"/>
    <mergeCell ref="G9:I9"/>
    <mergeCell ref="G10:I10"/>
    <mergeCell ref="A9:B9"/>
    <mergeCell ref="C9:F9"/>
    <mergeCell ref="C10:F10"/>
    <mergeCell ref="B81:I82"/>
    <mergeCell ref="B78:E78"/>
    <mergeCell ref="B77:E77"/>
    <mergeCell ref="I80:Q80"/>
    <mergeCell ref="B79:E79"/>
    <mergeCell ref="G80:H80"/>
    <mergeCell ref="G79:H79"/>
    <mergeCell ref="G77:H77"/>
    <mergeCell ref="G78:H78"/>
    <mergeCell ref="I79:Q79"/>
    <mergeCell ref="B85:S85"/>
    <mergeCell ref="E14:F14"/>
    <mergeCell ref="B84:C84"/>
    <mergeCell ref="B80:E80"/>
    <mergeCell ref="B72:E72"/>
    <mergeCell ref="B74:E74"/>
    <mergeCell ref="B75:E75"/>
    <mergeCell ref="B76:E76"/>
    <mergeCell ref="C14:D14"/>
    <mergeCell ref="G72:H72"/>
    <mergeCell ref="A14:A15"/>
    <mergeCell ref="B14:B15"/>
    <mergeCell ref="A11:B11"/>
    <mergeCell ref="A12:B12"/>
    <mergeCell ref="C11:F11"/>
    <mergeCell ref="C12:F12"/>
    <mergeCell ref="G76:H76"/>
    <mergeCell ref="S14:S15"/>
    <mergeCell ref="O14:P14"/>
    <mergeCell ref="Q14:R14"/>
    <mergeCell ref="G14:H14"/>
    <mergeCell ref="I14:J14"/>
    <mergeCell ref="K14:L14"/>
    <mergeCell ref="M14:N14"/>
    <mergeCell ref="G73:H73"/>
    <mergeCell ref="G74:H74"/>
    <mergeCell ref="G75:H75"/>
    <mergeCell ref="J9:N9"/>
    <mergeCell ref="J10:N10"/>
    <mergeCell ref="J11:N11"/>
    <mergeCell ref="J12:N12"/>
    <mergeCell ref="G11:I11"/>
    <mergeCell ref="G12:I12"/>
  </mergeCells>
  <pageMargins left="0.25" right="0.25" top="0.48" bottom="0.8" header="0.25" footer="0.25"/>
  <ignoredErrors>
    <ignoredError numberStoredAsText="1" sqref="A1:V94"/>
  </ignoredErrors>
  <legacyDrawing r:id="rId1"/>
</worksheet>
</file>

<file path=xl/worksheets/sheet7.xml><?xml version="1.0" encoding="utf-8"?>
<worksheet xmlns="http://schemas.openxmlformats.org/spreadsheetml/2006/main" xmlns:r="http://schemas.openxmlformats.org/officeDocument/2006/relationships">
  <dimension ref="A1:V65"/>
  <sheetViews>
    <sheetView workbookViewId="0" rightToLeft="0"/>
  </sheetViews>
  <sheetData>
    <row r="1" ht="32.7" customHeight="1"/>
    <row r="2" ht="32.7" customHeight="1">
      <c r="P2" t="str">
        <v>Calendario de Fertilización para Goteo 1 Vez Por Semana</v>
      </c>
    </row>
    <row r="3" ht="32.7" customHeight="1"/>
    <row r="5">
      <c r="P5" t="str">
        <f>Main!$E$21</f>
        <v>Cunde</v>
      </c>
    </row>
    <row r="6" ht="29.25" customHeight="1"/>
    <row r="7" ht="26.25" customHeight="1"/>
    <row r="8" ht="27.600000000000005" customHeight="1">
      <c r="A8" t="str">
        <f>Main!$C$13</f>
        <v>"Sin Fertilización Base"</v>
      </c>
    </row>
    <row r="9" ht="20.1" customHeight="1">
      <c r="A9" t="str">
        <v>Productor</v>
      </c>
      <c r="C9" t="str">
        <f>Main!E17</f>
        <v>Pancho Pérez</v>
      </c>
      <c r="G9" t="str">
        <v>Parcela</v>
      </c>
      <c r="J9" t="str">
        <f>Main!E19</f>
        <v>La Frondosa</v>
      </c>
      <c r="P9" t="str">
        <f>Main!$G$21</f>
        <v>Shingai</v>
      </c>
    </row>
    <row r="10" ht="20.1" customHeight="1">
      <c r="A10" t="str">
        <v>Zona</v>
      </c>
      <c r="C10" t="str">
        <f>Main!E18</f>
        <v>Cantarranas</v>
      </c>
      <c r="G10" t="str">
        <v>Técnico</v>
      </c>
      <c r="J10" t="str">
        <f>Main!E20</f>
        <v>Nelson Galindo</v>
      </c>
    </row>
    <row r="11" ht="20.1" customHeight="1">
      <c r="A11" t="str">
        <v>Área Mz.</v>
      </c>
      <c r="C11">
        <f>Main!E22</f>
        <v>1.43</v>
      </c>
      <c r="G11" t="str">
        <v>Fecha:</v>
      </c>
      <c r="J11">
        <f>Main!E23</f>
        <v>39605</v>
      </c>
    </row>
    <row r="12" ht="20.1" customHeight="1">
      <c r="A12" t="str">
        <v>Área Ha.</v>
      </c>
      <c r="C12">
        <f>Main!I22</f>
        <v>1.001</v>
      </c>
      <c r="G12" t="str">
        <v>Fecha de Cosecha:</v>
      </c>
      <c r="J12">
        <f>J11+Main!E24</f>
        <v>39670</v>
      </c>
    </row>
    <row r="13" ht="19.5" customHeight="1"/>
    <row r="14" ht="26.399999999999995" customHeight="1">
      <c r="A14" t="str">
        <v>Semana</v>
      </c>
      <c r="B14" t="str">
        <v>DDT</v>
      </c>
      <c r="C14" t="str">
        <v>FECHA</v>
      </c>
      <c r="E14" t="str">
        <f>Main!$D$42</f>
        <v>Urea</v>
      </c>
      <c r="G14" t="str">
        <f>Main!$D$32</f>
        <v>DAP 18-46-0</v>
      </c>
      <c r="I14" t="str">
        <f>Main!$D$37</f>
        <v>Kcl</v>
      </c>
      <c r="K14" t="str">
        <f>Main!$D$47</f>
        <v>Sulfato de Magnesio</v>
      </c>
      <c r="M14" t="str">
        <f>Main!$D$52</f>
        <v>Sin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f>Main!E52</f>
        <v>0</v>
      </c>
      <c r="N15" t="str">
        <v>Cambios</v>
      </c>
      <c r="O15" t="str">
        <f>Main!E57</f>
        <v>Gramos</v>
      </c>
      <c r="P15" t="str">
        <v>Cambios</v>
      </c>
      <c r="Q15" t="str">
        <f>Main!$E$61</f>
        <v>Lts</v>
      </c>
      <c r="R15" t="str">
        <v>Cambios</v>
      </c>
    </row>
    <row r="16" ht="18.75" customHeight="1">
      <c r="A16">
        <v>1</v>
      </c>
      <c r="B16">
        <v>1</v>
      </c>
      <c r="C16">
        <f>$J$11+B16</f>
        <v>39606</v>
      </c>
      <c r="E16">
        <f>IF((SUM(ReDiarioFert!C7:C13)*$C$12)&lt;=0,"0",((SUM(ReDiarioFert!C7:C13)*$C$12)))</f>
        <v>29.37782654990548</v>
      </c>
      <c r="G16">
        <f>IF((SUM(ReDiarioFert!E7:E13)*$C$12)&lt;=0,"0",((SUM(ReDiarioFert!E7:E13)*$C$12)))</f>
        <v>14.457221039130433</v>
      </c>
      <c r="I16">
        <f>IF((SUM(ReDiarioFert!G7:G13)*$C$12)&lt;=0,"0",((SUM(ReDiarioFert!G7:G13)*$C$12)))</f>
        <v>30.296993823763337</v>
      </c>
      <c r="K16">
        <f>IF((SUM(ReDiarioFert!I7:I13)*$C$12)&lt;=0,"0",((SUM(ReDiarioFert!I7:I13)*$C$12)))</f>
        <v>19.44509121585462</v>
      </c>
      <c r="M16">
        <f>IF((SUM(ReDiarioFert!K7:K13)*$C$12)&lt;=0,"0",((SUM(ReDiarioFert!K7:K13)*$C$12)))</f>
        <v>0.0010821971065271732</v>
      </c>
      <c r="O16">
        <f>IF((SUM(ReDiarioFert!M7:M13)*$C$12)&lt;=0,"0",((SUM(ReDiarioFert!M7:M13)*$C$12)))</f>
        <v>174.06755219512195</v>
      </c>
      <c r="Q16">
        <f>$C$12*Main!$D$63</f>
        <v>20.019999999999996</v>
      </c>
      <c r="S16">
        <f>((E16/100)*$G$47+(G16/100)*$G$48+(I16/100)*$G$49+(K16/100)*$G$50+(M16/100)*$G$51+(O16)*$G$52+(Q16*$G$53))</f>
        <v>788.1066087723605</v>
      </c>
    </row>
    <row r="17">
      <c r="A17">
        <v>2</v>
      </c>
      <c r="B17">
        <v>8</v>
      </c>
      <c r="C17">
        <f>$J$11+B17</f>
        <v>39613</v>
      </c>
      <c r="E17">
        <f>IF((SUM(ReDiarioFert!C14:C20)*$C$12)&lt;=0,"0",((SUM(ReDiarioFert!C14:C20)*$C$12)))</f>
        <v>46.92375205001871</v>
      </c>
      <c r="G17">
        <f>IF((SUM(ReDiarioFert!E14:E20)*$C$12)&lt;=0,"0",((SUM(ReDiarioFert!E14:E20)*$C$12)))</f>
        <v>14.457221039130433</v>
      </c>
      <c r="I17">
        <f>IF((SUM(ReDiarioFert!G14:G20)*$C$12)&lt;=0,"0",((SUM(ReDiarioFert!G14:G20)*$C$12)))</f>
        <v>45.45530352716686</v>
      </c>
      <c r="K17">
        <f>IF((SUM(ReDiarioFert!I14:I20)*$C$12)&lt;=0,"0",((SUM(ReDiarioFert!I14:I20)*$C$12)))</f>
        <v>29.173934829034025</v>
      </c>
      <c r="M17">
        <f>IF((SUM(ReDiarioFert!K14:K20)*$C$12)&lt;=0,"0",((SUM(ReDiarioFert!K14:K20)*$C$12)))</f>
        <v>0.00162364616897506</v>
      </c>
      <c r="O17">
        <f>IF((SUM(ReDiarioFert!M14:M20)*$C$12)&lt;=0,"0",((SUM(ReDiarioFert!M14:M20)*$C$12)))</f>
        <v>253.64168097560975</v>
      </c>
      <c r="Q17">
        <f>$C$12*Main!$D$63</f>
        <v>20.019999999999996</v>
      </c>
      <c r="S17">
        <f>((E17/100)*$G$47+(G17/100)*$G$48+(I17/100)*$G$49+(K17/100)*$G$50+(M17/100)*$G$51+(O17)*$G$52+(Q17*$G$53))</f>
        <v>1085.7775887153925</v>
      </c>
    </row>
    <row r="18">
      <c r="A18">
        <v>3</v>
      </c>
      <c r="B18">
        <v>15</v>
      </c>
      <c r="C18">
        <f>$J$11+B18</f>
        <v>39620</v>
      </c>
      <c r="E18">
        <f>IF((SUM(ReDiarioFert!C21:C27)*$C$12)&lt;=0,"0",((SUM(ReDiarioFert!C21:C27)*$C$12)))</f>
        <v>46.92375205001871</v>
      </c>
      <c r="G18">
        <f>IF((SUM(ReDiarioFert!E21:E27)*$C$12)&lt;=0,"0",((SUM(ReDiarioFert!E21:E27)*$C$12)))</f>
        <v>14.457221039130433</v>
      </c>
      <c r="I18">
        <f>IF((SUM(ReDiarioFert!G21:G27)*$C$12)&lt;=0,"0",((SUM(ReDiarioFert!G21:G27)*$C$12)))</f>
        <v>45.45530352716686</v>
      </c>
      <c r="K18">
        <f>IF((SUM(ReDiarioFert!I21:I27)*$C$12)&lt;=0,"0",((SUM(ReDiarioFert!I21:I27)*$C$12)))</f>
        <v>29.173934829034025</v>
      </c>
      <c r="M18">
        <f>IF((SUM(ReDiarioFert!K21:K27)*$C$12)&lt;=0,"0",((SUM(ReDiarioFert!K21:K27)*$C$12)))</f>
        <v>0.00162364616897506</v>
      </c>
      <c r="O18">
        <f>IF((SUM(ReDiarioFert!M21:M27)*$C$12)&lt;=0,"0",((SUM(ReDiarioFert!M21:M27)*$C$12)))</f>
        <v>373.00140926829266</v>
      </c>
      <c r="Q18">
        <f>$C$12*Main!$D$63</f>
        <v>20.019999999999996</v>
      </c>
      <c r="S18">
        <f>((E18/100)*$G$47+(G18/100)*$G$48+(I18/100)*$G$49+(K18/100)*$G$50+(M18/100)*$G$51+(O18)*$G$52+(Q18*$G$53))</f>
        <v>1090.5519778471</v>
      </c>
    </row>
    <row r="19">
      <c r="A19">
        <v>4</v>
      </c>
      <c r="B19">
        <v>22</v>
      </c>
      <c r="C19">
        <f>$J$11+B19</f>
        <v>39627</v>
      </c>
      <c r="E19">
        <f>IF((SUM(ReDiarioFert!C28:C34)*$C$12)&lt;=0,"0",((SUM(ReDiarioFert!C28:C34)*$C$12)))</f>
        <v>64.80875841649635</v>
      </c>
      <c r="G19">
        <f>IF((SUM(ReDiarioFert!E28:E34)*$C$12)&lt;=0,"0",((SUM(ReDiarioFert!E28:E34)*$C$12)))</f>
        <v>14.457221039130433</v>
      </c>
      <c r="I19">
        <f>IF((SUM(ReDiarioFert!G28:G34)*$C$12)&lt;=0,"0",((SUM(ReDiarioFert!G28:G34)*$C$12)))</f>
        <v>60.91658316880803</v>
      </c>
      <c r="K19">
        <f>IF((SUM(ReDiarioFert!I28:I34)*$C$12)&lt;=0,"0",((SUM(ReDiarioFert!I28:I34)*$C$12)))</f>
        <v>39.097229354372004</v>
      </c>
      <c r="M19">
        <f>IF((SUM(ReDiarioFert!K28:K34)*$C$12)&lt;=0,"0",((SUM(ReDiarioFert!K28:K34)*$C$12)))</f>
        <v>0.0021759172024882188</v>
      </c>
      <c r="O19">
        <f>IF((SUM(ReDiarioFert!M28:M34)*$C$12)&lt;=0,"0",((SUM(ReDiarioFert!M28:M34)*$C$12)))</f>
        <v>417.7607580487805</v>
      </c>
      <c r="Q19">
        <f>$C$12*Main!$D$63</f>
        <v>20.019999999999996</v>
      </c>
      <c r="S19">
        <f>((E19/100)*$G$47+(G19/100)*$G$48+(I19/100)*$G$49+(K19/100)*$G$50+(M19/100)*$G$51+(O19)*$G$52+(Q19*$G$53))</f>
        <v>1392.640846037907</v>
      </c>
    </row>
    <row r="20">
      <c r="A20">
        <v>5</v>
      </c>
      <c r="B20">
        <v>29</v>
      </c>
      <c r="C20">
        <f>$J$11+B20</f>
        <v>39634</v>
      </c>
      <c r="E20">
        <f>IF((SUM(ReDiarioFert!C35:C41)*$C$12)&lt;=0,"0",((SUM(ReDiarioFert!C35:C41)*$C$12)))</f>
        <v>64.80875841649635</v>
      </c>
      <c r="G20">
        <f>IF((SUM(ReDiarioFert!E35:E41)*$C$12)&lt;=0,"0",((SUM(ReDiarioFert!E35:E41)*$C$12)))</f>
        <v>14.457221039130433</v>
      </c>
      <c r="I20">
        <f>IF((SUM(ReDiarioFert!G35:G41)*$C$12)&lt;=0,"0",((SUM(ReDiarioFert!G35:G41)*$C$12)))</f>
        <v>60.91658316880803</v>
      </c>
      <c r="K20">
        <f>IF((SUM(ReDiarioFert!I35:I41)*$C$12)&lt;=0,"0",((SUM(ReDiarioFert!I35:I41)*$C$12)))</f>
        <v>39.097229354372004</v>
      </c>
      <c r="M20">
        <f>IF((SUM(ReDiarioFert!K35:K41)*$C$12)&lt;=0,"0",((SUM(ReDiarioFert!K35:K41)*$C$12)))</f>
        <v>0.0021759172024882188</v>
      </c>
      <c r="O20">
        <f>IF((SUM(ReDiarioFert!M35:M41)*$C$12)&lt;=0,"0",((SUM(ReDiarioFert!M35:M41)*$C$12)))</f>
        <v>492.36260243902444</v>
      </c>
      <c r="Q20">
        <f>$C$12*Main!$D$63</f>
        <v>20.019999999999996</v>
      </c>
      <c r="S20">
        <f>((E20/100)*$G$47+(G20/100)*$G$48+(I20/100)*$G$49+(K20/100)*$G$50+(M20/100)*$G$51+(O20)*$G$52+(Q20*$G$53))</f>
        <v>1395.6249198135167</v>
      </c>
    </row>
    <row r="21">
      <c r="A21">
        <v>6</v>
      </c>
      <c r="B21">
        <v>36</v>
      </c>
      <c r="C21">
        <f>$J$11+B21</f>
        <v>39641</v>
      </c>
      <c r="E21">
        <f>IF((SUM(ReDiarioFert!C42:C48)*$C$12)&lt;=0,"0",((SUM(ReDiarioFert!C42:C48)*$C$12)))</f>
        <v>64.80875841649635</v>
      </c>
      <c r="G21">
        <f>IF((SUM(ReDiarioFert!E42:E48)*$C$12)&lt;=0,"0",((SUM(ReDiarioFert!E42:E48)*$C$12)))</f>
        <v>14.457221039130433</v>
      </c>
      <c r="I21">
        <f>IF((SUM(ReDiarioFert!G42:G48)*$C$12)&lt;=0,"0",((SUM(ReDiarioFert!G42:G48)*$C$12)))</f>
        <v>60.91658316880803</v>
      </c>
      <c r="K21">
        <f>IF((SUM(ReDiarioFert!I42:I48)*$C$12)&lt;=0,"0",((SUM(ReDiarioFert!I42:I48)*$C$12)))</f>
        <v>39.097229354372004</v>
      </c>
      <c r="M21">
        <f>IF((SUM(ReDiarioFert!K42:K48)*$C$12)&lt;=0,"0",((SUM(ReDiarioFert!K42:K48)*$C$12)))</f>
        <v>0.0021759172024882188</v>
      </c>
      <c r="O21">
        <f>IF((SUM(ReDiarioFert!M42:M48)*$C$12)&lt;=0,"0",((SUM(ReDiarioFert!M42:M48)*$C$12)))</f>
        <v>591.831728292683</v>
      </c>
      <c r="Q21">
        <f>$C$12*Main!$D$63</f>
        <v>20.019999999999996</v>
      </c>
      <c r="S21">
        <f>((E21/100)*$G$47+(G21/100)*$G$48+(I21/100)*$G$49+(K21/100)*$G$50+(M21/100)*$G$51+(O21)*$G$52+(Q21*$G$53))</f>
        <v>1399.603684847663</v>
      </c>
    </row>
    <row r="22">
      <c r="A22">
        <v>7</v>
      </c>
      <c r="B22">
        <v>43</v>
      </c>
      <c r="C22">
        <f>$J$11+B22</f>
        <v>39648</v>
      </c>
      <c r="E22">
        <f>IF((SUM(ReDiarioFert!C49:C55)*$C$12)&lt;=0,"0",((SUM(ReDiarioFert!C49:C55)*$C$12)))</f>
        <v>64.80875841649635</v>
      </c>
      <c r="G22">
        <f>IF((SUM(ReDiarioFert!E49:E55)*$C$12)&lt;=0,"0",((SUM(ReDiarioFert!E49:E55)*$C$12)))</f>
        <v>14.457221039130433</v>
      </c>
      <c r="I22">
        <f>IF((SUM(ReDiarioFert!G49:G55)*$C$12)&lt;=0,"0",((SUM(ReDiarioFert!G49:G55)*$C$12)))</f>
        <v>60.91658316880803</v>
      </c>
      <c r="K22">
        <f>IF((SUM(ReDiarioFert!I49:I55)*$C$12)&lt;=0,"0",((SUM(ReDiarioFert!I49:I55)*$C$12)))</f>
        <v>39.097229354372004</v>
      </c>
      <c r="M22">
        <f>IF((SUM(ReDiarioFert!K49:K55)*$C$12)&lt;=0,"0",((SUM(ReDiarioFert!K49:K55)*$C$12)))</f>
        <v>0.0021759172024882188</v>
      </c>
      <c r="O22">
        <f>IF((SUM(ReDiarioFert!M49:M55)*$C$12)&lt;=0,"0",((SUM(ReDiarioFert!M49:M55)*$C$12)))</f>
        <v>651.5118365853659</v>
      </c>
      <c r="Q22">
        <f>$C$12*Main!$D$63</f>
        <v>20.019999999999996</v>
      </c>
      <c r="S22">
        <f>((E22/100)*$G$47+(G22/100)*$G$48+(I22/100)*$G$49+(K22/100)*$G$50+(M22/100)*$G$51+(O22)*$G$52+(Q22*$G$53))</f>
        <v>1401.9908891793705</v>
      </c>
    </row>
    <row r="23">
      <c r="A23">
        <v>8</v>
      </c>
      <c r="B23">
        <v>50</v>
      </c>
      <c r="C23">
        <f>$J$11+B23</f>
        <v>39655</v>
      </c>
      <c r="E23">
        <f>IF((SUM(ReDiarioFert!C56:C62)*$C$12)&lt;=0,"0",((SUM(ReDiarioFert!C56:C62)*$C$12)))</f>
        <v>59.949038977421125</v>
      </c>
      <c r="G23">
        <f>IF((SUM(ReDiarioFert!E56:E62)*$C$12)&lt;=0,"0",((SUM(ReDiarioFert!E56:E62)*$C$12)))</f>
        <v>14.457221039130433</v>
      </c>
      <c r="I23">
        <f>IF((SUM(ReDiarioFert!G56:G62)*$C$12)&lt;=0,"0",((SUM(ReDiarioFert!G56:G62)*$C$12)))</f>
        <v>60.91658316880803</v>
      </c>
      <c r="K23">
        <f>IF((SUM(ReDiarioFert!I56:I62)*$C$12)&lt;=0,"0",((SUM(ReDiarioFert!I56:I62)*$C$12)))</f>
        <v>39.097229354372004</v>
      </c>
      <c r="M23">
        <f>IF((SUM(ReDiarioFert!K56:K62)*$C$12)&lt;=0,"0",((SUM(ReDiarioFert!K56:K62)*$C$12)))</f>
        <v>0.0021759172024882188</v>
      </c>
      <c r="O23">
        <f>IF((SUM(ReDiarioFert!M56:M62)*$C$12)&lt;=0,"0",((SUM(ReDiarioFert!M56:M62)*$C$12)))</f>
        <v>800.7121073170731</v>
      </c>
      <c r="Q23">
        <f>$C$12*Main!$D$63</f>
        <v>20.019999999999996</v>
      </c>
      <c r="S23">
        <f>((E23/100)*$G$47+(G23/100)*$G$48+(I23/100)*$G$49+(K23/100)*$G$50+(M23/100)*$G$51+(O23)*$G$52+(Q23*$G$53))</f>
        <v>1376.3707236546497</v>
      </c>
    </row>
    <row r="24">
      <c r="A24">
        <v>9</v>
      </c>
      <c r="B24">
        <v>57</v>
      </c>
      <c r="C24">
        <f>$J$11+B24</f>
        <v>39662</v>
      </c>
      <c r="E24">
        <f>IF((SUM(ReDiarioFert!C63:C69)*$C$12)&lt;=0,"0",((SUM(ReDiarioFert!C63:C69)*$C$12)))</f>
        <v>59.949038977421125</v>
      </c>
      <c r="G24">
        <f>IF((SUM(ReDiarioFert!E63:E69)*$C$12)&lt;=0,"0",((SUM(ReDiarioFert!E63:E69)*$C$12)))</f>
        <v>14.457221039130433</v>
      </c>
      <c r="I24">
        <f>IF((SUM(ReDiarioFert!G63:G69)*$C$12)&lt;=0,"0",((SUM(ReDiarioFert!G63:G69)*$C$12)))</f>
        <v>60.91658316880803</v>
      </c>
      <c r="K24">
        <f>IF((SUM(ReDiarioFert!I63:I69)*$C$12)&lt;=0,"0",((SUM(ReDiarioFert!I63:I69)*$C$12)))</f>
        <v>39.097229354372004</v>
      </c>
      <c r="M24">
        <f>IF((SUM(ReDiarioFert!K63:K69)*$C$12)&lt;=0,"0",((SUM(ReDiarioFert!K63:K69)*$C$12)))</f>
        <v>0.0021759172024882188</v>
      </c>
      <c r="O24">
        <f>IF((SUM(ReDiarioFert!M63:M69)*$C$12)&lt;=0,"0",((SUM(ReDiarioFert!M63:M69)*$C$12)))</f>
        <v>830.5526497560975</v>
      </c>
      <c r="Q24">
        <f>$C$12*Main!$D$63</f>
        <v>20.019999999999996</v>
      </c>
      <c r="S24">
        <f>((E24/100)*$G$47+(G24/100)*$G$48+(I24/100)*$G$49+(K24/100)*$G$50+(M24/100)*$G$51+(O24)*$G$52+(Q24*$G$53))</f>
        <v>1377.5643453522107</v>
      </c>
    </row>
    <row r="25">
      <c r="A25">
        <v>10</v>
      </c>
      <c r="B25">
        <v>64</v>
      </c>
      <c r="C25">
        <f>$J$11+B25</f>
        <v>39669</v>
      </c>
      <c r="E25">
        <f>IF((SUM(ReDiarioFert!C70:C76)*$C$12)&lt;=0,"0",((SUM(ReDiarioFert!C70:C76)*$C$12)))</f>
        <v>47.41372127679279</v>
      </c>
      <c r="G25">
        <f>IF((SUM(ReDiarioFert!E70:E76)*$C$12)&lt;=0,"0",((SUM(ReDiarioFert!E70:E76)*$C$12)))</f>
        <v>21.68583155869565</v>
      </c>
      <c r="I25">
        <f>IF((SUM(ReDiarioFert!G70:G76)*$C$12)&lt;=0,"0",((SUM(ReDiarioFert!G70:G76)*$C$12)))</f>
        <v>58.39166666666667</v>
      </c>
      <c r="K25">
        <f>IF((SUM(ReDiarioFert!I70:I76)*$C$12)&lt;=0,"0",((SUM(ReDiarioFert!I70:I76)*$C$12)))</f>
        <v>37.476697892334776</v>
      </c>
      <c r="M25">
        <f>IF((SUM(ReDiarioFert!K70:K76)*$C$12)&lt;=0,"0",((SUM(ReDiarioFert!K70:K76)*$C$12)))</f>
        <v>0.0020857281445000003</v>
      </c>
      <c r="O25">
        <f>IF((SUM(ReDiarioFert!M70:M76)*$C$12)&lt;=0,"0",((SUM(ReDiarioFert!M70:M76)*$C$12)))</f>
        <v>1009.595904390244</v>
      </c>
      <c r="Q25">
        <f>$C$12*Main!$D$63</f>
        <v>20.019999999999996</v>
      </c>
      <c r="S25">
        <f>((E25/100)*$G$47+(G25/100)*$G$48+(I25/100)*$G$49+(K25/100)*$G$50+(M25/100)*$G$51+(O25)*$G$52+(Q25*$G$53))</f>
        <v>1359.9340668018813</v>
      </c>
    </row>
    <row r="26">
      <c r="A26">
        <v>11</v>
      </c>
      <c r="B26">
        <v>71</v>
      </c>
      <c r="C26">
        <f>$J$11+B26</f>
        <v>39676</v>
      </c>
      <c r="E26">
        <f>IF((SUM(ReDiarioFert!C77:C83)*$C$12)&lt;=0,"0",((SUM(ReDiarioFert!C77:C83)*$C$12)))</f>
        <v>47.41372127679279</v>
      </c>
      <c r="G26">
        <f>IF((SUM(ReDiarioFert!E77:E83)*$C$12)&lt;=0,"0",((SUM(ReDiarioFert!E77:E83)*$C$12)))</f>
        <v>21.68583155869565</v>
      </c>
      <c r="I26">
        <f>IF((SUM(ReDiarioFert!G77:G83)*$C$12)&lt;=0,"0",((SUM(ReDiarioFert!G77:G83)*$C$12)))</f>
        <v>58.39166666666667</v>
      </c>
      <c r="K26">
        <f>IF((SUM(ReDiarioFert!I77:I83)*$C$12)&lt;=0,"0",((SUM(ReDiarioFert!I77:I83)*$C$12)))</f>
        <v>37.476697892334776</v>
      </c>
      <c r="M26">
        <f>IF((SUM(ReDiarioFert!K77:K83)*$C$12)&lt;=0,"0",((SUM(ReDiarioFert!K77:K83)*$C$12)))</f>
        <v>0.0020857281445000003</v>
      </c>
      <c r="O26">
        <f>IF((SUM(ReDiarioFert!M77:M83)*$C$12)&lt;=0,"0",((SUM(ReDiarioFert!M77:M83)*$C$12)))</f>
        <v>1009.595904390244</v>
      </c>
      <c r="Q26">
        <f>$C$12*Main!$D$63</f>
        <v>20.019999999999996</v>
      </c>
      <c r="S26">
        <f>((E26/100)*$G$47+(G26/100)*$G$48+(I26/100)*$G$49+(K26/100)*$G$50+(M26/100)*$G$51+(O26)*$G$52+(Q26*$G$53))</f>
        <v>1359.9340668018813</v>
      </c>
    </row>
    <row r="27">
      <c r="A27">
        <v>12</v>
      </c>
      <c r="B27">
        <v>78</v>
      </c>
      <c r="C27">
        <f>$J$11+B27</f>
        <v>39683</v>
      </c>
      <c r="E27">
        <f>IF((SUM(ReDiarioFert!C84:C90)*$C$12)&lt;=0,"0",((SUM(ReDiarioFert!C84:C90)*$C$12)))</f>
        <v>47.41372127679279</v>
      </c>
      <c r="G27">
        <f>IF((SUM(ReDiarioFert!E84:E90)*$C$12)&lt;=0,"0",((SUM(ReDiarioFert!E84:E90)*$C$12)))</f>
        <v>21.68583155869565</v>
      </c>
      <c r="I27">
        <f>IF((SUM(ReDiarioFert!G84:G90)*$C$12)&lt;=0,"0",((SUM(ReDiarioFert!G84:G90)*$C$12)))</f>
        <v>58.39166666666667</v>
      </c>
      <c r="K27">
        <f>IF((SUM(ReDiarioFert!I84:I90)*$C$12)&lt;=0,"0",((SUM(ReDiarioFert!I84:I90)*$C$12)))</f>
        <v>37.476697892334776</v>
      </c>
      <c r="M27">
        <f>IF((SUM(ReDiarioFert!K84:K90)*$C$12)&lt;=0,"0",((SUM(ReDiarioFert!K84:K90)*$C$12)))</f>
        <v>0.0020857281445000003</v>
      </c>
      <c r="O27">
        <f>IF((SUM(ReDiarioFert!M84:M90)*$C$12)&lt;=0,"0",((SUM(ReDiarioFert!M84:M90)*$C$12)))</f>
        <v>1128.9561209756096</v>
      </c>
      <c r="Q27">
        <f>$C$12*Main!$D$63</f>
        <v>20.019999999999996</v>
      </c>
      <c r="S27">
        <f>((E27/100)*$G$47+(G27/100)*$G$48+(I27/100)*$G$49+(K27/100)*$G$50+(M27/100)*$G$51+(O27)*$G$52+(Q27*$G$53))</f>
        <v>1364.7084754652958</v>
      </c>
    </row>
    <row r="28" ht="18" customHeight="1">
      <c r="A28">
        <v>13</v>
      </c>
      <c r="B28">
        <v>85</v>
      </c>
      <c r="C28">
        <f>$J$11+B28</f>
        <v>39690</v>
      </c>
      <c r="E28">
        <f>IF((SUM(ReDiarioFert!C91:C97)*$C$12)&lt;=0,"0",((SUM(ReDiarioFert!C91:C97)*$C$12)))</f>
        <v>47.41372127679279</v>
      </c>
      <c r="G28">
        <f>IF((SUM(ReDiarioFert!E91:E97)*$C$12)&lt;=0,"0",((SUM(ReDiarioFert!E91:E97)*$C$12)))</f>
        <v>21.68583155869565</v>
      </c>
      <c r="I28">
        <f>IF((SUM(ReDiarioFert!G91:G97)*$C$12)&lt;=0,"0",((SUM(ReDiarioFert!G91:G97)*$C$12)))</f>
        <v>58.39166666666667</v>
      </c>
      <c r="K28">
        <f>IF((SUM(ReDiarioFert!I91:I97)*$C$12)&lt;=0,"0",((SUM(ReDiarioFert!I91:I97)*$C$12)))</f>
        <v>37.476697892334776</v>
      </c>
      <c r="M28">
        <f>IF((SUM(ReDiarioFert!K91:K97)*$C$12)&lt;=0,"0",((SUM(ReDiarioFert!K91:K97)*$C$12)))</f>
        <v>0.0020857281445000003</v>
      </c>
      <c r="O28">
        <f>IF((SUM(ReDiarioFert!M91:M97)*$C$12)&lt;=0,"0",((SUM(ReDiarioFert!M91:M97)*$C$12)))</f>
        <v>1218.4762834146343</v>
      </c>
      <c r="Q28">
        <f>$C$12*Main!$D$63</f>
        <v>20.019999999999996</v>
      </c>
      <c r="S28">
        <f>((E28/100)*$G$47+(G28/100)*$G$48+(I28/100)*$G$49+(K28/100)*$G$50+(M28/100)*$G$51+(O28)*$G$52+(Q28*$G$53))</f>
        <v>1368.2892819628569</v>
      </c>
    </row>
    <row r="29">
      <c r="A29">
        <v>14</v>
      </c>
      <c r="B29">
        <v>92</v>
      </c>
      <c r="C29">
        <f>$J$11+B29</f>
        <v>39697</v>
      </c>
      <c r="E29">
        <f>IF((SUM(ReDiarioFert!C98:C104)*$C$12)&lt;=0,"0",((SUM(ReDiarioFert!C98:C104)*$C$12)))</f>
        <v>47.41372127679279</v>
      </c>
      <c r="G29">
        <f>IF((SUM(ReDiarioFert!E98:E104)*$C$12)&lt;=0,"0",((SUM(ReDiarioFert!E98:E104)*$C$12)))</f>
        <v>21.68583155869565</v>
      </c>
      <c r="I29">
        <f>IF((SUM(ReDiarioFert!G98:G104)*$C$12)&lt;=0,"0",((SUM(ReDiarioFert!G98:G104)*$C$12)))</f>
        <v>58.39166666666667</v>
      </c>
      <c r="K29">
        <f>IF((SUM(ReDiarioFert!I98:I104)*$C$12)&lt;=0,"0",((SUM(ReDiarioFert!I98:I104)*$C$12)))</f>
        <v>37.476697892334776</v>
      </c>
      <c r="M29">
        <f>IF((SUM(ReDiarioFert!K98:K104)*$C$12)&lt;=0,"0",((SUM(ReDiarioFert!K98:K104)*$C$12)))</f>
        <v>0.0020857281445000003</v>
      </c>
      <c r="O29">
        <f>IF((SUM(ReDiarioFert!M98:M104)*$C$12)&lt;=0,"0",((SUM(ReDiarioFert!M98:M104)*$C$12)))</f>
        <v>1218.4762834146343</v>
      </c>
      <c r="Q29">
        <f>$C$12*Main!$D$63</f>
        <v>20.019999999999996</v>
      </c>
      <c r="S29">
        <f>((E29/100)*$G$47+(G29/100)*$G$48+(I29/100)*$G$49+(K29/100)*$G$50+(M29/100)*$G$51+(O29)*$G$52+(Q29*$G$53))</f>
        <v>1368.2892819628569</v>
      </c>
    </row>
    <row r="30">
      <c r="A30">
        <v>15</v>
      </c>
      <c r="B30">
        <v>99</v>
      </c>
      <c r="C30">
        <f>$J$11+B30</f>
        <v>39704</v>
      </c>
      <c r="E30">
        <f>IF((SUM(ReDiarioFert!C105:C111)*$C$12)&lt;=0,"0",((SUM(ReDiarioFert!C105:C111)*$C$12)))</f>
        <v>47.41372127679279</v>
      </c>
      <c r="G30">
        <f>IF((SUM(ReDiarioFert!E105:E111)*$C$12)&lt;=0,"0",((SUM(ReDiarioFert!E105:E111)*$C$12)))</f>
        <v>21.68583155869565</v>
      </c>
      <c r="I30">
        <f>IF((SUM(ReDiarioFert!G105:G111)*$C$12)&lt;=0,"0",((SUM(ReDiarioFert!G105:G111)*$C$12)))</f>
        <v>58.39166666666667</v>
      </c>
      <c r="K30">
        <f>IF((SUM(ReDiarioFert!I105:I111)*$C$12)&lt;=0,"0",((SUM(ReDiarioFert!I105:I111)*$C$12)))</f>
        <v>37.476697892334776</v>
      </c>
      <c r="M30">
        <f>IF((SUM(ReDiarioFert!K105:K111)*$C$12)&lt;=0,"0",((SUM(ReDiarioFert!K105:K111)*$C$12)))</f>
        <v>0.0020857281445000003</v>
      </c>
      <c r="O30">
        <f>IF((SUM(ReDiarioFert!M105:M111)*$C$12)&lt;=0,"0",((SUM(ReDiarioFert!M105:M111)*$C$12)))</f>
        <v>1218.4762834146343</v>
      </c>
      <c r="Q30">
        <f>$C$12*Main!$D$63</f>
        <v>20.019999999999996</v>
      </c>
      <c r="S30">
        <f>((E30/100)*$G$47+(G30/100)*$G$48+(I30/100)*$G$49+(K30/100)*$G$50+(M30/100)*$G$51+(O30)*$G$52+(Q30*$G$53))</f>
        <v>1368.2892819628569</v>
      </c>
    </row>
    <row r="31">
      <c r="A31">
        <v>16</v>
      </c>
      <c r="B31">
        <v>106</v>
      </c>
      <c r="C31">
        <f>$J$11+B31</f>
        <v>39711</v>
      </c>
      <c r="E31">
        <f>IF((SUM(ReDiarioFert!C112:C118)*$C$12)&lt;=0,"0",((SUM(ReDiarioFert!C112:C118)*$C$12)))</f>
        <v>47.41372127679279</v>
      </c>
      <c r="G31">
        <f>IF((SUM(ReDiarioFert!E112:E118)*$C$12)&lt;=0,"0",((SUM(ReDiarioFert!E112:E118)*$C$12)))</f>
        <v>21.68583155869565</v>
      </c>
      <c r="I31">
        <f>IF((SUM(ReDiarioFert!G112:G118)*$C$12)&lt;=0,"0",((SUM(ReDiarioFert!G112:G118)*$C$12)))</f>
        <v>58.39166666666667</v>
      </c>
      <c r="K31">
        <f>IF((SUM(ReDiarioFert!I112:I118)*$C$12)&lt;=0,"0",((SUM(ReDiarioFert!I112:I118)*$C$12)))</f>
        <v>37.476697892334776</v>
      </c>
      <c r="M31">
        <f>IF((SUM(ReDiarioFert!K112:K118)*$C$12)&lt;=0,"0",((SUM(ReDiarioFert!K112:K118)*$C$12)))</f>
        <v>0.0020857281445000003</v>
      </c>
      <c r="O31">
        <f>IF((SUM(ReDiarioFert!M112:M118)*$C$12)&lt;=0,"0",((SUM(ReDiarioFert!M112:M118)*$C$12)))</f>
        <v>1218.4762834146343</v>
      </c>
      <c r="Q31">
        <f>$C$12*Main!$D$63</f>
        <v>20.019999999999996</v>
      </c>
      <c r="S31">
        <f>((E31/100)*$G$47+(G31/100)*$G$48+(I31/100)*$G$49+(K31/100)*$G$50+(M31/100)*$G$51+(O31)*$G$52+(Q31*$G$53))</f>
        <v>1368.2892819628569</v>
      </c>
    </row>
    <row r="32">
      <c r="A32">
        <v>17</v>
      </c>
      <c r="B32">
        <v>113</v>
      </c>
      <c r="C32">
        <f>$J$11+B32</f>
        <v>39718</v>
      </c>
      <c r="E32">
        <f>IF((SUM(ReDiarioFert!C119:C125)*$C$12)&lt;=0,"0",((SUM(ReDiarioFert!C119:C125)*$C$12)))</f>
        <v>47.41372127679279</v>
      </c>
      <c r="G32">
        <f>IF((SUM(ReDiarioFert!E119:E125)*$C$12)&lt;=0,"0",((SUM(ReDiarioFert!E119:E125)*$C$12)))</f>
        <v>21.68583155869565</v>
      </c>
      <c r="I32">
        <f>IF((SUM(ReDiarioFert!G119:G125)*$C$12)&lt;=0,"0",((SUM(ReDiarioFert!G119:G125)*$C$12)))</f>
        <v>58.39166666666667</v>
      </c>
      <c r="K32">
        <f>IF((SUM(ReDiarioFert!I119:I125)*$C$12)&lt;=0,"0",((SUM(ReDiarioFert!I119:I125)*$C$12)))</f>
        <v>37.476697892334776</v>
      </c>
      <c r="M32">
        <f>IF((SUM(ReDiarioFert!K119:K125)*$C$12)&lt;=0,"0",((SUM(ReDiarioFert!K119:K125)*$C$12)))</f>
        <v>0.0020857281445000003</v>
      </c>
      <c r="O32">
        <f>IF((SUM(ReDiarioFert!M119:M125)*$C$12)&lt;=0,"0",((SUM(ReDiarioFert!M119:M125)*$C$12)))</f>
        <v>1218.4762834146343</v>
      </c>
      <c r="Q32">
        <f>$C$12*Main!$D$63</f>
        <v>20.019999999999996</v>
      </c>
      <c r="S32">
        <f>((E32/100)*$G$47+(G32/100)*$G$48+(I32/100)*$G$49+(K32/100)*$G$50+(M32/100)*$G$51+(O32)*$G$52+(Q32*$G$53))</f>
        <v>1368.2892819628569</v>
      </c>
    </row>
    <row r="33">
      <c r="A33">
        <v>18</v>
      </c>
      <c r="B33">
        <v>120</v>
      </c>
      <c r="C33">
        <f>$J$11+B33</f>
        <v>39725</v>
      </c>
      <c r="E33">
        <f>IF((SUM(ReDiarioFert!C126:C132)*$C$12)&lt;=0,"0",((SUM(ReDiarioFert!C126:C132)*$C$12)))</f>
        <v>47.41372127679279</v>
      </c>
      <c r="G33">
        <f>IF((SUM(ReDiarioFert!E126:E132)*$C$12)&lt;=0,"0",((SUM(ReDiarioFert!E126:E132)*$C$12)))</f>
        <v>21.68583155869565</v>
      </c>
      <c r="I33">
        <f>IF((SUM(ReDiarioFert!G126:G132)*$C$12)&lt;=0,"0",((SUM(ReDiarioFert!G126:G132)*$C$12)))</f>
        <v>58.39166666666667</v>
      </c>
      <c r="K33">
        <f>IF((SUM(ReDiarioFert!I126:I132)*$C$12)&lt;=0,"0",((SUM(ReDiarioFert!I126:I132)*$C$12)))</f>
        <v>37.476697892334776</v>
      </c>
      <c r="M33">
        <f>IF((SUM(ReDiarioFert!K126:K132)*$C$12)&lt;=0,"0",((SUM(ReDiarioFert!K126:K132)*$C$12)))</f>
        <v>0.0020857281445000003</v>
      </c>
      <c r="O33">
        <f>IF((SUM(ReDiarioFert!M126:M132)*$C$12)&lt;=0,"0",((SUM(ReDiarioFert!M126:M132)*$C$12)))</f>
        <v>1218.4762834146343</v>
      </c>
      <c r="Q33">
        <f>$C$12*Main!$D$63</f>
        <v>20.019999999999996</v>
      </c>
      <c r="S33">
        <f>((E33/100)*$G$47+(G33/100)*$G$48+(I33/100)*$G$49+(K33/100)*$G$50+(M33/100)*$G$51+(O33)*$G$52+(Q33*$G$53))</f>
        <v>1368.2892819628569</v>
      </c>
    </row>
    <row r="34">
      <c r="A34">
        <v>19</v>
      </c>
      <c r="B34">
        <v>127</v>
      </c>
      <c r="C34">
        <f>$J$11+B34</f>
        <v>39732</v>
      </c>
      <c r="E34">
        <f>IF((SUM(ReDiarioFert!C133:C139)*$C$12)&lt;=0,"0",((SUM(ReDiarioFert!C133:C139)*$C$12)))</f>
        <v>47.41372127679279</v>
      </c>
      <c r="G34">
        <f>IF((SUM(ReDiarioFert!E133:E139)*$C$12)&lt;=0,"0",((SUM(ReDiarioFert!E133:E139)*$C$12)))</f>
        <v>21.68583155869565</v>
      </c>
      <c r="I34">
        <f>IF((SUM(ReDiarioFert!G133:G139)*$C$12)&lt;=0,"0",((SUM(ReDiarioFert!G133:G139)*$C$12)))</f>
        <v>58.39166666666667</v>
      </c>
      <c r="K34">
        <f>IF((SUM(ReDiarioFert!I133:I139)*$C$12)&lt;=0,"0",((SUM(ReDiarioFert!I133:I139)*$C$12)))</f>
        <v>37.476697892334776</v>
      </c>
      <c r="M34">
        <f>IF((SUM(ReDiarioFert!K133:K139)*$C$12)&lt;=0,"0",((SUM(ReDiarioFert!K133:K139)*$C$12)))</f>
        <v>0.0020857281445000003</v>
      </c>
      <c r="O34">
        <f>IF((SUM(ReDiarioFert!M133:M139)*$C$12)&lt;=0,"0",((SUM(ReDiarioFert!M133:M139)*$C$12)))</f>
        <v>1218.4762834146343</v>
      </c>
      <c r="Q34">
        <f>$C$12*Main!$D$63</f>
        <v>20.019999999999996</v>
      </c>
      <c r="S34">
        <f>((E34/100)*$G$47+(G34/100)*$G$48+(I34/100)*$G$49+(K34/100)*$G$50+(M34/100)*$G$51+(O34)*$G$52+(Q34*$G$53))</f>
        <v>1368.2892819628569</v>
      </c>
    </row>
    <row r="35">
      <c r="A35">
        <v>20</v>
      </c>
      <c r="B35">
        <v>134</v>
      </c>
      <c r="C35">
        <f>$J$11+B35</f>
        <v>39739</v>
      </c>
      <c r="E35">
        <f>IF((SUM(ReDiarioFert!C140:C146)*$C$12)&lt;=0,"0",((SUM(ReDiarioFert!C140:C146)*$C$12)))</f>
        <v>47.41372127679279</v>
      </c>
      <c r="G35">
        <f>IF((SUM(ReDiarioFert!E140:E146)*$C$12)&lt;=0,"0",((SUM(ReDiarioFert!E140:E146)*$C$12)))</f>
        <v>21.68583155869565</v>
      </c>
      <c r="I35">
        <f>IF((SUM(ReDiarioFert!G140:G146)*$C$12)&lt;=0,"0",((SUM(ReDiarioFert!G140:G146)*$C$12)))</f>
        <v>58.39166666666667</v>
      </c>
      <c r="K35">
        <f>IF((SUM(ReDiarioFert!I140:I146)*$C$12)&lt;=0,"0",((SUM(ReDiarioFert!I140:I146)*$C$12)))</f>
        <v>37.476697892334776</v>
      </c>
      <c r="M35">
        <f>IF((SUM(ReDiarioFert!K140:K146)*$C$12)&lt;=0,"0",((SUM(ReDiarioFert!K140:K146)*$C$12)))</f>
        <v>0.0020857281445000003</v>
      </c>
      <c r="O35">
        <f>IF((SUM(ReDiarioFert!M140:M146)*$C$12)&lt;=0,"0",((SUM(ReDiarioFert!M140:M146)*$C$12)))</f>
        <v>1218.4762834146343</v>
      </c>
      <c r="Q35">
        <f>$C$12*Main!$D$63</f>
        <v>20.019999999999996</v>
      </c>
      <c r="S35">
        <f>((E35/100)*$G$47+(G35/100)*$G$48+(I35/100)*$G$49+(K35/100)*$G$50+(M35/100)*$G$51+(O35)*$G$52+(Q35*$G$53))</f>
        <v>1368.2892819628569</v>
      </c>
    </row>
    <row r="36">
      <c r="A36">
        <v>21</v>
      </c>
      <c r="B36">
        <v>141</v>
      </c>
      <c r="C36">
        <f>$J$11+B36</f>
        <v>39746</v>
      </c>
      <c r="E36">
        <f>IF((SUM(ReDiarioFert!C147:C153)*$C$12)&lt;=0,"0",((SUM(ReDiarioFert!C147:C153)*$C$12)))</f>
        <v>47.41372127679279</v>
      </c>
      <c r="G36">
        <f>IF((SUM(ReDiarioFert!E147:E153)*$C$12)&lt;=0,"0",((SUM(ReDiarioFert!E147:E153)*$C$12)))</f>
        <v>21.68583155869565</v>
      </c>
      <c r="I36">
        <f>IF((SUM(ReDiarioFert!G147:G153)*$C$12)&lt;=0,"0",((SUM(ReDiarioFert!G147:G153)*$C$12)))</f>
        <v>58.39166666666667</v>
      </c>
      <c r="K36">
        <f>IF((SUM(ReDiarioFert!I147:I153)*$C$12)&lt;=0,"0",((SUM(ReDiarioFert!I147:I153)*$C$12)))</f>
        <v>37.476697892334776</v>
      </c>
      <c r="M36">
        <f>IF((SUM(ReDiarioFert!K147:K153)*$C$12)&lt;=0,"0",((SUM(ReDiarioFert!K147:K153)*$C$12)))</f>
        <v>0.0020857281445000003</v>
      </c>
      <c r="O36">
        <f>IF((SUM(ReDiarioFert!M147:M153)*$C$12)&lt;=0,"0",((SUM(ReDiarioFert!M147:M153)*$C$12)))</f>
        <v>1218.4762834146343</v>
      </c>
      <c r="Q36">
        <f>$C$12*Main!$D$63</f>
        <v>20.019999999999996</v>
      </c>
      <c r="S36">
        <f>((E36/100)*$G$47+(G36/100)*$G$48+(I36/100)*$G$49+(K36/100)*$G$50+(M36/100)*$G$51+(O36)*$G$52+(Q36*$G$53))</f>
        <v>1368.2892819628569</v>
      </c>
    </row>
    <row r="37">
      <c r="A37">
        <v>22</v>
      </c>
      <c r="B37">
        <v>148</v>
      </c>
      <c r="C37">
        <f>$J$11+B37</f>
        <v>39753</v>
      </c>
      <c r="E37">
        <f>IF((SUM(ReDiarioFert!C154:C160)*$C$12)&lt;=0,"0",((SUM(ReDiarioFert!C154:C160)*$C$12)))</f>
        <v>47.41372127679279</v>
      </c>
      <c r="G37">
        <f>IF((SUM(ReDiarioFert!E154:E160)*$C$12)&lt;=0,"0",((SUM(ReDiarioFert!E154:E160)*$C$12)))</f>
        <v>21.68583155869565</v>
      </c>
      <c r="I37">
        <f>IF((SUM(ReDiarioFert!G154:G160)*$C$12)&lt;=0,"0",((SUM(ReDiarioFert!G154:G160)*$C$12)))</f>
        <v>58.39166666666667</v>
      </c>
      <c r="K37">
        <f>IF((SUM(ReDiarioFert!I154:I160)*$C$12)&lt;=0,"0",((SUM(ReDiarioFert!I154:I160)*$C$12)))</f>
        <v>37.476697892334776</v>
      </c>
      <c r="M37">
        <f>IF((SUM(ReDiarioFert!K154:K160)*$C$12)&lt;=0,"0",((SUM(ReDiarioFert!K154:K160)*$C$12)))</f>
        <v>0.0020857281445000003</v>
      </c>
      <c r="O37">
        <f>IF((SUM(ReDiarioFert!M154:M160)*$C$12)&lt;=0,"0",((SUM(ReDiarioFert!M154:M160)*$C$12)))</f>
        <v>1218.4762834146343</v>
      </c>
      <c r="Q37">
        <f>$C$12*Main!$D$63</f>
        <v>20.019999999999996</v>
      </c>
      <c r="S37">
        <f>((E37/100)*$G$47+(G37/100)*$G$48+(I37/100)*$G$49+(K37/100)*$G$50+(M37/100)*$G$51+(O37)*$G$52+(Q37*$G$53))</f>
        <v>1368.2892819628569</v>
      </c>
    </row>
    <row r="38">
      <c r="A38">
        <v>23</v>
      </c>
      <c r="B38">
        <v>155</v>
      </c>
      <c r="C38">
        <f>$J$11+B38</f>
        <v>39760</v>
      </c>
      <c r="E38">
        <f>IF((SUM(ReDiarioFert!C161:C167)*$C$12)&lt;=0,"0",((SUM(ReDiarioFert!C161:C167)*$C$12)))</f>
        <v>47.41372127679279</v>
      </c>
      <c r="G38">
        <f>IF((SUM(ReDiarioFert!E161:E167)*$C$12)&lt;=0,"0",((SUM(ReDiarioFert!E161:E167)*$C$12)))</f>
        <v>21.68583155869565</v>
      </c>
      <c r="I38">
        <f>IF((SUM(ReDiarioFert!G161:G167)*$C$12)&lt;=0,"0",((SUM(ReDiarioFert!G161:G167)*$C$12)))</f>
        <v>58.39166666666667</v>
      </c>
      <c r="K38">
        <f>IF((SUM(ReDiarioFert!I161:I167)*$C$12)&lt;=0,"0",((SUM(ReDiarioFert!I161:I167)*$C$12)))</f>
        <v>37.476697892334776</v>
      </c>
      <c r="M38">
        <f>IF((SUM(ReDiarioFert!K161:K167)*$C$12)&lt;=0,"0",((SUM(ReDiarioFert!K161:K167)*$C$12)))</f>
        <v>0.0020857281445000003</v>
      </c>
      <c r="O38">
        <f>IF((SUM(ReDiarioFert!M161:M167)*$C$12)&lt;=0,"0",((SUM(ReDiarioFert!M161:M167)*$C$12)))</f>
        <v>1218.4762834146343</v>
      </c>
      <c r="Q38">
        <f>$C$12*Main!$D$63</f>
        <v>20.019999999999996</v>
      </c>
      <c r="S38">
        <f>((E38/100)*$G$47+(G38/100)*$G$48+(I38/100)*$G$49+(K38/100)*$G$50+(M38/100)*$G$51+(O38)*$G$52+(Q38*$G$53))</f>
        <v>1368.2892819628569</v>
      </c>
    </row>
    <row r="39">
      <c r="A39">
        <v>24</v>
      </c>
      <c r="B39">
        <v>162</v>
      </c>
      <c r="C39">
        <f>$J$11+B39</f>
        <v>39767</v>
      </c>
      <c r="E39">
        <f>IF((SUM(ReDiarioFert!C168:C174)*$C$12)&lt;=0,"0",((SUM(ReDiarioFert!C168:C174)*$C$12)))</f>
        <v>47.41372127679279</v>
      </c>
      <c r="G39">
        <f>IF((SUM(ReDiarioFert!E168:E174)*$C$12)&lt;=0,"0",((SUM(ReDiarioFert!E168:E174)*$C$12)))</f>
        <v>21.68583155869565</v>
      </c>
      <c r="I39">
        <f>IF((SUM(ReDiarioFert!G168:G174)*$C$12)&lt;=0,"0",((SUM(ReDiarioFert!G168:G174)*$C$12)))</f>
        <v>58.39166666666667</v>
      </c>
      <c r="K39">
        <f>IF((SUM(ReDiarioFert!I168:I174)*$C$12)&lt;=0,"0",((SUM(ReDiarioFert!I168:I174)*$C$12)))</f>
        <v>37.476697892334776</v>
      </c>
      <c r="M39">
        <f>IF((SUM(ReDiarioFert!K168:K174)*$C$12)&lt;=0,"0",((SUM(ReDiarioFert!K168:K174)*$C$12)))</f>
        <v>0.0020857281445000003</v>
      </c>
      <c r="O39">
        <f>IF((SUM(ReDiarioFert!M168:M174)*$C$12)&lt;=0,"0",((SUM(ReDiarioFert!M168:M174)*$C$12)))</f>
        <v>1218.4762834146343</v>
      </c>
      <c r="Q39">
        <f>$C$12*Main!$D$63</f>
        <v>20.019999999999996</v>
      </c>
      <c r="S39">
        <f>((E39/100)*$G$47+(G39/100)*$G$48+(I39/100)*$G$49+(K39/100)*$G$50+(M39/100)*$G$51+(O39)*$G$52+(Q39*$G$53))</f>
        <v>1368.2892819628569</v>
      </c>
    </row>
    <row r="40">
      <c r="A40">
        <v>25</v>
      </c>
      <c r="B40">
        <v>169</v>
      </c>
      <c r="C40">
        <f>$J$11+B40</f>
        <v>39774</v>
      </c>
      <c r="E40">
        <f>IF((SUM(ReDiarioFert!C175:C181)*$C$12)&lt;=0,"0",((SUM(ReDiarioFert!C175:C181)*$C$12)))</f>
        <v>47.41372127679279</v>
      </c>
      <c r="G40">
        <f>IF((SUM(ReDiarioFert!E175:E181)*$C$12)&lt;=0,"0",((SUM(ReDiarioFert!E175:E181)*$C$12)))</f>
        <v>21.68583155869565</v>
      </c>
      <c r="I40">
        <f>IF((SUM(ReDiarioFert!G175:G181)*$C$12)&lt;=0,"0",((SUM(ReDiarioFert!G175:G181)*$C$12)))</f>
        <v>58.39166666666667</v>
      </c>
      <c r="K40">
        <f>IF((SUM(ReDiarioFert!I175:I181)*$C$12)&lt;=0,"0",((SUM(ReDiarioFert!I175:I181)*$C$12)))</f>
        <v>37.476697892334776</v>
      </c>
      <c r="M40">
        <f>IF((SUM(ReDiarioFert!K175:K181)*$C$12)&lt;=0,"0",((SUM(ReDiarioFert!K175:K181)*$C$12)))</f>
        <v>0.0020857281445000003</v>
      </c>
      <c r="O40">
        <f>IF((SUM(ReDiarioFert!M175:M181)*$C$12)&lt;=0,"0",((SUM(ReDiarioFert!M175:M181)*$C$12)))</f>
        <v>1218.4762834146343</v>
      </c>
      <c r="Q40">
        <f>$C$12*Main!$D$63</f>
        <v>20.019999999999996</v>
      </c>
      <c r="S40">
        <f>((E40/100)*$G$47+(G40/100)*$G$48+(I40/100)*$G$49+(K40/100)*$G$50+(M40/100)*$G$51+(O40)*$G$52+(Q40*$G$53))</f>
        <v>1368.2892819628569</v>
      </c>
    </row>
    <row r="41">
      <c r="A41">
        <v>26</v>
      </c>
      <c r="B41">
        <v>176</v>
      </c>
      <c r="C41">
        <f>$J$11+B41</f>
        <v>39781</v>
      </c>
      <c r="E41">
        <f>IF((SUM(ReDiarioFert!C182:C188)*$C$12)&lt;=0,"0",((SUM(ReDiarioFert!C182:C188)*$C$12)))</f>
        <v>47.41372127679279</v>
      </c>
      <c r="G41">
        <f>IF((SUM(ReDiarioFert!E182:E188)*$C$12)&lt;=0,"0",((SUM(ReDiarioFert!E182:E188)*$C$12)))</f>
        <v>21.68583155869565</v>
      </c>
      <c r="I41">
        <f>IF((SUM(ReDiarioFert!G182:G188)*$C$12)&lt;=0,"0",((SUM(ReDiarioFert!G182:G188)*$C$12)))</f>
        <v>58.39166666666667</v>
      </c>
      <c r="K41">
        <f>IF((SUM(ReDiarioFert!I182:I188)*$C$12)&lt;=0,"0",((SUM(ReDiarioFert!I182:I188)*$C$12)))</f>
        <v>37.476697892334776</v>
      </c>
      <c r="M41">
        <f>IF((SUM(ReDiarioFert!K182:K188)*$C$12)&lt;=0,"0",((SUM(ReDiarioFert!K182:K188)*$C$12)))</f>
        <v>0.0020857281445000003</v>
      </c>
      <c r="O41">
        <f>IF((SUM(ReDiarioFert!M182:M188)*$C$12)&lt;=0,"0",((SUM(ReDiarioFert!M182:M188)*$C$12)))</f>
        <v>1218.4762834146343</v>
      </c>
      <c r="Q41">
        <f>$C$12*Main!$D$63</f>
        <v>20.019999999999996</v>
      </c>
      <c r="S41">
        <f>((E41/100)*$G$47+(G41/100)*$G$48+(I41/100)*$G$49+(K41/100)*$G$50+(M41/100)*$G$51+(O41)*$G$52+(Q41*$G$53))</f>
        <v>1368.2892819628569</v>
      </c>
    </row>
    <row r="42">
      <c r="A42">
        <v>27</v>
      </c>
      <c r="B42">
        <v>183</v>
      </c>
      <c r="C42">
        <f>$J$11+B42</f>
        <v>39788</v>
      </c>
      <c r="E42">
        <f>IF((SUM(ReDiarioFert!C189:C195)*$C$12)&lt;=0,"0",((SUM(ReDiarioFert!C189:C195)*$C$12)))</f>
        <v>47.41372127679279</v>
      </c>
      <c r="G42">
        <f>IF((SUM(ReDiarioFert!E189:E195)*$C$12)&lt;=0,"0",((SUM(ReDiarioFert!E189:E195)*$C$12)))</f>
        <v>21.68583155869565</v>
      </c>
      <c r="I42">
        <f>IF((SUM(ReDiarioFert!G189:G195)*$C$12)&lt;=0,"0",((SUM(ReDiarioFert!G189:G195)*$C$12)))</f>
        <v>58.39166666666667</v>
      </c>
      <c r="K42">
        <f>IF((SUM(ReDiarioFert!I189:I195)*$C$12)&lt;=0,"0",((SUM(ReDiarioFert!I189:I195)*$C$12)))</f>
        <v>37.476697892334776</v>
      </c>
      <c r="M42">
        <f>IF((SUM(ReDiarioFert!K189:K195)*$C$12)&lt;=0,"0",((SUM(ReDiarioFert!K189:K195)*$C$12)))</f>
        <v>0.0020857281445000003</v>
      </c>
      <c r="O42">
        <f>IF((SUM(ReDiarioFert!M189:M195)*$C$12)&lt;=0,"0",((SUM(ReDiarioFert!M189:M195)*$C$12)))</f>
        <v>1218.4762834146343</v>
      </c>
      <c r="Q42">
        <f>$C$12*Main!$D$63</f>
        <v>20.019999999999996</v>
      </c>
      <c r="S42">
        <f>((E42/100)*$G$47+(G42/100)*$G$48+(I42/100)*$G$49+(K42/100)*$G$50+(M42/100)*$G$51+(O42)*$G$52+(Q42*$G$53))</f>
        <v>1368.2892819628569</v>
      </c>
    </row>
    <row r="43">
      <c r="C43" t="str">
        <v>Total</v>
      </c>
      <c r="E43">
        <f>SUM(E16:E42)</f>
        <v>1355.8054252530408</v>
      </c>
      <c r="G43">
        <f>SUM(G16:G42)</f>
        <v>520.4599574086957</v>
      </c>
      <c r="I43">
        <f>SUM(I16:I42)</f>
        <v>1537.757099890945</v>
      </c>
      <c r="K43">
        <f>SUM(K16:K42)</f>
        <v>986.9568990621804</v>
      </c>
      <c r="M43">
        <f>SUM(M16:M42)</f>
        <v>0.05492809926040658</v>
      </c>
      <c r="O43">
        <f>SUM(O16:O42)</f>
        <v>26010.73450585367</v>
      </c>
      <c r="Q43">
        <f>SUM(Q16:Q42)</f>
        <v>540.5399999999996</v>
      </c>
      <c r="S43">
        <f>SUM(S16:S42)</f>
        <v>35917.14742273209</v>
      </c>
    </row>
    <row r="44">
      <c r="D44" t="str">
        <v>OJO cualquier cultivo que no se termine la cosecha en el ultimo día del calendario solo seguir repitiendo la ultima aplicación de fertilizante.</v>
      </c>
    </row>
    <row r="45" ht="39.75" customHeight="1">
      <c r="B45" t="str">
        <v>Producto</v>
      </c>
      <c r="F45" t="str">
        <v>Lbs/Ha</v>
      </c>
      <c r="G45" t="str">
        <v>Costo por qq</v>
      </c>
    </row>
    <row r="46" ht="24" customHeight="1">
      <c r="G46" t="str">
        <f>Main!$E$25</f>
        <v>Lempiras</v>
      </c>
    </row>
    <row r="47">
      <c r="B47" t="str">
        <f>Main!D42</f>
        <v>Urea</v>
      </c>
      <c r="F47">
        <f>E43/C12</f>
        <v>1354.4509742787623</v>
      </c>
      <c r="G47">
        <f>Main!D43</f>
        <v>650</v>
      </c>
    </row>
    <row r="48">
      <c r="B48" t="str">
        <f>Main!D32</f>
        <v>DAP 18-46-0</v>
      </c>
      <c r="F48">
        <f>G43/C12</f>
        <v>519.9400173913044</v>
      </c>
      <c r="G48">
        <f>Main!D33</f>
        <v>1200</v>
      </c>
    </row>
    <row r="49">
      <c r="B49" t="str">
        <f>Main!D37</f>
        <v>Kcl</v>
      </c>
      <c r="F49">
        <f>I43/C12</f>
        <v>1536.2208790119332</v>
      </c>
      <c r="G49">
        <f>Main!D38</f>
        <v>580</v>
      </c>
    </row>
    <row r="50">
      <c r="B50" t="str">
        <f>Main!D47</f>
        <v>Sulfato de Magnesio</v>
      </c>
      <c r="F50">
        <f>K43/C12</f>
        <v>985.9709281340464</v>
      </c>
      <c r="G50">
        <f>Main!D48</f>
        <v>951</v>
      </c>
    </row>
    <row r="51">
      <c r="B51" t="str">
        <f>Main!D52</f>
        <v>Sin Calcio</v>
      </c>
      <c r="F51">
        <f>M43/C12</f>
        <v>0.05487322603437221</v>
      </c>
      <c r="G51">
        <f>Main!D53</f>
        <v>0</v>
      </c>
    </row>
    <row r="52">
      <c r="B52" t="str">
        <f>Main!D57</f>
        <v>Solubor</v>
      </c>
      <c r="F52">
        <f>O43/C12</f>
        <v>25984.749756097575</v>
      </c>
      <c r="G52">
        <f>Main!D58</f>
        <v>0.04</v>
      </c>
      <c r="I52" t="str">
        <v xml:space="preserve">Preparado y Autorizado Por </v>
      </c>
    </row>
    <row r="53" ht="18" customHeight="1">
      <c r="B53" t="str">
        <f>Main!D61</f>
        <v>Melaza</v>
      </c>
      <c r="F53">
        <f>Q43/C12</f>
        <v>539.9999999999997</v>
      </c>
      <c r="G53">
        <f>Main!D62</f>
        <v>2.8</v>
      </c>
      <c r="I53" t="str">
        <v>MSc Ricardo D. Lardizábal</v>
      </c>
    </row>
    <row r="54" ht="17.4" customHeight="1">
      <c r="B54" t="str">
        <v>NOTA: El Nitrato de Calcio se debe de diluir en un barril aparte para inyectarse al sistema</v>
      </c>
    </row>
    <row r="56">
      <c r="B56" t="str">
        <v>Abreviaciones usadas</v>
      </c>
    </row>
    <row r="57">
      <c r="B57" t="str">
        <v>Mz.-Manzanas, Ha-Hectáreas, Lbs-Libras, Lts-Litros y DDT-Días después de Trasplante</v>
      </c>
    </row>
  </sheetData>
  <sheetProtection sheet="1"/>
  <mergeCells count="55">
    <mergeCell ref="B57:S57"/>
    <mergeCell ref="P5:S7"/>
    <mergeCell ref="P2:S3"/>
    <mergeCell ref="A8:M8"/>
    <mergeCell ref="C11:F11"/>
    <mergeCell ref="C10:F10"/>
    <mergeCell ref="G10:I10"/>
    <mergeCell ref="A9:B9"/>
    <mergeCell ref="G9:I9"/>
    <mergeCell ref="J11:M11"/>
    <mergeCell ref="B56:C56"/>
    <mergeCell ref="B48:E48"/>
    <mergeCell ref="B49:E49"/>
    <mergeCell ref="P9:S12"/>
    <mergeCell ref="G11:I11"/>
    <mergeCell ref="J10:M10"/>
    <mergeCell ref="B53:E53"/>
    <mergeCell ref="B51:E51"/>
    <mergeCell ref="B54:I55"/>
    <mergeCell ref="G53:H53"/>
    <mergeCell ref="J9:M9"/>
    <mergeCell ref="A14:A15"/>
    <mergeCell ref="B14:B15"/>
    <mergeCell ref="A10:B10"/>
    <mergeCell ref="A12:B12"/>
    <mergeCell ref="A11:B11"/>
    <mergeCell ref="K14:L14"/>
    <mergeCell ref="C14:D14"/>
    <mergeCell ref="C9:F9"/>
    <mergeCell ref="S14:S15"/>
    <mergeCell ref="M14:N14"/>
    <mergeCell ref="O14:P14"/>
    <mergeCell ref="Q14:R14"/>
    <mergeCell ref="C12:F12"/>
    <mergeCell ref="E14:F14"/>
    <mergeCell ref="I14:J14"/>
    <mergeCell ref="B50:E50"/>
    <mergeCell ref="B45:E45"/>
    <mergeCell ref="B47:E47"/>
    <mergeCell ref="G45:H45"/>
    <mergeCell ref="G46:H46"/>
    <mergeCell ref="B52:E52"/>
    <mergeCell ref="G51:H51"/>
    <mergeCell ref="G52:H52"/>
    <mergeCell ref="G47:H47"/>
    <mergeCell ref="I52:Q52"/>
    <mergeCell ref="I53:Q53"/>
    <mergeCell ref="G12:I12"/>
    <mergeCell ref="J12:M12"/>
    <mergeCell ref="I50:Q50"/>
    <mergeCell ref="I49:Q49"/>
    <mergeCell ref="G49:H49"/>
    <mergeCell ref="G50:H50"/>
    <mergeCell ref="G48:H48"/>
    <mergeCell ref="G14:H14"/>
  </mergeCells>
  <pageMargins left="0.35" right="0.25" top="0.32" bottom="0.53" header="0.17" footer="0.16"/>
  <ignoredErrors>
    <ignoredError numberStoredAsText="1" sqref="A1:V65"/>
  </ignoredErrors>
  <legacyDrawing r:id="rId1"/>
</worksheet>
</file>

<file path=xl/worksheets/sheet8.xml><?xml version="1.0" encoding="utf-8"?>
<worksheet xmlns="http://schemas.openxmlformats.org/spreadsheetml/2006/main" xmlns:r="http://schemas.openxmlformats.org/officeDocument/2006/relationships">
  <dimension ref="A1:T45"/>
  <sheetViews>
    <sheetView workbookViewId="0" rightToLeft="0"/>
  </sheetViews>
  <sheetData>
    <row r="1" ht="32.7" customHeight="1"/>
    <row r="2" ht="32.7" customHeight="1">
      <c r="P2" t="str">
        <v>Calendario de Fertilización Cada 14 Días o a Mano</v>
      </c>
    </row>
    <row r="3" ht="32.4" customHeight="1"/>
    <row r="5">
      <c r="P5" t="str">
        <f>Main!$E$21</f>
        <v>Cunde</v>
      </c>
    </row>
    <row r="6" ht="31.2" customHeight="1"/>
    <row r="7" ht="27" customHeight="1"/>
    <row r="8" ht="28.95" customHeight="1">
      <c r="A8" t="str">
        <f>Main!$C$13</f>
        <v>"Sin Fertilización Base"</v>
      </c>
    </row>
    <row r="9" ht="19.95" customHeight="1">
      <c r="A9" t="str">
        <v>Productor</v>
      </c>
      <c r="C9" t="str">
        <f>'1 Por Sem'!C9</f>
        <v>Pancho Pérez</v>
      </c>
      <c r="F9" t="str">
        <v>Parcela</v>
      </c>
      <c r="I9" t="str">
        <f>'1 Por Sem'!J9</f>
        <v>La Frondosa</v>
      </c>
      <c r="P9" t="str">
        <f>Main!$G$21</f>
        <v>Shingai</v>
      </c>
    </row>
    <row r="10" ht="19.95" customHeight="1">
      <c r="A10" t="str">
        <v>Zona</v>
      </c>
      <c r="C10" t="str">
        <f>'1 Por Sem'!C10</f>
        <v>Cantarranas</v>
      </c>
      <c r="F10" t="str">
        <v>Técnico</v>
      </c>
      <c r="I10" t="str">
        <f>'1 Por Sem'!J10</f>
        <v>Nelson Galindo</v>
      </c>
    </row>
    <row r="11" ht="19.95" customHeight="1">
      <c r="A11" t="str">
        <v>Área Mz.</v>
      </c>
      <c r="C11">
        <f>'1 Por Sem'!C11</f>
        <v>1.43</v>
      </c>
      <c r="F11" t="str">
        <v>Fecha</v>
      </c>
      <c r="I11">
        <f>'1 Por Sem'!J11</f>
        <v>39605</v>
      </c>
    </row>
    <row r="12" ht="19.95" customHeight="1">
      <c r="A12" t="str">
        <v>Área Ha.</v>
      </c>
      <c r="C12">
        <f>Main!I22</f>
        <v>1.001</v>
      </c>
      <c r="F12" t="str">
        <v>Fecha  de Cosecha</v>
      </c>
      <c r="I12">
        <f>'1 Por Sem'!J12</f>
        <v>39670</v>
      </c>
    </row>
    <row r="14" ht="28.95" customHeight="1">
      <c r="A14" t="str">
        <v>Semana</v>
      </c>
      <c r="B14" t="str">
        <v>DDT</v>
      </c>
      <c r="C14" t="str">
        <v>FECHA</v>
      </c>
      <c r="E14" t="str">
        <f>Main!$D$42</f>
        <v>Urea</v>
      </c>
      <c r="G14" t="str">
        <f>Main!$D$32</f>
        <v>DAP 18-46-0</v>
      </c>
      <c r="I14" t="str">
        <f>Main!$D$37</f>
        <v>Kcl</v>
      </c>
      <c r="K14" t="str">
        <f>Main!$D$47</f>
        <v>Sulfato de Magnesio</v>
      </c>
      <c r="M14" t="str">
        <f>Main!$D$52</f>
        <v>Sin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f>Main!E52</f>
        <v>0</v>
      </c>
      <c r="N15" t="str">
        <v>Cambios</v>
      </c>
      <c r="O15" t="str">
        <f>Main!E57</f>
        <v>Gramos</v>
      </c>
      <c r="P15" t="str">
        <v>Cambios</v>
      </c>
      <c r="Q15" t="str">
        <f>Main!$E$61</f>
        <v>Lts</v>
      </c>
      <c r="R15" t="str">
        <v>Cambios</v>
      </c>
    </row>
    <row r="16">
      <c r="A16">
        <v>2</v>
      </c>
      <c r="B16">
        <v>1</v>
      </c>
      <c r="C16">
        <f>$I$11+B16</f>
        <v>39606</v>
      </c>
      <c r="E16">
        <f>IF((SUM(ReDiarioFert!C7:C20)*$C$12)&lt;=0,"0",((SUM(ReDiarioFert!C7:C20)*$C$12)))</f>
        <v>76.30157859992418</v>
      </c>
      <c r="G16">
        <f>IF((SUM(ReDiarioFert!E7:E20)*$C$12)&lt;=0,"0",((SUM(ReDiarioFert!E7:E20)*$C$12)))</f>
        <v>28.914442078260855</v>
      </c>
      <c r="I16">
        <f>IF((SUM(ReDiarioFert!G7:G20)*$C$12)&lt;=0,"0",((SUM(ReDiarioFert!G7:G20)*$C$12)))</f>
        <v>75.7522973509302</v>
      </c>
      <c r="K16">
        <f>IF((SUM(ReDiarioFert!I7:I20)*$C$12)&lt;=0,"0",((SUM(ReDiarioFert!I7:I20)*$C$12)))</f>
        <v>48.61902604488864</v>
      </c>
      <c r="M16">
        <f>IF((SUM(ReDiarioFert!K7:K20)*$C$12)&lt;=0,"0",((SUM(ReDiarioFert!K7:K20)*$C$12)))</f>
        <v>0.0027058432755022333</v>
      </c>
      <c r="O16">
        <f>IF((SUM(ReDiarioFert!M7:M20)*$C$12)&lt;=0,"0",((SUM(ReDiarioFert!M7:M20)*$C$12)))</f>
        <v>427.70923317073175</v>
      </c>
      <c r="Q16">
        <f>$C$12*Main!$D$63</f>
        <v>20.019999999999996</v>
      </c>
      <c r="S16">
        <f>((E16/100)*$F$34+(G16/100)*$F$35+(I16/100)*$F$36+(K16/100)*$F$37+(M16/100)*$F$38+(O16)*$F$39+(Q16*$F$40))</f>
        <v>1817.8281974877527</v>
      </c>
    </row>
    <row r="17">
      <c r="A17">
        <v>4</v>
      </c>
      <c r="B17">
        <v>15</v>
      </c>
      <c r="C17">
        <f>$I$11+B17</f>
        <v>39620</v>
      </c>
      <c r="E17">
        <f>IF((SUM(ReDiarioFert!C21:C34)*$C$12)&lt;=0,"0",((SUM(ReDiarioFert!C21:C34)*$C$12)))</f>
        <v>111.73251046651504</v>
      </c>
      <c r="G17">
        <f>IF((SUM(ReDiarioFert!E21:E34)*$C$12)&lt;=0,"0",((SUM(ReDiarioFert!E21:E34)*$C$12)))</f>
        <v>28.914442078260855</v>
      </c>
      <c r="I17">
        <f>IF((SUM(ReDiarioFert!G21:G34)*$C$12)&lt;=0,"0",((SUM(ReDiarioFert!G21:G34)*$C$12)))</f>
        <v>106.37188669597491</v>
      </c>
      <c r="K17">
        <f>IF((SUM(ReDiarioFert!I21:I34)*$C$12)&lt;=0,"0",((SUM(ReDiarioFert!I21:I34)*$C$12)))</f>
        <v>68.27116418340603</v>
      </c>
      <c r="M17">
        <f>IF((SUM(ReDiarioFert!K21:K34)*$C$12)&lt;=0,"0",((SUM(ReDiarioFert!K21:K34)*$C$12)))</f>
        <v>0.0037995633714632796</v>
      </c>
      <c r="O17">
        <f>IF((SUM(ReDiarioFert!M21:M34)*$C$12)&lt;=0,"0",((SUM(ReDiarioFert!M21:M34)*$C$12)))</f>
        <v>790.7621673170731</v>
      </c>
      <c r="Q17">
        <f>$C$12*Main!$D$63</f>
        <v>20.019999999999996</v>
      </c>
      <c r="S17">
        <f>((E17/100)*$F$34+(G17/100)*$F$35+(I17/100)*$F$36+(K17/100)*$F$37+(M17/100)*$F$38+(O17)*$F$39+(Q17*$F$40))</f>
        <v>2427.136823885007</v>
      </c>
    </row>
    <row r="18">
      <c r="A18">
        <v>6</v>
      </c>
      <c r="B18">
        <v>29</v>
      </c>
      <c r="C18">
        <f>$I$11+B18</f>
        <v>39634</v>
      </c>
      <c r="E18">
        <f>IF((SUM(ReDiarioFert!C35:C48)*$C$12)&lt;=0,"0",((SUM(ReDiarioFert!C35:C48)*$C$12)))</f>
        <v>129.61751683299266</v>
      </c>
      <c r="G18">
        <f>IF((SUM(ReDiarioFert!E35:E48)*$C$12)&lt;=0,"0",((SUM(ReDiarioFert!E35:E48)*$C$12)))</f>
        <v>28.914442078260855</v>
      </c>
      <c r="I18">
        <f>IF((SUM(ReDiarioFert!G35:G48)*$C$12)&lt;=0,"0",((SUM(ReDiarioFert!G35:G48)*$C$12)))</f>
        <v>121.8331663376161</v>
      </c>
      <c r="K18">
        <f>IF((SUM(ReDiarioFert!I35:I48)*$C$12)&lt;=0,"0",((SUM(ReDiarioFert!I35:I48)*$C$12)))</f>
        <v>78.194458708744</v>
      </c>
      <c r="M18">
        <f>IF((SUM(ReDiarioFert!K35:K48)*$C$12)&lt;=0,"0",((SUM(ReDiarioFert!K35:K48)*$C$12)))</f>
        <v>0.004351834404976438</v>
      </c>
      <c r="O18">
        <f>IF((SUM(ReDiarioFert!M35:M48)*$C$12)&lt;=0,"0",((SUM(ReDiarioFert!M35:M48)*$C$12)))</f>
        <v>1084.1943307317076</v>
      </c>
      <c r="Q18">
        <f>$C$12*Main!$D$63</f>
        <v>20.019999999999996</v>
      </c>
      <c r="S18">
        <f>((E18/100)*$F$34+(G18/100)*$F$35+(I18/100)*$F$36+(K18/100)*$F$37+(M18/100)*$F$38+(O18)*$F$39+(Q18*$F$40))</f>
        <v>2739.17260466118</v>
      </c>
    </row>
    <row r="19">
      <c r="A19">
        <v>8</v>
      </c>
      <c r="B19">
        <v>43</v>
      </c>
      <c r="C19">
        <f>$I$11+B19</f>
        <v>39648</v>
      </c>
      <c r="E19">
        <f>IF((SUM(ReDiarioFert!C49:C62)*$C$12)&lt;=0,"0",((SUM(ReDiarioFert!C49:C62)*$C$12)))</f>
        <v>124.75779739391744</v>
      </c>
      <c r="G19">
        <f>IF((SUM(ReDiarioFert!E49:E62)*$C$12)&lt;=0,"0",((SUM(ReDiarioFert!E49:E62)*$C$12)))</f>
        <v>28.914442078260855</v>
      </c>
      <c r="I19">
        <f>IF((SUM(ReDiarioFert!G49:G62)*$C$12)&lt;=0,"0",((SUM(ReDiarioFert!G49:G62)*$C$12)))</f>
        <v>121.8331663376161</v>
      </c>
      <c r="K19">
        <f>IF((SUM(ReDiarioFert!I49:I62)*$C$12)&lt;=0,"0",((SUM(ReDiarioFert!I49:I62)*$C$12)))</f>
        <v>78.194458708744</v>
      </c>
      <c r="M19">
        <f>IF((SUM(ReDiarioFert!K49:K62)*$C$12)&lt;=0,"0",((SUM(ReDiarioFert!K49:K62)*$C$12)))</f>
        <v>0.004351834404976438</v>
      </c>
      <c r="O19">
        <f>IF((SUM(ReDiarioFert!M49:M62)*$C$12)&lt;=0,"0",((SUM(ReDiarioFert!M49:M62)*$C$12)))</f>
        <v>1452.2239439024388</v>
      </c>
      <c r="Q19">
        <f>$C$12*Main!$D$63</f>
        <v>20.019999999999996</v>
      </c>
      <c r="S19">
        <f>((E19/100)*$F$34+(G19/100)*$F$35+(I19/100)*$F$36+(K19/100)*$F$37+(M19/100)*$F$38+(O19)*$F$39+(Q19*$F$40))</f>
        <v>2722.30561283402</v>
      </c>
    </row>
    <row r="20">
      <c r="A20">
        <v>10</v>
      </c>
      <c r="B20">
        <v>57</v>
      </c>
      <c r="C20">
        <f>$I$11+B20</f>
        <v>39662</v>
      </c>
      <c r="E20">
        <f>IF((SUM(ReDiarioFert!C63:C76)*$C$12)&lt;=0,"0",((SUM(ReDiarioFert!C63:C76)*$C$12)))</f>
        <v>107.36276025421387</v>
      </c>
      <c r="G20">
        <f>IF((SUM(ReDiarioFert!E63:E76)*$C$12)&lt;=0,"0",((SUM(ReDiarioFert!E63:E76)*$C$12)))</f>
        <v>36.143052597826085</v>
      </c>
      <c r="I20">
        <f>IF((SUM(ReDiarioFert!G63:G76)*$C$12)&lt;=0,"0",((SUM(ReDiarioFert!G63:G76)*$C$12)))</f>
        <v>119.30824983547467</v>
      </c>
      <c r="K20">
        <f>IF((SUM(ReDiarioFert!I63:I76)*$C$12)&lt;=0,"0",((SUM(ReDiarioFert!I63:I76)*$C$12)))</f>
        <v>76.57392724670679</v>
      </c>
      <c r="M20">
        <f>IF((SUM(ReDiarioFert!K63:K76)*$C$12)&lt;=0,"0",((SUM(ReDiarioFert!K63:K76)*$C$12)))</f>
        <v>0.004261645346988217</v>
      </c>
      <c r="O20">
        <f>IF((SUM(ReDiarioFert!M63:M76)*$C$12)&lt;=0,"0",((SUM(ReDiarioFert!M63:M76)*$C$12)))</f>
        <v>1840.148554146341</v>
      </c>
      <c r="Q20">
        <f>$C$12*Main!$D$63</f>
        <v>20.019999999999996</v>
      </c>
      <c r="S20">
        <f>((E20/100)*$F$34+(G20/100)*$F$35+(I20/100)*$F$36+(K20/100)*$F$37+(M20/100)*$F$38+(O20)*$F$39+(Q20*$F$40))</f>
        <v>2681.442412154092</v>
      </c>
    </row>
    <row r="21">
      <c r="A21">
        <v>12</v>
      </c>
      <c r="B21">
        <v>71</v>
      </c>
      <c r="C21">
        <f>$I$11+B21</f>
        <v>39676</v>
      </c>
      <c r="E21">
        <f>IF((SUM(ReDiarioFert!C77:C90)*$C$12)&lt;=0,"0",((SUM(ReDiarioFert!C77:C90)*$C$12)))</f>
        <v>94.82744255358557</v>
      </c>
      <c r="G21">
        <f>IF((SUM(ReDiarioFert!E77:E90)*$C$12)&lt;=0,"0",((SUM(ReDiarioFert!E77:E90)*$C$12)))</f>
        <v>43.3716631173913</v>
      </c>
      <c r="I21">
        <f>IF((SUM(ReDiarioFert!G77:G90)*$C$12)&lt;=0,"0",((SUM(ReDiarioFert!G77:G90)*$C$12)))</f>
        <v>116.7833333333333</v>
      </c>
      <c r="K21">
        <f>IF((SUM(ReDiarioFert!I77:I90)*$C$12)&lt;=0,"0",((SUM(ReDiarioFert!I77:I90)*$C$12)))</f>
        <v>74.95339578466955</v>
      </c>
      <c r="M21">
        <f>IF((SUM(ReDiarioFert!K77:K90)*$C$12)&lt;=0,"0",((SUM(ReDiarioFert!K77:K90)*$C$12)))</f>
        <v>0.004171456288999999</v>
      </c>
      <c r="O21">
        <f>IF((SUM(ReDiarioFert!M77:M90)*$C$12)&lt;=0,"0",((SUM(ReDiarioFert!M77:M90)*$C$12)))</f>
        <v>2138.5520253658533</v>
      </c>
      <c r="Q21">
        <f>$C$12*Main!$D$63</f>
        <v>20.019999999999996</v>
      </c>
      <c r="S21">
        <f>((E21/100)*$F$34+(G21/100)*$F$35+(I21/100)*$F$36+(K21/100)*$F$37+(M21/100)*$F$38+(O21)*$F$39+(Q21*$F$40))</f>
        <v>2668.586542267177</v>
      </c>
    </row>
    <row r="22">
      <c r="A22">
        <v>14</v>
      </c>
      <c r="B22">
        <v>85</v>
      </c>
      <c r="C22">
        <f>$I$11+B22</f>
        <v>39690</v>
      </c>
      <c r="E22">
        <f>IF((SUM(ReDiarioFert!C91:C104)*$C$12)&lt;=0,"0",((SUM(ReDiarioFert!C91:C104)*$C$12)))</f>
        <v>94.82744255358557</v>
      </c>
      <c r="G22">
        <f>IF((SUM(ReDiarioFert!E91:E104)*$C$12)&lt;=0,"0",((SUM(ReDiarioFert!E91:E104)*$C$12)))</f>
        <v>43.3716631173913</v>
      </c>
      <c r="I22">
        <f>IF((SUM(ReDiarioFert!G91:G104)*$C$12)&lt;=0,"0",((SUM(ReDiarioFert!G91:G104)*$C$12)))</f>
        <v>116.7833333333333</v>
      </c>
      <c r="K22">
        <f>IF((SUM(ReDiarioFert!I91:I104)*$C$12)&lt;=0,"0",((SUM(ReDiarioFert!I91:I104)*$C$12)))</f>
        <v>74.95339578466955</v>
      </c>
      <c r="M22">
        <f>IF((SUM(ReDiarioFert!K91:K104)*$C$12)&lt;=0,"0",((SUM(ReDiarioFert!K91:K104)*$C$12)))</f>
        <v>0.004171456288999999</v>
      </c>
      <c r="O22">
        <f>IF((SUM(ReDiarioFert!M91:M104)*$C$12)&lt;=0,"0",((SUM(ReDiarioFert!M91:M104)*$C$12)))</f>
        <v>2436.952566829269</v>
      </c>
      <c r="Q22">
        <f>$C$12*Main!$D$63</f>
        <v>20.019999999999996</v>
      </c>
      <c r="S22">
        <f>((E22/100)*$F$34+(G22/100)*$F$35+(I22/100)*$F$36+(K22/100)*$F$37+(M22/100)*$F$38+(O22)*$F$39+(Q22*$F$40))</f>
        <v>2680.5225639257133</v>
      </c>
    </row>
    <row r="23">
      <c r="A23">
        <v>16</v>
      </c>
      <c r="B23">
        <v>99</v>
      </c>
      <c r="C23">
        <f>$I$11+B23</f>
        <v>39704</v>
      </c>
      <c r="E23">
        <f>IF((SUM(ReDiarioFert!C105:C118)*$C$12)&lt;=0,"0",((SUM(ReDiarioFert!C105:C118)*$C$12)))</f>
        <v>94.82744255358557</v>
      </c>
      <c r="G23">
        <f>IF((SUM(ReDiarioFert!E105:E118)*$C$12)&lt;=0,"0",((SUM(ReDiarioFert!E105:E118)*$C$12)))</f>
        <v>43.3716631173913</v>
      </c>
      <c r="I23">
        <f>IF((SUM(ReDiarioFert!G105:G118)*$C$12)&lt;=0,"0",((SUM(ReDiarioFert!G105:G118)*$C$12)))</f>
        <v>116.7833333333333</v>
      </c>
      <c r="K23">
        <f>IF((SUM(ReDiarioFert!I105:I118)*$C$12)&lt;=0,"0",((SUM(ReDiarioFert!I105:I118)*$C$12)))</f>
        <v>74.95339578466955</v>
      </c>
      <c r="M23">
        <f>IF((SUM(ReDiarioFert!K105:K118)*$C$12)&lt;=0,"0",((SUM(ReDiarioFert!K105:K118)*$C$12)))</f>
        <v>0.004171456288999999</v>
      </c>
      <c r="O23">
        <f>IF((SUM(ReDiarioFert!M105:M118)*$C$12)&lt;=0,"0",((SUM(ReDiarioFert!M105:M118)*$C$12)))</f>
        <v>2436.952566829269</v>
      </c>
      <c r="Q23">
        <f>$C$12*Main!$D$63</f>
        <v>20.019999999999996</v>
      </c>
      <c r="S23">
        <f>((E23/100)*$F$34+(G23/100)*$F$35+(I23/100)*$F$36+(K23/100)*$F$37+(M23/100)*$F$38+(O23)*$F$39+(Q23*$F$40))</f>
        <v>2680.5225639257133</v>
      </c>
    </row>
    <row r="24">
      <c r="A24">
        <v>18</v>
      </c>
      <c r="B24">
        <v>113</v>
      </c>
      <c r="C24">
        <f>$I$11+B24</f>
        <v>39718</v>
      </c>
      <c r="E24">
        <f>IF((SUM(ReDiarioFert!C119:C132)*$C$12)&lt;=0,"0",((SUM(ReDiarioFert!C119:C132)*$C$12)))</f>
        <v>94.82744255358557</v>
      </c>
      <c r="G24">
        <f>IF((SUM(ReDiarioFert!E119:E132)*$C$12)&lt;=0,"0",((SUM(ReDiarioFert!E119:E132)*$C$12)))</f>
        <v>43.3716631173913</v>
      </c>
      <c r="I24">
        <f>IF((SUM(ReDiarioFert!G119:G132)*$C$12)&lt;=0,"0",((SUM(ReDiarioFert!G119:G132)*$C$12)))</f>
        <v>116.7833333333333</v>
      </c>
      <c r="K24">
        <f>IF((SUM(ReDiarioFert!I119:I132)*$C$12)&lt;=0,"0",((SUM(ReDiarioFert!I119:I132)*$C$12)))</f>
        <v>74.95339578466955</v>
      </c>
      <c r="M24">
        <f>IF((SUM(ReDiarioFert!K119:K132)*$C$12)&lt;=0,"0",((SUM(ReDiarioFert!K119:K132)*$C$12)))</f>
        <v>0.004171456288999999</v>
      </c>
      <c r="O24">
        <f>IF((SUM(ReDiarioFert!M119:M132)*$C$12)&lt;=0,"0",((SUM(ReDiarioFert!M119:M132)*$C$12)))</f>
        <v>2436.952566829269</v>
      </c>
      <c r="Q24">
        <f>$C$12*Main!$D$63</f>
        <v>20.019999999999996</v>
      </c>
      <c r="S24">
        <f>((E24/100)*$F$34+(G24/100)*$F$35+(I24/100)*$F$36+(K24/100)*$F$37+(M24/100)*$F$38+(O24)*$F$39+(Q24*$F$40))</f>
        <v>2680.5225639257133</v>
      </c>
    </row>
    <row r="25">
      <c r="A25">
        <v>20</v>
      </c>
      <c r="B25">
        <v>127</v>
      </c>
      <c r="C25">
        <f>$I$11+B25</f>
        <v>39732</v>
      </c>
      <c r="E25">
        <f>IF((SUM(ReDiarioFert!C133:C146)*$C$12)&lt;=0,"0",((SUM(ReDiarioFert!C133:C146)*$C$12)))</f>
        <v>94.82744255358557</v>
      </c>
      <c r="G25">
        <f>IF((SUM(ReDiarioFert!E133:E146)*$C$12)&lt;=0,"0",((SUM(ReDiarioFert!E133:E146)*$C$12)))</f>
        <v>43.3716631173913</v>
      </c>
      <c r="I25">
        <f>IF((SUM(ReDiarioFert!G133:G146)*$C$12)&lt;=0,"0",((SUM(ReDiarioFert!G133:G146)*$C$12)))</f>
        <v>116.7833333333333</v>
      </c>
      <c r="K25">
        <f>IF((SUM(ReDiarioFert!I133:I146)*$C$12)&lt;=0,"0",((SUM(ReDiarioFert!I133:I146)*$C$12)))</f>
        <v>74.95339578466955</v>
      </c>
      <c r="M25">
        <f>IF((SUM(ReDiarioFert!K133:K146)*$C$12)&lt;=0,"0",((SUM(ReDiarioFert!K133:K146)*$C$12)))</f>
        <v>0.004171456288999999</v>
      </c>
      <c r="O25">
        <f>IF((SUM(ReDiarioFert!M133:M146)*$C$12)&lt;=0,"0",((SUM(ReDiarioFert!M133:M146)*$C$12)))</f>
        <v>2436.952566829269</v>
      </c>
      <c r="Q25">
        <f>$C$12*Main!$D$63</f>
        <v>20.019999999999996</v>
      </c>
      <c r="S25">
        <f>((E25/100)*$F$34+(G25/100)*$F$35+(I25/100)*$F$36+(K25/100)*$F$37+(M25/100)*$F$38+(O25)*$F$39+(Q25*$F$40))</f>
        <v>2680.5225639257133</v>
      </c>
    </row>
    <row r="26">
      <c r="A26">
        <v>22</v>
      </c>
      <c r="B26">
        <v>141</v>
      </c>
      <c r="C26">
        <f>$I$11+B26</f>
        <v>39746</v>
      </c>
      <c r="E26">
        <f>IF((SUM(ReDiarioFert!C147:C160)*$C$12)&lt;=0,"0",((SUM(ReDiarioFert!C147:C160)*$C$12)))</f>
        <v>94.82744255358557</v>
      </c>
      <c r="G26">
        <f>IF((SUM(ReDiarioFert!E147:E160)*$C$12)&lt;=0,"0",((SUM(ReDiarioFert!E147:E160)*$C$12)))</f>
        <v>43.3716631173913</v>
      </c>
      <c r="I26">
        <f>IF((SUM(ReDiarioFert!G147:G160)*$C$12)&lt;=0,"0",((SUM(ReDiarioFert!G147:G160)*$C$12)))</f>
        <v>116.7833333333333</v>
      </c>
      <c r="K26">
        <f>IF((SUM(ReDiarioFert!I147:I160)*$C$12)&lt;=0,"0",((SUM(ReDiarioFert!I147:I160)*$C$12)))</f>
        <v>74.95339578466955</v>
      </c>
      <c r="M26">
        <f>IF((SUM(ReDiarioFert!K147:K160)*$C$12)&lt;=0,"0",((SUM(ReDiarioFert!K147:K160)*$C$12)))</f>
        <v>0.004171456288999999</v>
      </c>
      <c r="O26">
        <f>IF((SUM(ReDiarioFert!M147:M160)*$C$12)&lt;=0,"0",((SUM(ReDiarioFert!M147:M160)*$C$12)))</f>
        <v>2436.952566829269</v>
      </c>
      <c r="Q26">
        <f>$C$12*Main!$D$63</f>
        <v>20.019999999999996</v>
      </c>
      <c r="S26">
        <f>((E26/100)*$F$34+(G26/100)*$F$35+(I26/100)*$F$36+(K26/100)*$F$37+(M26/100)*$F$38+(O26)*$F$39+(Q26*$F$40))</f>
        <v>2680.5225639257133</v>
      </c>
    </row>
    <row r="27">
      <c r="A27">
        <v>24</v>
      </c>
      <c r="B27">
        <v>155</v>
      </c>
      <c r="C27">
        <f>$I$11+B27</f>
        <v>39760</v>
      </c>
      <c r="E27">
        <f>IF((SUM(ReDiarioFert!C161:C174)*$C$12)&lt;=0,"0",((SUM(ReDiarioFert!C161:C174)*$C$12)))</f>
        <v>94.82744255358557</v>
      </c>
      <c r="G27">
        <f>IF((SUM(ReDiarioFert!E161:E174)*$C$12)&lt;=0,"0",((SUM(ReDiarioFert!E161:E174)*$C$12)))</f>
        <v>43.3716631173913</v>
      </c>
      <c r="I27">
        <f>IF((SUM(ReDiarioFert!G161:G174)*$C$12)&lt;=0,"0",((SUM(ReDiarioFert!G161:G174)*$C$12)))</f>
        <v>116.7833333333333</v>
      </c>
      <c r="K27">
        <f>IF((SUM(ReDiarioFert!I161:I174)*$C$12)&lt;=0,"0",((SUM(ReDiarioFert!I161:I174)*$C$12)))</f>
        <v>74.95339578466955</v>
      </c>
      <c r="M27">
        <f>IF((SUM(ReDiarioFert!K161:K174)*$C$12)&lt;=0,"0",((SUM(ReDiarioFert!K161:K174)*$C$12)))</f>
        <v>0.004171456288999999</v>
      </c>
      <c r="O27">
        <f>IF((SUM(ReDiarioFert!M161:M174)*$C$12)&lt;=0,"0",((SUM(ReDiarioFert!M161:M174)*$C$12)))</f>
        <v>2436.952566829269</v>
      </c>
      <c r="Q27">
        <f>$C$12*Main!$D$63</f>
        <v>20.019999999999996</v>
      </c>
      <c r="S27">
        <f>((E27/100)*$F$34+(G27/100)*$F$35+(I27/100)*$F$36+(K27/100)*$F$37+(M27/100)*$F$38+(O27)*$F$39+(Q27*$F$40))</f>
        <v>2680.5225639257133</v>
      </c>
    </row>
    <row r="28">
      <c r="A28">
        <v>26</v>
      </c>
      <c r="B28">
        <v>169</v>
      </c>
      <c r="C28">
        <f>$I$11+B28</f>
        <v>39774</v>
      </c>
      <c r="E28">
        <f>IF((SUM(ReDiarioFert!C175:C188)*$C$12)&lt;=0,"0",((SUM(ReDiarioFert!C175:C188)*$C$12)))</f>
        <v>94.82744255358557</v>
      </c>
      <c r="G28">
        <f>IF((SUM(ReDiarioFert!E175:E188)*$C$12)&lt;=0,"0",((SUM(ReDiarioFert!E175:E188)*$C$12)))</f>
        <v>43.3716631173913</v>
      </c>
      <c r="I28">
        <f>IF((SUM(ReDiarioFert!G175:G188)*$C$12)&lt;=0,"0",((SUM(ReDiarioFert!G175:G188)*$C$12)))</f>
        <v>116.7833333333333</v>
      </c>
      <c r="K28">
        <f>IF((SUM(ReDiarioFert!I175:I188)*$C$12)&lt;=0,"0",((SUM(ReDiarioFert!I175:I188)*$C$12)))</f>
        <v>74.95339578466955</v>
      </c>
      <c r="M28">
        <f>IF((SUM(ReDiarioFert!K175:K188)*$C$12)&lt;=0,"0",((SUM(ReDiarioFert!K175:K188)*$C$12)))</f>
        <v>0.004171456288999999</v>
      </c>
      <c r="O28">
        <f>IF((SUM(ReDiarioFert!M175:M188)*$C$12)&lt;=0,"0",((SUM(ReDiarioFert!M175:M188)*$C$12)))</f>
        <v>2436.952566829269</v>
      </c>
      <c r="Q28">
        <f>$C$12*Main!$D$63</f>
        <v>20.019999999999996</v>
      </c>
      <c r="S28">
        <f>((E28/100)*$F$34+(G28/100)*$F$35+(I28/100)*$F$36+(K28/100)*$F$37+(M28/100)*$F$38+(O28)*$F$39+(Q28*$F$40))</f>
        <v>2680.5225639257133</v>
      </c>
    </row>
    <row r="29">
      <c r="A29">
        <v>28</v>
      </c>
      <c r="B29">
        <v>183</v>
      </c>
      <c r="C29">
        <f>$I$11+B29</f>
        <v>39788</v>
      </c>
      <c r="E29">
        <f>IF((SUM(ReDiarioFert!C189:C195)*$C$12)&lt;=0,"0",((SUM(ReDiarioFert!C189:C195)*$C$12)))</f>
        <v>47.41372127679279</v>
      </c>
      <c r="G29">
        <f>IF((SUM(ReDiarioFert!E189:E195)*$C$12)&lt;=0,"0",((SUM(ReDiarioFert!E189:E195)*$C$12)))</f>
        <v>21.68583155869565</v>
      </c>
      <c r="I29">
        <f>IF((SUM(ReDiarioFert!G189:G195)*$C$12)&lt;=0,"0",((SUM(ReDiarioFert!G189:G195)*$C$12)))</f>
        <v>58.39166666666667</v>
      </c>
      <c r="K29">
        <f>IF((SUM(ReDiarioFert!I189:I195)*$C$12)&lt;=0,"0",((SUM(ReDiarioFert!I189:I195)*$C$12)))</f>
        <v>37.476697892334776</v>
      </c>
      <c r="M29">
        <f>IF((SUM(ReDiarioFert!K189:K195)*$C$12)&lt;=0,"0",((SUM(ReDiarioFert!K189:K195)*$C$12)))</f>
        <v>0.0020857281445000003</v>
      </c>
      <c r="O29">
        <f>IF((SUM(ReDiarioFert!M189:M195)*$C$12)&lt;=0,"0",((SUM(ReDiarioFert!M189:M195)*$C$12)))</f>
        <v>1218.4762834146343</v>
      </c>
      <c r="Q29">
        <f>$C$12*Main!$D$63</f>
        <v>20.019999999999996</v>
      </c>
      <c r="S29">
        <f>((E29/100)*$F$34+(G29/100)*$F$35+(I29/100)*$F$36+(K29/100)*$F$37+(M29/100)*$F$38+(O29)*$F$39+(Q29*$F$40))</f>
        <v>1368.2892819628569</v>
      </c>
    </row>
    <row r="30">
      <c r="C30" t="str">
        <v>Total</v>
      </c>
      <c r="E30">
        <f>SUM(E16:E29)</f>
        <v>1355.8054252530405</v>
      </c>
      <c r="G30">
        <f>SUM(G16:G29)</f>
        <v>520.4599574086955</v>
      </c>
      <c r="I30">
        <f>SUM(I16:I29)</f>
        <v>1537.757099890945</v>
      </c>
      <c r="K30">
        <f>SUM(K16:K29)</f>
        <v>986.9568990621804</v>
      </c>
      <c r="M30">
        <f>SUM(M16:M29)</f>
        <v>0.05492809926040661</v>
      </c>
      <c r="O30">
        <f>SUM(O16:O29)</f>
        <v>26010.73450585367</v>
      </c>
      <c r="Q30">
        <f>SUM(Q16:Q29)</f>
        <v>280.27999999999986</v>
      </c>
      <c r="S30">
        <f>SUM(S16:S29)</f>
        <v>35188.41942273206</v>
      </c>
    </row>
    <row r="31">
      <c r="D31" t="str">
        <v>OJO cualquier cultivo que no se termine la cosecha en el ultimo día del calendario solo seguir repitiendo la ultima aplicación de fertilizante.</v>
      </c>
    </row>
    <row r="32" ht="33.75" customHeight="1">
      <c r="B32" t="str">
        <v>Producto</v>
      </c>
      <c r="E32" t="str">
        <v>Lbs/Ha</v>
      </c>
      <c r="F32" t="str">
        <v>Costo por qq</v>
      </c>
    </row>
    <row r="33" ht="24" customHeight="1">
      <c r="F33" t="str">
        <f>Main!$E$25</f>
        <v>Lempiras</v>
      </c>
    </row>
    <row r="34">
      <c r="B34" t="str">
        <f>Main!D42</f>
        <v>Urea</v>
      </c>
      <c r="E34">
        <f>E30/$C$12</f>
        <v>1354.450974278762</v>
      </c>
      <c r="F34">
        <f>Main!D43</f>
        <v>650</v>
      </c>
    </row>
    <row r="35">
      <c r="B35" t="str">
        <f>Main!D32</f>
        <v>DAP 18-46-0</v>
      </c>
      <c r="E35">
        <f>G30/$C$12</f>
        <v>519.9400173913042</v>
      </c>
      <c r="F35">
        <f>Main!D33</f>
        <v>1200</v>
      </c>
    </row>
    <row r="36">
      <c r="B36" t="str">
        <f>Main!D37</f>
        <v>Kcl</v>
      </c>
      <c r="E36">
        <f>I30/$C$12</f>
        <v>1536.2208790119332</v>
      </c>
      <c r="F36">
        <f>Main!D38</f>
        <v>580</v>
      </c>
    </row>
    <row r="37">
      <c r="B37" t="str">
        <f>Main!D47</f>
        <v>Sulfato de Magnesio</v>
      </c>
      <c r="E37">
        <f>K30/$C$12</f>
        <v>985.9709281340464</v>
      </c>
      <c r="F37">
        <f>Main!D48</f>
        <v>951</v>
      </c>
    </row>
    <row r="38">
      <c r="B38" t="str">
        <f>Main!D52</f>
        <v>Sin Calcio</v>
      </c>
      <c r="E38">
        <f>M30/$C$12</f>
        <v>0.05487322603437224</v>
      </c>
      <c r="F38">
        <f>Main!D53</f>
        <v>0</v>
      </c>
    </row>
    <row r="39">
      <c r="B39" t="str">
        <f>Main!D57</f>
        <v>Solubor</v>
      </c>
      <c r="E39">
        <f>O30/$C$12</f>
        <v>25984.749756097575</v>
      </c>
      <c r="F39">
        <f>Main!D58</f>
        <v>0.04</v>
      </c>
      <c r="I39" t="str">
        <v xml:space="preserve">Preparado y Autorizado Por </v>
      </c>
    </row>
    <row r="40">
      <c r="B40" t="str">
        <f>Main!D61</f>
        <v>Melaza</v>
      </c>
      <c r="E40">
        <f>Q30/$C$12</f>
        <v>279.9999999999999</v>
      </c>
      <c r="F40">
        <f>Main!D62</f>
        <v>2.8</v>
      </c>
      <c r="I40" t="str">
        <v>MSc Ricardo D. Lardizábal</v>
      </c>
    </row>
    <row r="41">
      <c r="B41" t="str">
        <v>NOTA: El Nitrato de Calcio se debe de diluir en un barril aparte para inyectarse al sistema</v>
      </c>
    </row>
    <row r="42" ht="18.6" customHeight="1"/>
    <row r="44">
      <c r="B44" t="str">
        <v>Abreviaciones usadas</v>
      </c>
    </row>
    <row r="45">
      <c r="B45" t="str">
        <v>Mz.-Manzanas, Ha-Hectáreas, Lbs-Libras, Lts-Litros y DDT-Días después de Trasplante</v>
      </c>
    </row>
  </sheetData>
  <sheetProtection sheet="1"/>
  <mergeCells count="52">
    <mergeCell ref="I9:M9"/>
    <mergeCell ref="I10:M10"/>
    <mergeCell ref="B14:B15"/>
    <mergeCell ref="F32:G32"/>
    <mergeCell ref="P5:S7"/>
    <mergeCell ref="P2:S3"/>
    <mergeCell ref="A8:M8"/>
    <mergeCell ref="P9:S12"/>
    <mergeCell ref="A7:K7"/>
    <mergeCell ref="A9:B9"/>
    <mergeCell ref="C9:E9"/>
    <mergeCell ref="F9:H9"/>
    <mergeCell ref="B45:Q45"/>
    <mergeCell ref="B44:C44"/>
    <mergeCell ref="B41:I42"/>
    <mergeCell ref="F33:G33"/>
    <mergeCell ref="F34:G34"/>
    <mergeCell ref="B34:D34"/>
    <mergeCell ref="B38:D38"/>
    <mergeCell ref="B39:D39"/>
    <mergeCell ref="B40:D40"/>
    <mergeCell ref="F37:G37"/>
    <mergeCell ref="S14:S15"/>
    <mergeCell ref="Q14:R14"/>
    <mergeCell ref="O14:P14"/>
    <mergeCell ref="G14:H14"/>
    <mergeCell ref="F38:G38"/>
    <mergeCell ref="F39:G39"/>
    <mergeCell ref="F40:G40"/>
    <mergeCell ref="F35:G35"/>
    <mergeCell ref="I11:M11"/>
    <mergeCell ref="I12:M12"/>
    <mergeCell ref="I14:J14"/>
    <mergeCell ref="K14:L14"/>
    <mergeCell ref="M14:N14"/>
    <mergeCell ref="F11:H11"/>
    <mergeCell ref="F36:G36"/>
    <mergeCell ref="C12:E12"/>
    <mergeCell ref="B32:D32"/>
    <mergeCell ref="B35:D35"/>
    <mergeCell ref="B36:D36"/>
    <mergeCell ref="B37:D37"/>
    <mergeCell ref="A10:B10"/>
    <mergeCell ref="C11:E11"/>
    <mergeCell ref="C10:E10"/>
    <mergeCell ref="A14:A15"/>
    <mergeCell ref="C14:D14"/>
    <mergeCell ref="E14:F14"/>
    <mergeCell ref="F10:H10"/>
    <mergeCell ref="F12:H12"/>
    <mergeCell ref="A12:B12"/>
    <mergeCell ref="A11:B11"/>
  </mergeCells>
  <pageMargins left="0.81" right="0.47" top="0.26" bottom="0.37" header="0.18" footer="0.16"/>
  <ignoredErrors>
    <ignoredError numberStoredAsText="1" sqref="A1:T45"/>
  </ignoredErrors>
  <legacyDrawing r:id="rId1"/>
</worksheet>
</file>

<file path=xl/worksheets/sheet9.xml><?xml version="1.0" encoding="utf-8"?>
<worksheet xmlns="http://schemas.openxmlformats.org/spreadsheetml/2006/main" xmlns:r="http://schemas.openxmlformats.org/officeDocument/2006/relationships">
  <dimension ref="A1:Q197"/>
  <sheetViews>
    <sheetView workbookViewId="0" rightToLeft="0"/>
  </sheetViews>
  <sheetData>
    <row r="1">
      <c r="A1" t="str">
        <v>Requerimientos Diario para:</v>
      </c>
      <c r="E1" t="str">
        <f>Main!E21</f>
        <v>Cunde</v>
      </c>
    </row>
    <row r="4" ht="30" customHeight="1">
      <c r="A4" t="str">
        <v>Semana</v>
      </c>
      <c r="B4" t="str">
        <v>N</v>
      </c>
      <c r="C4" t="str">
        <f>Main!D42</f>
        <v>Urea</v>
      </c>
      <c r="D4" t="str">
        <v>P2O5</v>
      </c>
      <c r="E4" t="str">
        <f>Main!D32</f>
        <v>DAP 18-46-0</v>
      </c>
      <c r="F4" t="str">
        <v>K2O</v>
      </c>
      <c r="G4" t="str">
        <f>Main!D37</f>
        <v>Kcl</v>
      </c>
      <c r="H4" t="str">
        <v>MgO</v>
      </c>
      <c r="I4" t="str">
        <f>Main!D47</f>
        <v>Sulfato de Magnesio</v>
      </c>
      <c r="J4" t="str">
        <v>Ca</v>
      </c>
      <c r="K4" t="str">
        <f>Main!D52</f>
        <v>Sin Calcio</v>
      </c>
      <c r="L4" t="str">
        <v>B</v>
      </c>
      <c r="M4" t="str">
        <f>Main!D57</f>
        <v>Solubor</v>
      </c>
    </row>
    <row r="5" ht="17.25" customHeight="1">
      <c r="A5" t="str">
        <v>Porcentaje de Elemento</v>
      </c>
      <c r="C5">
        <f>Main!E41</f>
        <v>46</v>
      </c>
      <c r="E5">
        <f>Main!F31</f>
        <v>46</v>
      </c>
      <c r="G5">
        <f>Main!G36</f>
        <v>60</v>
      </c>
      <c r="I5">
        <f>Main!I46</f>
        <v>16</v>
      </c>
      <c r="K5">
        <f>Main!H51</f>
        <v>1000000</v>
      </c>
      <c r="M5">
        <f>Main!K56</f>
        <v>20.5</v>
      </c>
    </row>
    <row r="6">
      <c r="C6">
        <f>Main!E41/100</f>
        <v>0.46</v>
      </c>
      <c r="E6">
        <f>(Main!F31/100)/Main!F72</f>
        <v>0.46</v>
      </c>
      <c r="G6">
        <f>(Main!G36/100)/Main!F73</f>
        <v>0.6</v>
      </c>
      <c r="I6">
        <f>(I5/100)/Main!F74</f>
        <v>0.16</v>
      </c>
      <c r="K6">
        <f>(K5/100)/Main!F75</f>
        <v>10000</v>
      </c>
      <c r="M6">
        <f>M5/100</f>
        <v>0.205</v>
      </c>
    </row>
    <row r="7">
      <c r="A7">
        <v>1</v>
      </c>
      <c r="B7">
        <f>'Req. Diario'!D6</f>
        <v>2.3</v>
      </c>
      <c r="C7">
        <f>(B7-((E7*(Main!$E$31/100))+(G7*(Main!$E$36/100))+(I7*(Main!$E$46/100))+(K7*(Main!$E$51/100))))/$C$6</f>
        <v>4.192639724547663</v>
      </c>
      <c r="D7">
        <f>'Req. Diario'!E6</f>
        <v>0.9490968571428572</v>
      </c>
      <c r="E7">
        <f>(D7-((C7*(Main!$F$41/100))+(G7*(Main!$F$36/100))+(I7*(Main!$F$46/100))+(K7*(Main!$F$51/100))))/$E$6</f>
        <v>2.0632540372670807</v>
      </c>
      <c r="F7">
        <f>'Req. Diario'!F6</f>
        <v>2.5942908940000002</v>
      </c>
      <c r="G7">
        <f>(F7-((C7*(Main!$G$41/100))+(E7*(Main!$G$31/100))+(I7*(Main!$G$46/100))+(K7*(Main!$G$51/100))))/$G$6</f>
        <v>4.323818156666667</v>
      </c>
      <c r="H7">
        <f>'Req. Diario'!G6</f>
        <v>0.4440152125783845</v>
      </c>
      <c r="I7">
        <f>H7/$I$6</f>
        <v>2.775095078614903</v>
      </c>
      <c r="J7">
        <f>'Req. Diario'!H6</f>
        <v>1.5444514150523383</v>
      </c>
      <c r="K7">
        <f>J7/$K$6</f>
        <v>0.00015444514150523382</v>
      </c>
      <c r="L7">
        <f>'Req. Diario'!I6</f>
        <v>5.0926</v>
      </c>
      <c r="M7">
        <f>L7/$M$6</f>
        <v>24.841951219512197</v>
      </c>
    </row>
    <row r="8">
      <c r="B8">
        <f>'Req. Diario'!D7</f>
        <v>2.3</v>
      </c>
      <c r="C8">
        <f>(B8-((E8*(Main!$E$31/100))+(G8*(Main!$E$36/100))+(I8*(Main!$E$46/100))+(K8*(Main!$E$51/100))))/$C$6</f>
        <v>4.192639724547663</v>
      </c>
      <c r="D8">
        <f>'Req. Diario'!E7</f>
        <v>0.9490968571428572</v>
      </c>
      <c r="E8">
        <f>(D8-((C8*(Main!$F$41/100))+(G8*(Main!$F$36/100))+(I8*(Main!$F$46/100))+(K8*(Main!$F$51/100))))/$E$6</f>
        <v>2.0632540372670807</v>
      </c>
      <c r="F8">
        <f>'Req. Diario'!F7</f>
        <v>2.5942908940000002</v>
      </c>
      <c r="G8">
        <f>(F8-((C8*(Main!$G$41/100))+(E8*(Main!$G$31/100))+(I8*(Main!$G$46/100))+(K8*(Main!$G$51/100))))/$G$6</f>
        <v>4.323818156666667</v>
      </c>
      <c r="H8">
        <f>'Req. Diario'!G7</f>
        <v>0.4440152125783845</v>
      </c>
      <c r="I8">
        <f>H8/$I$6</f>
        <v>2.775095078614903</v>
      </c>
      <c r="J8">
        <f>'Req. Diario'!H7</f>
        <v>1.5444514150523383</v>
      </c>
      <c r="K8">
        <f>J8/$K$6</f>
        <v>0.00015444514150523382</v>
      </c>
      <c r="L8">
        <f>'Req. Diario'!I7</f>
        <v>5.0926</v>
      </c>
      <c r="M8">
        <f>L8/$M$6</f>
        <v>24.841951219512197</v>
      </c>
    </row>
    <row r="9">
      <c r="B9">
        <f>'Req. Diario'!D8</f>
        <v>2.3</v>
      </c>
      <c r="C9">
        <f>(B9-((E9*(Main!$E$31/100))+(G9*(Main!$E$36/100))+(I9*(Main!$E$46/100))+(K9*(Main!$E$51/100))))/$C$6</f>
        <v>4.192639724547663</v>
      </c>
      <c r="D9">
        <f>'Req. Diario'!E8</f>
        <v>0.9490968571428572</v>
      </c>
      <c r="E9">
        <f>(D9-((C9*(Main!$F$41/100))+(G9*(Main!$F$36/100))+(I9*(Main!$F$46/100))+(K9*(Main!$F$51/100))))/$E$6</f>
        <v>2.0632540372670807</v>
      </c>
      <c r="F9">
        <f>'Req. Diario'!F8</f>
        <v>2.5942908940000002</v>
      </c>
      <c r="G9">
        <f>(F9-((C9*(Main!$G$41/100))+(E9*(Main!$G$31/100))+(I9*(Main!$G$46/100))+(K9*(Main!$G$51/100))))/$G$6</f>
        <v>4.323818156666667</v>
      </c>
      <c r="H9">
        <f>'Req. Diario'!G8</f>
        <v>0.4440152125783845</v>
      </c>
      <c r="I9">
        <f>H9/$I$6</f>
        <v>2.775095078614903</v>
      </c>
      <c r="J9">
        <f>'Req. Diario'!H8</f>
        <v>1.5444514150523383</v>
      </c>
      <c r="K9">
        <f>J9/$K$6</f>
        <v>0.00015444514150523382</v>
      </c>
      <c r="L9">
        <f>'Req. Diario'!I8</f>
        <v>5.0926</v>
      </c>
      <c r="M9">
        <f>L9/$M$6</f>
        <v>24.841951219512197</v>
      </c>
    </row>
    <row r="10">
      <c r="B10">
        <f>'Req. Diario'!D9</f>
        <v>2.3</v>
      </c>
      <c r="C10">
        <f>(B10-((E10*(Main!$E$31/100))+(G10*(Main!$E$36/100))+(I10*(Main!$E$46/100))+(K10*(Main!$E$51/100))))/$C$6</f>
        <v>4.192639724547663</v>
      </c>
      <c r="D10">
        <f>'Req. Diario'!E9</f>
        <v>0.9490968571428572</v>
      </c>
      <c r="E10">
        <f>(D10-((C10*(Main!$F$41/100))+(G10*(Main!$F$36/100))+(I10*(Main!$F$46/100))+(K10*(Main!$F$51/100))))/$E$6</f>
        <v>2.0632540372670807</v>
      </c>
      <c r="F10">
        <f>'Req. Diario'!F9</f>
        <v>2.5942908940000002</v>
      </c>
      <c r="G10">
        <f>(F10-((C10*(Main!$G$41/100))+(E10*(Main!$G$31/100))+(I10*(Main!$G$46/100))+(K10*(Main!$G$51/100))))/$G$6</f>
        <v>4.323818156666667</v>
      </c>
      <c r="H10">
        <f>'Req. Diario'!G9</f>
        <v>0.4440152125783845</v>
      </c>
      <c r="I10">
        <f>H10/$I$6</f>
        <v>2.775095078614903</v>
      </c>
      <c r="J10">
        <f>'Req. Diario'!H9</f>
        <v>1.5444514150523383</v>
      </c>
      <c r="K10">
        <f>J10/$K$6</f>
        <v>0.00015444514150523382</v>
      </c>
      <c r="L10">
        <f>'Req. Diario'!I9</f>
        <v>5.0926</v>
      </c>
      <c r="M10">
        <f>L10/$M$6</f>
        <v>24.841951219512197</v>
      </c>
    </row>
    <row r="11">
      <c r="B11">
        <f>'Req. Diario'!D10</f>
        <v>2.3</v>
      </c>
      <c r="C11">
        <f>(B11-((E11*(Main!$E$31/100))+(G11*(Main!$E$36/100))+(I11*(Main!$E$46/100))+(K11*(Main!$E$51/100))))/$C$6</f>
        <v>4.192639724547663</v>
      </c>
      <c r="D11">
        <f>'Req. Diario'!E10</f>
        <v>0.9490968571428572</v>
      </c>
      <c r="E11">
        <f>(D11-((C11*(Main!$F$41/100))+(G11*(Main!$F$36/100))+(I11*(Main!$F$46/100))+(K11*(Main!$F$51/100))))/$E$6</f>
        <v>2.0632540372670807</v>
      </c>
      <c r="F11">
        <f>'Req. Diario'!F10</f>
        <v>2.5942908940000002</v>
      </c>
      <c r="G11">
        <f>(F11-((C11*(Main!$G$41/100))+(E11*(Main!$G$31/100))+(I11*(Main!$G$46/100))+(K11*(Main!$G$51/100))))/$G$6</f>
        <v>4.323818156666667</v>
      </c>
      <c r="H11">
        <f>'Req. Diario'!G10</f>
        <v>0.4440152125783845</v>
      </c>
      <c r="I11">
        <f>H11/$I$6</f>
        <v>2.775095078614903</v>
      </c>
      <c r="J11">
        <f>'Req. Diario'!H10</f>
        <v>1.5444514150523383</v>
      </c>
      <c r="K11">
        <f>J11/$K$6</f>
        <v>0.00015444514150523382</v>
      </c>
      <c r="L11">
        <f>'Req. Diario'!I10</f>
        <v>5.0926</v>
      </c>
      <c r="M11">
        <f>L11/$M$6</f>
        <v>24.841951219512197</v>
      </c>
    </row>
    <row r="12">
      <c r="B12">
        <f>'Req. Diario'!D11</f>
        <v>2.3</v>
      </c>
      <c r="C12">
        <f>(B12-((E12*(Main!$E$31/100))+(G12*(Main!$E$36/100))+(I12*(Main!$E$46/100))+(K12*(Main!$E$51/100))))/$C$6</f>
        <v>4.192639724547663</v>
      </c>
      <c r="D12">
        <f>'Req. Diario'!E11</f>
        <v>0.9490968571428572</v>
      </c>
      <c r="E12">
        <f>(D12-((C12*(Main!$F$41/100))+(G12*(Main!$F$36/100))+(I12*(Main!$F$46/100))+(K12*(Main!$F$51/100))))/$E$6</f>
        <v>2.0632540372670807</v>
      </c>
      <c r="F12">
        <f>'Req. Diario'!F11</f>
        <v>2.5942908940000002</v>
      </c>
      <c r="G12">
        <f>(F12-((C12*(Main!$G$41/100))+(E12*(Main!$G$31/100))+(I12*(Main!$G$46/100))+(K12*(Main!$G$51/100))))/$G$6</f>
        <v>4.323818156666667</v>
      </c>
      <c r="H12">
        <f>'Req. Diario'!G11</f>
        <v>0.4440152125783845</v>
      </c>
      <c r="I12">
        <f>H12/$I$6</f>
        <v>2.775095078614903</v>
      </c>
      <c r="J12">
        <f>'Req. Diario'!H11</f>
        <v>1.5444514150523383</v>
      </c>
      <c r="K12">
        <f>J12/$K$6</f>
        <v>0.00015444514150523382</v>
      </c>
      <c r="L12">
        <f>'Req. Diario'!I11</f>
        <v>5.0926</v>
      </c>
      <c r="M12">
        <f>L12/$M$6</f>
        <v>24.841951219512197</v>
      </c>
    </row>
    <row r="13">
      <c r="B13">
        <f>'Req. Diario'!D12</f>
        <v>2.3</v>
      </c>
      <c r="C13">
        <f>(B13-((E13*(Main!$E$31/100))+(G13*(Main!$E$36/100))+(I13*(Main!$E$46/100))+(K13*(Main!$E$51/100))))/$C$6</f>
        <v>4.192639724547663</v>
      </c>
      <c r="D13">
        <f>'Req. Diario'!E12</f>
        <v>0.9490968571428572</v>
      </c>
      <c r="E13">
        <f>(D13-((C13*(Main!$F$41/100))+(G13*(Main!$F$36/100))+(I13*(Main!$F$46/100))+(K13*(Main!$F$51/100))))/$E$6</f>
        <v>2.0632540372670807</v>
      </c>
      <c r="F13">
        <f>'Req. Diario'!F12</f>
        <v>2.5942908940000002</v>
      </c>
      <c r="G13">
        <f>(F13-((C13*(Main!$G$41/100))+(E13*(Main!$G$31/100))+(I13*(Main!$G$46/100))+(K13*(Main!$G$51/100))))/$G$6</f>
        <v>4.323818156666667</v>
      </c>
      <c r="H13">
        <f>'Req. Diario'!G12</f>
        <v>0.4440152125783845</v>
      </c>
      <c r="I13">
        <f>H13/$I$6</f>
        <v>2.775095078614903</v>
      </c>
      <c r="J13">
        <f>'Req. Diario'!H12</f>
        <v>1.5444514150523383</v>
      </c>
      <c r="K13">
        <f>J13/$K$6</f>
        <v>0.00015444514150523382</v>
      </c>
      <c r="L13">
        <f>'Req. Diario'!I12</f>
        <v>5.0926</v>
      </c>
      <c r="M13">
        <f>L13/$M$6</f>
        <v>24.841951219512197</v>
      </c>
    </row>
    <row r="14">
      <c r="A14">
        <v>2</v>
      </c>
      <c r="B14">
        <f>'Req. Diario'!D13</f>
        <v>3.4518660953406726</v>
      </c>
      <c r="C14">
        <f>(B14-((E14*(Main!$E$31/100))+(G14*(Main!$E$36/100))+(I14*(Main!$E$46/100))+(K14*(Main!$E$51/100))))/$C$6</f>
        <v>6.696696453549126</v>
      </c>
      <c r="D14">
        <f>'Req. Diario'!E13</f>
        <v>0.9490968571428572</v>
      </c>
      <c r="E14">
        <f>(D14-((C14*(Main!$F$41/100))+(G14*(Main!$F$36/100))+(I14*(Main!$F$46/100))+(K14*(Main!$F$51/100))))/$E$6</f>
        <v>2.0632540372670807</v>
      </c>
      <c r="F14">
        <f>'Req. Diario'!F13</f>
        <v>3.89227659716</v>
      </c>
      <c r="G14">
        <f>(F14-((C14*(Main!$G$41/100))+(E14*(Main!$G$31/100))+(I14*(Main!$G$46/100))+(K14*(Main!$G$51/100))))/$G$6</f>
        <v>6.487127661933333</v>
      </c>
      <c r="H14">
        <f>'Req. Diario'!G13</f>
        <v>0.6661666294627437</v>
      </c>
      <c r="I14">
        <f>H14/$I$6</f>
        <v>4.163541434142148</v>
      </c>
      <c r="J14">
        <f>'Req. Diario'!H13</f>
        <v>2.3171773497574715</v>
      </c>
      <c r="K14">
        <f>J14/$K$6</f>
        <v>0.00023171773497574714</v>
      </c>
      <c r="L14">
        <f>'Req. Diario'!I13</f>
        <v>5.0926</v>
      </c>
      <c r="M14">
        <f>L14/$M$6</f>
        <v>24.841951219512197</v>
      </c>
    </row>
    <row r="15">
      <c r="B15">
        <f>'Req. Diario'!D14</f>
        <v>3.4518660953406726</v>
      </c>
      <c r="C15">
        <f>(B15-((E15*(Main!$E$31/100))+(G15*(Main!$E$36/100))+(I15*(Main!$E$46/100))+(K15*(Main!$E$51/100))))/$C$6</f>
        <v>6.696696453549126</v>
      </c>
      <c r="D15">
        <f>'Req. Diario'!E14</f>
        <v>0.9490968571428572</v>
      </c>
      <c r="E15">
        <f>(D15-((C15*(Main!$F$41/100))+(G15*(Main!$F$36/100))+(I15*(Main!$F$46/100))+(K15*(Main!$F$51/100))))/$E$6</f>
        <v>2.0632540372670807</v>
      </c>
      <c r="F15">
        <f>'Req. Diario'!F14</f>
        <v>3.89227659716</v>
      </c>
      <c r="G15">
        <f>(F15-((C15*(Main!$G$41/100))+(E15*(Main!$G$31/100))+(I15*(Main!$G$46/100))+(K15*(Main!$G$51/100))))/$G$6</f>
        <v>6.487127661933333</v>
      </c>
      <c r="H15">
        <f>'Req. Diario'!G14</f>
        <v>0.6661666294627437</v>
      </c>
      <c r="I15">
        <f>H15/$I$6</f>
        <v>4.163541434142148</v>
      </c>
      <c r="J15">
        <f>'Req. Diario'!H14</f>
        <v>2.3171773497574715</v>
      </c>
      <c r="K15">
        <f>J15/$K$6</f>
        <v>0.00023171773497574714</v>
      </c>
      <c r="L15">
        <f>'Req. Diario'!I14</f>
        <v>5.0926</v>
      </c>
      <c r="M15">
        <f>L15/$M$6</f>
        <v>24.841951219512197</v>
      </c>
    </row>
    <row r="16">
      <c r="B16">
        <f>'Req. Diario'!D15</f>
        <v>3.4518660953406726</v>
      </c>
      <c r="C16">
        <f>(B16-((E16*(Main!$E$31/100))+(G16*(Main!$E$36/100))+(I16*(Main!$E$46/100))+(K16*(Main!$E$51/100))))/$C$6</f>
        <v>6.696696453549126</v>
      </c>
      <c r="D16">
        <f>'Req. Diario'!E15</f>
        <v>0.9490968571428572</v>
      </c>
      <c r="E16">
        <f>(D16-((C16*(Main!$F$41/100))+(G16*(Main!$F$36/100))+(I16*(Main!$F$46/100))+(K16*(Main!$F$51/100))))/$E$6</f>
        <v>2.0632540372670807</v>
      </c>
      <c r="F16">
        <f>'Req. Diario'!F15</f>
        <v>3.89227659716</v>
      </c>
      <c r="G16">
        <f>(F16-((C16*(Main!$G$41/100))+(E16*(Main!$G$31/100))+(I16*(Main!$G$46/100))+(K16*(Main!$G$51/100))))/$G$6</f>
        <v>6.487127661933333</v>
      </c>
      <c r="H16">
        <f>'Req. Diario'!G15</f>
        <v>0.6661666294627437</v>
      </c>
      <c r="I16">
        <f>H16/$I$6</f>
        <v>4.163541434142148</v>
      </c>
      <c r="J16">
        <f>'Req. Diario'!H15</f>
        <v>2.3171773497574715</v>
      </c>
      <c r="K16">
        <f>J16/$K$6</f>
        <v>0.00023171773497574714</v>
      </c>
      <c r="L16">
        <f>'Req. Diario'!I15</f>
        <v>5.0926</v>
      </c>
      <c r="M16">
        <f>L16/$M$6</f>
        <v>24.841951219512197</v>
      </c>
    </row>
    <row r="17">
      <c r="B17">
        <f>'Req. Diario'!D16</f>
        <v>3.4518660953406726</v>
      </c>
      <c r="C17">
        <f>(B17-((E17*(Main!$E$31/100))+(G17*(Main!$E$36/100))+(I17*(Main!$E$46/100))+(K17*(Main!$E$51/100))))/$C$6</f>
        <v>6.696696453549126</v>
      </c>
      <c r="D17">
        <f>'Req. Diario'!E16</f>
        <v>0.9490968571428572</v>
      </c>
      <c r="E17">
        <f>(D17-((C17*(Main!$F$41/100))+(G17*(Main!$F$36/100))+(I17*(Main!$F$46/100))+(K17*(Main!$F$51/100))))/$E$6</f>
        <v>2.0632540372670807</v>
      </c>
      <c r="F17">
        <f>'Req. Diario'!F16</f>
        <v>3.89227659716</v>
      </c>
      <c r="G17">
        <f>(F17-((C17*(Main!$G$41/100))+(E17*(Main!$G$31/100))+(I17*(Main!$G$46/100))+(K17*(Main!$G$51/100))))/$G$6</f>
        <v>6.487127661933333</v>
      </c>
      <c r="H17">
        <f>'Req. Diario'!G16</f>
        <v>0.6661666294627437</v>
      </c>
      <c r="I17">
        <f>H17/$I$6</f>
        <v>4.163541434142148</v>
      </c>
      <c r="J17">
        <f>'Req. Diario'!H16</f>
        <v>2.3171773497574715</v>
      </c>
      <c r="K17">
        <f>J17/$K$6</f>
        <v>0.00023171773497574714</v>
      </c>
      <c r="L17">
        <f>'Req. Diario'!I16</f>
        <v>9.1667</v>
      </c>
      <c r="M17">
        <f>L17/$M$6</f>
        <v>44.715609756097564</v>
      </c>
    </row>
    <row r="18">
      <c r="B18">
        <f>'Req. Diario'!D17</f>
        <v>3.4518660953406726</v>
      </c>
      <c r="C18">
        <f>(B18-((E18*(Main!$E$31/100))+(G18*(Main!$E$36/100))+(I18*(Main!$E$46/100))+(K18*(Main!$E$51/100))))/$C$6</f>
        <v>6.696696453549126</v>
      </c>
      <c r="D18">
        <f>'Req. Diario'!E17</f>
        <v>0.9490968571428572</v>
      </c>
      <c r="E18">
        <f>(D18-((C18*(Main!$F$41/100))+(G18*(Main!$F$36/100))+(I18*(Main!$F$46/100))+(K18*(Main!$F$51/100))))/$E$6</f>
        <v>2.0632540372670807</v>
      </c>
      <c r="F18">
        <f>'Req. Diario'!F17</f>
        <v>3.89227659716</v>
      </c>
      <c r="G18">
        <f>(F18-((C18*(Main!$G$41/100))+(E18*(Main!$G$31/100))+(I18*(Main!$G$46/100))+(K18*(Main!$G$51/100))))/$G$6</f>
        <v>6.487127661933333</v>
      </c>
      <c r="H18">
        <f>'Req. Diario'!G17</f>
        <v>0.6661666294627437</v>
      </c>
      <c r="I18">
        <f>H18/$I$6</f>
        <v>4.163541434142148</v>
      </c>
      <c r="J18">
        <f>'Req. Diario'!H17</f>
        <v>2.3171773497574715</v>
      </c>
      <c r="K18">
        <f>J18/$K$6</f>
        <v>0.00023171773497574714</v>
      </c>
      <c r="L18">
        <f>'Req. Diario'!I17</f>
        <v>9.1667</v>
      </c>
      <c r="M18">
        <f>L18/$M$6</f>
        <v>44.715609756097564</v>
      </c>
    </row>
    <row r="19">
      <c r="B19">
        <f>'Req. Diario'!D18</f>
        <v>3.4518660953406726</v>
      </c>
      <c r="C19">
        <f>(B19-((E19*(Main!$E$31/100))+(G19*(Main!$E$36/100))+(I19*(Main!$E$46/100))+(K19*(Main!$E$51/100))))/$C$6</f>
        <v>6.696696453549126</v>
      </c>
      <c r="D19">
        <f>'Req. Diario'!E18</f>
        <v>0.9490968571428572</v>
      </c>
      <c r="E19">
        <f>(D19-((C19*(Main!$F$41/100))+(G19*(Main!$F$36/100))+(I19*(Main!$F$46/100))+(K19*(Main!$F$51/100))))/$E$6</f>
        <v>2.0632540372670807</v>
      </c>
      <c r="F19">
        <f>'Req. Diario'!F18</f>
        <v>3.89227659716</v>
      </c>
      <c r="G19">
        <f>(F19-((C19*(Main!$G$41/100))+(E19*(Main!$G$31/100))+(I19*(Main!$G$46/100))+(K19*(Main!$G$51/100))))/$G$6</f>
        <v>6.487127661933333</v>
      </c>
      <c r="H19">
        <f>'Req. Diario'!G18</f>
        <v>0.6661666294627437</v>
      </c>
      <c r="I19">
        <f>H19/$I$6</f>
        <v>4.163541434142148</v>
      </c>
      <c r="J19">
        <f>'Req. Diario'!H18</f>
        <v>2.3171773497574715</v>
      </c>
      <c r="K19">
        <f>J19/$K$6</f>
        <v>0.00023171773497574714</v>
      </c>
      <c r="L19">
        <f>'Req. Diario'!I18</f>
        <v>9.1667</v>
      </c>
      <c r="M19">
        <f>L19/$M$6</f>
        <v>44.715609756097564</v>
      </c>
    </row>
    <row r="20">
      <c r="B20">
        <f>'Req. Diario'!D19</f>
        <v>3.4518660953406726</v>
      </c>
      <c r="C20">
        <f>(B20-((E20*(Main!$E$31/100))+(G20*(Main!$E$36/100))+(I20*(Main!$E$46/100))+(K20*(Main!$E$51/100))))/$C$6</f>
        <v>6.696696453549126</v>
      </c>
      <c r="D20">
        <f>'Req. Diario'!E19</f>
        <v>0.9490968571428572</v>
      </c>
      <c r="E20">
        <f>(D20-((C20*(Main!$F$41/100))+(G20*(Main!$F$36/100))+(I20*(Main!$F$46/100))+(K20*(Main!$F$51/100))))/$E$6</f>
        <v>2.0632540372670807</v>
      </c>
      <c r="F20">
        <f>'Req. Diario'!F19</f>
        <v>3.89227659716</v>
      </c>
      <c r="G20">
        <f>(F20-((C20*(Main!$G$41/100))+(E20*(Main!$G$31/100))+(I20*(Main!$G$46/100))+(K20*(Main!$G$51/100))))/$G$6</f>
        <v>6.487127661933333</v>
      </c>
      <c r="H20">
        <f>'Req. Diario'!G19</f>
        <v>0.6661666294627437</v>
      </c>
      <c r="I20">
        <f>H20/$I$6</f>
        <v>4.163541434142148</v>
      </c>
      <c r="J20">
        <f>'Req. Diario'!H19</f>
        <v>2.3171773497574715</v>
      </c>
      <c r="K20">
        <f>J20/$K$6</f>
        <v>0.00023171773497574714</v>
      </c>
      <c r="L20">
        <f>'Req. Diario'!I19</f>
        <v>9.1667</v>
      </c>
      <c r="M20">
        <f>L20/$M$6</f>
        <v>44.715609756097564</v>
      </c>
    </row>
    <row r="21">
      <c r="A21">
        <v>3</v>
      </c>
      <c r="B21">
        <f>'Req. Diario'!D20</f>
        <v>3.4518660953406726</v>
      </c>
      <c r="C21">
        <f>(B21-((E21*(Main!$E$31/100))+(G21*(Main!$E$36/100))+(I21*(Main!$E$46/100))+(K21*(Main!$E$51/100))))/$C$6</f>
        <v>6.696696453549126</v>
      </c>
      <c r="D21">
        <f>'Req. Diario'!E20</f>
        <v>0.9490968571428572</v>
      </c>
      <c r="E21">
        <f>(D21-((C21*(Main!$F$41/100))+(G21*(Main!$F$36/100))+(I21*(Main!$F$46/100))+(K21*(Main!$F$51/100))))/$E$6</f>
        <v>2.0632540372670807</v>
      </c>
      <c r="F21">
        <f>'Req. Diario'!F20</f>
        <v>3.89227659716</v>
      </c>
      <c r="G21">
        <f>(F21-((C21*(Main!$G$41/100))+(E21*(Main!$G$31/100))+(I21*(Main!$G$46/100))+(K21*(Main!$G$51/100))))/$G$6</f>
        <v>6.487127661933333</v>
      </c>
      <c r="H21">
        <f>'Req. Diario'!G20</f>
        <v>0.6661666294627437</v>
      </c>
      <c r="I21">
        <f>H21/$I$6</f>
        <v>4.163541434142148</v>
      </c>
      <c r="J21">
        <f>'Req. Diario'!H20</f>
        <v>2.3171773497574715</v>
      </c>
      <c r="K21">
        <f>J21/$K$6</f>
        <v>0.00023171773497574714</v>
      </c>
      <c r="L21">
        <f>'Req. Diario'!I20</f>
        <v>9.1667</v>
      </c>
      <c r="M21">
        <f>L21/$M$6</f>
        <v>44.715609756097564</v>
      </c>
    </row>
    <row r="22">
      <c r="B22">
        <f>'Req. Diario'!D21</f>
        <v>3.4518660953406726</v>
      </c>
      <c r="C22">
        <f>(B22-((E22*(Main!$E$31/100))+(G22*(Main!$E$36/100))+(I22*(Main!$E$46/100))+(K22*(Main!$E$51/100))))/$C$6</f>
        <v>6.696696453549126</v>
      </c>
      <c r="D22">
        <f>'Req. Diario'!E21</f>
        <v>0.9490968571428572</v>
      </c>
      <c r="E22">
        <f>(D22-((C22*(Main!$F$41/100))+(G22*(Main!$F$36/100))+(I22*(Main!$F$46/100))+(K22*(Main!$F$51/100))))/$E$6</f>
        <v>2.0632540372670807</v>
      </c>
      <c r="F22">
        <f>'Req. Diario'!F21</f>
        <v>3.89227659716</v>
      </c>
      <c r="G22">
        <f>(F22-((C22*(Main!$G$41/100))+(E22*(Main!$G$31/100))+(I22*(Main!$G$46/100))+(K22*(Main!$G$51/100))))/$G$6</f>
        <v>6.487127661933333</v>
      </c>
      <c r="H22">
        <f>'Req. Diario'!G21</f>
        <v>0.6661666294627437</v>
      </c>
      <c r="I22">
        <f>H22/$I$6</f>
        <v>4.163541434142148</v>
      </c>
      <c r="J22">
        <f>'Req. Diario'!H21</f>
        <v>2.3171773497574715</v>
      </c>
      <c r="K22">
        <f>J22/$K$6</f>
        <v>0.00023171773497574714</v>
      </c>
      <c r="L22">
        <f>'Req. Diario'!I21</f>
        <v>9.1667</v>
      </c>
      <c r="M22">
        <f>L22/$M$6</f>
        <v>44.715609756097564</v>
      </c>
    </row>
    <row r="23">
      <c r="B23">
        <f>'Req. Diario'!D22</f>
        <v>3.4518660953406726</v>
      </c>
      <c r="C23">
        <f>(B23-((E23*(Main!$E$31/100))+(G23*(Main!$E$36/100))+(I23*(Main!$E$46/100))+(K23*(Main!$E$51/100))))/$C$6</f>
        <v>6.696696453549126</v>
      </c>
      <c r="D23">
        <f>'Req. Diario'!E22</f>
        <v>0.9490968571428572</v>
      </c>
      <c r="E23">
        <f>(D23-((C23*(Main!$F$41/100))+(G23*(Main!$F$36/100))+(I23*(Main!$F$46/100))+(K23*(Main!$F$51/100))))/$E$6</f>
        <v>2.0632540372670807</v>
      </c>
      <c r="F23">
        <f>'Req. Diario'!F22</f>
        <v>3.89227659716</v>
      </c>
      <c r="G23">
        <f>(F23-((C23*(Main!$G$41/100))+(E23*(Main!$G$31/100))+(I23*(Main!$G$46/100))+(K23*(Main!$G$51/100))))/$G$6</f>
        <v>6.487127661933333</v>
      </c>
      <c r="H23">
        <f>'Req. Diario'!G22</f>
        <v>0.6661666294627437</v>
      </c>
      <c r="I23">
        <f>H23/$I$6</f>
        <v>4.163541434142148</v>
      </c>
      <c r="J23">
        <f>'Req. Diario'!H22</f>
        <v>2.3171773497574715</v>
      </c>
      <c r="K23">
        <f>J23/$K$6</f>
        <v>0.00023171773497574714</v>
      </c>
      <c r="L23">
        <f>'Req. Diario'!I22</f>
        <v>9.1667</v>
      </c>
      <c r="M23">
        <f>L23/$M$6</f>
        <v>44.715609756097564</v>
      </c>
    </row>
    <row r="24">
      <c r="B24">
        <f>'Req. Diario'!D23</f>
        <v>3.4518660953406726</v>
      </c>
      <c r="C24">
        <f>(B24-((E24*(Main!$E$31/100))+(G24*(Main!$E$36/100))+(I24*(Main!$E$46/100))+(K24*(Main!$E$51/100))))/$C$6</f>
        <v>6.696696453549126</v>
      </c>
      <c r="D24">
        <f>'Req. Diario'!E23</f>
        <v>0.9490968571428572</v>
      </c>
      <c r="E24">
        <f>(D24-((C24*(Main!$F$41/100))+(G24*(Main!$F$36/100))+(I24*(Main!$F$46/100))+(K24*(Main!$F$51/100))))/$E$6</f>
        <v>2.0632540372670807</v>
      </c>
      <c r="F24">
        <f>'Req. Diario'!F23</f>
        <v>3.89227659716</v>
      </c>
      <c r="G24">
        <f>(F24-((C24*(Main!$G$41/100))+(E24*(Main!$G$31/100))+(I24*(Main!$G$46/100))+(K24*(Main!$G$51/100))))/$G$6</f>
        <v>6.487127661933333</v>
      </c>
      <c r="H24">
        <f>'Req. Diario'!G23</f>
        <v>0.6661666294627437</v>
      </c>
      <c r="I24">
        <f>H24/$I$6</f>
        <v>4.163541434142148</v>
      </c>
      <c r="J24">
        <f>'Req. Diario'!H23</f>
        <v>2.3171773497574715</v>
      </c>
      <c r="K24">
        <f>J24/$K$6</f>
        <v>0.00023171773497574714</v>
      </c>
      <c r="L24">
        <f>'Req. Diario'!I23</f>
        <v>12.2222</v>
      </c>
      <c r="M24">
        <f>L24/$M$6</f>
        <v>59.62048780487805</v>
      </c>
    </row>
    <row r="25">
      <c r="B25">
        <f>'Req. Diario'!D24</f>
        <v>3.4518660953406726</v>
      </c>
      <c r="C25">
        <f>(B25-((E25*(Main!$E$31/100))+(G25*(Main!$E$36/100))+(I25*(Main!$E$46/100))+(K25*(Main!$E$51/100))))/$C$6</f>
        <v>6.696696453549126</v>
      </c>
      <c r="D25">
        <f>'Req. Diario'!E24</f>
        <v>0.9490968571428572</v>
      </c>
      <c r="E25">
        <f>(D25-((C25*(Main!$F$41/100))+(G25*(Main!$F$36/100))+(I25*(Main!$F$46/100))+(K25*(Main!$F$51/100))))/$E$6</f>
        <v>2.0632540372670807</v>
      </c>
      <c r="F25">
        <f>'Req. Diario'!F24</f>
        <v>3.89227659716</v>
      </c>
      <c r="G25">
        <f>(F25-((C25*(Main!$G$41/100))+(E25*(Main!$G$31/100))+(I25*(Main!$G$46/100))+(K25*(Main!$G$51/100))))/$G$6</f>
        <v>6.487127661933333</v>
      </c>
      <c r="H25">
        <f>'Req. Diario'!G24</f>
        <v>0.6661666294627437</v>
      </c>
      <c r="I25">
        <f>H25/$I$6</f>
        <v>4.163541434142148</v>
      </c>
      <c r="J25">
        <f>'Req. Diario'!H24</f>
        <v>2.3171773497574715</v>
      </c>
      <c r="K25">
        <f>J25/$K$6</f>
        <v>0.00023171773497574714</v>
      </c>
      <c r="L25">
        <f>'Req. Diario'!I24</f>
        <v>12.2222</v>
      </c>
      <c r="M25">
        <f>L25/$M$6</f>
        <v>59.62048780487805</v>
      </c>
    </row>
    <row r="26">
      <c r="B26">
        <f>'Req. Diario'!D25</f>
        <v>3.4518660953406726</v>
      </c>
      <c r="C26">
        <f>(B26-((E26*(Main!$E$31/100))+(G26*(Main!$E$36/100))+(I26*(Main!$E$46/100))+(K26*(Main!$E$51/100))))/$C$6</f>
        <v>6.696696453549126</v>
      </c>
      <c r="D26">
        <f>'Req. Diario'!E25</f>
        <v>0.9490968571428572</v>
      </c>
      <c r="E26">
        <f>(D26-((C26*(Main!$F$41/100))+(G26*(Main!$F$36/100))+(I26*(Main!$F$46/100))+(K26*(Main!$F$51/100))))/$E$6</f>
        <v>2.0632540372670807</v>
      </c>
      <c r="F26">
        <f>'Req. Diario'!F25</f>
        <v>3.89227659716</v>
      </c>
      <c r="G26">
        <f>(F26-((C26*(Main!$G$41/100))+(E26*(Main!$G$31/100))+(I26*(Main!$G$46/100))+(K26*(Main!$G$51/100))))/$G$6</f>
        <v>6.487127661933333</v>
      </c>
      <c r="H26">
        <f>'Req. Diario'!G25</f>
        <v>0.6661666294627437</v>
      </c>
      <c r="I26">
        <f>H26/$I$6</f>
        <v>4.163541434142148</v>
      </c>
      <c r="J26">
        <f>'Req. Diario'!H25</f>
        <v>2.3171773497574715</v>
      </c>
      <c r="K26">
        <f>J26/$K$6</f>
        <v>0.00023171773497574714</v>
      </c>
      <c r="L26">
        <f>'Req. Diario'!I25</f>
        <v>12.2222</v>
      </c>
      <c r="M26">
        <f>L26/$M$6</f>
        <v>59.62048780487805</v>
      </c>
    </row>
    <row r="27">
      <c r="B27">
        <f>'Req. Diario'!D26</f>
        <v>3.4518660953406726</v>
      </c>
      <c r="C27">
        <f>(B27-((E27*(Main!$E$31/100))+(G27*(Main!$E$36/100))+(I27*(Main!$E$46/100))+(K27*(Main!$E$51/100))))/$C$6</f>
        <v>6.696696453549126</v>
      </c>
      <c r="D27">
        <f>'Req. Diario'!E26</f>
        <v>0.9490968571428572</v>
      </c>
      <c r="E27">
        <f>(D27-((C27*(Main!$F$41/100))+(G27*(Main!$F$36/100))+(I27*(Main!$F$46/100))+(K27*(Main!$F$51/100))))/$E$6</f>
        <v>2.0632540372670807</v>
      </c>
      <c r="F27">
        <f>'Req. Diario'!F26</f>
        <v>3.89227659716</v>
      </c>
      <c r="G27">
        <f>(F27-((C27*(Main!$G$41/100))+(E27*(Main!$G$31/100))+(I27*(Main!$G$46/100))+(K27*(Main!$G$51/100))))/$G$6</f>
        <v>6.487127661933333</v>
      </c>
      <c r="H27">
        <f>'Req. Diario'!G26</f>
        <v>0.6661666294627437</v>
      </c>
      <c r="I27">
        <f>H27/$I$6</f>
        <v>4.163541434142148</v>
      </c>
      <c r="J27">
        <f>'Req. Diario'!H26</f>
        <v>2.3171773497574715</v>
      </c>
      <c r="K27">
        <f>J27/$K$6</f>
        <v>0.00023171773497574714</v>
      </c>
      <c r="L27">
        <f>'Req. Diario'!I26</f>
        <v>12.2222</v>
      </c>
      <c r="M27">
        <f>L27/$M$6</f>
        <v>59.62048780487805</v>
      </c>
    </row>
    <row r="28">
      <c r="A28">
        <v>4</v>
      </c>
      <c r="B28">
        <f>'Req. Diario'!D27</f>
        <v>4.625992387417126</v>
      </c>
      <c r="C28">
        <f>(B28-((E28*(Main!$E$31/100))+(G28*(Main!$E$36/100))+(I28*(Main!$E$46/100))+(K28*(Main!$E$51/100))))/$C$6</f>
        <v>9.249144914584894</v>
      </c>
      <c r="D28">
        <f>'Req. Diario'!E27</f>
        <v>0.9490968571428572</v>
      </c>
      <c r="E28">
        <f>(D28-((C28*(Main!$F$41/100))+(G28*(Main!$F$36/100))+(I28*(Main!$F$46/100))+(K28*(Main!$F$51/100))))/$E$6</f>
        <v>2.0632540372670807</v>
      </c>
      <c r="F28">
        <f>'Req. Diario'!F27</f>
        <v>5.216205209260001</v>
      </c>
      <c r="G28">
        <f>(F28-((C28*(Main!$G$41/100))+(E28*(Main!$G$31/100))+(I28*(Main!$G$46/100))+(K28*(Main!$G$51/100))))/$G$6</f>
        <v>8.693675348766668</v>
      </c>
      <c r="H28">
        <f>'Req. Diario'!G27</f>
        <v>0.8927581984728872</v>
      </c>
      <c r="I28">
        <f>H28/$I$6</f>
        <v>5.579738740455545</v>
      </c>
      <c r="J28">
        <f>'Req. Diario'!H27</f>
        <v>3.1053477986131286</v>
      </c>
      <c r="K28">
        <f>J28/$K$6</f>
        <v>0.00031053477986131285</v>
      </c>
      <c r="L28">
        <f>'Req. Diario'!I27</f>
        <v>12.2222</v>
      </c>
      <c r="M28">
        <f>L28/$M$6</f>
        <v>59.62048780487805</v>
      </c>
    </row>
    <row r="29">
      <c r="B29">
        <f>'Req. Diario'!D28</f>
        <v>4.625992387417126</v>
      </c>
      <c r="C29">
        <f>(B29-((E29*(Main!$E$31/100))+(G29*(Main!$E$36/100))+(I29*(Main!$E$46/100))+(K29*(Main!$E$51/100))))/$C$6</f>
        <v>9.249144914584894</v>
      </c>
      <c r="D29">
        <f>'Req. Diario'!E28</f>
        <v>0.9490968571428572</v>
      </c>
      <c r="E29">
        <f>(D29-((C29*(Main!$F$41/100))+(G29*(Main!$F$36/100))+(I29*(Main!$F$46/100))+(K29*(Main!$F$51/100))))/$E$6</f>
        <v>2.0632540372670807</v>
      </c>
      <c r="F29">
        <f>'Req. Diario'!F28</f>
        <v>5.216205209260001</v>
      </c>
      <c r="G29">
        <f>(F29-((C29*(Main!$G$41/100))+(E29*(Main!$G$31/100))+(I29*(Main!$G$46/100))+(K29*(Main!$G$51/100))))/$G$6</f>
        <v>8.693675348766668</v>
      </c>
      <c r="H29">
        <f>'Req. Diario'!G28</f>
        <v>0.8927581984728872</v>
      </c>
      <c r="I29">
        <f>H29/$I$6</f>
        <v>5.579738740455545</v>
      </c>
      <c r="J29">
        <f>'Req. Diario'!H28</f>
        <v>3.1053477986131286</v>
      </c>
      <c r="K29">
        <f>J29/$K$6</f>
        <v>0.00031053477986131285</v>
      </c>
      <c r="L29">
        <f>'Req. Diario'!I28</f>
        <v>12.2222</v>
      </c>
      <c r="M29">
        <f>L29/$M$6</f>
        <v>59.62048780487805</v>
      </c>
    </row>
    <row r="30">
      <c r="B30">
        <f>'Req. Diario'!D29</f>
        <v>4.625992387417126</v>
      </c>
      <c r="C30">
        <f>(B30-((E30*(Main!$E$31/100))+(G30*(Main!$E$36/100))+(I30*(Main!$E$46/100))+(K30*(Main!$E$51/100))))/$C$6</f>
        <v>9.249144914584894</v>
      </c>
      <c r="D30">
        <f>'Req. Diario'!E29</f>
        <v>0.9490968571428572</v>
      </c>
      <c r="E30">
        <f>(D30-((C30*(Main!$F$41/100))+(G30*(Main!$F$36/100))+(I30*(Main!$F$46/100))+(K30*(Main!$F$51/100))))/$E$6</f>
        <v>2.0632540372670807</v>
      </c>
      <c r="F30">
        <f>'Req. Diario'!F29</f>
        <v>5.216205209260001</v>
      </c>
      <c r="G30">
        <f>(F30-((C30*(Main!$G$41/100))+(E30*(Main!$G$31/100))+(I30*(Main!$G$46/100))+(K30*(Main!$G$51/100))))/$G$6</f>
        <v>8.693675348766668</v>
      </c>
      <c r="H30">
        <f>'Req. Diario'!G29</f>
        <v>0.8927581984728872</v>
      </c>
      <c r="I30">
        <f>H30/$I$6</f>
        <v>5.579738740455545</v>
      </c>
      <c r="J30">
        <f>'Req. Diario'!H29</f>
        <v>3.1053477986131286</v>
      </c>
      <c r="K30">
        <f>J30/$K$6</f>
        <v>0.00031053477986131285</v>
      </c>
      <c r="L30">
        <f>'Req. Diario'!I29</f>
        <v>12.2222</v>
      </c>
      <c r="M30">
        <f>L30/$M$6</f>
        <v>59.62048780487805</v>
      </c>
    </row>
    <row r="31">
      <c r="B31">
        <f>'Req. Diario'!D30</f>
        <v>4.625992387417126</v>
      </c>
      <c r="C31">
        <f>(B31-((E31*(Main!$E$31/100))+(G31*(Main!$E$36/100))+(I31*(Main!$E$46/100))+(K31*(Main!$E$51/100))))/$C$6</f>
        <v>9.249144914584894</v>
      </c>
      <c r="D31">
        <f>'Req. Diario'!E30</f>
        <v>0.9490968571428572</v>
      </c>
      <c r="E31">
        <f>(D31-((C31*(Main!$F$41/100))+(G31*(Main!$F$36/100))+(I31*(Main!$F$46/100))+(K31*(Main!$F$51/100))))/$E$6</f>
        <v>2.0632540372670807</v>
      </c>
      <c r="F31">
        <f>'Req. Diario'!F30</f>
        <v>5.216205209260001</v>
      </c>
      <c r="G31">
        <f>(F31-((C31*(Main!$G$41/100))+(E31*(Main!$G$31/100))+(I31*(Main!$G$46/100))+(K31*(Main!$G$51/100))))/$G$6</f>
        <v>8.693675348766668</v>
      </c>
      <c r="H31">
        <f>'Req. Diario'!G30</f>
        <v>0.8927581984728872</v>
      </c>
      <c r="I31">
        <f>H31/$I$6</f>
        <v>5.579738740455545</v>
      </c>
      <c r="J31">
        <f>'Req. Diario'!H30</f>
        <v>3.1053477986131286</v>
      </c>
      <c r="K31">
        <f>J31/$K$6</f>
        <v>0.00031053477986131285</v>
      </c>
      <c r="L31">
        <f>'Req. Diario'!I30</f>
        <v>12.2222</v>
      </c>
      <c r="M31">
        <f>L31/$M$6</f>
        <v>59.62048780487805</v>
      </c>
    </row>
    <row r="32">
      <c r="B32">
        <f>'Req. Diario'!D31</f>
        <v>4.625992387417126</v>
      </c>
      <c r="C32">
        <f>(B32-((E32*(Main!$E$31/100))+(G32*(Main!$E$36/100))+(I32*(Main!$E$46/100))+(K32*(Main!$E$51/100))))/$C$6</f>
        <v>9.249144914584894</v>
      </c>
      <c r="D32">
        <f>'Req. Diario'!E31</f>
        <v>0.9490968571428572</v>
      </c>
      <c r="E32">
        <f>(D32-((C32*(Main!$F$41/100))+(G32*(Main!$F$36/100))+(I32*(Main!$F$46/100))+(K32*(Main!$F$51/100))))/$E$6</f>
        <v>2.0632540372670807</v>
      </c>
      <c r="F32">
        <f>'Req. Diario'!F31</f>
        <v>5.216205209260001</v>
      </c>
      <c r="G32">
        <f>(F32-((C32*(Main!$G$41/100))+(E32*(Main!$G$31/100))+(I32*(Main!$G$46/100))+(K32*(Main!$G$51/100))))/$G$6</f>
        <v>8.693675348766668</v>
      </c>
      <c r="H32">
        <f>'Req. Diario'!G31</f>
        <v>0.8927581984728872</v>
      </c>
      <c r="I32">
        <f>H32/$I$6</f>
        <v>5.579738740455545</v>
      </c>
      <c r="J32">
        <f>'Req. Diario'!H31</f>
        <v>3.1053477986131286</v>
      </c>
      <c r="K32">
        <f>J32/$K$6</f>
        <v>0.00031053477986131285</v>
      </c>
      <c r="L32">
        <f>'Req. Diario'!I31</f>
        <v>12.2222</v>
      </c>
      <c r="M32">
        <f>L32/$M$6</f>
        <v>59.62048780487805</v>
      </c>
    </row>
    <row r="33">
      <c r="B33">
        <f>'Req. Diario'!D32</f>
        <v>4.625992387417126</v>
      </c>
      <c r="C33">
        <f>(B33-((E33*(Main!$E$31/100))+(G33*(Main!$E$36/100))+(I33*(Main!$E$46/100))+(K33*(Main!$E$51/100))))/$C$6</f>
        <v>9.249144914584894</v>
      </c>
      <c r="D33">
        <f>'Req. Diario'!E32</f>
        <v>0.9490968571428572</v>
      </c>
      <c r="E33">
        <f>(D33-((C33*(Main!$F$41/100))+(G33*(Main!$F$36/100))+(I33*(Main!$F$46/100))+(K33*(Main!$F$51/100))))/$E$6</f>
        <v>2.0632540372670807</v>
      </c>
      <c r="F33">
        <f>'Req. Diario'!F32</f>
        <v>5.216205209260001</v>
      </c>
      <c r="G33">
        <f>(F33-((C33*(Main!$G$41/100))+(E33*(Main!$G$31/100))+(I33*(Main!$G$46/100))+(K33*(Main!$G$51/100))))/$G$6</f>
        <v>8.693675348766668</v>
      </c>
      <c r="H33">
        <f>'Req. Diario'!G32</f>
        <v>0.8927581984728872</v>
      </c>
      <c r="I33">
        <f>H33/$I$6</f>
        <v>5.579738740455545</v>
      </c>
      <c r="J33">
        <f>'Req. Diario'!H32</f>
        <v>3.1053477986131286</v>
      </c>
      <c r="K33">
        <f>J33/$K$6</f>
        <v>0.00031053477986131285</v>
      </c>
      <c r="L33">
        <f>'Req. Diario'!I32</f>
        <v>12.2222</v>
      </c>
      <c r="M33">
        <f>L33/$M$6</f>
        <v>59.62048780487805</v>
      </c>
    </row>
    <row r="34">
      <c r="B34">
        <f>'Req. Diario'!D33</f>
        <v>4.625992387417126</v>
      </c>
      <c r="C34">
        <f>(B34-((E34*(Main!$E$31/100))+(G34*(Main!$E$36/100))+(I34*(Main!$E$46/100))+(K34*(Main!$E$51/100))))/$C$6</f>
        <v>9.249144914584894</v>
      </c>
      <c r="D34">
        <f>'Req. Diario'!E33</f>
        <v>0.9490968571428572</v>
      </c>
      <c r="E34">
        <f>(D34-((C34*(Main!$F$41/100))+(G34*(Main!$F$36/100))+(I34*(Main!$F$46/100))+(K34*(Main!$F$51/100))))/$E$6</f>
        <v>2.0632540372670807</v>
      </c>
      <c r="F34">
        <f>'Req. Diario'!F33</f>
        <v>5.216205209260001</v>
      </c>
      <c r="G34">
        <f>(F34-((C34*(Main!$G$41/100))+(E34*(Main!$G$31/100))+(I34*(Main!$G$46/100))+(K34*(Main!$G$51/100))))/$G$6</f>
        <v>8.693675348766668</v>
      </c>
      <c r="H34">
        <f>'Req. Diario'!G33</f>
        <v>0.8927581984728872</v>
      </c>
      <c r="I34">
        <f>H34/$I$6</f>
        <v>5.579738740455545</v>
      </c>
      <c r="J34">
        <f>'Req. Diario'!H33</f>
        <v>3.1053477986131286</v>
      </c>
      <c r="K34">
        <f>J34/$K$6</f>
        <v>0.00031053477986131285</v>
      </c>
      <c r="L34">
        <f>'Req. Diario'!I33</f>
        <v>12.2222</v>
      </c>
      <c r="M34">
        <f>L34/$M$6</f>
        <v>59.62048780487805</v>
      </c>
    </row>
    <row r="35">
      <c r="A35">
        <v>5</v>
      </c>
      <c r="B35">
        <f>'Req. Diario'!D34</f>
        <v>4.625992387417126</v>
      </c>
      <c r="C35">
        <f>(B35-((E35*(Main!$E$31/100))+(G35*(Main!$E$36/100))+(I35*(Main!$E$46/100))+(K35*(Main!$E$51/100))))/$C$6</f>
        <v>9.249144914584894</v>
      </c>
      <c r="D35">
        <f>'Req. Diario'!E34</f>
        <v>0.9490968571428572</v>
      </c>
      <c r="E35">
        <f>(D35-((C35*(Main!$F$41/100))+(G35*(Main!$F$36/100))+(I35*(Main!$F$46/100))+(K35*(Main!$F$51/100))))/$E$6</f>
        <v>2.0632540372670807</v>
      </c>
      <c r="F35">
        <f>'Req. Diario'!F34</f>
        <v>5.216205209260001</v>
      </c>
      <c r="G35">
        <f>(F35-((C35*(Main!$G$41/100))+(E35*(Main!$G$31/100))+(I35*(Main!$G$46/100))+(K35*(Main!$G$51/100))))/$G$6</f>
        <v>8.693675348766668</v>
      </c>
      <c r="H35">
        <f>'Req. Diario'!G34</f>
        <v>0.8927581984728872</v>
      </c>
      <c r="I35">
        <f>H35/$I$6</f>
        <v>5.579738740455545</v>
      </c>
      <c r="J35">
        <f>'Req. Diario'!H34</f>
        <v>3.1053477986131286</v>
      </c>
      <c r="K35">
        <f>J35/$K$6</f>
        <v>0.00031053477986131285</v>
      </c>
      <c r="L35">
        <f>'Req. Diario'!I34</f>
        <v>12.2222</v>
      </c>
      <c r="M35">
        <f>L35/$M$6</f>
        <v>59.62048780487805</v>
      </c>
    </row>
    <row r="36">
      <c r="B36">
        <f>'Req. Diario'!D35</f>
        <v>4.625992387417126</v>
      </c>
      <c r="C36">
        <f>(B36-((E36*(Main!$E$31/100))+(G36*(Main!$E$36/100))+(I36*(Main!$E$46/100))+(K36*(Main!$E$51/100))))/$C$6</f>
        <v>9.249144914584894</v>
      </c>
      <c r="D36">
        <f>'Req. Diario'!E35</f>
        <v>0.9490968571428572</v>
      </c>
      <c r="E36">
        <f>(D36-((C36*(Main!$F$41/100))+(G36*(Main!$F$36/100))+(I36*(Main!$F$46/100))+(K36*(Main!$F$51/100))))/$E$6</f>
        <v>2.0632540372670807</v>
      </c>
      <c r="F36">
        <f>'Req. Diario'!F35</f>
        <v>5.216205209260001</v>
      </c>
      <c r="G36">
        <f>(F36-((C36*(Main!$G$41/100))+(E36*(Main!$G$31/100))+(I36*(Main!$G$46/100))+(K36*(Main!$G$51/100))))/$G$6</f>
        <v>8.693675348766668</v>
      </c>
      <c r="H36">
        <f>'Req. Diario'!G35</f>
        <v>0.8927581984728872</v>
      </c>
      <c r="I36">
        <f>H36/$I$6</f>
        <v>5.579738740455545</v>
      </c>
      <c r="J36">
        <f>'Req. Diario'!H35</f>
        <v>3.1053477986131286</v>
      </c>
      <c r="K36">
        <f>J36/$K$6</f>
        <v>0.00031053477986131285</v>
      </c>
      <c r="L36">
        <f>'Req. Diario'!I35</f>
        <v>12.2222</v>
      </c>
      <c r="M36">
        <f>L36/$M$6</f>
        <v>59.62048780487805</v>
      </c>
    </row>
    <row r="37">
      <c r="B37">
        <f>'Req. Diario'!D36</f>
        <v>4.625992387417126</v>
      </c>
      <c r="C37">
        <f>(B37-((E37*(Main!$E$31/100))+(G37*(Main!$E$36/100))+(I37*(Main!$E$46/100))+(K37*(Main!$E$51/100))))/$C$6</f>
        <v>9.249144914584894</v>
      </c>
      <c r="D37">
        <f>'Req. Diario'!E36</f>
        <v>0.9490968571428572</v>
      </c>
      <c r="E37">
        <f>(D37-((C37*(Main!$F$41/100))+(G37*(Main!$F$36/100))+(I37*(Main!$F$46/100))+(K37*(Main!$F$51/100))))/$E$6</f>
        <v>2.0632540372670807</v>
      </c>
      <c r="F37">
        <f>'Req. Diario'!F36</f>
        <v>5.216205209260001</v>
      </c>
      <c r="G37">
        <f>(F37-((C37*(Main!$G$41/100))+(E37*(Main!$G$31/100))+(I37*(Main!$G$46/100))+(K37*(Main!$G$51/100))))/$G$6</f>
        <v>8.693675348766668</v>
      </c>
      <c r="H37">
        <f>'Req. Diario'!G36</f>
        <v>0.8927581984728872</v>
      </c>
      <c r="I37">
        <f>H37/$I$6</f>
        <v>5.579738740455545</v>
      </c>
      <c r="J37">
        <f>'Req. Diario'!H36</f>
        <v>3.1053477986131286</v>
      </c>
      <c r="K37">
        <f>J37/$K$6</f>
        <v>0.00031053477986131285</v>
      </c>
      <c r="L37">
        <f>'Req. Diario'!I36</f>
        <v>12.2222</v>
      </c>
      <c r="M37">
        <f>L37/$M$6</f>
        <v>59.62048780487805</v>
      </c>
    </row>
    <row r="38">
      <c r="B38">
        <f>'Req. Diario'!D37</f>
        <v>4.625992387417126</v>
      </c>
      <c r="C38">
        <f>(B38-((E38*(Main!$E$31/100))+(G38*(Main!$E$36/100))+(I38*(Main!$E$46/100))+(K38*(Main!$E$51/100))))/$C$6</f>
        <v>9.249144914584894</v>
      </c>
      <c r="D38">
        <f>'Req. Diario'!E37</f>
        <v>0.9490968571428572</v>
      </c>
      <c r="E38">
        <f>(D38-((C38*(Main!$F$41/100))+(G38*(Main!$F$36/100))+(I38*(Main!$F$46/100))+(K38*(Main!$F$51/100))))/$E$6</f>
        <v>2.0632540372670807</v>
      </c>
      <c r="F38">
        <f>'Req. Diario'!F37</f>
        <v>5.216205209260001</v>
      </c>
      <c r="G38">
        <f>(F38-((C38*(Main!$G$41/100))+(E38*(Main!$G$31/100))+(I38*(Main!$G$46/100))+(K38*(Main!$G$51/100))))/$G$6</f>
        <v>8.693675348766668</v>
      </c>
      <c r="H38">
        <f>'Req. Diario'!G37</f>
        <v>0.8927581984728872</v>
      </c>
      <c r="I38">
        <f>H38/$I$6</f>
        <v>5.579738740455545</v>
      </c>
      <c r="J38">
        <f>'Req. Diario'!H37</f>
        <v>3.1053477986131286</v>
      </c>
      <c r="K38">
        <f>J38/$K$6</f>
        <v>0.00031053477986131285</v>
      </c>
      <c r="L38">
        <f>'Req. Diario'!I37</f>
        <v>12.2222</v>
      </c>
      <c r="M38">
        <f>L38/$M$6</f>
        <v>59.62048780487805</v>
      </c>
    </row>
    <row r="39">
      <c r="B39">
        <f>'Req. Diario'!D38</f>
        <v>4.625992387417126</v>
      </c>
      <c r="C39">
        <f>(B39-((E39*(Main!$E$31/100))+(G39*(Main!$E$36/100))+(I39*(Main!$E$46/100))+(K39*(Main!$E$51/100))))/$C$6</f>
        <v>9.249144914584894</v>
      </c>
      <c r="D39">
        <f>'Req. Diario'!E38</f>
        <v>0.9490968571428572</v>
      </c>
      <c r="E39">
        <f>(D39-((C39*(Main!$F$41/100))+(G39*(Main!$F$36/100))+(I39*(Main!$F$46/100))+(K39*(Main!$F$51/100))))/$E$6</f>
        <v>2.0632540372670807</v>
      </c>
      <c r="F39">
        <f>'Req. Diario'!F38</f>
        <v>5.216205209260001</v>
      </c>
      <c r="G39">
        <f>(F39-((C39*(Main!$G$41/100))+(E39*(Main!$G$31/100))+(I39*(Main!$G$46/100))+(K39*(Main!$G$51/100))))/$G$6</f>
        <v>8.693675348766668</v>
      </c>
      <c r="H39">
        <f>'Req. Diario'!G38</f>
        <v>0.8927581984728872</v>
      </c>
      <c r="I39">
        <f>H39/$I$6</f>
        <v>5.579738740455545</v>
      </c>
      <c r="J39">
        <f>'Req. Diario'!H38</f>
        <v>3.1053477986131286</v>
      </c>
      <c r="K39">
        <f>J39/$K$6</f>
        <v>0.00031053477986131285</v>
      </c>
      <c r="L39">
        <f>'Req. Diario'!I38</f>
        <v>17.3149</v>
      </c>
      <c r="M39">
        <f>L39/$M$6</f>
        <v>84.46292682926831</v>
      </c>
    </row>
    <row r="40">
      <c r="B40">
        <f>'Req. Diario'!D39</f>
        <v>4.625992387417126</v>
      </c>
      <c r="C40">
        <f>(B40-((E40*(Main!$E$31/100))+(G40*(Main!$E$36/100))+(I40*(Main!$E$46/100))+(K40*(Main!$E$51/100))))/$C$6</f>
        <v>9.249144914584894</v>
      </c>
      <c r="D40">
        <f>'Req. Diario'!E39</f>
        <v>0.9490968571428572</v>
      </c>
      <c r="E40">
        <f>(D40-((C40*(Main!$F$41/100))+(G40*(Main!$F$36/100))+(I40*(Main!$F$46/100))+(K40*(Main!$F$51/100))))/$E$6</f>
        <v>2.0632540372670807</v>
      </c>
      <c r="F40">
        <f>'Req. Diario'!F39</f>
        <v>5.216205209260001</v>
      </c>
      <c r="G40">
        <f>(F40-((C40*(Main!$G$41/100))+(E40*(Main!$G$31/100))+(I40*(Main!$G$46/100))+(K40*(Main!$G$51/100))))/$G$6</f>
        <v>8.693675348766668</v>
      </c>
      <c r="H40">
        <f>'Req. Diario'!G39</f>
        <v>0.8927581984728872</v>
      </c>
      <c r="I40">
        <f>H40/$I$6</f>
        <v>5.579738740455545</v>
      </c>
      <c r="J40">
        <f>'Req. Diario'!H39</f>
        <v>3.1053477986131286</v>
      </c>
      <c r="K40">
        <f>J40/$K$6</f>
        <v>0.00031053477986131285</v>
      </c>
      <c r="L40">
        <f>'Req. Diario'!I39</f>
        <v>17.3149</v>
      </c>
      <c r="M40">
        <f>L40/$M$6</f>
        <v>84.46292682926831</v>
      </c>
    </row>
    <row r="41">
      <c r="B41">
        <f>'Req. Diario'!D40</f>
        <v>4.625992387417126</v>
      </c>
      <c r="C41">
        <f>(B41-((E41*(Main!$E$31/100))+(G41*(Main!$E$36/100))+(I41*(Main!$E$46/100))+(K41*(Main!$E$51/100))))/$C$6</f>
        <v>9.249144914584894</v>
      </c>
      <c r="D41">
        <f>'Req. Diario'!E40</f>
        <v>0.9490968571428572</v>
      </c>
      <c r="E41">
        <f>(D41-((C41*(Main!$F$41/100))+(G41*(Main!$F$36/100))+(I41*(Main!$F$46/100))+(K41*(Main!$F$51/100))))/$E$6</f>
        <v>2.0632540372670807</v>
      </c>
      <c r="F41">
        <f>'Req. Diario'!F40</f>
        <v>5.216205209260001</v>
      </c>
      <c r="G41">
        <f>(F41-((C41*(Main!$G$41/100))+(E41*(Main!$G$31/100))+(I41*(Main!$G$46/100))+(K41*(Main!$G$51/100))))/$G$6</f>
        <v>8.693675348766668</v>
      </c>
      <c r="H41">
        <f>'Req. Diario'!G40</f>
        <v>0.8927581984728872</v>
      </c>
      <c r="I41">
        <f>H41/$I$6</f>
        <v>5.579738740455545</v>
      </c>
      <c r="J41">
        <f>'Req. Diario'!H40</f>
        <v>3.1053477986131286</v>
      </c>
      <c r="K41">
        <f>J41/$K$6</f>
        <v>0.00031053477986131285</v>
      </c>
      <c r="L41">
        <f>'Req. Diario'!I40</f>
        <v>17.3149</v>
      </c>
      <c r="M41">
        <f>L41/$M$6</f>
        <v>84.46292682926831</v>
      </c>
    </row>
    <row r="42">
      <c r="A42">
        <v>6</v>
      </c>
      <c r="B42">
        <f>'Req. Diario'!D41</f>
        <v>4.625992387417126</v>
      </c>
      <c r="C42">
        <f>(B42-((E42*(Main!$E$31/100))+(G42*(Main!$E$36/100))+(I42*(Main!$E$46/100))+(K42*(Main!$E$51/100))))/$C$6</f>
        <v>9.249144914584894</v>
      </c>
      <c r="D42">
        <f>'Req. Diario'!E41</f>
        <v>0.9490968571428572</v>
      </c>
      <c r="E42">
        <f>(D42-((C42*(Main!$F$41/100))+(G42*(Main!$F$36/100))+(I42*(Main!$F$46/100))+(K42*(Main!$F$51/100))))/$E$6</f>
        <v>2.0632540372670807</v>
      </c>
      <c r="F42">
        <f>'Req. Diario'!F41</f>
        <v>5.216205209260001</v>
      </c>
      <c r="G42">
        <f>(F42-((C42*(Main!$G$41/100))+(E42*(Main!$G$31/100))+(I42*(Main!$G$46/100))+(K42*(Main!$G$51/100))))/$G$6</f>
        <v>8.693675348766668</v>
      </c>
      <c r="H42">
        <f>'Req. Diario'!G41</f>
        <v>0.8927581984728872</v>
      </c>
      <c r="I42">
        <f>H42/$I$6</f>
        <v>5.579738740455545</v>
      </c>
      <c r="J42">
        <f>'Req. Diario'!H41</f>
        <v>3.1053477986131286</v>
      </c>
      <c r="K42">
        <f>J42/$K$6</f>
        <v>0.00031053477986131285</v>
      </c>
      <c r="L42">
        <f>'Req. Diario'!I41</f>
        <v>17.3149</v>
      </c>
      <c r="M42">
        <f>L42/$M$6</f>
        <v>84.46292682926831</v>
      </c>
    </row>
    <row r="43">
      <c r="B43">
        <f>'Req. Diario'!D42</f>
        <v>4.625992387417126</v>
      </c>
      <c r="C43">
        <f>(B43-((E43*(Main!$E$31/100))+(G43*(Main!$E$36/100))+(I43*(Main!$E$46/100))+(K43*(Main!$E$51/100))))/$C$6</f>
        <v>9.249144914584894</v>
      </c>
      <c r="D43">
        <f>'Req. Diario'!E42</f>
        <v>0.9490968571428572</v>
      </c>
      <c r="E43">
        <f>(D43-((C43*(Main!$F$41/100))+(G43*(Main!$F$36/100))+(I43*(Main!$F$46/100))+(K43*(Main!$F$51/100))))/$E$6</f>
        <v>2.0632540372670807</v>
      </c>
      <c r="F43">
        <f>'Req. Diario'!F42</f>
        <v>5.216205209260001</v>
      </c>
      <c r="G43">
        <f>(F43-((C43*(Main!$G$41/100))+(E43*(Main!$G$31/100))+(I43*(Main!$G$46/100))+(K43*(Main!$G$51/100))))/$G$6</f>
        <v>8.693675348766668</v>
      </c>
      <c r="H43">
        <f>'Req. Diario'!G42</f>
        <v>0.8927581984728872</v>
      </c>
      <c r="I43">
        <f>H43/$I$6</f>
        <v>5.579738740455545</v>
      </c>
      <c r="J43">
        <f>'Req. Diario'!H42</f>
        <v>3.1053477986131286</v>
      </c>
      <c r="K43">
        <f>J43/$K$6</f>
        <v>0.00031053477986131285</v>
      </c>
      <c r="L43">
        <f>'Req. Diario'!I42</f>
        <v>17.3149</v>
      </c>
      <c r="M43">
        <f>L43/$M$6</f>
        <v>84.46292682926831</v>
      </c>
    </row>
    <row r="44">
      <c r="B44">
        <f>'Req. Diario'!D43</f>
        <v>4.625992387417126</v>
      </c>
      <c r="C44">
        <f>(B44-((E44*(Main!$E$31/100))+(G44*(Main!$E$36/100))+(I44*(Main!$E$46/100))+(K44*(Main!$E$51/100))))/$C$6</f>
        <v>9.249144914584894</v>
      </c>
      <c r="D44">
        <f>'Req. Diario'!E43</f>
        <v>0.9490968571428572</v>
      </c>
      <c r="E44">
        <f>(D44-((C44*(Main!$F$41/100))+(G44*(Main!$F$36/100))+(I44*(Main!$F$46/100))+(K44*(Main!$F$51/100))))/$E$6</f>
        <v>2.0632540372670807</v>
      </c>
      <c r="F44">
        <f>'Req. Diario'!F43</f>
        <v>5.216205209260001</v>
      </c>
      <c r="G44">
        <f>(F44-((C44*(Main!$G$41/100))+(E44*(Main!$G$31/100))+(I44*(Main!$G$46/100))+(K44*(Main!$G$51/100))))/$G$6</f>
        <v>8.693675348766668</v>
      </c>
      <c r="H44">
        <f>'Req. Diario'!G43</f>
        <v>0.8927581984728872</v>
      </c>
      <c r="I44">
        <f>H44/$I$6</f>
        <v>5.579738740455545</v>
      </c>
      <c r="J44">
        <f>'Req. Diario'!H43</f>
        <v>3.1053477986131286</v>
      </c>
      <c r="K44">
        <f>J44/$K$6</f>
        <v>0.00031053477986131285</v>
      </c>
      <c r="L44">
        <f>'Req. Diario'!I43</f>
        <v>17.3149</v>
      </c>
      <c r="M44">
        <f>L44/$M$6</f>
        <v>84.46292682926831</v>
      </c>
    </row>
    <row r="45">
      <c r="B45">
        <f>'Req. Diario'!D44</f>
        <v>4.625992387417126</v>
      </c>
      <c r="C45">
        <f>(B45-((E45*(Main!$E$31/100))+(G45*(Main!$E$36/100))+(I45*(Main!$E$46/100))+(K45*(Main!$E$51/100))))/$C$6</f>
        <v>9.249144914584894</v>
      </c>
      <c r="D45">
        <f>'Req. Diario'!E44</f>
        <v>0.9490968571428572</v>
      </c>
      <c r="E45">
        <f>(D45-((C45*(Main!$F$41/100))+(G45*(Main!$F$36/100))+(I45*(Main!$F$46/100))+(K45*(Main!$F$51/100))))/$E$6</f>
        <v>2.0632540372670807</v>
      </c>
      <c r="F45">
        <f>'Req. Diario'!F44</f>
        <v>5.216205209260001</v>
      </c>
      <c r="G45">
        <f>(F45-((C45*(Main!$G$41/100))+(E45*(Main!$G$31/100))+(I45*(Main!$G$46/100))+(K45*(Main!$G$51/100))))/$G$6</f>
        <v>8.693675348766668</v>
      </c>
      <c r="H45">
        <f>'Req. Diario'!G44</f>
        <v>0.8927581984728872</v>
      </c>
      <c r="I45">
        <f>H45/$I$6</f>
        <v>5.579738740455545</v>
      </c>
      <c r="J45">
        <f>'Req. Diario'!H44</f>
        <v>3.1053477986131286</v>
      </c>
      <c r="K45">
        <f>J45/$K$6</f>
        <v>0.00031053477986131285</v>
      </c>
      <c r="L45">
        <f>'Req. Diario'!I44</f>
        <v>17.3149</v>
      </c>
      <c r="M45">
        <f>L45/$M$6</f>
        <v>84.46292682926831</v>
      </c>
    </row>
    <row r="46">
      <c r="B46">
        <f>'Req. Diario'!D45</f>
        <v>4.625992387417126</v>
      </c>
      <c r="C46">
        <f>(B46-((E46*(Main!$E$31/100))+(G46*(Main!$E$36/100))+(I46*(Main!$E$46/100))+(K46*(Main!$E$51/100))))/$C$6</f>
        <v>9.249144914584894</v>
      </c>
      <c r="D46">
        <f>'Req. Diario'!E45</f>
        <v>0.9490968571428572</v>
      </c>
      <c r="E46">
        <f>(D46-((C46*(Main!$F$41/100))+(G46*(Main!$F$36/100))+(I46*(Main!$F$46/100))+(K46*(Main!$F$51/100))))/$E$6</f>
        <v>2.0632540372670807</v>
      </c>
      <c r="F46">
        <f>'Req. Diario'!F45</f>
        <v>5.216205209260001</v>
      </c>
      <c r="G46">
        <f>(F46-((C46*(Main!$G$41/100))+(E46*(Main!$G$31/100))+(I46*(Main!$G$46/100))+(K46*(Main!$G$51/100))))/$G$6</f>
        <v>8.693675348766668</v>
      </c>
      <c r="H46">
        <f>'Req. Diario'!G45</f>
        <v>0.8927581984728872</v>
      </c>
      <c r="I46">
        <f>H46/$I$6</f>
        <v>5.579738740455545</v>
      </c>
      <c r="J46">
        <f>'Req. Diario'!H45</f>
        <v>3.1053477986131286</v>
      </c>
      <c r="K46">
        <f>J46/$K$6</f>
        <v>0.00031053477986131285</v>
      </c>
      <c r="L46">
        <f>'Req. Diario'!I45</f>
        <v>17.3149</v>
      </c>
      <c r="M46">
        <f>L46/$M$6</f>
        <v>84.46292682926831</v>
      </c>
    </row>
    <row r="47">
      <c r="B47">
        <f>'Req. Diario'!D46</f>
        <v>4.625992387417126</v>
      </c>
      <c r="C47">
        <f>(B47-((E47*(Main!$E$31/100))+(G47*(Main!$E$36/100))+(I47*(Main!$E$46/100))+(K47*(Main!$E$51/100))))/$C$6</f>
        <v>9.249144914584894</v>
      </c>
      <c r="D47">
        <f>'Req. Diario'!E46</f>
        <v>0.9490968571428572</v>
      </c>
      <c r="E47">
        <f>(D47-((C47*(Main!$F$41/100))+(G47*(Main!$F$36/100))+(I47*(Main!$F$46/100))+(K47*(Main!$F$51/100))))/$E$6</f>
        <v>2.0632540372670807</v>
      </c>
      <c r="F47">
        <f>'Req. Diario'!F46</f>
        <v>5.216205209260001</v>
      </c>
      <c r="G47">
        <f>(F47-((C47*(Main!$G$41/100))+(E47*(Main!$G$31/100))+(I47*(Main!$G$46/100))+(K47*(Main!$G$51/100))))/$G$6</f>
        <v>8.693675348766668</v>
      </c>
      <c r="H47">
        <f>'Req. Diario'!G46</f>
        <v>0.8927581984728872</v>
      </c>
      <c r="I47">
        <f>H47/$I$6</f>
        <v>5.579738740455545</v>
      </c>
      <c r="J47">
        <f>'Req. Diario'!H46</f>
        <v>3.1053477986131286</v>
      </c>
      <c r="K47">
        <f>J47/$K$6</f>
        <v>0.00031053477986131285</v>
      </c>
      <c r="L47">
        <f>'Req. Diario'!I46</f>
        <v>17.3149</v>
      </c>
      <c r="M47">
        <f>L47/$M$6</f>
        <v>84.46292682926831</v>
      </c>
    </row>
    <row r="48">
      <c r="B48">
        <f>'Req. Diario'!D47</f>
        <v>4.625992387417126</v>
      </c>
      <c r="C48">
        <f>(B48-((E48*(Main!$E$31/100))+(G48*(Main!$E$36/100))+(I48*(Main!$E$46/100))+(K48*(Main!$E$51/100))))/$C$6</f>
        <v>9.249144914584894</v>
      </c>
      <c r="D48">
        <f>'Req. Diario'!E47</f>
        <v>0.9490968571428572</v>
      </c>
      <c r="E48">
        <f>(D48-((C48*(Main!$F$41/100))+(G48*(Main!$F$36/100))+(I48*(Main!$F$46/100))+(K48*(Main!$F$51/100))))/$E$6</f>
        <v>2.0632540372670807</v>
      </c>
      <c r="F48">
        <f>'Req. Diario'!F47</f>
        <v>5.216205209260001</v>
      </c>
      <c r="G48">
        <f>(F48-((C48*(Main!$G$41/100))+(E48*(Main!$G$31/100))+(I48*(Main!$G$46/100))+(K48*(Main!$G$51/100))))/$G$6</f>
        <v>8.693675348766668</v>
      </c>
      <c r="H48">
        <f>'Req. Diario'!G47</f>
        <v>0.8927581984728872</v>
      </c>
      <c r="I48">
        <f>H48/$I$6</f>
        <v>5.579738740455545</v>
      </c>
      <c r="J48">
        <f>'Req. Diario'!H47</f>
        <v>3.1053477986131286</v>
      </c>
      <c r="K48">
        <f>J48/$K$6</f>
        <v>0.00031053477986131285</v>
      </c>
      <c r="L48">
        <f>'Req. Diario'!I47</f>
        <v>17.3149</v>
      </c>
      <c r="M48">
        <f>L48/$M$6</f>
        <v>84.46292682926831</v>
      </c>
    </row>
    <row r="49">
      <c r="A49">
        <v>7</v>
      </c>
      <c r="B49">
        <f>'Req. Diario'!D48</f>
        <v>4.625992387417126</v>
      </c>
      <c r="C49">
        <f>(B49-((E49*(Main!$E$31/100))+(G49*(Main!$E$36/100))+(I49*(Main!$E$46/100))+(K49*(Main!$E$51/100))))/$C$6</f>
        <v>9.249144914584894</v>
      </c>
      <c r="D49">
        <f>'Req. Diario'!E48</f>
        <v>0.9490968571428572</v>
      </c>
      <c r="E49">
        <f>(D49-((C49*(Main!$F$41/100))+(G49*(Main!$F$36/100))+(I49*(Main!$F$46/100))+(K49*(Main!$F$51/100))))/$E$6</f>
        <v>2.0632540372670807</v>
      </c>
      <c r="F49">
        <f>'Req. Diario'!F48</f>
        <v>5.216205209260001</v>
      </c>
      <c r="G49">
        <f>(F49-((C49*(Main!$G$41/100))+(E49*(Main!$G$31/100))+(I49*(Main!$G$46/100))+(K49*(Main!$G$51/100))))/$G$6</f>
        <v>8.693675348766668</v>
      </c>
      <c r="H49">
        <f>'Req. Diario'!G48</f>
        <v>0.8927581984728872</v>
      </c>
      <c r="I49">
        <f>H49/$I$6</f>
        <v>5.579738740455545</v>
      </c>
      <c r="J49">
        <f>'Req. Diario'!H48</f>
        <v>3.1053477986131286</v>
      </c>
      <c r="K49">
        <f>J49/$K$6</f>
        <v>0.00031053477986131285</v>
      </c>
      <c r="L49">
        <f>'Req. Diario'!I48</f>
        <v>17.3149</v>
      </c>
      <c r="M49">
        <f>L49/$M$6</f>
        <v>84.46292682926831</v>
      </c>
    </row>
    <row r="50">
      <c r="B50">
        <f>'Req. Diario'!D49</f>
        <v>4.625992387417126</v>
      </c>
      <c r="C50">
        <f>(B50-((E50*(Main!$E$31/100))+(G50*(Main!$E$36/100))+(I50*(Main!$E$46/100))+(K50*(Main!$E$51/100))))/$C$6</f>
        <v>9.249144914584894</v>
      </c>
      <c r="D50">
        <f>'Req. Diario'!E49</f>
        <v>0.9490968571428572</v>
      </c>
      <c r="E50">
        <f>(D50-((C50*(Main!$F$41/100))+(G50*(Main!$F$36/100))+(I50*(Main!$F$46/100))+(K50*(Main!$F$51/100))))/$E$6</f>
        <v>2.0632540372670807</v>
      </c>
      <c r="F50">
        <f>'Req. Diario'!F49</f>
        <v>5.216205209260001</v>
      </c>
      <c r="G50">
        <f>(F50-((C50*(Main!$G$41/100))+(E50*(Main!$G$31/100))+(I50*(Main!$G$46/100))+(K50*(Main!$G$51/100))))/$G$6</f>
        <v>8.693675348766668</v>
      </c>
      <c r="H50">
        <f>'Req. Diario'!G49</f>
        <v>0.8927581984728872</v>
      </c>
      <c r="I50">
        <f>H50/$I$6</f>
        <v>5.579738740455545</v>
      </c>
      <c r="J50">
        <f>'Req. Diario'!H49</f>
        <v>3.1053477986131286</v>
      </c>
      <c r="K50">
        <f>J50/$K$6</f>
        <v>0.00031053477986131285</v>
      </c>
      <c r="L50">
        <f>'Req. Diario'!I49</f>
        <v>17.3149</v>
      </c>
      <c r="M50">
        <f>L50/$M$6</f>
        <v>84.46292682926831</v>
      </c>
    </row>
    <row r="51">
      <c r="B51">
        <f>'Req. Diario'!D50</f>
        <v>4.625992387417126</v>
      </c>
      <c r="C51">
        <f>(B51-((E51*(Main!$E$31/100))+(G51*(Main!$E$36/100))+(I51*(Main!$E$46/100))+(K51*(Main!$E$51/100))))/$C$6</f>
        <v>9.249144914584894</v>
      </c>
      <c r="D51">
        <f>'Req. Diario'!E50</f>
        <v>0.9490968571428572</v>
      </c>
      <c r="E51">
        <f>(D51-((C51*(Main!$F$41/100))+(G51*(Main!$F$36/100))+(I51*(Main!$F$46/100))+(K51*(Main!$F$51/100))))/$E$6</f>
        <v>2.0632540372670807</v>
      </c>
      <c r="F51">
        <f>'Req. Diario'!F50</f>
        <v>5.216205209260001</v>
      </c>
      <c r="G51">
        <f>(F51-((C51*(Main!$G$41/100))+(E51*(Main!$G$31/100))+(I51*(Main!$G$46/100))+(K51*(Main!$G$51/100))))/$G$6</f>
        <v>8.693675348766668</v>
      </c>
      <c r="H51">
        <f>'Req. Diario'!G50</f>
        <v>0.8927581984728872</v>
      </c>
      <c r="I51">
        <f>H51/$I$6</f>
        <v>5.579738740455545</v>
      </c>
      <c r="J51">
        <f>'Req. Diario'!H50</f>
        <v>3.1053477986131286</v>
      </c>
      <c r="K51">
        <f>J51/$K$6</f>
        <v>0.00031053477986131285</v>
      </c>
      <c r="L51">
        <f>'Req. Diario'!I50</f>
        <v>17.3149</v>
      </c>
      <c r="M51">
        <f>L51/$M$6</f>
        <v>84.46292682926831</v>
      </c>
    </row>
    <row r="52">
      <c r="B52">
        <f>'Req. Diario'!D51</f>
        <v>4.625992387417126</v>
      </c>
      <c r="C52">
        <f>(B52-((E52*(Main!$E$31/100))+(G52*(Main!$E$36/100))+(I52*(Main!$E$46/100))+(K52*(Main!$E$51/100))))/$C$6</f>
        <v>9.249144914584894</v>
      </c>
      <c r="D52">
        <f>'Req. Diario'!E51</f>
        <v>0.9490968571428572</v>
      </c>
      <c r="E52">
        <f>(D52-((C52*(Main!$F$41/100))+(G52*(Main!$F$36/100))+(I52*(Main!$F$46/100))+(K52*(Main!$F$51/100))))/$E$6</f>
        <v>2.0632540372670807</v>
      </c>
      <c r="F52">
        <f>'Req. Diario'!F51</f>
        <v>5.216205209260001</v>
      </c>
      <c r="G52">
        <f>(F52-((C52*(Main!$G$41/100))+(E52*(Main!$G$31/100))+(I52*(Main!$G$46/100))+(K52*(Main!$G$51/100))))/$G$6</f>
        <v>8.693675348766668</v>
      </c>
      <c r="H52">
        <f>'Req. Diario'!G51</f>
        <v>0.8927581984728872</v>
      </c>
      <c r="I52">
        <f>H52/$I$6</f>
        <v>5.579738740455545</v>
      </c>
      <c r="J52">
        <f>'Req. Diario'!H51</f>
        <v>3.1053477986131286</v>
      </c>
      <c r="K52">
        <f>J52/$K$6</f>
        <v>0.00031053477986131285</v>
      </c>
      <c r="L52">
        <f>'Req. Diario'!I51</f>
        <v>17.3149</v>
      </c>
      <c r="M52">
        <f>L52/$M$6</f>
        <v>84.46292682926831</v>
      </c>
    </row>
    <row r="53">
      <c r="B53">
        <f>'Req. Diario'!D52</f>
        <v>4.625992387417126</v>
      </c>
      <c r="C53">
        <f>(B53-((E53*(Main!$E$31/100))+(G53*(Main!$E$36/100))+(I53*(Main!$E$46/100))+(K53*(Main!$E$51/100))))/$C$6</f>
        <v>9.249144914584894</v>
      </c>
      <c r="D53">
        <f>'Req. Diario'!E52</f>
        <v>0.9490968571428572</v>
      </c>
      <c r="E53">
        <f>(D53-((C53*(Main!$F$41/100))+(G53*(Main!$F$36/100))+(I53*(Main!$F$46/100))+(K53*(Main!$F$51/100))))/$E$6</f>
        <v>2.0632540372670807</v>
      </c>
      <c r="F53">
        <f>'Req. Diario'!F52</f>
        <v>5.216205209260001</v>
      </c>
      <c r="G53">
        <f>(F53-((C53*(Main!$G$41/100))+(E53*(Main!$G$31/100))+(I53*(Main!$G$46/100))+(K53*(Main!$G$51/100))))/$G$6</f>
        <v>8.693675348766668</v>
      </c>
      <c r="H53">
        <f>'Req. Diario'!G52</f>
        <v>0.8927581984728872</v>
      </c>
      <c r="I53">
        <f>H53/$I$6</f>
        <v>5.579738740455545</v>
      </c>
      <c r="J53">
        <f>'Req. Diario'!H52</f>
        <v>3.1053477986131286</v>
      </c>
      <c r="K53">
        <f>J53/$K$6</f>
        <v>0.00031053477986131285</v>
      </c>
      <c r="L53">
        <f>'Req. Diario'!I52</f>
        <v>17.3149</v>
      </c>
      <c r="M53">
        <f>L53/$M$6</f>
        <v>84.46292682926831</v>
      </c>
    </row>
    <row r="54">
      <c r="B54">
        <f>'Req. Diario'!D53</f>
        <v>4.625992387417126</v>
      </c>
      <c r="C54">
        <f>(B54-((E54*(Main!$E$31/100))+(G54*(Main!$E$36/100))+(I54*(Main!$E$46/100))+(K54*(Main!$E$51/100))))/$C$6</f>
        <v>9.249144914584894</v>
      </c>
      <c r="D54">
        <f>'Req. Diario'!E53</f>
        <v>0.9490968571428572</v>
      </c>
      <c r="E54">
        <f>(D54-((C54*(Main!$F$41/100))+(G54*(Main!$F$36/100))+(I54*(Main!$F$46/100))+(K54*(Main!$F$51/100))))/$E$6</f>
        <v>2.0632540372670807</v>
      </c>
      <c r="F54">
        <f>'Req. Diario'!F53</f>
        <v>5.216205209260001</v>
      </c>
      <c r="G54">
        <f>(F54-((C54*(Main!$G$41/100))+(E54*(Main!$G$31/100))+(I54*(Main!$G$46/100))+(K54*(Main!$G$51/100))))/$G$6</f>
        <v>8.693675348766668</v>
      </c>
      <c r="H54">
        <f>'Req. Diario'!G53</f>
        <v>0.8927581984728872</v>
      </c>
      <c r="I54">
        <f>H54/$I$6</f>
        <v>5.579738740455545</v>
      </c>
      <c r="J54">
        <f>'Req. Diario'!H53</f>
        <v>3.1053477986131286</v>
      </c>
      <c r="K54">
        <f>J54/$K$6</f>
        <v>0.00031053477986131285</v>
      </c>
      <c r="L54">
        <f>'Req. Diario'!I53</f>
        <v>23.426</v>
      </c>
      <c r="M54">
        <f>L54/$M$6</f>
        <v>114.27317073170731</v>
      </c>
    </row>
    <row r="55">
      <c r="B55">
        <f>'Req. Diario'!D54</f>
        <v>4.625992387417126</v>
      </c>
      <c r="C55">
        <f>(B55-((E55*(Main!$E$31/100))+(G55*(Main!$E$36/100))+(I55*(Main!$E$46/100))+(K55*(Main!$E$51/100))))/$C$6</f>
        <v>9.249144914584894</v>
      </c>
      <c r="D55">
        <f>'Req. Diario'!E54</f>
        <v>0.9490968571428572</v>
      </c>
      <c r="E55">
        <f>(D55-((C55*(Main!$F$41/100))+(G55*(Main!$F$36/100))+(I55*(Main!$F$46/100))+(K55*(Main!$F$51/100))))/$E$6</f>
        <v>2.0632540372670807</v>
      </c>
      <c r="F55">
        <f>'Req. Diario'!F54</f>
        <v>5.216205209260001</v>
      </c>
      <c r="G55">
        <f>(F55-((C55*(Main!$G$41/100))+(E55*(Main!$G$31/100))+(I55*(Main!$G$46/100))+(K55*(Main!$G$51/100))))/$G$6</f>
        <v>8.693675348766668</v>
      </c>
      <c r="H55">
        <f>'Req. Diario'!G54</f>
        <v>0.8927581984728872</v>
      </c>
      <c r="I55">
        <f>H55/$I$6</f>
        <v>5.579738740455545</v>
      </c>
      <c r="J55">
        <f>'Req. Diario'!H54</f>
        <v>3.1053477986131286</v>
      </c>
      <c r="K55">
        <f>J55/$K$6</f>
        <v>0.00031053477986131285</v>
      </c>
      <c r="L55">
        <f>'Req. Diario'!I54</f>
        <v>23.426</v>
      </c>
      <c r="M55">
        <f>L55/$M$6</f>
        <v>114.27317073170731</v>
      </c>
    </row>
    <row r="56">
      <c r="A56">
        <v>8</v>
      </c>
      <c r="B56">
        <f>'Req. Diario'!D55</f>
        <v>4.306958429664221</v>
      </c>
      <c r="C56">
        <f>(B56-((E56*(Main!$E$31/100))+(G56*(Main!$E$36/100))+(I56*(Main!$E$46/100))+(K56*(Main!$E$51/100))))/$C$6</f>
        <v>8.555592832513362</v>
      </c>
      <c r="D56">
        <f>'Req. Diario'!E55</f>
        <v>0.9490968571428572</v>
      </c>
      <c r="E56">
        <f>(D56-((C56*(Main!$F$41/100))+(G56*(Main!$F$36/100))+(I56*(Main!$F$46/100))+(K56*(Main!$F$51/100))))/$E$6</f>
        <v>2.0632540372670807</v>
      </c>
      <c r="F56">
        <f>'Req. Diario'!F55</f>
        <v>5.216205209260001</v>
      </c>
      <c r="G56">
        <f>(F56-((C56*(Main!$G$41/100))+(E56*(Main!$G$31/100))+(I56*(Main!$G$46/100))+(K56*(Main!$G$51/100))))/$G$6</f>
        <v>8.693675348766668</v>
      </c>
      <c r="H56">
        <f>'Req. Diario'!G55</f>
        <v>0.8927581984728872</v>
      </c>
      <c r="I56">
        <f>H56/$I$6</f>
        <v>5.579738740455545</v>
      </c>
      <c r="J56">
        <f>'Req. Diario'!H55</f>
        <v>3.1053477986131286</v>
      </c>
      <c r="K56">
        <f>J56/$K$6</f>
        <v>0.00031053477986131285</v>
      </c>
      <c r="L56">
        <f>'Req. Diario'!I55</f>
        <v>23.426</v>
      </c>
      <c r="M56">
        <f>L56/$M$6</f>
        <v>114.27317073170731</v>
      </c>
    </row>
    <row r="57">
      <c r="B57">
        <f>'Req. Diario'!D56</f>
        <v>4.306958429664221</v>
      </c>
      <c r="C57">
        <f>(B57-((E57*(Main!$E$31/100))+(G57*(Main!$E$36/100))+(I57*(Main!$E$46/100))+(K57*(Main!$E$51/100))))/$C$6</f>
        <v>8.555592832513362</v>
      </c>
      <c r="D57">
        <f>'Req. Diario'!E56</f>
        <v>0.9490968571428572</v>
      </c>
      <c r="E57">
        <f>(D57-((C57*(Main!$F$41/100))+(G57*(Main!$F$36/100))+(I57*(Main!$F$46/100))+(K57*(Main!$F$51/100))))/$E$6</f>
        <v>2.0632540372670807</v>
      </c>
      <c r="F57">
        <f>'Req. Diario'!F56</f>
        <v>5.216205209260001</v>
      </c>
      <c r="G57">
        <f>(F57-((C57*(Main!$G$41/100))+(E57*(Main!$G$31/100))+(I57*(Main!$G$46/100))+(K57*(Main!$G$51/100))))/$G$6</f>
        <v>8.693675348766668</v>
      </c>
      <c r="H57">
        <f>'Req. Diario'!G56</f>
        <v>0.8927581984728872</v>
      </c>
      <c r="I57">
        <f>H57/$I$6</f>
        <v>5.579738740455545</v>
      </c>
      <c r="J57">
        <f>'Req. Diario'!H56</f>
        <v>3.1053477986131286</v>
      </c>
      <c r="K57">
        <f>J57/$K$6</f>
        <v>0.00031053477986131285</v>
      </c>
      <c r="L57">
        <f>'Req. Diario'!I56</f>
        <v>23.426</v>
      </c>
      <c r="M57">
        <f>L57/$M$6</f>
        <v>114.27317073170731</v>
      </c>
    </row>
    <row r="58">
      <c r="B58">
        <f>'Req. Diario'!D57</f>
        <v>4.306958429664221</v>
      </c>
      <c r="C58">
        <f>(B58-((E58*(Main!$E$31/100))+(G58*(Main!$E$36/100))+(I58*(Main!$E$46/100))+(K58*(Main!$E$51/100))))/$C$6</f>
        <v>8.555592832513362</v>
      </c>
      <c r="D58">
        <f>'Req. Diario'!E57</f>
        <v>0.9490968571428572</v>
      </c>
      <c r="E58">
        <f>(D58-((C58*(Main!$F$41/100))+(G58*(Main!$F$36/100))+(I58*(Main!$F$46/100))+(K58*(Main!$F$51/100))))/$E$6</f>
        <v>2.0632540372670807</v>
      </c>
      <c r="F58">
        <f>'Req. Diario'!F57</f>
        <v>5.216205209260001</v>
      </c>
      <c r="G58">
        <f>(F58-((C58*(Main!$G$41/100))+(E58*(Main!$G$31/100))+(I58*(Main!$G$46/100))+(K58*(Main!$G$51/100))))/$G$6</f>
        <v>8.693675348766668</v>
      </c>
      <c r="H58">
        <f>'Req. Diario'!G57</f>
        <v>0.8927581984728872</v>
      </c>
      <c r="I58">
        <f>H58/$I$6</f>
        <v>5.579738740455545</v>
      </c>
      <c r="J58">
        <f>'Req. Diario'!H57</f>
        <v>3.1053477986131286</v>
      </c>
      <c r="K58">
        <f>J58/$K$6</f>
        <v>0.00031053477986131285</v>
      </c>
      <c r="L58">
        <f>'Req. Diario'!I57</f>
        <v>23.426</v>
      </c>
      <c r="M58">
        <f>L58/$M$6</f>
        <v>114.27317073170731</v>
      </c>
    </row>
    <row r="59">
      <c r="B59">
        <f>'Req. Diario'!D58</f>
        <v>4.306958429664221</v>
      </c>
      <c r="C59">
        <f>(B59-((E59*(Main!$E$31/100))+(G59*(Main!$E$36/100))+(I59*(Main!$E$46/100))+(K59*(Main!$E$51/100))))/$C$6</f>
        <v>8.555592832513362</v>
      </c>
      <c r="D59">
        <f>'Req. Diario'!E58</f>
        <v>0.9490968571428572</v>
      </c>
      <c r="E59">
        <f>(D59-((C59*(Main!$F$41/100))+(G59*(Main!$F$36/100))+(I59*(Main!$F$46/100))+(K59*(Main!$F$51/100))))/$E$6</f>
        <v>2.0632540372670807</v>
      </c>
      <c r="F59">
        <f>'Req. Diario'!F58</f>
        <v>5.216205209260001</v>
      </c>
      <c r="G59">
        <f>(F59-((C59*(Main!$G$41/100))+(E59*(Main!$G$31/100))+(I59*(Main!$G$46/100))+(K59*(Main!$G$51/100))))/$G$6</f>
        <v>8.693675348766668</v>
      </c>
      <c r="H59">
        <f>'Req. Diario'!G58</f>
        <v>0.8927581984728872</v>
      </c>
      <c r="I59">
        <f>H59/$I$6</f>
        <v>5.579738740455545</v>
      </c>
      <c r="J59">
        <f>'Req. Diario'!H58</f>
        <v>3.1053477986131286</v>
      </c>
      <c r="K59">
        <f>J59/$K$6</f>
        <v>0.00031053477986131285</v>
      </c>
      <c r="L59">
        <f>'Req. Diario'!I58</f>
        <v>23.426</v>
      </c>
      <c r="M59">
        <f>L59/$M$6</f>
        <v>114.27317073170731</v>
      </c>
    </row>
    <row r="60">
      <c r="B60">
        <f>'Req. Diario'!D59</f>
        <v>4.306958429664221</v>
      </c>
      <c r="C60">
        <f>(B60-((E60*(Main!$E$31/100))+(G60*(Main!$E$36/100))+(I60*(Main!$E$46/100))+(K60*(Main!$E$51/100))))/$C$6</f>
        <v>8.555592832513362</v>
      </c>
      <c r="D60">
        <f>'Req. Diario'!E59</f>
        <v>0.9490968571428572</v>
      </c>
      <c r="E60">
        <f>(D60-((C60*(Main!$F$41/100))+(G60*(Main!$F$36/100))+(I60*(Main!$F$46/100))+(K60*(Main!$F$51/100))))/$E$6</f>
        <v>2.0632540372670807</v>
      </c>
      <c r="F60">
        <f>'Req. Diario'!F59</f>
        <v>5.216205209260001</v>
      </c>
      <c r="G60">
        <f>(F60-((C60*(Main!$G$41/100))+(E60*(Main!$G$31/100))+(I60*(Main!$G$46/100))+(K60*(Main!$G$51/100))))/$G$6</f>
        <v>8.693675348766668</v>
      </c>
      <c r="H60">
        <f>'Req. Diario'!G59</f>
        <v>0.8927581984728872</v>
      </c>
      <c r="I60">
        <f>H60/$I$6</f>
        <v>5.579738740455545</v>
      </c>
      <c r="J60">
        <f>'Req. Diario'!H59</f>
        <v>3.1053477986131286</v>
      </c>
      <c r="K60">
        <f>J60/$K$6</f>
        <v>0.00031053477986131285</v>
      </c>
      <c r="L60">
        <f>'Req. Diario'!I59</f>
        <v>23.426</v>
      </c>
      <c r="M60">
        <f>L60/$M$6</f>
        <v>114.27317073170731</v>
      </c>
    </row>
    <row r="61">
      <c r="B61">
        <f>'Req. Diario'!D60</f>
        <v>4.306958429664221</v>
      </c>
      <c r="C61">
        <f>(B61-((E61*(Main!$E$31/100))+(G61*(Main!$E$36/100))+(I61*(Main!$E$46/100))+(K61*(Main!$E$51/100))))/$C$6</f>
        <v>8.555592832513362</v>
      </c>
      <c r="D61">
        <f>'Req. Diario'!E60</f>
        <v>0.9490968571428572</v>
      </c>
      <c r="E61">
        <f>(D61-((C61*(Main!$F$41/100))+(G61*(Main!$F$36/100))+(I61*(Main!$F$46/100))+(K61*(Main!$F$51/100))))/$E$6</f>
        <v>2.0632540372670807</v>
      </c>
      <c r="F61">
        <f>'Req. Diario'!F60</f>
        <v>5.216205209260001</v>
      </c>
      <c r="G61">
        <f>(F61-((C61*(Main!$G$41/100))+(E61*(Main!$G$31/100))+(I61*(Main!$G$46/100))+(K61*(Main!$G$51/100))))/$G$6</f>
        <v>8.693675348766668</v>
      </c>
      <c r="H61">
        <f>'Req. Diario'!G60</f>
        <v>0.8927581984728872</v>
      </c>
      <c r="I61">
        <f>H61/$I$6</f>
        <v>5.579738740455545</v>
      </c>
      <c r="J61">
        <f>'Req. Diario'!H60</f>
        <v>3.1053477986131286</v>
      </c>
      <c r="K61">
        <f>J61/$K$6</f>
        <v>0.00031053477986131285</v>
      </c>
      <c r="L61">
        <f>'Req. Diario'!I60</f>
        <v>23.426</v>
      </c>
      <c r="M61">
        <f>L61/$M$6</f>
        <v>114.27317073170731</v>
      </c>
    </row>
    <row r="62">
      <c r="B62">
        <f>'Req. Diario'!D61</f>
        <v>4.306958429664221</v>
      </c>
      <c r="C62">
        <f>(B62-((E62*(Main!$E$31/100))+(G62*(Main!$E$36/100))+(I62*(Main!$E$46/100))+(K62*(Main!$E$51/100))))/$C$6</f>
        <v>8.555592832513362</v>
      </c>
      <c r="D62">
        <f>'Req. Diario'!E61</f>
        <v>0.9490968571428572</v>
      </c>
      <c r="E62">
        <f>(D62-((C62*(Main!$F$41/100))+(G62*(Main!$F$36/100))+(I62*(Main!$F$46/100))+(K62*(Main!$F$51/100))))/$E$6</f>
        <v>2.0632540372670807</v>
      </c>
      <c r="F62">
        <f>'Req. Diario'!F61</f>
        <v>5.216205209260001</v>
      </c>
      <c r="G62">
        <f>(F62-((C62*(Main!$G$41/100))+(E62*(Main!$G$31/100))+(I62*(Main!$G$46/100))+(K62*(Main!$G$51/100))))/$G$6</f>
        <v>8.693675348766668</v>
      </c>
      <c r="H62">
        <f>'Req. Diario'!G61</f>
        <v>0.8927581984728872</v>
      </c>
      <c r="I62">
        <f>H62/$I$6</f>
        <v>5.579738740455545</v>
      </c>
      <c r="J62">
        <f>'Req. Diario'!H61</f>
        <v>3.1053477986131286</v>
      </c>
      <c r="K62">
        <f>J62/$K$6</f>
        <v>0.00031053477986131285</v>
      </c>
      <c r="L62">
        <f>'Req. Diario'!I61</f>
        <v>23.426</v>
      </c>
      <c r="M62">
        <f>L62/$M$6</f>
        <v>114.27317073170731</v>
      </c>
    </row>
    <row r="63">
      <c r="A63">
        <v>9</v>
      </c>
      <c r="B63">
        <f>'Req. Diario'!D62</f>
        <v>4.306958429664221</v>
      </c>
      <c r="C63">
        <f>(B63-((E63*(Main!$E$31/100))+(G63*(Main!$E$36/100))+(I63*(Main!$E$46/100))+(K63*(Main!$E$51/100))))/$C$6</f>
        <v>8.555592832513362</v>
      </c>
      <c r="D63">
        <f>'Req. Diario'!E62</f>
        <v>0.9490968571428572</v>
      </c>
      <c r="E63">
        <f>(D63-((C63*(Main!$F$41/100))+(G63*(Main!$F$36/100))+(I63*(Main!$F$46/100))+(K63*(Main!$F$51/100))))/$E$6</f>
        <v>2.0632540372670807</v>
      </c>
      <c r="F63">
        <f>'Req. Diario'!F62</f>
        <v>5.216205209260001</v>
      </c>
      <c r="G63">
        <f>(F63-((C63*(Main!$G$41/100))+(E63*(Main!$G$31/100))+(I63*(Main!$G$46/100))+(K63*(Main!$G$51/100))))/$G$6</f>
        <v>8.693675348766668</v>
      </c>
      <c r="H63">
        <f>'Req. Diario'!G62</f>
        <v>0.8927581984728872</v>
      </c>
      <c r="I63">
        <f>H63/$I$6</f>
        <v>5.579738740455545</v>
      </c>
      <c r="J63">
        <f>'Req. Diario'!H62</f>
        <v>3.1053477986131286</v>
      </c>
      <c r="K63">
        <f>J63/$K$6</f>
        <v>0.00031053477986131285</v>
      </c>
      <c r="L63">
        <f>'Req. Diario'!I62</f>
        <v>23.426</v>
      </c>
      <c r="M63">
        <f>L63/$M$6</f>
        <v>114.27317073170731</v>
      </c>
    </row>
    <row r="64">
      <c r="B64">
        <f>'Req. Diario'!D63</f>
        <v>4.306958429664221</v>
      </c>
      <c r="C64">
        <f>(B64-((E64*(Main!$E$31/100))+(G64*(Main!$E$36/100))+(I64*(Main!$E$46/100))+(K64*(Main!$E$51/100))))/$C$6</f>
        <v>8.555592832513362</v>
      </c>
      <c r="D64">
        <f>'Req. Diario'!E63</f>
        <v>0.9490968571428572</v>
      </c>
      <c r="E64">
        <f>(D64-((C64*(Main!$F$41/100))+(G64*(Main!$F$36/100))+(I64*(Main!$F$46/100))+(K64*(Main!$F$51/100))))/$E$6</f>
        <v>2.0632540372670807</v>
      </c>
      <c r="F64">
        <f>'Req. Diario'!F63</f>
        <v>5.216205209260001</v>
      </c>
      <c r="G64">
        <f>(F64-((C64*(Main!$G$41/100))+(E64*(Main!$G$31/100))+(I64*(Main!$G$46/100))+(K64*(Main!$G$51/100))))/$G$6</f>
        <v>8.693675348766668</v>
      </c>
      <c r="H64">
        <f>'Req. Diario'!G63</f>
        <v>0.8927581984728872</v>
      </c>
      <c r="I64">
        <f>H64/$I$6</f>
        <v>5.579738740455545</v>
      </c>
      <c r="J64">
        <f>'Req. Diario'!H63</f>
        <v>3.1053477986131286</v>
      </c>
      <c r="K64">
        <f>J64/$K$6</f>
        <v>0.00031053477986131285</v>
      </c>
      <c r="L64">
        <f>'Req. Diario'!I63</f>
        <v>23.426</v>
      </c>
      <c r="M64">
        <f>L64/$M$6</f>
        <v>114.27317073170731</v>
      </c>
    </row>
    <row r="65">
      <c r="B65">
        <f>'Req. Diario'!D64</f>
        <v>4.306958429664221</v>
      </c>
      <c r="C65">
        <f>(B65-((E65*(Main!$E$31/100))+(G65*(Main!$E$36/100))+(I65*(Main!$E$46/100))+(K65*(Main!$E$51/100))))/$C$6</f>
        <v>8.555592832513362</v>
      </c>
      <c r="D65">
        <f>'Req. Diario'!E64</f>
        <v>0.9490968571428572</v>
      </c>
      <c r="E65">
        <f>(D65-((C65*(Main!$F$41/100))+(G65*(Main!$F$36/100))+(I65*(Main!$F$46/100))+(K65*(Main!$F$51/100))))/$E$6</f>
        <v>2.0632540372670807</v>
      </c>
      <c r="F65">
        <f>'Req. Diario'!F64</f>
        <v>5.216205209260001</v>
      </c>
      <c r="G65">
        <f>(F65-((C65*(Main!$G$41/100))+(E65*(Main!$G$31/100))+(I65*(Main!$G$46/100))+(K65*(Main!$G$51/100))))/$G$6</f>
        <v>8.693675348766668</v>
      </c>
      <c r="H65">
        <f>'Req. Diario'!G64</f>
        <v>0.8927581984728872</v>
      </c>
      <c r="I65">
        <f>H65/$I$6</f>
        <v>5.579738740455545</v>
      </c>
      <c r="J65">
        <f>'Req. Diario'!H64</f>
        <v>3.1053477986131286</v>
      </c>
      <c r="K65">
        <f>J65/$K$6</f>
        <v>0.00031053477986131285</v>
      </c>
      <c r="L65">
        <f>'Req. Diario'!I64</f>
        <v>23.426</v>
      </c>
      <c r="M65">
        <f>L65/$M$6</f>
        <v>114.27317073170731</v>
      </c>
    </row>
    <row r="66">
      <c r="B66">
        <f>'Req. Diario'!D65</f>
        <v>4.306958429664221</v>
      </c>
      <c r="C66">
        <f>(B66-((E66*(Main!$E$31/100))+(G66*(Main!$E$36/100))+(I66*(Main!$E$46/100))+(K66*(Main!$E$51/100))))/$C$6</f>
        <v>8.555592832513362</v>
      </c>
      <c r="D66">
        <f>'Req. Diario'!E65</f>
        <v>0.9490968571428572</v>
      </c>
      <c r="E66">
        <f>(D66-((C66*(Main!$F$41/100))+(G66*(Main!$F$36/100))+(I66*(Main!$F$46/100))+(K66*(Main!$F$51/100))))/$E$6</f>
        <v>2.0632540372670807</v>
      </c>
      <c r="F66">
        <f>'Req. Diario'!F65</f>
        <v>5.216205209260001</v>
      </c>
      <c r="G66">
        <f>(F66-((C66*(Main!$G$41/100))+(E66*(Main!$G$31/100))+(I66*(Main!$G$46/100))+(K66*(Main!$G$51/100))))/$G$6</f>
        <v>8.693675348766668</v>
      </c>
      <c r="H66">
        <f>'Req. Diario'!G65</f>
        <v>0.8927581984728872</v>
      </c>
      <c r="I66">
        <f>H66/$I$6</f>
        <v>5.579738740455545</v>
      </c>
      <c r="J66">
        <f>'Req. Diario'!H65</f>
        <v>3.1053477986131286</v>
      </c>
      <c r="K66">
        <f>J66/$K$6</f>
        <v>0.00031053477986131285</v>
      </c>
      <c r="L66">
        <f>'Req. Diario'!I65</f>
        <v>23.426</v>
      </c>
      <c r="M66">
        <f>L66/$M$6</f>
        <v>114.27317073170731</v>
      </c>
    </row>
    <row r="67">
      <c r="B67">
        <f>'Req. Diario'!D66</f>
        <v>4.306958429664221</v>
      </c>
      <c r="C67">
        <f>(B67-((E67*(Main!$E$31/100))+(G67*(Main!$E$36/100))+(I67*(Main!$E$46/100))+(K67*(Main!$E$51/100))))/$C$6</f>
        <v>8.555592832513362</v>
      </c>
      <c r="D67">
        <f>'Req. Diario'!E66</f>
        <v>0.9490968571428572</v>
      </c>
      <c r="E67">
        <f>(D67-((C67*(Main!$F$41/100))+(G67*(Main!$F$36/100))+(I67*(Main!$F$46/100))+(K67*(Main!$F$51/100))))/$E$6</f>
        <v>2.0632540372670807</v>
      </c>
      <c r="F67">
        <f>'Req. Diario'!F66</f>
        <v>5.216205209260001</v>
      </c>
      <c r="G67">
        <f>(F67-((C67*(Main!$G$41/100))+(E67*(Main!$G$31/100))+(I67*(Main!$G$46/100))+(K67*(Main!$G$51/100))))/$G$6</f>
        <v>8.693675348766668</v>
      </c>
      <c r="H67">
        <f>'Req. Diario'!G66</f>
        <v>0.8927581984728872</v>
      </c>
      <c r="I67">
        <f>H67/$I$6</f>
        <v>5.579738740455545</v>
      </c>
      <c r="J67">
        <f>'Req. Diario'!H66</f>
        <v>3.1053477986131286</v>
      </c>
      <c r="K67">
        <f>J67/$K$6</f>
        <v>0.00031053477986131285</v>
      </c>
      <c r="L67">
        <f>'Req. Diario'!I66</f>
        <v>23.426</v>
      </c>
      <c r="M67">
        <f>L67/$M$6</f>
        <v>114.27317073170731</v>
      </c>
    </row>
    <row r="68">
      <c r="B68">
        <f>'Req. Diario'!D67</f>
        <v>4.306958429664221</v>
      </c>
      <c r="C68">
        <f>(B68-((E68*(Main!$E$31/100))+(G68*(Main!$E$36/100))+(I68*(Main!$E$46/100))+(K68*(Main!$E$51/100))))/$C$6</f>
        <v>8.555592832513362</v>
      </c>
      <c r="D68">
        <f>'Req. Diario'!E67</f>
        <v>0.9490968571428572</v>
      </c>
      <c r="E68">
        <f>(D68-((C68*(Main!$F$41/100))+(G68*(Main!$F$36/100))+(I68*(Main!$F$46/100))+(K68*(Main!$F$51/100))))/$E$6</f>
        <v>2.0632540372670807</v>
      </c>
      <c r="F68">
        <f>'Req. Diario'!F67</f>
        <v>5.216205209260001</v>
      </c>
      <c r="G68">
        <f>(F68-((C68*(Main!$G$41/100))+(E68*(Main!$G$31/100))+(I68*(Main!$G$46/100))+(K68*(Main!$G$51/100))))/$G$6</f>
        <v>8.693675348766668</v>
      </c>
      <c r="H68">
        <f>'Req. Diario'!G67</f>
        <v>0.8927581984728872</v>
      </c>
      <c r="I68">
        <f>H68/$I$6</f>
        <v>5.579738740455545</v>
      </c>
      <c r="J68">
        <f>'Req. Diario'!H67</f>
        <v>3.1053477986131286</v>
      </c>
      <c r="K68">
        <f>J68/$K$6</f>
        <v>0.00031053477986131285</v>
      </c>
      <c r="L68">
        <f>'Req. Diario'!I67</f>
        <v>23.426</v>
      </c>
      <c r="M68">
        <f>L68/$M$6</f>
        <v>114.27317073170731</v>
      </c>
    </row>
    <row r="69">
      <c r="B69">
        <f>'Req. Diario'!D68</f>
        <v>4.306958429664221</v>
      </c>
      <c r="C69">
        <f>(B69-((E69*(Main!$E$31/100))+(G69*(Main!$E$36/100))+(I69*(Main!$E$46/100))+(K69*(Main!$E$51/100))))/$C$6</f>
        <v>8.555592832513362</v>
      </c>
      <c r="D69">
        <f>'Req. Diario'!E68</f>
        <v>0.9490968571428572</v>
      </c>
      <c r="E69">
        <f>(D69-((C69*(Main!$F$41/100))+(G69*(Main!$F$36/100))+(I69*(Main!$F$46/100))+(K69*(Main!$F$51/100))))/$E$6</f>
        <v>2.0632540372670807</v>
      </c>
      <c r="F69">
        <f>'Req. Diario'!F68</f>
        <v>5.216205209260001</v>
      </c>
      <c r="G69">
        <f>(F69-((C69*(Main!$G$41/100))+(E69*(Main!$G$31/100))+(I69*(Main!$G$46/100))+(K69*(Main!$G$51/100))))/$G$6</f>
        <v>8.693675348766668</v>
      </c>
      <c r="H69">
        <f>'Req. Diario'!G68</f>
        <v>0.8927581984728872</v>
      </c>
      <c r="I69">
        <f>H69/$I$6</f>
        <v>5.579738740455545</v>
      </c>
      <c r="J69">
        <f>'Req. Diario'!H68</f>
        <v>3.1053477986131286</v>
      </c>
      <c r="K69">
        <f>J69/$K$6</f>
        <v>0.00031053477986131285</v>
      </c>
      <c r="L69">
        <f>'Req. Diario'!I68</f>
        <v>29.5372</v>
      </c>
      <c r="M69">
        <f>L69/$M$6</f>
        <v>144.0839024390244</v>
      </c>
    </row>
    <row r="70">
      <c r="A70">
        <v>10</v>
      </c>
      <c r="B70">
        <f>'Req. Diario'!D69</f>
        <v>3.6697247706422016</v>
      </c>
      <c r="C70">
        <f>(B70-((E70*(Main!$E$31/100))+(G70*(Main!$E$36/100))+(I70*(Main!$E$46/100))+(K70*(Main!$E$51/100))))/$C$6</f>
        <v>6.766622131695847</v>
      </c>
      <c r="D70">
        <f>'Req. Diario'!E69</f>
        <v>1.4236452857142858</v>
      </c>
      <c r="E70">
        <f>(D70-((C70*(Main!$F$41/100))+(G70*(Main!$F$36/100))+(I70*(Main!$F$46/100))+(K70*(Main!$F$51/100))))/$E$6</f>
        <v>3.0948810559006215</v>
      </c>
      <c r="F70">
        <f>'Req. Diario'!F69</f>
        <v>5</v>
      </c>
      <c r="G70">
        <f>(F70-((C70*(Main!$G$41/100))+(E70*(Main!$G$31/100))+(I70*(Main!$G$46/100))+(K70*(Main!$G$51/100))))/$G$6</f>
        <v>8.333333333333334</v>
      </c>
      <c r="H70">
        <f>'Req. Diario'!G69</f>
        <v>0.8557544830560249</v>
      </c>
      <c r="I70">
        <f>H70/$I$6</f>
        <v>5.348465519100155</v>
      </c>
      <c r="J70">
        <f>'Req. Diario'!H69</f>
        <v>2.9766350000000004</v>
      </c>
      <c r="K70">
        <f>J70/$K$6</f>
        <v>0.00029766350000000005</v>
      </c>
      <c r="L70">
        <f>'Req. Diario'!I69</f>
        <v>29.5372</v>
      </c>
      <c r="M70">
        <f>L70/$M$6</f>
        <v>144.0839024390244</v>
      </c>
    </row>
    <row r="71">
      <c r="B71">
        <f>'Req. Diario'!D70</f>
        <v>3.6697247706422016</v>
      </c>
      <c r="C71">
        <f>(B71-((E71*(Main!$E$31/100))+(G71*(Main!$E$36/100))+(I71*(Main!$E$46/100))+(K71*(Main!$E$51/100))))/$C$6</f>
        <v>6.766622131695847</v>
      </c>
      <c r="D71">
        <f>'Req. Diario'!E70</f>
        <v>1.4236452857142858</v>
      </c>
      <c r="E71">
        <f>(D71-((C71*(Main!$F$41/100))+(G71*(Main!$F$36/100))+(I71*(Main!$F$46/100))+(K71*(Main!$F$51/100))))/$E$6</f>
        <v>3.0948810559006215</v>
      </c>
      <c r="F71">
        <f>'Req. Diario'!F70</f>
        <v>5</v>
      </c>
      <c r="G71">
        <f>(F71-((C71*(Main!$G$41/100))+(E71*(Main!$G$31/100))+(I71*(Main!$G$46/100))+(K71*(Main!$G$51/100))))/$G$6</f>
        <v>8.333333333333334</v>
      </c>
      <c r="H71">
        <f>'Req. Diario'!G70</f>
        <v>0.8557544830560249</v>
      </c>
      <c r="I71">
        <f>H71/$I$6</f>
        <v>5.348465519100155</v>
      </c>
      <c r="J71">
        <f>'Req. Diario'!H70</f>
        <v>2.9766350000000004</v>
      </c>
      <c r="K71">
        <f>J71/$K$6</f>
        <v>0.00029766350000000005</v>
      </c>
      <c r="L71">
        <f>'Req. Diario'!I70</f>
        <v>29.5372</v>
      </c>
      <c r="M71">
        <f>L71/$M$6</f>
        <v>144.0839024390244</v>
      </c>
    </row>
    <row r="72">
      <c r="B72">
        <f>'Req. Diario'!D71</f>
        <v>3.6697247706422016</v>
      </c>
      <c r="C72">
        <f>(B72-((E72*(Main!$E$31/100))+(G72*(Main!$E$36/100))+(I72*(Main!$E$46/100))+(K72*(Main!$E$51/100))))/$C$6</f>
        <v>6.766622131695847</v>
      </c>
      <c r="D72">
        <f>'Req. Diario'!E71</f>
        <v>1.4236452857142858</v>
      </c>
      <c r="E72">
        <f>(D72-((C72*(Main!$F$41/100))+(G72*(Main!$F$36/100))+(I72*(Main!$F$46/100))+(K72*(Main!$F$51/100))))/$E$6</f>
        <v>3.0948810559006215</v>
      </c>
      <c r="F72">
        <f>'Req. Diario'!F71</f>
        <v>5</v>
      </c>
      <c r="G72">
        <f>(F72-((C72*(Main!$G$41/100))+(E72*(Main!$G$31/100))+(I72*(Main!$G$46/100))+(K72*(Main!$G$51/100))))/$G$6</f>
        <v>8.333333333333334</v>
      </c>
      <c r="H72">
        <f>'Req. Diario'!G71</f>
        <v>0.8557544830560249</v>
      </c>
      <c r="I72">
        <f>H72/$I$6</f>
        <v>5.348465519100155</v>
      </c>
      <c r="J72">
        <f>'Req. Diario'!H71</f>
        <v>2.9766350000000004</v>
      </c>
      <c r="K72">
        <f>J72/$K$6</f>
        <v>0.00029766350000000005</v>
      </c>
      <c r="L72">
        <f>'Req. Diario'!I71</f>
        <v>29.5372</v>
      </c>
      <c r="M72">
        <f>L72/$M$6</f>
        <v>144.0839024390244</v>
      </c>
    </row>
    <row r="73">
      <c r="B73">
        <f>'Req. Diario'!D72</f>
        <v>3.6697247706422016</v>
      </c>
      <c r="C73">
        <f>(B73-((E73*(Main!$E$31/100))+(G73*(Main!$E$36/100))+(I73*(Main!$E$46/100))+(K73*(Main!$E$51/100))))/$C$6</f>
        <v>6.766622131695847</v>
      </c>
      <c r="D73">
        <f>'Req. Diario'!E72</f>
        <v>1.4236452857142858</v>
      </c>
      <c r="E73">
        <f>(D73-((C73*(Main!$F$41/100))+(G73*(Main!$F$36/100))+(I73*(Main!$F$46/100))+(K73*(Main!$F$51/100))))/$E$6</f>
        <v>3.0948810559006215</v>
      </c>
      <c r="F73">
        <f>'Req. Diario'!F72</f>
        <v>5</v>
      </c>
      <c r="G73">
        <f>(F73-((C73*(Main!$G$41/100))+(E73*(Main!$G$31/100))+(I73*(Main!$G$46/100))+(K73*(Main!$G$51/100))))/$G$6</f>
        <v>8.333333333333334</v>
      </c>
      <c r="H73">
        <f>'Req. Diario'!G72</f>
        <v>0.8557544830560249</v>
      </c>
      <c r="I73">
        <f>H73/$I$6</f>
        <v>5.348465519100155</v>
      </c>
      <c r="J73">
        <f>'Req. Diario'!H72</f>
        <v>2.9766350000000004</v>
      </c>
      <c r="K73">
        <f>J73/$K$6</f>
        <v>0.00029766350000000005</v>
      </c>
      <c r="L73">
        <f>'Req. Diario'!I72</f>
        <v>29.5372</v>
      </c>
      <c r="M73">
        <f>L73/$M$6</f>
        <v>144.0839024390244</v>
      </c>
    </row>
    <row r="74">
      <c r="B74">
        <f>'Req. Diario'!D73</f>
        <v>3.6697247706422016</v>
      </c>
      <c r="C74">
        <f>(B74-((E74*(Main!$E$31/100))+(G74*(Main!$E$36/100))+(I74*(Main!$E$46/100))+(K74*(Main!$E$51/100))))/$C$6</f>
        <v>6.766622131695847</v>
      </c>
      <c r="D74">
        <f>'Req. Diario'!E73</f>
        <v>1.4236452857142858</v>
      </c>
      <c r="E74">
        <f>(D74-((C74*(Main!$F$41/100))+(G74*(Main!$F$36/100))+(I74*(Main!$F$46/100))+(K74*(Main!$F$51/100))))/$E$6</f>
        <v>3.0948810559006215</v>
      </c>
      <c r="F74">
        <f>'Req. Diario'!F73</f>
        <v>5</v>
      </c>
      <c r="G74">
        <f>(F74-((C74*(Main!$G$41/100))+(E74*(Main!$G$31/100))+(I74*(Main!$G$46/100))+(K74*(Main!$G$51/100))))/$G$6</f>
        <v>8.333333333333334</v>
      </c>
      <c r="H74">
        <f>'Req. Diario'!G73</f>
        <v>0.8557544830560249</v>
      </c>
      <c r="I74">
        <f>H74/$I$6</f>
        <v>5.348465519100155</v>
      </c>
      <c r="J74">
        <f>'Req. Diario'!H73</f>
        <v>2.9766350000000004</v>
      </c>
      <c r="K74">
        <f>J74/$K$6</f>
        <v>0.00029766350000000005</v>
      </c>
      <c r="L74">
        <f>'Req. Diario'!I73</f>
        <v>29.5372</v>
      </c>
      <c r="M74">
        <f>L74/$M$6</f>
        <v>144.0839024390244</v>
      </c>
    </row>
    <row r="75">
      <c r="B75">
        <f>'Req. Diario'!D74</f>
        <v>3.6697247706422016</v>
      </c>
      <c r="C75">
        <f>(B75-((E75*(Main!$E$31/100))+(G75*(Main!$E$36/100))+(I75*(Main!$E$46/100))+(K75*(Main!$E$51/100))))/$C$6</f>
        <v>6.766622131695847</v>
      </c>
      <c r="D75">
        <f>'Req. Diario'!E74</f>
        <v>1.4236452857142858</v>
      </c>
      <c r="E75">
        <f>(D75-((C75*(Main!$F$41/100))+(G75*(Main!$F$36/100))+(I75*(Main!$F$46/100))+(K75*(Main!$F$51/100))))/$E$6</f>
        <v>3.0948810559006215</v>
      </c>
      <c r="F75">
        <f>'Req. Diario'!F74</f>
        <v>5</v>
      </c>
      <c r="G75">
        <f>(F75-((C75*(Main!$G$41/100))+(E75*(Main!$G$31/100))+(I75*(Main!$G$46/100))+(K75*(Main!$G$51/100))))/$G$6</f>
        <v>8.333333333333334</v>
      </c>
      <c r="H75">
        <f>'Req. Diario'!G74</f>
        <v>0.8557544830560249</v>
      </c>
      <c r="I75">
        <f>H75/$I$6</f>
        <v>5.348465519100155</v>
      </c>
      <c r="J75">
        <f>'Req. Diario'!H74</f>
        <v>2.9766350000000004</v>
      </c>
      <c r="K75">
        <f>J75/$K$6</f>
        <v>0.00029766350000000005</v>
      </c>
      <c r="L75">
        <f>'Req. Diario'!I74</f>
        <v>29.5372</v>
      </c>
      <c r="M75">
        <f>L75/$M$6</f>
        <v>144.0839024390244</v>
      </c>
    </row>
    <row r="76">
      <c r="B76">
        <f>'Req. Diario'!D75</f>
        <v>3.6697247706422016</v>
      </c>
      <c r="C76">
        <f>(B76-((E76*(Main!$E$31/100))+(G76*(Main!$E$36/100))+(I76*(Main!$E$46/100))+(K76*(Main!$E$51/100))))/$C$6</f>
        <v>6.766622131695847</v>
      </c>
      <c r="D76">
        <f>'Req. Diario'!E75</f>
        <v>1.4236452857142858</v>
      </c>
      <c r="E76">
        <f>(D76-((C76*(Main!$F$41/100))+(G76*(Main!$F$36/100))+(I76*(Main!$F$46/100))+(K76*(Main!$F$51/100))))/$E$6</f>
        <v>3.0948810559006215</v>
      </c>
      <c r="F76">
        <f>'Req. Diario'!F75</f>
        <v>5</v>
      </c>
      <c r="G76">
        <f>(F76-((C76*(Main!$G$41/100))+(E76*(Main!$G$31/100))+(I76*(Main!$G$46/100))+(K76*(Main!$G$51/100))))/$G$6</f>
        <v>8.333333333333334</v>
      </c>
      <c r="H76">
        <f>'Req. Diario'!G75</f>
        <v>0.8557544830560249</v>
      </c>
      <c r="I76">
        <f>H76/$I$6</f>
        <v>5.348465519100155</v>
      </c>
      <c r="J76">
        <f>'Req. Diario'!H75</f>
        <v>2.9766350000000004</v>
      </c>
      <c r="K76">
        <f>J76/$K$6</f>
        <v>0.00029766350000000005</v>
      </c>
      <c r="L76">
        <f>'Req. Diario'!I75</f>
        <v>29.5372</v>
      </c>
      <c r="M76">
        <f>L76/$M$6</f>
        <v>144.0839024390244</v>
      </c>
    </row>
    <row r="77">
      <c r="A77">
        <v>11</v>
      </c>
      <c r="B77">
        <f>'Req. Diario'!D76</f>
        <v>3.6697247706422016</v>
      </c>
      <c r="C77">
        <f>(B77-((E77*(Main!$E$31/100))+(G77*(Main!$E$36/100))+(I77*(Main!$E$46/100))+(K77*(Main!$E$51/100))))/$C$6</f>
        <v>6.766622131695847</v>
      </c>
      <c r="D77">
        <f>'Req. Diario'!E76</f>
        <v>1.4236452857142858</v>
      </c>
      <c r="E77">
        <f>(D77-((C77*(Main!$F$41/100))+(G77*(Main!$F$36/100))+(I77*(Main!$F$46/100))+(K77*(Main!$F$51/100))))/$E$6</f>
        <v>3.0948810559006215</v>
      </c>
      <c r="F77">
        <f>'Req. Diario'!F76</f>
        <v>5</v>
      </c>
      <c r="G77">
        <f>(F77-((C77*(Main!$G$41/100))+(E77*(Main!$G$31/100))+(I77*(Main!$G$46/100))+(K77*(Main!$G$51/100))))/$G$6</f>
        <v>8.333333333333334</v>
      </c>
      <c r="H77">
        <f>'Req. Diario'!G76</f>
        <v>0.8557544830560249</v>
      </c>
      <c r="I77">
        <f>H77/$I$6</f>
        <v>5.348465519100155</v>
      </c>
      <c r="J77">
        <f>'Req. Diario'!H76</f>
        <v>2.9766350000000004</v>
      </c>
      <c r="K77">
        <f>J77/$K$6</f>
        <v>0.00029766350000000005</v>
      </c>
      <c r="L77">
        <f>'Req. Diario'!I76</f>
        <v>29.5372</v>
      </c>
      <c r="M77">
        <f>L77/$M$6</f>
        <v>144.0839024390244</v>
      </c>
    </row>
    <row r="78">
      <c r="B78">
        <f>'Req. Diario'!D77</f>
        <v>3.6697247706422016</v>
      </c>
      <c r="C78">
        <f>(B78-((E78*(Main!$E$31/100))+(G78*(Main!$E$36/100))+(I78*(Main!$E$46/100))+(K78*(Main!$E$51/100))))/$C$6</f>
        <v>6.766622131695847</v>
      </c>
      <c r="D78">
        <f>'Req. Diario'!E77</f>
        <v>1.4236452857142858</v>
      </c>
      <c r="E78">
        <f>(D78-((C78*(Main!$F$41/100))+(G78*(Main!$F$36/100))+(I78*(Main!$F$46/100))+(K78*(Main!$F$51/100))))/$E$6</f>
        <v>3.0948810559006215</v>
      </c>
      <c r="F78">
        <f>'Req. Diario'!F77</f>
        <v>5</v>
      </c>
      <c r="G78">
        <f>(F78-((C78*(Main!$G$41/100))+(E78*(Main!$G$31/100))+(I78*(Main!$G$46/100))+(K78*(Main!$G$51/100))))/$G$6</f>
        <v>8.333333333333334</v>
      </c>
      <c r="H78">
        <f>'Req. Diario'!G77</f>
        <v>0.8557544830560249</v>
      </c>
      <c r="I78">
        <f>H78/$I$6</f>
        <v>5.348465519100155</v>
      </c>
      <c r="J78">
        <f>'Req. Diario'!H77</f>
        <v>2.9766350000000004</v>
      </c>
      <c r="K78">
        <f>J78/$K$6</f>
        <v>0.00029766350000000005</v>
      </c>
      <c r="L78">
        <f>'Req. Diario'!I77</f>
        <v>29.5372</v>
      </c>
      <c r="M78">
        <f>L78/$M$6</f>
        <v>144.0839024390244</v>
      </c>
    </row>
    <row r="79">
      <c r="B79">
        <f>'Req. Diario'!D78</f>
        <v>3.6697247706422016</v>
      </c>
      <c r="C79">
        <f>(B79-((E79*(Main!$E$31/100))+(G79*(Main!$E$36/100))+(I79*(Main!$E$46/100))+(K79*(Main!$E$51/100))))/$C$6</f>
        <v>6.766622131695847</v>
      </c>
      <c r="D79">
        <f>'Req. Diario'!E78</f>
        <v>1.4236452857142858</v>
      </c>
      <c r="E79">
        <f>(D79-((C79*(Main!$F$41/100))+(G79*(Main!$F$36/100))+(I79*(Main!$F$46/100))+(K79*(Main!$F$51/100))))/$E$6</f>
        <v>3.0948810559006215</v>
      </c>
      <c r="F79">
        <f>'Req. Diario'!F78</f>
        <v>5</v>
      </c>
      <c r="G79">
        <f>(F79-((C79*(Main!$G$41/100))+(E79*(Main!$G$31/100))+(I79*(Main!$G$46/100))+(K79*(Main!$G$51/100))))/$G$6</f>
        <v>8.333333333333334</v>
      </c>
      <c r="H79">
        <f>'Req. Diario'!G78</f>
        <v>0.8557544830560249</v>
      </c>
      <c r="I79">
        <f>H79/$I$6</f>
        <v>5.348465519100155</v>
      </c>
      <c r="J79">
        <f>'Req. Diario'!H78</f>
        <v>2.9766350000000004</v>
      </c>
      <c r="K79">
        <f>J79/$K$6</f>
        <v>0.00029766350000000005</v>
      </c>
      <c r="L79">
        <f>'Req. Diario'!I78</f>
        <v>29.5372</v>
      </c>
      <c r="M79">
        <f>L79/$M$6</f>
        <v>144.0839024390244</v>
      </c>
    </row>
    <row r="80">
      <c r="B80">
        <f>'Req. Diario'!D79</f>
        <v>3.6697247706422016</v>
      </c>
      <c r="C80">
        <f>(B80-((E80*(Main!$E$31/100))+(G80*(Main!$E$36/100))+(I80*(Main!$E$46/100))+(K80*(Main!$E$51/100))))/$C$6</f>
        <v>6.766622131695847</v>
      </c>
      <c r="D80">
        <f>'Req. Diario'!E79</f>
        <v>1.4236452857142858</v>
      </c>
      <c r="E80">
        <f>(D80-((C80*(Main!$F$41/100))+(G80*(Main!$F$36/100))+(I80*(Main!$F$46/100))+(K80*(Main!$F$51/100))))/$E$6</f>
        <v>3.0948810559006215</v>
      </c>
      <c r="F80">
        <f>'Req. Diario'!F79</f>
        <v>5</v>
      </c>
      <c r="G80">
        <f>(F80-((C80*(Main!$G$41/100))+(E80*(Main!$G$31/100))+(I80*(Main!$G$46/100))+(K80*(Main!$G$51/100))))/$G$6</f>
        <v>8.333333333333334</v>
      </c>
      <c r="H80">
        <f>'Req. Diario'!G79</f>
        <v>0.8557544830560249</v>
      </c>
      <c r="I80">
        <f>H80/$I$6</f>
        <v>5.348465519100155</v>
      </c>
      <c r="J80">
        <f>'Req. Diario'!H79</f>
        <v>2.9766350000000004</v>
      </c>
      <c r="K80">
        <f>J80/$K$6</f>
        <v>0.00029766350000000005</v>
      </c>
      <c r="L80">
        <f>'Req. Diario'!I79</f>
        <v>29.5372</v>
      </c>
      <c r="M80">
        <f>L80/$M$6</f>
        <v>144.0839024390244</v>
      </c>
    </row>
    <row r="81">
      <c r="B81">
        <f>'Req. Diario'!D80</f>
        <v>3.6697247706422016</v>
      </c>
      <c r="C81">
        <f>(B81-((E81*(Main!$E$31/100))+(G81*(Main!$E$36/100))+(I81*(Main!$E$46/100))+(K81*(Main!$E$51/100))))/$C$6</f>
        <v>6.766622131695847</v>
      </c>
      <c r="D81">
        <f>'Req. Diario'!E80</f>
        <v>1.4236452857142858</v>
      </c>
      <c r="E81">
        <f>(D81-((C81*(Main!$F$41/100))+(G81*(Main!$F$36/100))+(I81*(Main!$F$46/100))+(K81*(Main!$F$51/100))))/$E$6</f>
        <v>3.0948810559006215</v>
      </c>
      <c r="F81">
        <f>'Req. Diario'!F80</f>
        <v>5</v>
      </c>
      <c r="G81">
        <f>(F81-((C81*(Main!$G$41/100))+(E81*(Main!$G$31/100))+(I81*(Main!$G$46/100))+(K81*(Main!$G$51/100))))/$G$6</f>
        <v>8.333333333333334</v>
      </c>
      <c r="H81">
        <f>'Req. Diario'!G80</f>
        <v>0.8557544830560249</v>
      </c>
      <c r="I81">
        <f>H81/$I$6</f>
        <v>5.348465519100155</v>
      </c>
      <c r="J81">
        <f>'Req. Diario'!H80</f>
        <v>2.9766350000000004</v>
      </c>
      <c r="K81">
        <f>J81/$K$6</f>
        <v>0.00029766350000000005</v>
      </c>
      <c r="L81">
        <f>'Req. Diario'!I80</f>
        <v>29.5372</v>
      </c>
      <c r="M81">
        <f>L81/$M$6</f>
        <v>144.0839024390244</v>
      </c>
    </row>
    <row r="82">
      <c r="B82">
        <f>'Req. Diario'!D81</f>
        <v>3.6697247706422016</v>
      </c>
      <c r="C82">
        <f>(B82-((E82*(Main!$E$31/100))+(G82*(Main!$E$36/100))+(I82*(Main!$E$46/100))+(K82*(Main!$E$51/100))))/$C$6</f>
        <v>6.766622131695847</v>
      </c>
      <c r="D82">
        <f>'Req. Diario'!E81</f>
        <v>1.4236452857142858</v>
      </c>
      <c r="E82">
        <f>(D82-((C82*(Main!$F$41/100))+(G82*(Main!$F$36/100))+(I82*(Main!$F$46/100))+(K82*(Main!$F$51/100))))/$E$6</f>
        <v>3.0948810559006215</v>
      </c>
      <c r="F82">
        <f>'Req. Diario'!F81</f>
        <v>5</v>
      </c>
      <c r="G82">
        <f>(F82-((C82*(Main!$G$41/100))+(E82*(Main!$G$31/100))+(I82*(Main!$G$46/100))+(K82*(Main!$G$51/100))))/$G$6</f>
        <v>8.333333333333334</v>
      </c>
      <c r="H82">
        <f>'Req. Diario'!G81</f>
        <v>0.8557544830560249</v>
      </c>
      <c r="I82">
        <f>H82/$I$6</f>
        <v>5.348465519100155</v>
      </c>
      <c r="J82">
        <f>'Req. Diario'!H81</f>
        <v>2.9766350000000004</v>
      </c>
      <c r="K82">
        <f>J82/$K$6</f>
        <v>0.00029766350000000005</v>
      </c>
      <c r="L82">
        <f>'Req. Diario'!I81</f>
        <v>29.5372</v>
      </c>
      <c r="M82">
        <f>L82/$M$6</f>
        <v>144.0839024390244</v>
      </c>
    </row>
    <row r="83">
      <c r="B83">
        <f>'Req. Diario'!D82</f>
        <v>3.6697247706422016</v>
      </c>
      <c r="C83">
        <f>(B83-((E83*(Main!$E$31/100))+(G83*(Main!$E$36/100))+(I83*(Main!$E$46/100))+(K83*(Main!$E$51/100))))/$C$6</f>
        <v>6.766622131695847</v>
      </c>
      <c r="D83">
        <f>'Req. Diario'!E82</f>
        <v>1.4236452857142858</v>
      </c>
      <c r="E83">
        <f>(D83-((C83*(Main!$F$41/100))+(G83*(Main!$F$36/100))+(I83*(Main!$F$46/100))+(K83*(Main!$F$51/100))))/$E$6</f>
        <v>3.0948810559006215</v>
      </c>
      <c r="F83">
        <f>'Req. Diario'!F82</f>
        <v>5</v>
      </c>
      <c r="G83">
        <f>(F83-((C83*(Main!$G$41/100))+(E83*(Main!$G$31/100))+(I83*(Main!$G$46/100))+(K83*(Main!$G$51/100))))/$G$6</f>
        <v>8.333333333333334</v>
      </c>
      <c r="H83">
        <f>'Req. Diario'!G82</f>
        <v>0.8557544830560249</v>
      </c>
      <c r="I83">
        <f>H83/$I$6</f>
        <v>5.348465519100155</v>
      </c>
      <c r="J83">
        <f>'Req. Diario'!H82</f>
        <v>2.9766350000000004</v>
      </c>
      <c r="K83">
        <f>J83/$K$6</f>
        <v>0.00029766350000000005</v>
      </c>
      <c r="L83">
        <f>'Req. Diario'!I82</f>
        <v>29.5372</v>
      </c>
      <c r="M83">
        <f>L83/$M$6</f>
        <v>144.0839024390244</v>
      </c>
    </row>
    <row r="84">
      <c r="A84">
        <v>12</v>
      </c>
      <c r="B84">
        <f>'Req. Diario'!D83</f>
        <v>3.6697247706422016</v>
      </c>
      <c r="C84">
        <f>(B84-((E84*(Main!$E$31/100))+(G84*(Main!$E$36/100))+(I84*(Main!$E$46/100))+(K84*(Main!$E$51/100))))/$C$6</f>
        <v>6.766622131695847</v>
      </c>
      <c r="D84">
        <f>'Req. Diario'!E83</f>
        <v>1.4236452857142858</v>
      </c>
      <c r="E84">
        <f>(D84-((C84*(Main!$F$41/100))+(G84*(Main!$F$36/100))+(I84*(Main!$F$46/100))+(K84*(Main!$F$51/100))))/$E$6</f>
        <v>3.0948810559006215</v>
      </c>
      <c r="F84">
        <f>'Req. Diario'!F83</f>
        <v>5</v>
      </c>
      <c r="G84">
        <f>(F84-((C84*(Main!$G$41/100))+(E84*(Main!$G$31/100))+(I84*(Main!$G$46/100))+(K84*(Main!$G$51/100))))/$G$6</f>
        <v>8.333333333333334</v>
      </c>
      <c r="H84">
        <f>'Req. Diario'!G83</f>
        <v>0.8557544830560249</v>
      </c>
      <c r="I84">
        <f>H84/$I$6</f>
        <v>5.348465519100155</v>
      </c>
      <c r="J84">
        <f>'Req. Diario'!H83</f>
        <v>2.9766350000000004</v>
      </c>
      <c r="K84">
        <f>J84/$K$6</f>
        <v>0.00029766350000000005</v>
      </c>
      <c r="L84">
        <f>'Req. Diario'!I83</f>
        <v>29.5372</v>
      </c>
      <c r="M84">
        <f>L84/$M$6</f>
        <v>144.0839024390244</v>
      </c>
    </row>
    <row r="85">
      <c r="B85">
        <f>'Req. Diario'!D84</f>
        <v>3.6697247706422016</v>
      </c>
      <c r="C85">
        <f>(B85-((E85*(Main!$E$31/100))+(G85*(Main!$E$36/100))+(I85*(Main!$E$46/100))+(K85*(Main!$E$51/100))))/$C$6</f>
        <v>6.766622131695847</v>
      </c>
      <c r="D85">
        <f>'Req. Diario'!E84</f>
        <v>1.4236452857142858</v>
      </c>
      <c r="E85">
        <f>(D85-((C85*(Main!$F$41/100))+(G85*(Main!$F$36/100))+(I85*(Main!$F$46/100))+(K85*(Main!$F$51/100))))/$E$6</f>
        <v>3.0948810559006215</v>
      </c>
      <c r="F85">
        <f>'Req. Diario'!F84</f>
        <v>5</v>
      </c>
      <c r="G85">
        <f>(F85-((C85*(Main!$G$41/100))+(E85*(Main!$G$31/100))+(I85*(Main!$G$46/100))+(K85*(Main!$G$51/100))))/$G$6</f>
        <v>8.333333333333334</v>
      </c>
      <c r="H85">
        <f>'Req. Diario'!G84</f>
        <v>0.8557544830560249</v>
      </c>
      <c r="I85">
        <f>H85/$I$6</f>
        <v>5.348465519100155</v>
      </c>
      <c r="J85">
        <f>'Req. Diario'!H84</f>
        <v>2.9766350000000004</v>
      </c>
      <c r="K85">
        <f>J85/$K$6</f>
        <v>0.00029766350000000005</v>
      </c>
      <c r="L85">
        <f>'Req. Diario'!I84</f>
        <v>29.5372</v>
      </c>
      <c r="M85">
        <f>L85/$M$6</f>
        <v>144.0839024390244</v>
      </c>
    </row>
    <row r="86">
      <c r="B86">
        <f>'Req. Diario'!D85</f>
        <v>3.6697247706422016</v>
      </c>
      <c r="C86">
        <f>(B86-((E86*(Main!$E$31/100))+(G86*(Main!$E$36/100))+(I86*(Main!$E$46/100))+(K86*(Main!$E$51/100))))/$C$6</f>
        <v>6.766622131695847</v>
      </c>
      <c r="D86">
        <f>'Req. Diario'!E85</f>
        <v>1.4236452857142858</v>
      </c>
      <c r="E86">
        <f>(D86-((C86*(Main!$F$41/100))+(G86*(Main!$F$36/100))+(I86*(Main!$F$46/100))+(K86*(Main!$F$51/100))))/$E$6</f>
        <v>3.0948810559006215</v>
      </c>
      <c r="F86">
        <f>'Req. Diario'!F85</f>
        <v>5</v>
      </c>
      <c r="G86">
        <f>(F86-((C86*(Main!$G$41/100))+(E86*(Main!$G$31/100))+(I86*(Main!$G$46/100))+(K86*(Main!$G$51/100))))/$G$6</f>
        <v>8.333333333333334</v>
      </c>
      <c r="H86">
        <f>'Req. Diario'!G85</f>
        <v>0.8557544830560249</v>
      </c>
      <c r="I86">
        <f>H86/$I$6</f>
        <v>5.348465519100155</v>
      </c>
      <c r="J86">
        <f>'Req. Diario'!H85</f>
        <v>2.9766350000000004</v>
      </c>
      <c r="K86">
        <f>J86/$K$6</f>
        <v>0.00029766350000000005</v>
      </c>
      <c r="L86">
        <f>'Req. Diario'!I85</f>
        <v>29.5372</v>
      </c>
      <c r="M86">
        <f>L86/$M$6</f>
        <v>144.0839024390244</v>
      </c>
    </row>
    <row r="87">
      <c r="B87">
        <f>'Req. Diario'!D86</f>
        <v>3.6697247706422016</v>
      </c>
      <c r="C87">
        <f>(B87-((E87*(Main!$E$31/100))+(G87*(Main!$E$36/100))+(I87*(Main!$E$46/100))+(K87*(Main!$E$51/100))))/$C$6</f>
        <v>6.766622131695847</v>
      </c>
      <c r="D87">
        <f>'Req. Diario'!E86</f>
        <v>1.4236452857142858</v>
      </c>
      <c r="E87">
        <f>(D87-((C87*(Main!$F$41/100))+(G87*(Main!$F$36/100))+(I87*(Main!$F$46/100))+(K87*(Main!$F$51/100))))/$E$6</f>
        <v>3.0948810559006215</v>
      </c>
      <c r="F87">
        <f>'Req. Diario'!F86</f>
        <v>5</v>
      </c>
      <c r="G87">
        <f>(F87-((C87*(Main!$G$41/100))+(E87*(Main!$G$31/100))+(I87*(Main!$G$46/100))+(K87*(Main!$G$51/100))))/$G$6</f>
        <v>8.333333333333334</v>
      </c>
      <c r="H87">
        <f>'Req. Diario'!G86</f>
        <v>0.8557544830560249</v>
      </c>
      <c r="I87">
        <f>H87/$I$6</f>
        <v>5.348465519100155</v>
      </c>
      <c r="J87">
        <f>'Req. Diario'!H86</f>
        <v>2.9766350000000004</v>
      </c>
      <c r="K87">
        <f>J87/$K$6</f>
        <v>0.00029766350000000005</v>
      </c>
      <c r="L87">
        <f>'Req. Diario'!I86</f>
        <v>35.6483</v>
      </c>
      <c r="M87">
        <f>L87/$M$6</f>
        <v>173.89414634146343</v>
      </c>
    </row>
    <row r="88">
      <c r="B88">
        <f>'Req. Diario'!D87</f>
        <v>3.6697247706422016</v>
      </c>
      <c r="C88">
        <f>(B88-((E88*(Main!$E$31/100))+(G88*(Main!$E$36/100))+(I88*(Main!$E$46/100))+(K88*(Main!$E$51/100))))/$C$6</f>
        <v>6.766622131695847</v>
      </c>
      <c r="D88">
        <f>'Req. Diario'!E87</f>
        <v>1.4236452857142858</v>
      </c>
      <c r="E88">
        <f>(D88-((C88*(Main!$F$41/100))+(G88*(Main!$F$36/100))+(I88*(Main!$F$46/100))+(K88*(Main!$F$51/100))))/$E$6</f>
        <v>3.0948810559006215</v>
      </c>
      <c r="F88">
        <f>'Req. Diario'!F87</f>
        <v>5</v>
      </c>
      <c r="G88">
        <f>(F88-((C88*(Main!$G$41/100))+(E88*(Main!$G$31/100))+(I88*(Main!$G$46/100))+(K88*(Main!$G$51/100))))/$G$6</f>
        <v>8.333333333333334</v>
      </c>
      <c r="H88">
        <f>'Req. Diario'!G87</f>
        <v>0.8557544830560249</v>
      </c>
      <c r="I88">
        <f>H88/$I$6</f>
        <v>5.348465519100155</v>
      </c>
      <c r="J88">
        <f>'Req. Diario'!H87</f>
        <v>2.9766350000000004</v>
      </c>
      <c r="K88">
        <f>J88/$K$6</f>
        <v>0.00029766350000000005</v>
      </c>
      <c r="L88">
        <f>'Req. Diario'!I87</f>
        <v>35.6483</v>
      </c>
      <c r="M88">
        <f>L88/$M$6</f>
        <v>173.89414634146343</v>
      </c>
    </row>
    <row r="89">
      <c r="B89">
        <f>'Req. Diario'!D88</f>
        <v>3.6697247706422016</v>
      </c>
      <c r="C89">
        <f>(B89-((E89*(Main!$E$31/100))+(G89*(Main!$E$36/100))+(I89*(Main!$E$46/100))+(K89*(Main!$E$51/100))))/$C$6</f>
        <v>6.766622131695847</v>
      </c>
      <c r="D89">
        <f>'Req. Diario'!E88</f>
        <v>1.4236452857142858</v>
      </c>
      <c r="E89">
        <f>(D89-((C89*(Main!$F$41/100))+(G89*(Main!$F$36/100))+(I89*(Main!$F$46/100))+(K89*(Main!$F$51/100))))/$E$6</f>
        <v>3.0948810559006215</v>
      </c>
      <c r="F89">
        <f>'Req. Diario'!F88</f>
        <v>5</v>
      </c>
      <c r="G89">
        <f>(F89-((C89*(Main!$G$41/100))+(E89*(Main!$G$31/100))+(I89*(Main!$G$46/100))+(K89*(Main!$G$51/100))))/$G$6</f>
        <v>8.333333333333334</v>
      </c>
      <c r="H89">
        <f>'Req. Diario'!G88</f>
        <v>0.8557544830560249</v>
      </c>
      <c r="I89">
        <f>H89/$I$6</f>
        <v>5.348465519100155</v>
      </c>
      <c r="J89">
        <f>'Req. Diario'!H88</f>
        <v>2.9766350000000004</v>
      </c>
      <c r="K89">
        <f>J89/$K$6</f>
        <v>0.00029766350000000005</v>
      </c>
      <c r="L89">
        <f>'Req. Diario'!I88</f>
        <v>35.6483</v>
      </c>
      <c r="M89">
        <f>L89/$M$6</f>
        <v>173.89414634146343</v>
      </c>
    </row>
    <row r="90">
      <c r="B90">
        <f>'Req. Diario'!D89</f>
        <v>3.6697247706422016</v>
      </c>
      <c r="C90">
        <f>(B90-((E90*(Main!$E$31/100))+(G90*(Main!$E$36/100))+(I90*(Main!$E$46/100))+(K90*(Main!$E$51/100))))/$C$6</f>
        <v>6.766622131695847</v>
      </c>
      <c r="D90">
        <f>'Req. Diario'!E89</f>
        <v>1.4236452857142858</v>
      </c>
      <c r="E90">
        <f>(D90-((C90*(Main!$F$41/100))+(G90*(Main!$F$36/100))+(I90*(Main!$F$46/100))+(K90*(Main!$F$51/100))))/$E$6</f>
        <v>3.0948810559006215</v>
      </c>
      <c r="F90">
        <f>'Req. Diario'!F89</f>
        <v>5</v>
      </c>
      <c r="G90">
        <f>(F90-((C90*(Main!$G$41/100))+(E90*(Main!$G$31/100))+(I90*(Main!$G$46/100))+(K90*(Main!$G$51/100))))/$G$6</f>
        <v>8.333333333333334</v>
      </c>
      <c r="H90">
        <f>'Req. Diario'!G89</f>
        <v>0.8557544830560249</v>
      </c>
      <c r="I90">
        <f>H90/$I$6</f>
        <v>5.348465519100155</v>
      </c>
      <c r="J90">
        <f>'Req. Diario'!H89</f>
        <v>2.9766350000000004</v>
      </c>
      <c r="K90">
        <f>J90/$K$6</f>
        <v>0.00029766350000000005</v>
      </c>
      <c r="L90">
        <f>'Req. Diario'!I89</f>
        <v>35.6483</v>
      </c>
      <c r="M90">
        <f>L90/$M$6</f>
        <v>173.89414634146343</v>
      </c>
    </row>
    <row r="91">
      <c r="A91">
        <v>13</v>
      </c>
      <c r="B91">
        <f>'Req. Diario'!D90</f>
        <v>3.6697247706422016</v>
      </c>
      <c r="C91">
        <f>(B91-((E91*(Main!$E$31/100))+(G91*(Main!$E$36/100))+(I91*(Main!$E$46/100))+(K91*(Main!$E$51/100))))/$C$6</f>
        <v>6.766622131695847</v>
      </c>
      <c r="D91">
        <f>'Req. Diario'!E90</f>
        <v>1.4236452857142858</v>
      </c>
      <c r="E91">
        <f>(D91-((C91*(Main!$F$41/100))+(G91*(Main!$F$36/100))+(I91*(Main!$F$46/100))+(K91*(Main!$F$51/100))))/$E$6</f>
        <v>3.0948810559006215</v>
      </c>
      <c r="F91">
        <f>'Req. Diario'!F90</f>
        <v>5</v>
      </c>
      <c r="G91">
        <f>(F91-((C91*(Main!$G$41/100))+(E91*(Main!$G$31/100))+(I91*(Main!$G$46/100))+(K91*(Main!$G$51/100))))/$G$6</f>
        <v>8.333333333333334</v>
      </c>
      <c r="H91">
        <f>'Req. Diario'!G90</f>
        <v>0.8557544830560249</v>
      </c>
      <c r="I91">
        <f>H91/$I$6</f>
        <v>5.348465519100155</v>
      </c>
      <c r="J91">
        <f>'Req. Diario'!H90</f>
        <v>2.9766350000000004</v>
      </c>
      <c r="K91">
        <f>J91/$K$6</f>
        <v>0.00029766350000000005</v>
      </c>
      <c r="L91">
        <f>'Req. Diario'!I90</f>
        <v>35.6483</v>
      </c>
      <c r="M91">
        <f>L91/$M$6</f>
        <v>173.89414634146343</v>
      </c>
    </row>
    <row r="92">
      <c r="B92">
        <f>'Req. Diario'!D91</f>
        <v>3.6697247706422016</v>
      </c>
      <c r="C92">
        <f>(B92-((E92*(Main!$E$31/100))+(G92*(Main!$E$36/100))+(I92*(Main!$E$46/100))+(K92*(Main!$E$51/100))))/$C$6</f>
        <v>6.766622131695847</v>
      </c>
      <c r="D92">
        <f>'Req. Diario'!E91</f>
        <v>1.4236452857142858</v>
      </c>
      <c r="E92">
        <f>(D92-((C92*(Main!$F$41/100))+(G92*(Main!$F$36/100))+(I92*(Main!$F$46/100))+(K92*(Main!$F$51/100))))/$E$6</f>
        <v>3.0948810559006215</v>
      </c>
      <c r="F92">
        <f>'Req. Diario'!F91</f>
        <v>5</v>
      </c>
      <c r="G92">
        <f>(F92-((C92*(Main!$G$41/100))+(E92*(Main!$G$31/100))+(I92*(Main!$G$46/100))+(K92*(Main!$G$51/100))))/$G$6</f>
        <v>8.333333333333334</v>
      </c>
      <c r="H92">
        <f>'Req. Diario'!G91</f>
        <v>0.8557544830560249</v>
      </c>
      <c r="I92">
        <f>H92/$I$6</f>
        <v>5.348465519100155</v>
      </c>
      <c r="J92">
        <f>'Req. Diario'!H91</f>
        <v>2.9766350000000004</v>
      </c>
      <c r="K92">
        <f>J92/$K$6</f>
        <v>0.00029766350000000005</v>
      </c>
      <c r="L92">
        <f>'Req. Diario'!I91</f>
        <v>35.6483</v>
      </c>
      <c r="M92">
        <f>L92/$M$6</f>
        <v>173.89414634146343</v>
      </c>
    </row>
    <row r="93">
      <c r="B93">
        <f>'Req. Diario'!D92</f>
        <v>3.6697247706422016</v>
      </c>
      <c r="C93">
        <f>(B93-((E93*(Main!$E$31/100))+(G93*(Main!$E$36/100))+(I93*(Main!$E$46/100))+(K93*(Main!$E$51/100))))/$C$6</f>
        <v>6.766622131695847</v>
      </c>
      <c r="D93">
        <f>'Req. Diario'!E92</f>
        <v>1.4236452857142858</v>
      </c>
      <c r="E93">
        <f>(D93-((C93*(Main!$F$41/100))+(G93*(Main!$F$36/100))+(I93*(Main!$F$46/100))+(K93*(Main!$F$51/100))))/$E$6</f>
        <v>3.0948810559006215</v>
      </c>
      <c r="F93">
        <f>'Req. Diario'!F92</f>
        <v>5</v>
      </c>
      <c r="G93">
        <f>(F93-((C93*(Main!$G$41/100))+(E93*(Main!$G$31/100))+(I93*(Main!$G$46/100))+(K93*(Main!$G$51/100))))/$G$6</f>
        <v>8.333333333333334</v>
      </c>
      <c r="H93">
        <f>'Req. Diario'!G92</f>
        <v>0.8557544830560249</v>
      </c>
      <c r="I93">
        <f>H93/$I$6</f>
        <v>5.348465519100155</v>
      </c>
      <c r="J93">
        <f>'Req. Diario'!H92</f>
        <v>2.9766350000000004</v>
      </c>
      <c r="K93">
        <f>J93/$K$6</f>
        <v>0.00029766350000000005</v>
      </c>
      <c r="L93">
        <f>'Req. Diario'!I92</f>
        <v>35.6483</v>
      </c>
      <c r="M93">
        <f>L93/$M$6</f>
        <v>173.89414634146343</v>
      </c>
    </row>
    <row r="94">
      <c r="B94">
        <f>'Req. Diario'!D93</f>
        <v>3.6697247706422016</v>
      </c>
      <c r="C94">
        <f>(B94-((E94*(Main!$E$31/100))+(G94*(Main!$E$36/100))+(I94*(Main!$E$46/100))+(K94*(Main!$E$51/100))))/$C$6</f>
        <v>6.766622131695847</v>
      </c>
      <c r="D94">
        <f>'Req. Diario'!E93</f>
        <v>1.4236452857142858</v>
      </c>
      <c r="E94">
        <f>(D94-((C94*(Main!$F$41/100))+(G94*(Main!$F$36/100))+(I94*(Main!$F$46/100))+(K94*(Main!$F$51/100))))/$E$6</f>
        <v>3.0948810559006215</v>
      </c>
      <c r="F94">
        <f>'Req. Diario'!F93</f>
        <v>5</v>
      </c>
      <c r="G94">
        <f>(F94-((C94*(Main!$G$41/100))+(E94*(Main!$G$31/100))+(I94*(Main!$G$46/100))+(K94*(Main!$G$51/100))))/$G$6</f>
        <v>8.333333333333334</v>
      </c>
      <c r="H94">
        <f>'Req. Diario'!G93</f>
        <v>0.8557544830560249</v>
      </c>
      <c r="I94">
        <f>H94/$I$6</f>
        <v>5.348465519100155</v>
      </c>
      <c r="J94">
        <f>'Req. Diario'!H93</f>
        <v>2.9766350000000004</v>
      </c>
      <c r="K94">
        <f>J94/$K$6</f>
        <v>0.00029766350000000005</v>
      </c>
      <c r="L94">
        <f>'Req. Diario'!I93</f>
        <v>35.6483</v>
      </c>
      <c r="M94">
        <f>L94/$M$6</f>
        <v>173.89414634146343</v>
      </c>
    </row>
    <row r="95">
      <c r="B95">
        <f>'Req. Diario'!D94</f>
        <v>3.6697247706422016</v>
      </c>
      <c r="C95">
        <f>(B95-((E95*(Main!$E$31/100))+(G95*(Main!$E$36/100))+(I95*(Main!$E$46/100))+(K95*(Main!$E$51/100))))/$C$6</f>
        <v>6.766622131695847</v>
      </c>
      <c r="D95">
        <f>'Req. Diario'!E94</f>
        <v>1.4236452857142858</v>
      </c>
      <c r="E95">
        <f>(D95-((C95*(Main!$F$41/100))+(G95*(Main!$F$36/100))+(I95*(Main!$F$46/100))+(K95*(Main!$F$51/100))))/$E$6</f>
        <v>3.0948810559006215</v>
      </c>
      <c r="F95">
        <f>'Req. Diario'!F94</f>
        <v>5</v>
      </c>
      <c r="G95">
        <f>(F95-((C95*(Main!$G$41/100))+(E95*(Main!$G$31/100))+(I95*(Main!$G$46/100))+(K95*(Main!$G$51/100))))/$G$6</f>
        <v>8.333333333333334</v>
      </c>
      <c r="H95">
        <f>'Req. Diario'!G94</f>
        <v>0.8557544830560249</v>
      </c>
      <c r="I95">
        <f>H95/$I$6</f>
        <v>5.348465519100155</v>
      </c>
      <c r="J95">
        <f>'Req. Diario'!H94</f>
        <v>2.9766350000000004</v>
      </c>
      <c r="K95">
        <f>J95/$K$6</f>
        <v>0.00029766350000000005</v>
      </c>
      <c r="L95">
        <f>'Req. Diario'!I94</f>
        <v>35.6483</v>
      </c>
      <c r="M95">
        <f>L95/$M$6</f>
        <v>173.89414634146343</v>
      </c>
    </row>
    <row r="96">
      <c r="B96">
        <f>'Req. Diario'!D95</f>
        <v>3.6697247706422016</v>
      </c>
      <c r="C96">
        <f>(B96-((E96*(Main!$E$31/100))+(G96*(Main!$E$36/100))+(I96*(Main!$E$46/100))+(K96*(Main!$E$51/100))))/$C$6</f>
        <v>6.766622131695847</v>
      </c>
      <c r="D96">
        <f>'Req. Diario'!E95</f>
        <v>1.4236452857142858</v>
      </c>
      <c r="E96">
        <f>(D96-((C96*(Main!$F$41/100))+(G96*(Main!$F$36/100))+(I96*(Main!$F$46/100))+(K96*(Main!$F$51/100))))/$E$6</f>
        <v>3.0948810559006215</v>
      </c>
      <c r="F96">
        <f>'Req. Diario'!F95</f>
        <v>5</v>
      </c>
      <c r="G96">
        <f>(F96-((C96*(Main!$G$41/100))+(E96*(Main!$G$31/100))+(I96*(Main!$G$46/100))+(K96*(Main!$G$51/100))))/$G$6</f>
        <v>8.333333333333334</v>
      </c>
      <c r="H96">
        <f>'Req. Diario'!G95</f>
        <v>0.8557544830560249</v>
      </c>
      <c r="I96">
        <f>H96/$I$6</f>
        <v>5.348465519100155</v>
      </c>
      <c r="J96">
        <f>'Req. Diario'!H95</f>
        <v>2.9766350000000004</v>
      </c>
      <c r="K96">
        <f>J96/$K$6</f>
        <v>0.00029766350000000005</v>
      </c>
      <c r="L96">
        <f>'Req. Diario'!I95</f>
        <v>35.6483</v>
      </c>
      <c r="M96">
        <f>L96/$M$6</f>
        <v>173.89414634146343</v>
      </c>
    </row>
    <row r="97">
      <c r="B97">
        <f>'Req. Diario'!D96</f>
        <v>3.6697247706422016</v>
      </c>
      <c r="C97">
        <f>(B97-((E97*(Main!$E$31/100))+(G97*(Main!$E$36/100))+(I97*(Main!$E$46/100))+(K97*(Main!$E$51/100))))/$C$6</f>
        <v>6.766622131695847</v>
      </c>
      <c r="D97">
        <f>'Req. Diario'!E96</f>
        <v>1.4236452857142858</v>
      </c>
      <c r="E97">
        <f>(D97-((C97*(Main!$F$41/100))+(G97*(Main!$F$36/100))+(I97*(Main!$F$46/100))+(K97*(Main!$F$51/100))))/$E$6</f>
        <v>3.0948810559006215</v>
      </c>
      <c r="F97">
        <f>'Req. Diario'!F96</f>
        <v>5</v>
      </c>
      <c r="G97">
        <f>(F97-((C97*(Main!$G$41/100))+(E97*(Main!$G$31/100))+(I97*(Main!$G$46/100))+(K97*(Main!$G$51/100))))/$G$6</f>
        <v>8.333333333333334</v>
      </c>
      <c r="H97">
        <f>'Req. Diario'!G96</f>
        <v>0.8557544830560249</v>
      </c>
      <c r="I97">
        <f>H97/$I$6</f>
        <v>5.348465519100155</v>
      </c>
      <c r="J97">
        <f>'Req. Diario'!H96</f>
        <v>2.9766350000000004</v>
      </c>
      <c r="K97">
        <f>J97/$K$6</f>
        <v>0.00029766350000000005</v>
      </c>
      <c r="L97">
        <f>'Req. Diario'!I96</f>
        <v>35.6483</v>
      </c>
      <c r="M97">
        <f>L97/$M$6</f>
        <v>173.89414634146343</v>
      </c>
    </row>
    <row r="98">
      <c r="A98">
        <v>14</v>
      </c>
      <c r="B98">
        <f>'Req. Diario'!D97</f>
        <v>3.6697247706422016</v>
      </c>
      <c r="C98">
        <f>(B98-((E98*(Main!$E$31/100))+(G98*(Main!$E$36/100))+(I98*(Main!$E$46/100))+(K98*(Main!$E$51/100))))/$C$6</f>
        <v>6.766622131695847</v>
      </c>
      <c r="D98">
        <f>'Req. Diario'!E97</f>
        <v>1.4236452857142858</v>
      </c>
      <c r="E98">
        <f>(D98-((C98*(Main!$F$41/100))+(G98*(Main!$F$36/100))+(I98*(Main!$F$46/100))+(K98*(Main!$F$51/100))))/$E$6</f>
        <v>3.0948810559006215</v>
      </c>
      <c r="F98">
        <f>'Req. Diario'!F97</f>
        <v>5</v>
      </c>
      <c r="G98">
        <f>(F98-((C98*(Main!$G$41/100))+(E98*(Main!$G$31/100))+(I98*(Main!$G$46/100))+(K98*(Main!$G$51/100))))/$G$6</f>
        <v>8.333333333333334</v>
      </c>
      <c r="H98">
        <f>'Req. Diario'!G97</f>
        <v>0.8557544830560249</v>
      </c>
      <c r="I98">
        <f>H98/$I$6</f>
        <v>5.348465519100155</v>
      </c>
      <c r="J98">
        <f>'Req. Diario'!H97</f>
        <v>2.9766350000000004</v>
      </c>
      <c r="K98">
        <f>J98/$K$6</f>
        <v>0.00029766350000000005</v>
      </c>
      <c r="L98">
        <f>'Req. Diario'!I97</f>
        <v>35.6483</v>
      </c>
      <c r="M98">
        <f>L98/$M$6</f>
        <v>173.89414634146343</v>
      </c>
    </row>
    <row r="99">
      <c r="B99">
        <f>'Req. Diario'!D98</f>
        <v>3.6697247706422016</v>
      </c>
      <c r="C99">
        <f>(B99-((E99*(Main!$E$31/100))+(G99*(Main!$E$36/100))+(I99*(Main!$E$46/100))+(K99*(Main!$E$51/100))))/$C$6</f>
        <v>6.766622131695847</v>
      </c>
      <c r="D99">
        <f>'Req. Diario'!E98</f>
        <v>1.4236452857142858</v>
      </c>
      <c r="E99">
        <f>(D99-((C99*(Main!$F$41/100))+(G99*(Main!$F$36/100))+(I99*(Main!$F$46/100))+(K99*(Main!$F$51/100))))/$E$6</f>
        <v>3.0948810559006215</v>
      </c>
      <c r="F99">
        <f>'Req. Diario'!F98</f>
        <v>5</v>
      </c>
      <c r="G99">
        <f>(F99-((C99*(Main!$G$41/100))+(E99*(Main!$G$31/100))+(I99*(Main!$G$46/100))+(K99*(Main!$G$51/100))))/$G$6</f>
        <v>8.333333333333334</v>
      </c>
      <c r="H99">
        <f>'Req. Diario'!G98</f>
        <v>0.8557544830560249</v>
      </c>
      <c r="I99">
        <f>H99/$I$6</f>
        <v>5.348465519100155</v>
      </c>
      <c r="J99">
        <f>'Req. Diario'!H98</f>
        <v>2.9766350000000004</v>
      </c>
      <c r="K99">
        <f>J99/$K$6</f>
        <v>0.00029766350000000005</v>
      </c>
      <c r="L99">
        <f>'Req. Diario'!I98</f>
        <v>35.6483</v>
      </c>
      <c r="M99">
        <f>L99/$M$6</f>
        <v>173.89414634146343</v>
      </c>
    </row>
    <row r="100">
      <c r="B100">
        <f>'Req. Diario'!D99</f>
        <v>3.6697247706422016</v>
      </c>
      <c r="C100">
        <f>(B100-((E100*(Main!$E$31/100))+(G100*(Main!$E$36/100))+(I100*(Main!$E$46/100))+(K100*(Main!$E$51/100))))/$C$6</f>
        <v>6.766622131695847</v>
      </c>
      <c r="D100">
        <f>'Req. Diario'!E99</f>
        <v>1.4236452857142858</v>
      </c>
      <c r="E100">
        <f>(D100-((C100*(Main!$F$41/100))+(G100*(Main!$F$36/100))+(I100*(Main!$F$46/100))+(K100*(Main!$F$51/100))))/$E$6</f>
        <v>3.0948810559006215</v>
      </c>
      <c r="F100">
        <f>'Req. Diario'!F99</f>
        <v>5</v>
      </c>
      <c r="G100">
        <f>(F100-((C100*(Main!$G$41/100))+(E100*(Main!$G$31/100))+(I100*(Main!$G$46/100))+(K100*(Main!$G$51/100))))/$G$6</f>
        <v>8.333333333333334</v>
      </c>
      <c r="H100">
        <f>'Req. Diario'!G99</f>
        <v>0.8557544830560249</v>
      </c>
      <c r="I100">
        <f>H100/$I$6</f>
        <v>5.348465519100155</v>
      </c>
      <c r="J100">
        <f>'Req. Diario'!H99</f>
        <v>2.9766350000000004</v>
      </c>
      <c r="K100">
        <f>J100/$K$6</f>
        <v>0.00029766350000000005</v>
      </c>
      <c r="L100">
        <f>'Req. Diario'!I99</f>
        <v>35.6483</v>
      </c>
      <c r="M100">
        <f>L100/$M$6</f>
        <v>173.89414634146343</v>
      </c>
    </row>
    <row r="101">
      <c r="B101">
        <f>'Req. Diario'!D100</f>
        <v>3.6697247706422016</v>
      </c>
      <c r="C101">
        <f>(B101-((E101*(Main!$E$31/100))+(G101*(Main!$E$36/100))+(I101*(Main!$E$46/100))+(K101*(Main!$E$51/100))))/$C$6</f>
        <v>6.766622131695847</v>
      </c>
      <c r="D101">
        <f>'Req. Diario'!E100</f>
        <v>1.4236452857142858</v>
      </c>
      <c r="E101">
        <f>(D101-((C101*(Main!$F$41/100))+(G101*(Main!$F$36/100))+(I101*(Main!$F$46/100))+(K101*(Main!$F$51/100))))/$E$6</f>
        <v>3.0948810559006215</v>
      </c>
      <c r="F101">
        <f>'Req. Diario'!F100</f>
        <v>5</v>
      </c>
      <c r="G101">
        <f>(F101-((C101*(Main!$G$41/100))+(E101*(Main!$G$31/100))+(I101*(Main!$G$46/100))+(K101*(Main!$G$51/100))))/$G$6</f>
        <v>8.333333333333334</v>
      </c>
      <c r="H101">
        <f>'Req. Diario'!G100</f>
        <v>0.8557544830560249</v>
      </c>
      <c r="I101">
        <f>H101/$I$6</f>
        <v>5.348465519100155</v>
      </c>
      <c r="J101">
        <f>'Req. Diario'!H100</f>
        <v>2.9766350000000004</v>
      </c>
      <c r="K101">
        <f>J101/$K$6</f>
        <v>0.00029766350000000005</v>
      </c>
      <c r="L101">
        <f>'Req. Diario'!I100</f>
        <v>35.6483</v>
      </c>
      <c r="M101">
        <f>L101/$M$6</f>
        <v>173.89414634146343</v>
      </c>
    </row>
    <row r="102">
      <c r="B102">
        <f>'Req. Diario'!D101</f>
        <v>3.6697247706422016</v>
      </c>
      <c r="C102">
        <f>(B102-((E102*(Main!$E$31/100))+(G102*(Main!$E$36/100))+(I102*(Main!$E$46/100))+(K102*(Main!$E$51/100))))/$C$6</f>
        <v>6.766622131695847</v>
      </c>
      <c r="D102">
        <f>'Req. Diario'!E101</f>
        <v>1.4236452857142858</v>
      </c>
      <c r="E102">
        <f>(D102-((C102*(Main!$F$41/100))+(G102*(Main!$F$36/100))+(I102*(Main!$F$46/100))+(K102*(Main!$F$51/100))))/$E$6</f>
        <v>3.0948810559006215</v>
      </c>
      <c r="F102">
        <f>'Req. Diario'!F101</f>
        <v>5</v>
      </c>
      <c r="G102">
        <f>(F102-((C102*(Main!$G$41/100))+(E102*(Main!$G$31/100))+(I102*(Main!$G$46/100))+(K102*(Main!$G$51/100))))/$G$6</f>
        <v>8.333333333333334</v>
      </c>
      <c r="H102">
        <f>'Req. Diario'!G101</f>
        <v>0.8557544830560249</v>
      </c>
      <c r="I102">
        <f>H102/$I$6</f>
        <v>5.348465519100155</v>
      </c>
      <c r="J102">
        <f>'Req. Diario'!H101</f>
        <v>2.9766350000000004</v>
      </c>
      <c r="K102">
        <f>J102/$K$6</f>
        <v>0.00029766350000000005</v>
      </c>
      <c r="L102">
        <f>'Req. Diario'!I101</f>
        <v>35.6483</v>
      </c>
      <c r="M102">
        <f>L102/$M$6</f>
        <v>173.89414634146343</v>
      </c>
    </row>
    <row r="103">
      <c r="B103">
        <f>'Req. Diario'!D102</f>
        <v>3.6697247706422016</v>
      </c>
      <c r="C103">
        <f>(B103-((E103*(Main!$E$31/100))+(G103*(Main!$E$36/100))+(I103*(Main!$E$46/100))+(K103*(Main!$E$51/100))))/$C$6</f>
        <v>6.766622131695847</v>
      </c>
      <c r="D103">
        <f>'Req. Diario'!E102</f>
        <v>1.4236452857142858</v>
      </c>
      <c r="E103">
        <f>(D103-((C103*(Main!$F$41/100))+(G103*(Main!$F$36/100))+(I103*(Main!$F$46/100))+(K103*(Main!$F$51/100))))/$E$6</f>
        <v>3.0948810559006215</v>
      </c>
      <c r="F103">
        <f>'Req. Diario'!F102</f>
        <v>5</v>
      </c>
      <c r="G103">
        <f>(F103-((C103*(Main!$G$41/100))+(E103*(Main!$G$31/100))+(I103*(Main!$G$46/100))+(K103*(Main!$G$51/100))))/$G$6</f>
        <v>8.333333333333334</v>
      </c>
      <c r="H103">
        <f>'Req. Diario'!G102</f>
        <v>0.8557544830560249</v>
      </c>
      <c r="I103">
        <f>H103/$I$6</f>
        <v>5.348465519100155</v>
      </c>
      <c r="J103">
        <f>'Req. Diario'!H102</f>
        <v>2.9766350000000004</v>
      </c>
      <c r="K103">
        <f>J103/$K$6</f>
        <v>0.00029766350000000005</v>
      </c>
      <c r="L103">
        <f>'Req. Diario'!I102</f>
        <v>35.6483</v>
      </c>
      <c r="M103">
        <f>L103/$M$6</f>
        <v>173.89414634146343</v>
      </c>
    </row>
    <row r="104">
      <c r="B104">
        <f>'Req. Diario'!D103</f>
        <v>3.6697247706422016</v>
      </c>
      <c r="C104">
        <f>(B104-((E104*(Main!$E$31/100))+(G104*(Main!$E$36/100))+(I104*(Main!$E$46/100))+(K104*(Main!$E$51/100))))/$C$6</f>
        <v>6.766622131695847</v>
      </c>
      <c r="D104">
        <f>'Req. Diario'!E103</f>
        <v>1.4236452857142858</v>
      </c>
      <c r="E104">
        <f>(D104-((C104*(Main!$F$41/100))+(G104*(Main!$F$36/100))+(I104*(Main!$F$46/100))+(K104*(Main!$F$51/100))))/$E$6</f>
        <v>3.0948810559006215</v>
      </c>
      <c r="F104">
        <f>'Req. Diario'!F103</f>
        <v>5</v>
      </c>
      <c r="G104">
        <f>(F104-((C104*(Main!$G$41/100))+(E104*(Main!$G$31/100))+(I104*(Main!$G$46/100))+(K104*(Main!$G$51/100))))/$G$6</f>
        <v>8.333333333333334</v>
      </c>
      <c r="H104">
        <f>'Req. Diario'!G103</f>
        <v>0.8557544830560249</v>
      </c>
      <c r="I104">
        <f>H104/$I$6</f>
        <v>5.348465519100155</v>
      </c>
      <c r="J104">
        <f>'Req. Diario'!H103</f>
        <v>2.9766350000000004</v>
      </c>
      <c r="K104">
        <f>J104/$K$6</f>
        <v>0.00029766350000000005</v>
      </c>
      <c r="L104">
        <f>'Req. Diario'!I103</f>
        <v>35.6483</v>
      </c>
      <c r="M104">
        <f>L104/$M$6</f>
        <v>173.89414634146343</v>
      </c>
    </row>
    <row r="105">
      <c r="A105">
        <v>15</v>
      </c>
      <c r="B105">
        <f>'Req. Diario'!D104</f>
        <v>3.6697247706422016</v>
      </c>
      <c r="C105">
        <f>(B105-((E105*(Main!$E$31/100))+(G105*(Main!$E$36/100))+(I105*(Main!$E$46/100))+(K105*(Main!$E$51/100))))/$C$6</f>
        <v>6.766622131695847</v>
      </c>
      <c r="D105">
        <f>'Req. Diario'!E104</f>
        <v>1.4236452857142858</v>
      </c>
      <c r="E105">
        <f>(D105-((C105*(Main!$F$41/100))+(G105*(Main!$F$36/100))+(I105*(Main!$F$46/100))+(K105*(Main!$F$51/100))))/$E$6</f>
        <v>3.0948810559006215</v>
      </c>
      <c r="F105">
        <f>'Req. Diario'!F104</f>
        <v>5</v>
      </c>
      <c r="G105">
        <f>(F105-((C105*(Main!$G$41/100))+(E105*(Main!$G$31/100))+(I105*(Main!$G$46/100))+(K105*(Main!$G$51/100))))/$G$6</f>
        <v>8.333333333333334</v>
      </c>
      <c r="H105">
        <f>'Req. Diario'!G104</f>
        <v>0.8557544830560249</v>
      </c>
      <c r="I105">
        <f>H105/$I$6</f>
        <v>5.348465519100155</v>
      </c>
      <c r="J105">
        <f>'Req. Diario'!H104</f>
        <v>2.9766350000000004</v>
      </c>
      <c r="K105">
        <f>J105/$K$6</f>
        <v>0.00029766350000000005</v>
      </c>
      <c r="L105">
        <f>'Req. Diario'!I104</f>
        <v>35.6483</v>
      </c>
      <c r="M105">
        <f>L105/$M$6</f>
        <v>173.89414634146343</v>
      </c>
    </row>
    <row r="106">
      <c r="B106">
        <f>'Req. Diario'!D105</f>
        <v>3.6697247706422016</v>
      </c>
      <c r="C106">
        <f>(B106-((E106*(Main!$E$31/100))+(G106*(Main!$E$36/100))+(I106*(Main!$E$46/100))+(K106*(Main!$E$51/100))))/$C$6</f>
        <v>6.766622131695847</v>
      </c>
      <c r="D106">
        <f>'Req. Diario'!E105</f>
        <v>1.4236452857142858</v>
      </c>
      <c r="E106">
        <f>(D106-((C106*(Main!$F$41/100))+(G106*(Main!$F$36/100))+(I106*(Main!$F$46/100))+(K106*(Main!$F$51/100))))/$E$6</f>
        <v>3.0948810559006215</v>
      </c>
      <c r="F106">
        <f>'Req. Diario'!F105</f>
        <v>5</v>
      </c>
      <c r="G106">
        <f>(F106-((C106*(Main!$G$41/100))+(E106*(Main!$G$31/100))+(I106*(Main!$G$46/100))+(K106*(Main!$G$51/100))))/$G$6</f>
        <v>8.333333333333334</v>
      </c>
      <c r="H106">
        <f>'Req. Diario'!G105</f>
        <v>0.8557544830560249</v>
      </c>
      <c r="I106">
        <f>H106/$I$6</f>
        <v>5.348465519100155</v>
      </c>
      <c r="J106">
        <f>'Req. Diario'!H105</f>
        <v>2.9766350000000004</v>
      </c>
      <c r="K106">
        <f>J106/$K$6</f>
        <v>0.00029766350000000005</v>
      </c>
      <c r="L106">
        <f>'Req. Diario'!I105</f>
        <v>35.6483</v>
      </c>
      <c r="M106">
        <f>L106/$M$6</f>
        <v>173.89414634146343</v>
      </c>
    </row>
    <row r="107">
      <c r="B107">
        <f>'Req. Diario'!D106</f>
        <v>3.6697247706422016</v>
      </c>
      <c r="C107">
        <f>(B107-((E107*(Main!$E$31/100))+(G107*(Main!$E$36/100))+(I107*(Main!$E$46/100))+(K107*(Main!$E$51/100))))/$C$6</f>
        <v>6.766622131695847</v>
      </c>
      <c r="D107">
        <f>'Req. Diario'!E106</f>
        <v>1.4236452857142858</v>
      </c>
      <c r="E107">
        <f>(D107-((C107*(Main!$F$41/100))+(G107*(Main!$F$36/100))+(I107*(Main!$F$46/100))+(K107*(Main!$F$51/100))))/$E$6</f>
        <v>3.0948810559006215</v>
      </c>
      <c r="F107">
        <f>'Req. Diario'!F106</f>
        <v>5</v>
      </c>
      <c r="G107">
        <f>(F107-((C107*(Main!$G$41/100))+(E107*(Main!$G$31/100))+(I107*(Main!$G$46/100))+(K107*(Main!$G$51/100))))/$G$6</f>
        <v>8.333333333333334</v>
      </c>
      <c r="H107">
        <f>'Req. Diario'!G106</f>
        <v>0.8557544830560249</v>
      </c>
      <c r="I107">
        <f>H107/$I$6</f>
        <v>5.348465519100155</v>
      </c>
      <c r="J107">
        <f>'Req. Diario'!H106</f>
        <v>2.9766350000000004</v>
      </c>
      <c r="K107">
        <f>J107/$K$6</f>
        <v>0.00029766350000000005</v>
      </c>
      <c r="L107">
        <f>'Req. Diario'!I106</f>
        <v>35.6483</v>
      </c>
      <c r="M107">
        <f>L107/$M$6</f>
        <v>173.89414634146343</v>
      </c>
    </row>
    <row r="108">
      <c r="B108">
        <f>'Req. Diario'!D107</f>
        <v>3.6697247706422016</v>
      </c>
      <c r="C108">
        <f>(B108-((E108*(Main!$E$31/100))+(G108*(Main!$E$36/100))+(I108*(Main!$E$46/100))+(K108*(Main!$E$51/100))))/$C$6</f>
        <v>6.766622131695847</v>
      </c>
      <c r="D108">
        <f>'Req. Diario'!E107</f>
        <v>1.4236452857142858</v>
      </c>
      <c r="E108">
        <f>(D108-((C108*(Main!$F$41/100))+(G108*(Main!$F$36/100))+(I108*(Main!$F$46/100))+(K108*(Main!$F$51/100))))/$E$6</f>
        <v>3.0948810559006215</v>
      </c>
      <c r="F108">
        <f>'Req. Diario'!F107</f>
        <v>5</v>
      </c>
      <c r="G108">
        <f>(F108-((C108*(Main!$G$41/100))+(E108*(Main!$G$31/100))+(I108*(Main!$G$46/100))+(K108*(Main!$G$51/100))))/$G$6</f>
        <v>8.333333333333334</v>
      </c>
      <c r="H108">
        <f>'Req. Diario'!G107</f>
        <v>0.8557544830560249</v>
      </c>
      <c r="I108">
        <f>H108/$I$6</f>
        <v>5.348465519100155</v>
      </c>
      <c r="J108">
        <f>'Req. Diario'!H107</f>
        <v>2.9766350000000004</v>
      </c>
      <c r="K108">
        <f>J108/$K$6</f>
        <v>0.00029766350000000005</v>
      </c>
      <c r="L108">
        <f>'Req. Diario'!I107</f>
        <v>35.6483</v>
      </c>
      <c r="M108">
        <f>L108/$M$6</f>
        <v>173.89414634146343</v>
      </c>
    </row>
    <row r="109">
      <c r="B109">
        <f>'Req. Diario'!D108</f>
        <v>3.6697247706422016</v>
      </c>
      <c r="C109">
        <f>(B109-((E109*(Main!$E$31/100))+(G109*(Main!$E$36/100))+(I109*(Main!$E$46/100))+(K109*(Main!$E$51/100))))/$C$6</f>
        <v>6.766622131695847</v>
      </c>
      <c r="D109">
        <f>'Req. Diario'!E108</f>
        <v>1.4236452857142858</v>
      </c>
      <c r="E109">
        <f>(D109-((C109*(Main!$F$41/100))+(G109*(Main!$F$36/100))+(I109*(Main!$F$46/100))+(K109*(Main!$F$51/100))))/$E$6</f>
        <v>3.0948810559006215</v>
      </c>
      <c r="F109">
        <f>'Req. Diario'!F108</f>
        <v>5</v>
      </c>
      <c r="G109">
        <f>(F109-((C109*(Main!$G$41/100))+(E109*(Main!$G$31/100))+(I109*(Main!$G$46/100))+(K109*(Main!$G$51/100))))/$G$6</f>
        <v>8.333333333333334</v>
      </c>
      <c r="H109">
        <f>'Req. Diario'!G108</f>
        <v>0.8557544830560249</v>
      </c>
      <c r="I109">
        <f>H109/$I$6</f>
        <v>5.348465519100155</v>
      </c>
      <c r="J109">
        <f>'Req. Diario'!H108</f>
        <v>2.9766350000000004</v>
      </c>
      <c r="K109">
        <f>J109/$K$6</f>
        <v>0.00029766350000000005</v>
      </c>
      <c r="L109">
        <f>'Req. Diario'!I108</f>
        <v>35.6483</v>
      </c>
      <c r="M109">
        <f>L109/$M$6</f>
        <v>173.89414634146343</v>
      </c>
    </row>
    <row r="110">
      <c r="B110">
        <f>'Req. Diario'!D109</f>
        <v>3.6697247706422016</v>
      </c>
      <c r="C110">
        <f>(B110-((E110*(Main!$E$31/100))+(G110*(Main!$E$36/100))+(I110*(Main!$E$46/100))+(K110*(Main!$E$51/100))))/$C$6</f>
        <v>6.766622131695847</v>
      </c>
      <c r="D110">
        <f>'Req. Diario'!E109</f>
        <v>1.4236452857142858</v>
      </c>
      <c r="E110">
        <f>(D110-((C110*(Main!$F$41/100))+(G110*(Main!$F$36/100))+(I110*(Main!$F$46/100))+(K110*(Main!$F$51/100))))/$E$6</f>
        <v>3.0948810559006215</v>
      </c>
      <c r="F110">
        <f>'Req. Diario'!F109</f>
        <v>5</v>
      </c>
      <c r="G110">
        <f>(F110-((C110*(Main!$G$41/100))+(E110*(Main!$G$31/100))+(I110*(Main!$G$46/100))+(K110*(Main!$G$51/100))))/$G$6</f>
        <v>8.333333333333334</v>
      </c>
      <c r="H110">
        <f>'Req. Diario'!G109</f>
        <v>0.8557544830560249</v>
      </c>
      <c r="I110">
        <f>H110/$I$6</f>
        <v>5.348465519100155</v>
      </c>
      <c r="J110">
        <f>'Req. Diario'!H109</f>
        <v>2.9766350000000004</v>
      </c>
      <c r="K110">
        <f>J110/$K$6</f>
        <v>0.00029766350000000005</v>
      </c>
      <c r="L110">
        <f>'Req. Diario'!I109</f>
        <v>35.6483</v>
      </c>
      <c r="M110">
        <f>L110/$M$6</f>
        <v>173.89414634146343</v>
      </c>
    </row>
    <row r="111">
      <c r="B111">
        <f>'Req. Diario'!D110</f>
        <v>3.6697247706422016</v>
      </c>
      <c r="C111">
        <f>(B111-((E111*(Main!$E$31/100))+(G111*(Main!$E$36/100))+(I111*(Main!$E$46/100))+(K111*(Main!$E$51/100))))/$C$6</f>
        <v>6.766622131695847</v>
      </c>
      <c r="D111">
        <f>'Req. Diario'!E110</f>
        <v>1.4236452857142858</v>
      </c>
      <c r="E111">
        <f>(D111-((C111*(Main!$F$41/100))+(G111*(Main!$F$36/100))+(I111*(Main!$F$46/100))+(K111*(Main!$F$51/100))))/$E$6</f>
        <v>3.0948810559006215</v>
      </c>
      <c r="F111">
        <f>'Req. Diario'!F110</f>
        <v>5</v>
      </c>
      <c r="G111">
        <f>(F111-((C111*(Main!$G$41/100))+(E111*(Main!$G$31/100))+(I111*(Main!$G$46/100))+(K111*(Main!$G$51/100))))/$G$6</f>
        <v>8.333333333333334</v>
      </c>
      <c r="H111">
        <f>'Req. Diario'!G110</f>
        <v>0.8557544830560249</v>
      </c>
      <c r="I111">
        <f>H111/$I$6</f>
        <v>5.348465519100155</v>
      </c>
      <c r="J111">
        <f>'Req. Diario'!H110</f>
        <v>2.9766350000000004</v>
      </c>
      <c r="K111">
        <f>J111/$K$6</f>
        <v>0.00029766350000000005</v>
      </c>
      <c r="L111">
        <f>'Req. Diario'!I110</f>
        <v>35.6483</v>
      </c>
      <c r="M111">
        <f>L111/$M$6</f>
        <v>173.89414634146343</v>
      </c>
    </row>
    <row r="112">
      <c r="A112">
        <v>16</v>
      </c>
      <c r="B112">
        <f>'Req. Diario'!D111</f>
        <v>3.6697247706422016</v>
      </c>
      <c r="C112">
        <f>(B112-((E112*(Main!$E$31/100))+(G112*(Main!$E$36/100))+(I112*(Main!$E$46/100))+(K112*(Main!$E$51/100))))/$C$6</f>
        <v>6.766622131695847</v>
      </c>
      <c r="D112">
        <f>'Req. Diario'!E111</f>
        <v>1.4236452857142858</v>
      </c>
      <c r="E112">
        <f>(D112-((C112*(Main!$F$41/100))+(G112*(Main!$F$36/100))+(I112*(Main!$F$46/100))+(K112*(Main!$F$51/100))))/$E$6</f>
        <v>3.0948810559006215</v>
      </c>
      <c r="F112">
        <f>'Req. Diario'!F111</f>
        <v>5</v>
      </c>
      <c r="G112">
        <f>(F112-((C112*(Main!$G$41/100))+(E112*(Main!$G$31/100))+(I112*(Main!$G$46/100))+(K112*(Main!$G$51/100))))/$G$6</f>
        <v>8.333333333333334</v>
      </c>
      <c r="H112">
        <f>'Req. Diario'!G111</f>
        <v>0.8557544830560249</v>
      </c>
      <c r="I112">
        <f>H112/$I$6</f>
        <v>5.348465519100155</v>
      </c>
      <c r="J112">
        <f>'Req. Diario'!H111</f>
        <v>2.9766350000000004</v>
      </c>
      <c r="K112">
        <f>J112/$K$6</f>
        <v>0.00029766350000000005</v>
      </c>
      <c r="L112">
        <f>'Req. Diario'!I111</f>
        <v>35.6483</v>
      </c>
      <c r="M112">
        <f>L112/$M$6</f>
        <v>173.89414634146343</v>
      </c>
    </row>
    <row r="113">
      <c r="B113">
        <f>'Req. Diario'!D112</f>
        <v>3.6697247706422016</v>
      </c>
      <c r="C113">
        <f>(B113-((E113*(Main!$E$31/100))+(G113*(Main!$E$36/100))+(I113*(Main!$E$46/100))+(K113*(Main!$E$51/100))))/$C$6</f>
        <v>6.766622131695847</v>
      </c>
      <c r="D113">
        <f>'Req. Diario'!E112</f>
        <v>1.4236452857142858</v>
      </c>
      <c r="E113">
        <f>(D113-((C113*(Main!$F$41/100))+(G113*(Main!$F$36/100))+(I113*(Main!$F$46/100))+(K113*(Main!$F$51/100))))/$E$6</f>
        <v>3.0948810559006215</v>
      </c>
      <c r="F113">
        <f>'Req. Diario'!F112</f>
        <v>5</v>
      </c>
      <c r="G113">
        <f>(F113-((C113*(Main!$G$41/100))+(E113*(Main!$G$31/100))+(I113*(Main!$G$46/100))+(K113*(Main!$G$51/100))))/$G$6</f>
        <v>8.333333333333334</v>
      </c>
      <c r="H113">
        <f>'Req. Diario'!G112</f>
        <v>0.8557544830560249</v>
      </c>
      <c r="I113">
        <f>H113/$I$6</f>
        <v>5.348465519100155</v>
      </c>
      <c r="J113">
        <f>'Req. Diario'!H112</f>
        <v>2.9766350000000004</v>
      </c>
      <c r="K113">
        <f>J113/$K$6</f>
        <v>0.00029766350000000005</v>
      </c>
      <c r="L113">
        <f>'Req. Diario'!I112</f>
        <v>35.6483</v>
      </c>
      <c r="M113">
        <f>L113/$M$6</f>
        <v>173.89414634146343</v>
      </c>
    </row>
    <row r="114">
      <c r="B114">
        <f>'Req. Diario'!D113</f>
        <v>3.6697247706422016</v>
      </c>
      <c r="C114">
        <f>(B114-((E114*(Main!$E$31/100))+(G114*(Main!$E$36/100))+(I114*(Main!$E$46/100))+(K114*(Main!$E$51/100))))/$C$6</f>
        <v>6.766622131695847</v>
      </c>
      <c r="D114">
        <f>'Req. Diario'!E113</f>
        <v>1.4236452857142858</v>
      </c>
      <c r="E114">
        <f>(D114-((C114*(Main!$F$41/100))+(G114*(Main!$F$36/100))+(I114*(Main!$F$46/100))+(K114*(Main!$F$51/100))))/$E$6</f>
        <v>3.0948810559006215</v>
      </c>
      <c r="F114">
        <f>'Req. Diario'!F113</f>
        <v>5</v>
      </c>
      <c r="G114">
        <f>(F114-((C114*(Main!$G$41/100))+(E114*(Main!$G$31/100))+(I114*(Main!$G$46/100))+(K114*(Main!$G$51/100))))/$G$6</f>
        <v>8.333333333333334</v>
      </c>
      <c r="H114">
        <f>'Req. Diario'!G113</f>
        <v>0.8557544830560249</v>
      </c>
      <c r="I114">
        <f>H114/$I$6</f>
        <v>5.348465519100155</v>
      </c>
      <c r="J114">
        <f>'Req. Diario'!H113</f>
        <v>2.9766350000000004</v>
      </c>
      <c r="K114">
        <f>J114/$K$6</f>
        <v>0.00029766350000000005</v>
      </c>
      <c r="L114">
        <f>'Req. Diario'!I113</f>
        <v>35.6483</v>
      </c>
      <c r="M114">
        <f>L114/$M$6</f>
        <v>173.89414634146343</v>
      </c>
    </row>
    <row r="115">
      <c r="B115">
        <f>'Req. Diario'!D114</f>
        <v>3.6697247706422016</v>
      </c>
      <c r="C115">
        <f>(B115-((E115*(Main!$E$31/100))+(G115*(Main!$E$36/100))+(I115*(Main!$E$46/100))+(K115*(Main!$E$51/100))))/$C$6</f>
        <v>6.766622131695847</v>
      </c>
      <c r="D115">
        <f>'Req. Diario'!E114</f>
        <v>1.4236452857142858</v>
      </c>
      <c r="E115">
        <f>(D115-((C115*(Main!$F$41/100))+(G115*(Main!$F$36/100))+(I115*(Main!$F$46/100))+(K115*(Main!$F$51/100))))/$E$6</f>
        <v>3.0948810559006215</v>
      </c>
      <c r="F115">
        <f>'Req. Diario'!F114</f>
        <v>5</v>
      </c>
      <c r="G115">
        <f>(F115-((C115*(Main!$G$41/100))+(E115*(Main!$G$31/100))+(I115*(Main!$G$46/100))+(K115*(Main!$G$51/100))))/$G$6</f>
        <v>8.333333333333334</v>
      </c>
      <c r="H115">
        <f>'Req. Diario'!G114</f>
        <v>0.8557544830560249</v>
      </c>
      <c r="I115">
        <f>H115/$I$6</f>
        <v>5.348465519100155</v>
      </c>
      <c r="J115">
        <f>'Req. Diario'!H114</f>
        <v>2.9766350000000004</v>
      </c>
      <c r="K115">
        <f>J115/$K$6</f>
        <v>0.00029766350000000005</v>
      </c>
      <c r="L115">
        <f>'Req. Diario'!I114</f>
        <v>35.6483</v>
      </c>
      <c r="M115">
        <f>L115/$M$6</f>
        <v>173.89414634146343</v>
      </c>
    </row>
    <row r="116">
      <c r="B116">
        <f>'Req. Diario'!D115</f>
        <v>3.6697247706422016</v>
      </c>
      <c r="C116">
        <f>(B116-((E116*(Main!$E$31/100))+(G116*(Main!$E$36/100))+(I116*(Main!$E$46/100))+(K116*(Main!$E$51/100))))/$C$6</f>
        <v>6.766622131695847</v>
      </c>
      <c r="D116">
        <f>'Req. Diario'!E115</f>
        <v>1.4236452857142858</v>
      </c>
      <c r="E116">
        <f>(D116-((C116*(Main!$F$41/100))+(G116*(Main!$F$36/100))+(I116*(Main!$F$46/100))+(K116*(Main!$F$51/100))))/$E$6</f>
        <v>3.0948810559006215</v>
      </c>
      <c r="F116">
        <f>'Req. Diario'!F115</f>
        <v>5</v>
      </c>
      <c r="G116">
        <f>(F116-((C116*(Main!$G$41/100))+(E116*(Main!$G$31/100))+(I116*(Main!$G$46/100))+(K116*(Main!$G$51/100))))/$G$6</f>
        <v>8.333333333333334</v>
      </c>
      <c r="H116">
        <f>'Req. Diario'!G115</f>
        <v>0.8557544830560249</v>
      </c>
      <c r="I116">
        <f>H116/$I$6</f>
        <v>5.348465519100155</v>
      </c>
      <c r="J116">
        <f>'Req. Diario'!H115</f>
        <v>2.9766350000000004</v>
      </c>
      <c r="K116">
        <f>J116/$K$6</f>
        <v>0.00029766350000000005</v>
      </c>
      <c r="L116">
        <f>'Req. Diario'!I115</f>
        <v>35.6483</v>
      </c>
      <c r="M116">
        <f>L116/$M$6</f>
        <v>173.89414634146343</v>
      </c>
    </row>
    <row r="117">
      <c r="B117">
        <f>'Req. Diario'!D116</f>
        <v>3.6697247706422016</v>
      </c>
      <c r="C117">
        <f>(B117-((E117*(Main!$E$31/100))+(G117*(Main!$E$36/100))+(I117*(Main!$E$46/100))+(K117*(Main!$E$51/100))))/$C$6</f>
        <v>6.766622131695847</v>
      </c>
      <c r="D117">
        <f>'Req. Diario'!E116</f>
        <v>1.4236452857142858</v>
      </c>
      <c r="E117">
        <f>(D117-((C117*(Main!$F$41/100))+(G117*(Main!$F$36/100))+(I117*(Main!$F$46/100))+(K117*(Main!$F$51/100))))/$E$6</f>
        <v>3.0948810559006215</v>
      </c>
      <c r="F117">
        <f>'Req. Diario'!F116</f>
        <v>5</v>
      </c>
      <c r="G117">
        <f>(F117-((C117*(Main!$G$41/100))+(E117*(Main!$G$31/100))+(I117*(Main!$G$46/100))+(K117*(Main!$G$51/100))))/$G$6</f>
        <v>8.333333333333334</v>
      </c>
      <c r="H117">
        <f>'Req. Diario'!G116</f>
        <v>0.8557544830560249</v>
      </c>
      <c r="I117">
        <f>H117/$I$6</f>
        <v>5.348465519100155</v>
      </c>
      <c r="J117">
        <f>'Req. Diario'!H116</f>
        <v>2.9766350000000004</v>
      </c>
      <c r="K117">
        <f>J117/$K$6</f>
        <v>0.00029766350000000005</v>
      </c>
      <c r="L117">
        <f>'Req. Diario'!I116</f>
        <v>35.6483</v>
      </c>
      <c r="M117">
        <f>L117/$M$6</f>
        <v>173.89414634146343</v>
      </c>
    </row>
    <row r="118">
      <c r="B118">
        <f>'Req. Diario'!D117</f>
        <v>3.6697247706422016</v>
      </c>
      <c r="C118">
        <f>(B118-((E118*(Main!$E$31/100))+(G118*(Main!$E$36/100))+(I118*(Main!$E$46/100))+(K118*(Main!$E$51/100))))/$C$6</f>
        <v>6.766622131695847</v>
      </c>
      <c r="D118">
        <f>'Req. Diario'!E117</f>
        <v>1.4236452857142858</v>
      </c>
      <c r="E118">
        <f>(D118-((C118*(Main!$F$41/100))+(G118*(Main!$F$36/100))+(I118*(Main!$F$46/100))+(K118*(Main!$F$51/100))))/$E$6</f>
        <v>3.0948810559006215</v>
      </c>
      <c r="F118">
        <f>'Req. Diario'!F117</f>
        <v>5</v>
      </c>
      <c r="G118">
        <f>(F118-((C118*(Main!$G$41/100))+(E118*(Main!$G$31/100))+(I118*(Main!$G$46/100))+(K118*(Main!$G$51/100))))/$G$6</f>
        <v>8.333333333333334</v>
      </c>
      <c r="H118">
        <f>'Req. Diario'!G117</f>
        <v>0.8557544830560249</v>
      </c>
      <c r="I118">
        <f>H118/$I$6</f>
        <v>5.348465519100155</v>
      </c>
      <c r="J118">
        <f>'Req. Diario'!H117</f>
        <v>2.9766350000000004</v>
      </c>
      <c r="K118">
        <f>J118/$K$6</f>
        <v>0.00029766350000000005</v>
      </c>
      <c r="L118">
        <f>'Req. Diario'!I117</f>
        <v>35.6483</v>
      </c>
      <c r="M118">
        <f>L118/$M$6</f>
        <v>173.89414634146343</v>
      </c>
    </row>
    <row r="119">
      <c r="A119">
        <v>17</v>
      </c>
      <c r="B119">
        <f>'Req. Diario'!D118</f>
        <v>3.6697247706422016</v>
      </c>
      <c r="C119">
        <f>(B119-((E119*(Main!$E$31/100))+(G119*(Main!$E$36/100))+(I119*(Main!$E$46/100))+(K119*(Main!$E$51/100))))/$C$6</f>
        <v>6.766622131695847</v>
      </c>
      <c r="D119">
        <f>'Req. Diario'!E118</f>
        <v>1.4236452857142858</v>
      </c>
      <c r="E119">
        <f>(D119-((C119*(Main!$F$41/100))+(G119*(Main!$F$36/100))+(I119*(Main!$F$46/100))+(K119*(Main!$F$51/100))))/$E$6</f>
        <v>3.0948810559006215</v>
      </c>
      <c r="F119">
        <f>'Req. Diario'!F118</f>
        <v>5</v>
      </c>
      <c r="G119">
        <f>(F119-((C119*(Main!$G$41/100))+(E119*(Main!$G$31/100))+(I119*(Main!$G$46/100))+(K119*(Main!$G$51/100))))/$G$6</f>
        <v>8.333333333333334</v>
      </c>
      <c r="H119">
        <f>'Req. Diario'!G118</f>
        <v>0.8557544830560249</v>
      </c>
      <c r="I119">
        <f>H119/$I$6</f>
        <v>5.348465519100155</v>
      </c>
      <c r="J119">
        <f>'Req. Diario'!H118</f>
        <v>2.9766350000000004</v>
      </c>
      <c r="K119">
        <f>J119/$K$6</f>
        <v>0.00029766350000000005</v>
      </c>
      <c r="L119">
        <f>'Req. Diario'!I118</f>
        <v>35.6483</v>
      </c>
      <c r="M119">
        <f>L119/$M$6</f>
        <v>173.89414634146343</v>
      </c>
    </row>
    <row r="120">
      <c r="B120">
        <f>'Req. Diario'!D119</f>
        <v>3.6697247706422016</v>
      </c>
      <c r="C120">
        <f>(B120-((E120*(Main!$E$31/100))+(G120*(Main!$E$36/100))+(I120*(Main!$E$46/100))+(K120*(Main!$E$51/100))))/$C$6</f>
        <v>6.766622131695847</v>
      </c>
      <c r="D120">
        <f>'Req. Diario'!E119</f>
        <v>1.4236452857142858</v>
      </c>
      <c r="E120">
        <f>(D120-((C120*(Main!$F$41/100))+(G120*(Main!$F$36/100))+(I120*(Main!$F$46/100))+(K120*(Main!$F$51/100))))/$E$6</f>
        <v>3.0948810559006215</v>
      </c>
      <c r="F120">
        <f>'Req. Diario'!F119</f>
        <v>5</v>
      </c>
      <c r="G120">
        <f>(F120-((C120*(Main!$G$41/100))+(E120*(Main!$G$31/100))+(I120*(Main!$G$46/100))+(K120*(Main!$G$51/100))))/$G$6</f>
        <v>8.333333333333334</v>
      </c>
      <c r="H120">
        <f>'Req. Diario'!G119</f>
        <v>0.8557544830560249</v>
      </c>
      <c r="I120">
        <f>H120/$I$6</f>
        <v>5.348465519100155</v>
      </c>
      <c r="J120">
        <f>'Req. Diario'!H119</f>
        <v>2.9766350000000004</v>
      </c>
      <c r="K120">
        <f>J120/$K$6</f>
        <v>0.00029766350000000005</v>
      </c>
      <c r="L120">
        <f>'Req. Diario'!I119</f>
        <v>35.6483</v>
      </c>
      <c r="M120">
        <f>L120/$M$6</f>
        <v>173.89414634146343</v>
      </c>
    </row>
    <row r="121">
      <c r="B121">
        <f>'Req. Diario'!D120</f>
        <v>3.6697247706422016</v>
      </c>
      <c r="C121">
        <f>(B121-((E121*(Main!$E$31/100))+(G121*(Main!$E$36/100))+(I121*(Main!$E$46/100))+(K121*(Main!$E$51/100))))/$C$6</f>
        <v>6.766622131695847</v>
      </c>
      <c r="D121">
        <f>'Req. Diario'!E120</f>
        <v>1.4236452857142858</v>
      </c>
      <c r="E121">
        <f>(D121-((C121*(Main!$F$41/100))+(G121*(Main!$F$36/100))+(I121*(Main!$F$46/100))+(K121*(Main!$F$51/100))))/$E$6</f>
        <v>3.0948810559006215</v>
      </c>
      <c r="F121">
        <f>'Req. Diario'!F120</f>
        <v>5</v>
      </c>
      <c r="G121">
        <f>(F121-((C121*(Main!$G$41/100))+(E121*(Main!$G$31/100))+(I121*(Main!$G$46/100))+(K121*(Main!$G$51/100))))/$G$6</f>
        <v>8.333333333333334</v>
      </c>
      <c r="H121">
        <f>'Req. Diario'!G120</f>
        <v>0.8557544830560249</v>
      </c>
      <c r="I121">
        <f>H121/$I$6</f>
        <v>5.348465519100155</v>
      </c>
      <c r="J121">
        <f>'Req. Diario'!H120</f>
        <v>2.9766350000000004</v>
      </c>
      <c r="K121">
        <f>J121/$K$6</f>
        <v>0.00029766350000000005</v>
      </c>
      <c r="L121">
        <f>'Req. Diario'!I120</f>
        <v>35.6483</v>
      </c>
      <c r="M121">
        <f>L121/$M$6</f>
        <v>173.89414634146343</v>
      </c>
    </row>
    <row r="122">
      <c r="B122">
        <f>'Req. Diario'!D121</f>
        <v>3.6697247706422016</v>
      </c>
      <c r="C122">
        <f>(B122-((E122*(Main!$E$31/100))+(G122*(Main!$E$36/100))+(I122*(Main!$E$46/100))+(K122*(Main!$E$51/100))))/$C$6</f>
        <v>6.766622131695847</v>
      </c>
      <c r="D122">
        <f>'Req. Diario'!E121</f>
        <v>1.4236452857142858</v>
      </c>
      <c r="E122">
        <f>(D122-((C122*(Main!$F$41/100))+(G122*(Main!$F$36/100))+(I122*(Main!$F$46/100))+(K122*(Main!$F$51/100))))/$E$6</f>
        <v>3.0948810559006215</v>
      </c>
      <c r="F122">
        <f>'Req. Diario'!F121</f>
        <v>5</v>
      </c>
      <c r="G122">
        <f>(F122-((C122*(Main!$G$41/100))+(E122*(Main!$G$31/100))+(I122*(Main!$G$46/100))+(K122*(Main!$G$51/100))))/$G$6</f>
        <v>8.333333333333334</v>
      </c>
      <c r="H122">
        <f>'Req. Diario'!G121</f>
        <v>0.8557544830560249</v>
      </c>
      <c r="I122">
        <f>H122/$I$6</f>
        <v>5.348465519100155</v>
      </c>
      <c r="J122">
        <f>'Req. Diario'!H121</f>
        <v>2.9766350000000004</v>
      </c>
      <c r="K122">
        <f>J122/$K$6</f>
        <v>0.00029766350000000005</v>
      </c>
      <c r="L122">
        <f>'Req. Diario'!I121</f>
        <v>35.6483</v>
      </c>
      <c r="M122">
        <f>L122/$M$6</f>
        <v>173.89414634146343</v>
      </c>
    </row>
    <row r="123">
      <c r="B123">
        <f>'Req. Diario'!D122</f>
        <v>3.6697247706422016</v>
      </c>
      <c r="C123">
        <f>(B123-((E123*(Main!$E$31/100))+(G123*(Main!$E$36/100))+(I123*(Main!$E$46/100))+(K123*(Main!$E$51/100))))/$C$6</f>
        <v>6.766622131695847</v>
      </c>
      <c r="D123">
        <f>'Req. Diario'!E122</f>
        <v>1.4236452857142858</v>
      </c>
      <c r="E123">
        <f>(D123-((C123*(Main!$F$41/100))+(G123*(Main!$F$36/100))+(I123*(Main!$F$46/100))+(K123*(Main!$F$51/100))))/$E$6</f>
        <v>3.0948810559006215</v>
      </c>
      <c r="F123">
        <f>'Req. Diario'!F122</f>
        <v>5</v>
      </c>
      <c r="G123">
        <f>(F123-((C123*(Main!$G$41/100))+(E123*(Main!$G$31/100))+(I123*(Main!$G$46/100))+(K123*(Main!$G$51/100))))/$G$6</f>
        <v>8.333333333333334</v>
      </c>
      <c r="H123">
        <f>'Req. Diario'!G122</f>
        <v>0.8557544830560249</v>
      </c>
      <c r="I123">
        <f>H123/$I$6</f>
        <v>5.348465519100155</v>
      </c>
      <c r="J123">
        <f>'Req. Diario'!H122</f>
        <v>2.9766350000000004</v>
      </c>
      <c r="K123">
        <f>J123/$K$6</f>
        <v>0.00029766350000000005</v>
      </c>
      <c r="L123">
        <f>'Req. Diario'!I122</f>
        <v>35.6483</v>
      </c>
      <c r="M123">
        <f>L123/$M$6</f>
        <v>173.89414634146343</v>
      </c>
    </row>
    <row r="124">
      <c r="B124">
        <f>'Req. Diario'!D123</f>
        <v>3.6697247706422016</v>
      </c>
      <c r="C124">
        <f>(B124-((E124*(Main!$E$31/100))+(G124*(Main!$E$36/100))+(I124*(Main!$E$46/100))+(K124*(Main!$E$51/100))))/$C$6</f>
        <v>6.766622131695847</v>
      </c>
      <c r="D124">
        <f>'Req. Diario'!E123</f>
        <v>1.4236452857142858</v>
      </c>
      <c r="E124">
        <f>(D124-((C124*(Main!$F$41/100))+(G124*(Main!$F$36/100))+(I124*(Main!$F$46/100))+(K124*(Main!$F$51/100))))/$E$6</f>
        <v>3.0948810559006215</v>
      </c>
      <c r="F124">
        <f>'Req. Diario'!F123</f>
        <v>5</v>
      </c>
      <c r="G124">
        <f>(F124-((C124*(Main!$G$41/100))+(E124*(Main!$G$31/100))+(I124*(Main!$G$46/100))+(K124*(Main!$G$51/100))))/$G$6</f>
        <v>8.333333333333334</v>
      </c>
      <c r="H124">
        <f>'Req. Diario'!G123</f>
        <v>0.8557544830560249</v>
      </c>
      <c r="I124">
        <f>H124/$I$6</f>
        <v>5.348465519100155</v>
      </c>
      <c r="J124">
        <f>'Req. Diario'!H123</f>
        <v>2.9766350000000004</v>
      </c>
      <c r="K124">
        <f>J124/$K$6</f>
        <v>0.00029766350000000005</v>
      </c>
      <c r="L124">
        <f>'Req. Diario'!I123</f>
        <v>35.6483</v>
      </c>
      <c r="M124">
        <f>L124/$M$6</f>
        <v>173.89414634146343</v>
      </c>
    </row>
    <row r="125">
      <c r="B125">
        <f>'Req. Diario'!D124</f>
        <v>3.6697247706422016</v>
      </c>
      <c r="C125">
        <f>(B125-((E125*(Main!$E$31/100))+(G125*(Main!$E$36/100))+(I125*(Main!$E$46/100))+(K125*(Main!$E$51/100))))/$C$6</f>
        <v>6.766622131695847</v>
      </c>
      <c r="D125">
        <f>'Req. Diario'!E124</f>
        <v>1.4236452857142858</v>
      </c>
      <c r="E125">
        <f>(D125-((C125*(Main!$F$41/100))+(G125*(Main!$F$36/100))+(I125*(Main!$F$46/100))+(K125*(Main!$F$51/100))))/$E$6</f>
        <v>3.0948810559006215</v>
      </c>
      <c r="F125">
        <f>'Req. Diario'!F124</f>
        <v>5</v>
      </c>
      <c r="G125">
        <f>(F125-((C125*(Main!$G$41/100))+(E125*(Main!$G$31/100))+(I125*(Main!$G$46/100))+(K125*(Main!$G$51/100))))/$G$6</f>
        <v>8.333333333333334</v>
      </c>
      <c r="H125">
        <f>'Req. Diario'!G124</f>
        <v>0.8557544830560249</v>
      </c>
      <c r="I125">
        <f>H125/$I$6</f>
        <v>5.348465519100155</v>
      </c>
      <c r="J125">
        <f>'Req. Diario'!H124</f>
        <v>2.9766350000000004</v>
      </c>
      <c r="K125">
        <f>J125/$K$6</f>
        <v>0.00029766350000000005</v>
      </c>
      <c r="L125">
        <f>'Req. Diario'!I124</f>
        <v>35.6483</v>
      </c>
      <c r="M125">
        <f>L125/$M$6</f>
        <v>173.89414634146343</v>
      </c>
    </row>
    <row r="126">
      <c r="A126">
        <v>18</v>
      </c>
      <c r="B126">
        <f>'Req. Diario'!D125</f>
        <v>3.6697247706422016</v>
      </c>
      <c r="C126">
        <f>(B126-((E126*(Main!$E$31/100))+(G126*(Main!$E$36/100))+(I126*(Main!$E$46/100))+(K126*(Main!$E$51/100))))/$C$6</f>
        <v>6.766622131695847</v>
      </c>
      <c r="D126">
        <f>'Req. Diario'!E125</f>
        <v>1.4236452857142858</v>
      </c>
      <c r="E126">
        <f>(D126-((C126*(Main!$F$41/100))+(G126*(Main!$F$36/100))+(I126*(Main!$F$46/100))+(K126*(Main!$F$51/100))))/$E$6</f>
        <v>3.0948810559006215</v>
      </c>
      <c r="F126">
        <f>'Req. Diario'!F125</f>
        <v>5</v>
      </c>
      <c r="G126">
        <f>(F126-((C126*(Main!$G$41/100))+(E126*(Main!$G$31/100))+(I126*(Main!$G$46/100))+(K126*(Main!$G$51/100))))/$G$6</f>
        <v>8.333333333333334</v>
      </c>
      <c r="H126">
        <f>'Req. Diario'!G125</f>
        <v>0.8557544830560249</v>
      </c>
      <c r="I126">
        <f>H126/$I$6</f>
        <v>5.348465519100155</v>
      </c>
      <c r="J126">
        <f>'Req. Diario'!H125</f>
        <v>2.9766350000000004</v>
      </c>
      <c r="K126">
        <f>J126/$K$6</f>
        <v>0.00029766350000000005</v>
      </c>
      <c r="L126">
        <f>'Req. Diario'!I125</f>
        <v>35.6483</v>
      </c>
      <c r="M126">
        <f>L126/$M$6</f>
        <v>173.89414634146343</v>
      </c>
    </row>
    <row r="127">
      <c r="B127">
        <f>'Req. Diario'!D126</f>
        <v>3.6697247706422016</v>
      </c>
      <c r="C127">
        <f>(B127-((E127*(Main!$E$31/100))+(G127*(Main!$E$36/100))+(I127*(Main!$E$46/100))+(K127*(Main!$E$51/100))))/$C$6</f>
        <v>6.766622131695847</v>
      </c>
      <c r="D127">
        <f>'Req. Diario'!E126</f>
        <v>1.4236452857142858</v>
      </c>
      <c r="E127">
        <f>(D127-((C127*(Main!$F$41/100))+(G127*(Main!$F$36/100))+(I127*(Main!$F$46/100))+(K127*(Main!$F$51/100))))/$E$6</f>
        <v>3.0948810559006215</v>
      </c>
      <c r="F127">
        <f>'Req. Diario'!F126</f>
        <v>5</v>
      </c>
      <c r="G127">
        <f>(F127-((C127*(Main!$G$41/100))+(E127*(Main!$G$31/100))+(I127*(Main!$G$46/100))+(K127*(Main!$G$51/100))))/$G$6</f>
        <v>8.333333333333334</v>
      </c>
      <c r="H127">
        <f>'Req. Diario'!G126</f>
        <v>0.8557544830560249</v>
      </c>
      <c r="I127">
        <f>H127/$I$6</f>
        <v>5.348465519100155</v>
      </c>
      <c r="J127">
        <f>'Req. Diario'!H126</f>
        <v>2.9766350000000004</v>
      </c>
      <c r="K127">
        <f>J127/$K$6</f>
        <v>0.00029766350000000005</v>
      </c>
      <c r="L127">
        <f>'Req. Diario'!I126</f>
        <v>35.6483</v>
      </c>
      <c r="M127">
        <f>L127/$M$6</f>
        <v>173.89414634146343</v>
      </c>
    </row>
    <row r="128">
      <c r="B128">
        <f>'Req. Diario'!D127</f>
        <v>3.6697247706422016</v>
      </c>
      <c r="C128">
        <f>(B128-((E128*(Main!$E$31/100))+(G128*(Main!$E$36/100))+(I128*(Main!$E$46/100))+(K128*(Main!$E$51/100))))/$C$6</f>
        <v>6.766622131695847</v>
      </c>
      <c r="D128">
        <f>'Req. Diario'!E127</f>
        <v>1.4236452857142858</v>
      </c>
      <c r="E128">
        <f>(D128-((C128*(Main!$F$41/100))+(G128*(Main!$F$36/100))+(I128*(Main!$F$46/100))+(K128*(Main!$F$51/100))))/$E$6</f>
        <v>3.0948810559006215</v>
      </c>
      <c r="F128">
        <f>'Req. Diario'!F127</f>
        <v>5</v>
      </c>
      <c r="G128">
        <f>(F128-((C128*(Main!$G$41/100))+(E128*(Main!$G$31/100))+(I128*(Main!$G$46/100))+(K128*(Main!$G$51/100))))/$G$6</f>
        <v>8.333333333333334</v>
      </c>
      <c r="H128">
        <f>'Req. Diario'!G127</f>
        <v>0.8557544830560249</v>
      </c>
      <c r="I128">
        <f>H128/$I$6</f>
        <v>5.348465519100155</v>
      </c>
      <c r="J128">
        <f>'Req. Diario'!H127</f>
        <v>2.9766350000000004</v>
      </c>
      <c r="K128">
        <f>J128/$K$6</f>
        <v>0.00029766350000000005</v>
      </c>
      <c r="L128">
        <f>'Req. Diario'!I127</f>
        <v>35.6483</v>
      </c>
      <c r="M128">
        <f>L128/$M$6</f>
        <v>173.89414634146343</v>
      </c>
    </row>
    <row r="129">
      <c r="B129">
        <f>'Req. Diario'!D128</f>
        <v>3.6697247706422016</v>
      </c>
      <c r="C129">
        <f>(B129-((E129*(Main!$E$31/100))+(G129*(Main!$E$36/100))+(I129*(Main!$E$46/100))+(K129*(Main!$E$51/100))))/$C$6</f>
        <v>6.766622131695847</v>
      </c>
      <c r="D129">
        <f>'Req. Diario'!E128</f>
        <v>1.4236452857142858</v>
      </c>
      <c r="E129">
        <f>(D129-((C129*(Main!$F$41/100))+(G129*(Main!$F$36/100))+(I129*(Main!$F$46/100))+(K129*(Main!$F$51/100))))/$E$6</f>
        <v>3.0948810559006215</v>
      </c>
      <c r="F129">
        <f>'Req. Diario'!F128</f>
        <v>5</v>
      </c>
      <c r="G129">
        <f>(F129-((C129*(Main!$G$41/100))+(E129*(Main!$G$31/100))+(I129*(Main!$G$46/100))+(K129*(Main!$G$51/100))))/$G$6</f>
        <v>8.333333333333334</v>
      </c>
      <c r="H129">
        <f>'Req. Diario'!G128</f>
        <v>0.8557544830560249</v>
      </c>
      <c r="I129">
        <f>H129/$I$6</f>
        <v>5.348465519100155</v>
      </c>
      <c r="J129">
        <f>'Req. Diario'!H128</f>
        <v>2.9766350000000004</v>
      </c>
      <c r="K129">
        <f>J129/$K$6</f>
        <v>0.00029766350000000005</v>
      </c>
      <c r="L129">
        <f>'Req. Diario'!I128</f>
        <v>35.6483</v>
      </c>
      <c r="M129">
        <f>L129/$M$6</f>
        <v>173.89414634146343</v>
      </c>
    </row>
    <row r="130">
      <c r="B130">
        <f>'Req. Diario'!D129</f>
        <v>3.6697247706422016</v>
      </c>
      <c r="C130">
        <f>(B130-((E130*(Main!$E$31/100))+(G130*(Main!$E$36/100))+(I130*(Main!$E$46/100))+(K130*(Main!$E$51/100))))/$C$6</f>
        <v>6.766622131695847</v>
      </c>
      <c r="D130">
        <f>'Req. Diario'!E129</f>
        <v>1.4236452857142858</v>
      </c>
      <c r="E130">
        <f>(D130-((C130*(Main!$F$41/100))+(G130*(Main!$F$36/100))+(I130*(Main!$F$46/100))+(K130*(Main!$F$51/100))))/$E$6</f>
        <v>3.0948810559006215</v>
      </c>
      <c r="F130">
        <f>'Req. Diario'!F129</f>
        <v>5</v>
      </c>
      <c r="G130">
        <f>(F130-((C130*(Main!$G$41/100))+(E130*(Main!$G$31/100))+(I130*(Main!$G$46/100))+(K130*(Main!$G$51/100))))/$G$6</f>
        <v>8.333333333333334</v>
      </c>
      <c r="H130">
        <f>'Req. Diario'!G129</f>
        <v>0.8557544830560249</v>
      </c>
      <c r="I130">
        <f>H130/$I$6</f>
        <v>5.348465519100155</v>
      </c>
      <c r="J130">
        <f>'Req. Diario'!H129</f>
        <v>2.9766350000000004</v>
      </c>
      <c r="K130">
        <f>J130/$K$6</f>
        <v>0.00029766350000000005</v>
      </c>
      <c r="L130">
        <f>'Req. Diario'!I129</f>
        <v>35.6483</v>
      </c>
      <c r="M130">
        <f>L130/$M$6</f>
        <v>173.89414634146343</v>
      </c>
    </row>
    <row r="131">
      <c r="B131">
        <f>'Req. Diario'!D130</f>
        <v>3.6697247706422016</v>
      </c>
      <c r="C131">
        <f>(B131-((E131*(Main!$E$31/100))+(G131*(Main!$E$36/100))+(I131*(Main!$E$46/100))+(K131*(Main!$E$51/100))))/$C$6</f>
        <v>6.766622131695847</v>
      </c>
      <c r="D131">
        <f>'Req. Diario'!E130</f>
        <v>1.4236452857142858</v>
      </c>
      <c r="E131">
        <f>(D131-((C131*(Main!$F$41/100))+(G131*(Main!$F$36/100))+(I131*(Main!$F$46/100))+(K131*(Main!$F$51/100))))/$E$6</f>
        <v>3.0948810559006215</v>
      </c>
      <c r="F131">
        <f>'Req. Diario'!F130</f>
        <v>5</v>
      </c>
      <c r="G131">
        <f>(F131-((C131*(Main!$G$41/100))+(E131*(Main!$G$31/100))+(I131*(Main!$G$46/100))+(K131*(Main!$G$51/100))))/$G$6</f>
        <v>8.333333333333334</v>
      </c>
      <c r="H131">
        <f>'Req. Diario'!G130</f>
        <v>0.8557544830560249</v>
      </c>
      <c r="I131">
        <f>H131/$I$6</f>
        <v>5.348465519100155</v>
      </c>
      <c r="J131">
        <f>'Req. Diario'!H130</f>
        <v>2.9766350000000004</v>
      </c>
      <c r="K131">
        <f>J131/$K$6</f>
        <v>0.00029766350000000005</v>
      </c>
      <c r="L131">
        <f>'Req. Diario'!I130</f>
        <v>35.6483</v>
      </c>
      <c r="M131">
        <f>L131/$M$6</f>
        <v>173.89414634146343</v>
      </c>
    </row>
    <row r="132">
      <c r="B132">
        <f>'Req. Diario'!D131</f>
        <v>3.6697247706422016</v>
      </c>
      <c r="C132">
        <f>(B132-((E132*(Main!$E$31/100))+(G132*(Main!$E$36/100))+(I132*(Main!$E$46/100))+(K132*(Main!$E$51/100))))/$C$6</f>
        <v>6.766622131695847</v>
      </c>
      <c r="D132">
        <f>'Req. Diario'!E131</f>
        <v>1.4236452857142858</v>
      </c>
      <c r="E132">
        <f>(D132-((C132*(Main!$F$41/100))+(G132*(Main!$F$36/100))+(I132*(Main!$F$46/100))+(K132*(Main!$F$51/100))))/$E$6</f>
        <v>3.0948810559006215</v>
      </c>
      <c r="F132">
        <f>'Req. Diario'!F131</f>
        <v>5</v>
      </c>
      <c r="G132">
        <f>(F132-((C132*(Main!$G$41/100))+(E132*(Main!$G$31/100))+(I132*(Main!$G$46/100))+(K132*(Main!$G$51/100))))/$G$6</f>
        <v>8.333333333333334</v>
      </c>
      <c r="H132">
        <f>'Req. Diario'!G131</f>
        <v>0.8557544830560249</v>
      </c>
      <c r="I132">
        <f>H132/$I$6</f>
        <v>5.348465519100155</v>
      </c>
      <c r="J132">
        <f>'Req. Diario'!H131</f>
        <v>2.9766350000000004</v>
      </c>
      <c r="K132">
        <f>J132/$K$6</f>
        <v>0.00029766350000000005</v>
      </c>
      <c r="L132">
        <f>'Req. Diario'!I131</f>
        <v>35.6483</v>
      </c>
      <c r="M132">
        <f>L132/$M$6</f>
        <v>173.89414634146343</v>
      </c>
    </row>
    <row r="133">
      <c r="A133">
        <v>19</v>
      </c>
      <c r="B133">
        <f>'Req. Diario'!D132</f>
        <v>3.6697247706422016</v>
      </c>
      <c r="C133">
        <f>(B133-((E133*(Main!$E$31/100))+(G133*(Main!$E$36/100))+(I133*(Main!$E$46/100))+(K133*(Main!$E$51/100))))/$C$6</f>
        <v>6.766622131695847</v>
      </c>
      <c r="D133">
        <f>'Req. Diario'!E132</f>
        <v>1.4236452857142858</v>
      </c>
      <c r="E133">
        <f>(D133-((C133*(Main!$F$41/100))+(G133*(Main!$F$36/100))+(I133*(Main!$F$46/100))+(K133*(Main!$F$51/100))))/$E$6</f>
        <v>3.0948810559006215</v>
      </c>
      <c r="F133">
        <f>'Req. Diario'!F132</f>
        <v>5</v>
      </c>
      <c r="G133">
        <f>(F133-((C133*(Main!$G$41/100))+(E133*(Main!$G$31/100))+(I133*(Main!$G$46/100))+(K133*(Main!$G$51/100))))/$G$6</f>
        <v>8.333333333333334</v>
      </c>
      <c r="H133">
        <f>'Req. Diario'!G132</f>
        <v>0.8557544830560249</v>
      </c>
      <c r="I133">
        <f>H133/$I$6</f>
        <v>5.348465519100155</v>
      </c>
      <c r="J133">
        <f>'Req. Diario'!H132</f>
        <v>2.9766350000000004</v>
      </c>
      <c r="K133">
        <f>J133/$K$6</f>
        <v>0.00029766350000000005</v>
      </c>
      <c r="L133">
        <f>'Req. Diario'!I132</f>
        <v>35.6483</v>
      </c>
      <c r="M133">
        <f>L133/$M$6</f>
        <v>173.89414634146343</v>
      </c>
    </row>
    <row r="134">
      <c r="B134">
        <f>'Req. Diario'!D133</f>
        <v>3.6697247706422016</v>
      </c>
      <c r="C134">
        <f>(B134-((E134*(Main!$E$31/100))+(G134*(Main!$E$36/100))+(I134*(Main!$E$46/100))+(K134*(Main!$E$51/100))))/$C$6</f>
        <v>6.766622131695847</v>
      </c>
      <c r="D134">
        <f>'Req. Diario'!E133</f>
        <v>1.4236452857142858</v>
      </c>
      <c r="E134">
        <f>(D134-((C134*(Main!$F$41/100))+(G134*(Main!$F$36/100))+(I134*(Main!$F$46/100))+(K134*(Main!$F$51/100))))/$E$6</f>
        <v>3.0948810559006215</v>
      </c>
      <c r="F134">
        <f>'Req. Diario'!F133</f>
        <v>5</v>
      </c>
      <c r="G134">
        <f>(F134-((C134*(Main!$G$41/100))+(E134*(Main!$G$31/100))+(I134*(Main!$G$46/100))+(K134*(Main!$G$51/100))))/$G$6</f>
        <v>8.333333333333334</v>
      </c>
      <c r="H134">
        <f>'Req. Diario'!G133</f>
        <v>0.8557544830560249</v>
      </c>
      <c r="I134">
        <f>H134/$I$6</f>
        <v>5.348465519100155</v>
      </c>
      <c r="J134">
        <f>'Req. Diario'!H133</f>
        <v>2.9766350000000004</v>
      </c>
      <c r="K134">
        <f>J134/$K$6</f>
        <v>0.00029766350000000005</v>
      </c>
      <c r="L134">
        <f>'Req. Diario'!I133</f>
        <v>35.6483</v>
      </c>
      <c r="M134">
        <f>L134/$M$6</f>
        <v>173.89414634146343</v>
      </c>
    </row>
    <row r="135">
      <c r="B135">
        <f>'Req. Diario'!D134</f>
        <v>3.6697247706422016</v>
      </c>
      <c r="C135">
        <f>(B135-((E135*(Main!$E$31/100))+(G135*(Main!$E$36/100))+(I135*(Main!$E$46/100))+(K135*(Main!$E$51/100))))/$C$6</f>
        <v>6.766622131695847</v>
      </c>
      <c r="D135">
        <f>'Req. Diario'!E134</f>
        <v>1.4236452857142858</v>
      </c>
      <c r="E135">
        <f>(D135-((C135*(Main!$F$41/100))+(G135*(Main!$F$36/100))+(I135*(Main!$F$46/100))+(K135*(Main!$F$51/100))))/$E$6</f>
        <v>3.0948810559006215</v>
      </c>
      <c r="F135">
        <f>'Req. Diario'!F134</f>
        <v>5</v>
      </c>
      <c r="G135">
        <f>(F135-((C135*(Main!$G$41/100))+(E135*(Main!$G$31/100))+(I135*(Main!$G$46/100))+(K135*(Main!$G$51/100))))/$G$6</f>
        <v>8.333333333333334</v>
      </c>
      <c r="H135">
        <f>'Req. Diario'!G134</f>
        <v>0.8557544830560249</v>
      </c>
      <c r="I135">
        <f>H135/$I$6</f>
        <v>5.348465519100155</v>
      </c>
      <c r="J135">
        <f>'Req. Diario'!H134</f>
        <v>2.9766350000000004</v>
      </c>
      <c r="K135">
        <f>J135/$K$6</f>
        <v>0.00029766350000000005</v>
      </c>
      <c r="L135">
        <f>'Req. Diario'!I134</f>
        <v>35.6483</v>
      </c>
      <c r="M135">
        <f>L135/$M$6</f>
        <v>173.89414634146343</v>
      </c>
    </row>
    <row r="136">
      <c r="B136">
        <f>'Req. Diario'!D135</f>
        <v>3.6697247706422016</v>
      </c>
      <c r="C136">
        <f>(B136-((E136*(Main!$E$31/100))+(G136*(Main!$E$36/100))+(I136*(Main!$E$46/100))+(K136*(Main!$E$51/100))))/$C$6</f>
        <v>6.766622131695847</v>
      </c>
      <c r="D136">
        <f>'Req. Diario'!E135</f>
        <v>1.4236452857142858</v>
      </c>
      <c r="E136">
        <f>(D136-((C136*(Main!$F$41/100))+(G136*(Main!$F$36/100))+(I136*(Main!$F$46/100))+(K136*(Main!$F$51/100))))/$E$6</f>
        <v>3.0948810559006215</v>
      </c>
      <c r="F136">
        <f>'Req. Diario'!F135</f>
        <v>5</v>
      </c>
      <c r="G136">
        <f>(F136-((C136*(Main!$G$41/100))+(E136*(Main!$G$31/100))+(I136*(Main!$G$46/100))+(K136*(Main!$G$51/100))))/$G$6</f>
        <v>8.333333333333334</v>
      </c>
      <c r="H136">
        <f>'Req. Diario'!G135</f>
        <v>0.8557544830560249</v>
      </c>
      <c r="I136">
        <f>H136/$I$6</f>
        <v>5.348465519100155</v>
      </c>
      <c r="J136">
        <f>'Req. Diario'!H135</f>
        <v>2.9766350000000004</v>
      </c>
      <c r="K136">
        <f>J136/$K$6</f>
        <v>0.00029766350000000005</v>
      </c>
      <c r="L136">
        <f>'Req. Diario'!I135</f>
        <v>35.6483</v>
      </c>
      <c r="M136">
        <f>L136/$M$6</f>
        <v>173.89414634146343</v>
      </c>
    </row>
    <row r="137">
      <c r="B137">
        <f>'Req. Diario'!D136</f>
        <v>3.6697247706422016</v>
      </c>
      <c r="C137">
        <f>(B137-((E137*(Main!$E$31/100))+(G137*(Main!$E$36/100))+(I137*(Main!$E$46/100))+(K137*(Main!$E$51/100))))/$C$6</f>
        <v>6.766622131695847</v>
      </c>
      <c r="D137">
        <f>'Req. Diario'!E136</f>
        <v>1.4236452857142858</v>
      </c>
      <c r="E137">
        <f>(D137-((C137*(Main!$F$41/100))+(G137*(Main!$F$36/100))+(I137*(Main!$F$46/100))+(K137*(Main!$F$51/100))))/$E$6</f>
        <v>3.0948810559006215</v>
      </c>
      <c r="F137">
        <f>'Req. Diario'!F136</f>
        <v>5</v>
      </c>
      <c r="G137">
        <f>(F137-((C137*(Main!$G$41/100))+(E137*(Main!$G$31/100))+(I137*(Main!$G$46/100))+(K137*(Main!$G$51/100))))/$G$6</f>
        <v>8.333333333333334</v>
      </c>
      <c r="H137">
        <f>'Req. Diario'!G136</f>
        <v>0.8557544830560249</v>
      </c>
      <c r="I137">
        <f>H137/$I$6</f>
        <v>5.348465519100155</v>
      </c>
      <c r="J137">
        <f>'Req. Diario'!H136</f>
        <v>2.9766350000000004</v>
      </c>
      <c r="K137">
        <f>J137/$K$6</f>
        <v>0.00029766350000000005</v>
      </c>
      <c r="L137">
        <f>'Req. Diario'!I136</f>
        <v>35.6483</v>
      </c>
      <c r="M137">
        <f>L137/$M$6</f>
        <v>173.89414634146343</v>
      </c>
    </row>
    <row r="138">
      <c r="B138">
        <f>'Req. Diario'!D137</f>
        <v>3.6697247706422016</v>
      </c>
      <c r="C138">
        <f>(B138-((E138*(Main!$E$31/100))+(G138*(Main!$E$36/100))+(I138*(Main!$E$46/100))+(K138*(Main!$E$51/100))))/$C$6</f>
        <v>6.766622131695847</v>
      </c>
      <c r="D138">
        <f>'Req. Diario'!E137</f>
        <v>1.4236452857142858</v>
      </c>
      <c r="E138">
        <f>(D138-((C138*(Main!$F$41/100))+(G138*(Main!$F$36/100))+(I138*(Main!$F$46/100))+(K138*(Main!$F$51/100))))/$E$6</f>
        <v>3.0948810559006215</v>
      </c>
      <c r="F138">
        <f>'Req. Diario'!F137</f>
        <v>5</v>
      </c>
      <c r="G138">
        <f>(F138-((C138*(Main!$G$41/100))+(E138*(Main!$G$31/100))+(I138*(Main!$G$46/100))+(K138*(Main!$G$51/100))))/$G$6</f>
        <v>8.333333333333334</v>
      </c>
      <c r="H138">
        <f>'Req. Diario'!G137</f>
        <v>0.8557544830560249</v>
      </c>
      <c r="I138">
        <f>H138/$I$6</f>
        <v>5.348465519100155</v>
      </c>
      <c r="J138">
        <f>'Req. Diario'!H137</f>
        <v>2.9766350000000004</v>
      </c>
      <c r="K138">
        <f>J138/$K$6</f>
        <v>0.00029766350000000005</v>
      </c>
      <c r="L138">
        <f>'Req. Diario'!I137</f>
        <v>35.6483</v>
      </c>
      <c r="M138">
        <f>L138/$M$6</f>
        <v>173.89414634146343</v>
      </c>
    </row>
    <row r="139">
      <c r="B139">
        <f>'Req. Diario'!D138</f>
        <v>3.6697247706422016</v>
      </c>
      <c r="C139">
        <f>(B139-((E139*(Main!$E$31/100))+(G139*(Main!$E$36/100))+(I139*(Main!$E$46/100))+(K139*(Main!$E$51/100))))/$C$6</f>
        <v>6.766622131695847</v>
      </c>
      <c r="D139">
        <f>'Req. Diario'!E138</f>
        <v>1.4236452857142858</v>
      </c>
      <c r="E139">
        <f>(D139-((C139*(Main!$F$41/100))+(G139*(Main!$F$36/100))+(I139*(Main!$F$46/100))+(K139*(Main!$F$51/100))))/$E$6</f>
        <v>3.0948810559006215</v>
      </c>
      <c r="F139">
        <f>'Req. Diario'!F138</f>
        <v>5</v>
      </c>
      <c r="G139">
        <f>(F139-((C139*(Main!$G$41/100))+(E139*(Main!$G$31/100))+(I139*(Main!$G$46/100))+(K139*(Main!$G$51/100))))/$G$6</f>
        <v>8.333333333333334</v>
      </c>
      <c r="H139">
        <f>'Req. Diario'!G138</f>
        <v>0.8557544830560249</v>
      </c>
      <c r="I139">
        <f>H139/$I$6</f>
        <v>5.348465519100155</v>
      </c>
      <c r="J139">
        <f>'Req. Diario'!H138</f>
        <v>2.9766350000000004</v>
      </c>
      <c r="K139">
        <f>J139/$K$6</f>
        <v>0.00029766350000000005</v>
      </c>
      <c r="L139">
        <f>'Req. Diario'!I138</f>
        <v>35.6483</v>
      </c>
      <c r="M139">
        <f>L139/$M$6</f>
        <v>173.89414634146343</v>
      </c>
    </row>
    <row r="140">
      <c r="A140">
        <v>20</v>
      </c>
      <c r="B140">
        <f>'Req. Diario'!D139</f>
        <v>3.6697247706422016</v>
      </c>
      <c r="C140">
        <f>(B140-((E140*(Main!$E$31/100))+(G140*(Main!$E$36/100))+(I140*(Main!$E$46/100))+(K140*(Main!$E$51/100))))/$C$6</f>
        <v>6.766622131695847</v>
      </c>
      <c r="D140">
        <f>'Req. Diario'!E139</f>
        <v>1.4236452857142858</v>
      </c>
      <c r="E140">
        <f>(D140-((C140*(Main!$F$41/100))+(G140*(Main!$F$36/100))+(I140*(Main!$F$46/100))+(K140*(Main!$F$51/100))))/$E$6</f>
        <v>3.0948810559006215</v>
      </c>
      <c r="F140">
        <f>'Req. Diario'!F139</f>
        <v>5</v>
      </c>
      <c r="G140">
        <f>(F140-((C140*(Main!$G$41/100))+(E140*(Main!$G$31/100))+(I140*(Main!$G$46/100))+(K140*(Main!$G$51/100))))/$G$6</f>
        <v>8.333333333333334</v>
      </c>
      <c r="H140">
        <f>'Req. Diario'!G139</f>
        <v>0.8557544830560249</v>
      </c>
      <c r="I140">
        <f>H140/$I$6</f>
        <v>5.348465519100155</v>
      </c>
      <c r="J140">
        <f>'Req. Diario'!H139</f>
        <v>2.9766350000000004</v>
      </c>
      <c r="K140">
        <f>J140/$K$6</f>
        <v>0.00029766350000000005</v>
      </c>
      <c r="L140">
        <f>'Req. Diario'!I139</f>
        <v>35.6483</v>
      </c>
      <c r="M140">
        <f>L140/$M$6</f>
        <v>173.89414634146343</v>
      </c>
    </row>
    <row r="141">
      <c r="B141">
        <f>'Req. Diario'!D140</f>
        <v>3.6697247706422016</v>
      </c>
      <c r="C141">
        <f>(B141-((E141*(Main!$E$31/100))+(G141*(Main!$E$36/100))+(I141*(Main!$E$46/100))+(K141*(Main!$E$51/100))))/$C$6</f>
        <v>6.766622131695847</v>
      </c>
      <c r="D141">
        <f>'Req. Diario'!E140</f>
        <v>1.4236452857142858</v>
      </c>
      <c r="E141">
        <f>(D141-((C141*(Main!$F$41/100))+(G141*(Main!$F$36/100))+(I141*(Main!$F$46/100))+(K141*(Main!$F$51/100))))/$E$6</f>
        <v>3.0948810559006215</v>
      </c>
      <c r="F141">
        <f>'Req. Diario'!F140</f>
        <v>5</v>
      </c>
      <c r="G141">
        <f>(F141-((C141*(Main!$G$41/100))+(E141*(Main!$G$31/100))+(I141*(Main!$G$46/100))+(K141*(Main!$G$51/100))))/$G$6</f>
        <v>8.333333333333334</v>
      </c>
      <c r="H141">
        <f>'Req. Diario'!G140</f>
        <v>0.8557544830560249</v>
      </c>
      <c r="I141">
        <f>H141/$I$6</f>
        <v>5.348465519100155</v>
      </c>
      <c r="J141">
        <f>'Req. Diario'!H140</f>
        <v>2.9766350000000004</v>
      </c>
      <c r="K141">
        <f>J141/$K$6</f>
        <v>0.00029766350000000005</v>
      </c>
      <c r="L141">
        <f>'Req. Diario'!I140</f>
        <v>35.6483</v>
      </c>
      <c r="M141">
        <f>L141/$M$6</f>
        <v>173.89414634146343</v>
      </c>
    </row>
    <row r="142">
      <c r="B142">
        <f>'Req. Diario'!D141</f>
        <v>3.6697247706422016</v>
      </c>
      <c r="C142">
        <f>(B142-((E142*(Main!$E$31/100))+(G142*(Main!$E$36/100))+(I142*(Main!$E$46/100))+(K142*(Main!$E$51/100))))/$C$6</f>
        <v>6.766622131695847</v>
      </c>
      <c r="D142">
        <f>'Req. Diario'!E141</f>
        <v>1.4236452857142858</v>
      </c>
      <c r="E142">
        <f>(D142-((C142*(Main!$F$41/100))+(G142*(Main!$F$36/100))+(I142*(Main!$F$46/100))+(K142*(Main!$F$51/100))))/$E$6</f>
        <v>3.0948810559006215</v>
      </c>
      <c r="F142">
        <f>'Req. Diario'!F141</f>
        <v>5</v>
      </c>
      <c r="G142">
        <f>(F142-((C142*(Main!$G$41/100))+(E142*(Main!$G$31/100))+(I142*(Main!$G$46/100))+(K142*(Main!$G$51/100))))/$G$6</f>
        <v>8.333333333333334</v>
      </c>
      <c r="H142">
        <f>'Req. Diario'!G141</f>
        <v>0.8557544830560249</v>
      </c>
      <c r="I142">
        <f>H142/$I$6</f>
        <v>5.348465519100155</v>
      </c>
      <c r="J142">
        <f>'Req. Diario'!H141</f>
        <v>2.9766350000000004</v>
      </c>
      <c r="K142">
        <f>J142/$K$6</f>
        <v>0.00029766350000000005</v>
      </c>
      <c r="L142">
        <f>'Req. Diario'!I141</f>
        <v>35.6483</v>
      </c>
      <c r="M142">
        <f>L142/$M$6</f>
        <v>173.89414634146343</v>
      </c>
    </row>
    <row r="143">
      <c r="B143">
        <f>'Req. Diario'!D142</f>
        <v>3.6697247706422016</v>
      </c>
      <c r="C143">
        <f>(B143-((E143*(Main!$E$31/100))+(G143*(Main!$E$36/100))+(I143*(Main!$E$46/100))+(K143*(Main!$E$51/100))))/$C$6</f>
        <v>6.766622131695847</v>
      </c>
      <c r="D143">
        <f>'Req. Diario'!E142</f>
        <v>1.4236452857142858</v>
      </c>
      <c r="E143">
        <f>(D143-((C143*(Main!$F$41/100))+(G143*(Main!$F$36/100))+(I143*(Main!$F$46/100))+(K143*(Main!$F$51/100))))/$E$6</f>
        <v>3.0948810559006215</v>
      </c>
      <c r="F143">
        <f>'Req. Diario'!F142</f>
        <v>5</v>
      </c>
      <c r="G143">
        <f>(F143-((C143*(Main!$G$41/100))+(E143*(Main!$G$31/100))+(I143*(Main!$G$46/100))+(K143*(Main!$G$51/100))))/$G$6</f>
        <v>8.333333333333334</v>
      </c>
      <c r="H143">
        <f>'Req. Diario'!G142</f>
        <v>0.8557544830560249</v>
      </c>
      <c r="I143">
        <f>H143/$I$6</f>
        <v>5.348465519100155</v>
      </c>
      <c r="J143">
        <f>'Req. Diario'!H142</f>
        <v>2.9766350000000004</v>
      </c>
      <c r="K143">
        <f>J143/$K$6</f>
        <v>0.00029766350000000005</v>
      </c>
      <c r="L143">
        <f>'Req. Diario'!I142</f>
        <v>35.6483</v>
      </c>
      <c r="M143">
        <f>L143/$M$6</f>
        <v>173.89414634146343</v>
      </c>
    </row>
    <row r="144">
      <c r="B144">
        <f>'Req. Diario'!D143</f>
        <v>3.6697247706422016</v>
      </c>
      <c r="C144">
        <f>(B144-((E144*(Main!$E$31/100))+(G144*(Main!$E$36/100))+(I144*(Main!$E$46/100))+(K144*(Main!$E$51/100))))/$C$6</f>
        <v>6.766622131695847</v>
      </c>
      <c r="D144">
        <f>'Req. Diario'!E143</f>
        <v>1.4236452857142858</v>
      </c>
      <c r="E144">
        <f>(D144-((C144*(Main!$F$41/100))+(G144*(Main!$F$36/100))+(I144*(Main!$F$46/100))+(K144*(Main!$F$51/100))))/$E$6</f>
        <v>3.0948810559006215</v>
      </c>
      <c r="F144">
        <f>'Req. Diario'!F143</f>
        <v>5</v>
      </c>
      <c r="G144">
        <f>(F144-((C144*(Main!$G$41/100))+(E144*(Main!$G$31/100))+(I144*(Main!$G$46/100))+(K144*(Main!$G$51/100))))/$G$6</f>
        <v>8.333333333333334</v>
      </c>
      <c r="H144">
        <f>'Req. Diario'!G143</f>
        <v>0.8557544830560249</v>
      </c>
      <c r="I144">
        <f>H144/$I$6</f>
        <v>5.348465519100155</v>
      </c>
      <c r="J144">
        <f>'Req. Diario'!H143</f>
        <v>2.9766350000000004</v>
      </c>
      <c r="K144">
        <f>J144/$K$6</f>
        <v>0.00029766350000000005</v>
      </c>
      <c r="L144">
        <f>'Req. Diario'!I143</f>
        <v>35.6483</v>
      </c>
      <c r="M144">
        <f>L144/$M$6</f>
        <v>173.89414634146343</v>
      </c>
    </row>
    <row r="145">
      <c r="B145">
        <f>'Req. Diario'!D144</f>
        <v>3.6697247706422016</v>
      </c>
      <c r="C145">
        <f>(B145-((E145*(Main!$E$31/100))+(G145*(Main!$E$36/100))+(I145*(Main!$E$46/100))+(K145*(Main!$E$51/100))))/$C$6</f>
        <v>6.766622131695847</v>
      </c>
      <c r="D145">
        <f>'Req. Diario'!E144</f>
        <v>1.4236452857142858</v>
      </c>
      <c r="E145">
        <f>(D145-((C145*(Main!$F$41/100))+(G145*(Main!$F$36/100))+(I145*(Main!$F$46/100))+(K145*(Main!$F$51/100))))/$E$6</f>
        <v>3.0948810559006215</v>
      </c>
      <c r="F145">
        <f>'Req. Diario'!F144</f>
        <v>5</v>
      </c>
      <c r="G145">
        <f>(F145-((C145*(Main!$G$41/100))+(E145*(Main!$G$31/100))+(I145*(Main!$G$46/100))+(K145*(Main!$G$51/100))))/$G$6</f>
        <v>8.333333333333334</v>
      </c>
      <c r="H145">
        <f>'Req. Diario'!G144</f>
        <v>0.8557544830560249</v>
      </c>
      <c r="I145">
        <f>H145/$I$6</f>
        <v>5.348465519100155</v>
      </c>
      <c r="J145">
        <f>'Req. Diario'!H144</f>
        <v>2.9766350000000004</v>
      </c>
      <c r="K145">
        <f>J145/$K$6</f>
        <v>0.00029766350000000005</v>
      </c>
      <c r="L145">
        <f>'Req. Diario'!I144</f>
        <v>35.6483</v>
      </c>
      <c r="M145">
        <f>L145/$M$6</f>
        <v>173.89414634146343</v>
      </c>
    </row>
    <row r="146">
      <c r="B146">
        <f>'Req. Diario'!D145</f>
        <v>3.6697247706422016</v>
      </c>
      <c r="C146">
        <f>(B146-((E146*(Main!$E$31/100))+(G146*(Main!$E$36/100))+(I146*(Main!$E$46/100))+(K146*(Main!$E$51/100))))/$C$6</f>
        <v>6.766622131695847</v>
      </c>
      <c r="D146">
        <f>'Req. Diario'!E145</f>
        <v>1.4236452857142858</v>
      </c>
      <c r="E146">
        <f>(D146-((C146*(Main!$F$41/100))+(G146*(Main!$F$36/100))+(I146*(Main!$F$46/100))+(K146*(Main!$F$51/100))))/$E$6</f>
        <v>3.0948810559006215</v>
      </c>
      <c r="F146">
        <f>'Req. Diario'!F145</f>
        <v>5</v>
      </c>
      <c r="G146">
        <f>(F146-((C146*(Main!$G$41/100))+(E146*(Main!$G$31/100))+(I146*(Main!$G$46/100))+(K146*(Main!$G$51/100))))/$G$6</f>
        <v>8.333333333333334</v>
      </c>
      <c r="H146">
        <f>'Req. Diario'!G145</f>
        <v>0.8557544830560249</v>
      </c>
      <c r="I146">
        <f>H146/$I$6</f>
        <v>5.348465519100155</v>
      </c>
      <c r="J146">
        <f>'Req. Diario'!H145</f>
        <v>2.9766350000000004</v>
      </c>
      <c r="K146">
        <f>J146/$K$6</f>
        <v>0.00029766350000000005</v>
      </c>
      <c r="L146">
        <f>'Req. Diario'!I145</f>
        <v>35.6483</v>
      </c>
      <c r="M146">
        <f>L146/$M$6</f>
        <v>173.89414634146343</v>
      </c>
    </row>
    <row r="147">
      <c r="A147">
        <v>21</v>
      </c>
      <c r="B147">
        <f>'Req. Diario'!D146</f>
        <v>3.6697247706422016</v>
      </c>
      <c r="C147">
        <f>(B147-((E147*(Main!$E$31/100))+(G147*(Main!$E$36/100))+(I147*(Main!$E$46/100))+(K147*(Main!$E$51/100))))/$C$6</f>
        <v>6.766622131695847</v>
      </c>
      <c r="D147">
        <f>'Req. Diario'!E146</f>
        <v>1.4236452857142858</v>
      </c>
      <c r="E147">
        <f>(D147-((C147*(Main!$F$41/100))+(G147*(Main!$F$36/100))+(I147*(Main!$F$46/100))+(K147*(Main!$F$51/100))))/$E$6</f>
        <v>3.0948810559006215</v>
      </c>
      <c r="F147">
        <f>'Req. Diario'!F146</f>
        <v>5</v>
      </c>
      <c r="G147">
        <f>(F147-((C147*(Main!$G$41/100))+(E147*(Main!$G$31/100))+(I147*(Main!$G$46/100))+(K147*(Main!$G$51/100))))/$G$6</f>
        <v>8.333333333333334</v>
      </c>
      <c r="H147">
        <f>'Req. Diario'!G146</f>
        <v>0.8557544830560249</v>
      </c>
      <c r="I147">
        <f>H147/$I$6</f>
        <v>5.348465519100155</v>
      </c>
      <c r="J147">
        <f>'Req. Diario'!H146</f>
        <v>2.9766350000000004</v>
      </c>
      <c r="K147">
        <f>J147/$K$6</f>
        <v>0.00029766350000000005</v>
      </c>
      <c r="L147">
        <f>'Req. Diario'!I146</f>
        <v>35.6483</v>
      </c>
      <c r="M147">
        <f>L147/$M$6</f>
        <v>173.89414634146343</v>
      </c>
    </row>
    <row r="148">
      <c r="B148">
        <f>'Req. Diario'!D147</f>
        <v>3.6697247706422016</v>
      </c>
      <c r="C148">
        <f>(B148-((E148*(Main!$E$31/100))+(G148*(Main!$E$36/100))+(I148*(Main!$E$46/100))+(K148*(Main!$E$51/100))))/$C$6</f>
        <v>6.766622131695847</v>
      </c>
      <c r="D148">
        <f>'Req. Diario'!E147</f>
        <v>1.4236452857142858</v>
      </c>
      <c r="E148">
        <f>(D148-((C148*(Main!$F$41/100))+(G148*(Main!$F$36/100))+(I148*(Main!$F$46/100))+(K148*(Main!$F$51/100))))/$E$6</f>
        <v>3.0948810559006215</v>
      </c>
      <c r="F148">
        <f>'Req. Diario'!F147</f>
        <v>5</v>
      </c>
      <c r="G148">
        <f>(F148-((C148*(Main!$G$41/100))+(E148*(Main!$G$31/100))+(I148*(Main!$G$46/100))+(K148*(Main!$G$51/100))))/$G$6</f>
        <v>8.333333333333334</v>
      </c>
      <c r="H148">
        <f>'Req. Diario'!G147</f>
        <v>0.8557544830560249</v>
      </c>
      <c r="I148">
        <f>H148/$I$6</f>
        <v>5.348465519100155</v>
      </c>
      <c r="J148">
        <f>'Req. Diario'!H147</f>
        <v>2.9766350000000004</v>
      </c>
      <c r="K148">
        <f>J148/$K$6</f>
        <v>0.00029766350000000005</v>
      </c>
      <c r="L148">
        <f>'Req. Diario'!I147</f>
        <v>35.6483</v>
      </c>
      <c r="M148">
        <f>L148/$M$6</f>
        <v>173.89414634146343</v>
      </c>
    </row>
    <row r="149">
      <c r="B149">
        <f>'Req. Diario'!D148</f>
        <v>3.6697247706422016</v>
      </c>
      <c r="C149">
        <f>(B149-((E149*(Main!$E$31/100))+(G149*(Main!$E$36/100))+(I149*(Main!$E$46/100))+(K149*(Main!$E$51/100))))/$C$6</f>
        <v>6.766622131695847</v>
      </c>
      <c r="D149">
        <f>'Req. Diario'!E148</f>
        <v>1.4236452857142858</v>
      </c>
      <c r="E149">
        <f>(D149-((C149*(Main!$F$41/100))+(G149*(Main!$F$36/100))+(I149*(Main!$F$46/100))+(K149*(Main!$F$51/100))))/$E$6</f>
        <v>3.0948810559006215</v>
      </c>
      <c r="F149">
        <f>'Req. Diario'!F148</f>
        <v>5</v>
      </c>
      <c r="G149">
        <f>(F149-((C149*(Main!$G$41/100))+(E149*(Main!$G$31/100))+(I149*(Main!$G$46/100))+(K149*(Main!$G$51/100))))/$G$6</f>
        <v>8.333333333333334</v>
      </c>
      <c r="H149">
        <f>'Req. Diario'!G148</f>
        <v>0.8557544830560249</v>
      </c>
      <c r="I149">
        <f>H149/$I$6</f>
        <v>5.348465519100155</v>
      </c>
      <c r="J149">
        <f>'Req. Diario'!H148</f>
        <v>2.9766350000000004</v>
      </c>
      <c r="K149">
        <f>J149/$K$6</f>
        <v>0.00029766350000000005</v>
      </c>
      <c r="L149">
        <f>'Req. Diario'!I148</f>
        <v>35.6483</v>
      </c>
      <c r="M149">
        <f>L149/$M$6</f>
        <v>173.89414634146343</v>
      </c>
    </row>
    <row r="150">
      <c r="B150">
        <f>'Req. Diario'!D149</f>
        <v>3.6697247706422016</v>
      </c>
      <c r="C150">
        <f>(B150-((E150*(Main!$E$31/100))+(G150*(Main!$E$36/100))+(I150*(Main!$E$46/100))+(K150*(Main!$E$51/100))))/$C$6</f>
        <v>6.766622131695847</v>
      </c>
      <c r="D150">
        <f>'Req. Diario'!E149</f>
        <v>1.4236452857142858</v>
      </c>
      <c r="E150">
        <f>(D150-((C150*(Main!$F$41/100))+(G150*(Main!$F$36/100))+(I150*(Main!$F$46/100))+(K150*(Main!$F$51/100))))/$E$6</f>
        <v>3.0948810559006215</v>
      </c>
      <c r="F150">
        <f>'Req. Diario'!F149</f>
        <v>5</v>
      </c>
      <c r="G150">
        <f>(F150-((C150*(Main!$G$41/100))+(E150*(Main!$G$31/100))+(I150*(Main!$G$46/100))+(K150*(Main!$G$51/100))))/$G$6</f>
        <v>8.333333333333334</v>
      </c>
      <c r="H150">
        <f>'Req. Diario'!G149</f>
        <v>0.8557544830560249</v>
      </c>
      <c r="I150">
        <f>H150/$I$6</f>
        <v>5.348465519100155</v>
      </c>
      <c r="J150">
        <f>'Req. Diario'!H149</f>
        <v>2.9766350000000004</v>
      </c>
      <c r="K150">
        <f>J150/$K$6</f>
        <v>0.00029766350000000005</v>
      </c>
      <c r="L150">
        <f>'Req. Diario'!I149</f>
        <v>35.6483</v>
      </c>
      <c r="M150">
        <f>L150/$M$6</f>
        <v>173.89414634146343</v>
      </c>
    </row>
    <row r="151">
      <c r="B151">
        <f>'Req. Diario'!D150</f>
        <v>3.6697247706422016</v>
      </c>
      <c r="C151">
        <f>(B151-((E151*(Main!$E$31/100))+(G151*(Main!$E$36/100))+(I151*(Main!$E$46/100))+(K151*(Main!$E$51/100))))/$C$6</f>
        <v>6.766622131695847</v>
      </c>
      <c r="D151">
        <f>'Req. Diario'!E150</f>
        <v>1.4236452857142858</v>
      </c>
      <c r="E151">
        <f>(D151-((C151*(Main!$F$41/100))+(G151*(Main!$F$36/100))+(I151*(Main!$F$46/100))+(K151*(Main!$F$51/100))))/$E$6</f>
        <v>3.0948810559006215</v>
      </c>
      <c r="F151">
        <f>'Req. Diario'!F150</f>
        <v>5</v>
      </c>
      <c r="G151">
        <f>(F151-((C151*(Main!$G$41/100))+(E151*(Main!$G$31/100))+(I151*(Main!$G$46/100))+(K151*(Main!$G$51/100))))/$G$6</f>
        <v>8.333333333333334</v>
      </c>
      <c r="H151">
        <f>'Req. Diario'!G150</f>
        <v>0.8557544830560249</v>
      </c>
      <c r="I151">
        <f>H151/$I$6</f>
        <v>5.348465519100155</v>
      </c>
      <c r="J151">
        <f>'Req. Diario'!H150</f>
        <v>2.9766350000000004</v>
      </c>
      <c r="K151">
        <f>J151/$K$6</f>
        <v>0.00029766350000000005</v>
      </c>
      <c r="L151">
        <f>'Req. Diario'!I150</f>
        <v>35.6483</v>
      </c>
      <c r="M151">
        <f>L151/$M$6</f>
        <v>173.89414634146343</v>
      </c>
    </row>
    <row r="152">
      <c r="B152">
        <f>'Req. Diario'!D151</f>
        <v>3.6697247706422016</v>
      </c>
      <c r="C152">
        <f>(B152-((E152*(Main!$E$31/100))+(G152*(Main!$E$36/100))+(I152*(Main!$E$46/100))+(K152*(Main!$E$51/100))))/$C$6</f>
        <v>6.766622131695847</v>
      </c>
      <c r="D152">
        <f>'Req. Diario'!E151</f>
        <v>1.4236452857142858</v>
      </c>
      <c r="E152">
        <f>(D152-((C152*(Main!$F$41/100))+(G152*(Main!$F$36/100))+(I152*(Main!$F$46/100))+(K152*(Main!$F$51/100))))/$E$6</f>
        <v>3.0948810559006215</v>
      </c>
      <c r="F152">
        <f>'Req. Diario'!F151</f>
        <v>5</v>
      </c>
      <c r="G152">
        <f>(F152-((C152*(Main!$G$41/100))+(E152*(Main!$G$31/100))+(I152*(Main!$G$46/100))+(K152*(Main!$G$51/100))))/$G$6</f>
        <v>8.333333333333334</v>
      </c>
      <c r="H152">
        <f>'Req. Diario'!G151</f>
        <v>0.8557544830560249</v>
      </c>
      <c r="I152">
        <f>H152/$I$6</f>
        <v>5.348465519100155</v>
      </c>
      <c r="J152">
        <f>'Req. Diario'!H151</f>
        <v>2.9766350000000004</v>
      </c>
      <c r="K152">
        <f>J152/$K$6</f>
        <v>0.00029766350000000005</v>
      </c>
      <c r="L152">
        <f>'Req. Diario'!I151</f>
        <v>35.6483</v>
      </c>
      <c r="M152">
        <f>L152/$M$6</f>
        <v>173.89414634146343</v>
      </c>
    </row>
    <row r="153">
      <c r="B153">
        <f>'Req. Diario'!D152</f>
        <v>3.6697247706422016</v>
      </c>
      <c r="C153">
        <f>(B153-((E153*(Main!$E$31/100))+(G153*(Main!$E$36/100))+(I153*(Main!$E$46/100))+(K153*(Main!$E$51/100))))/$C$6</f>
        <v>6.766622131695847</v>
      </c>
      <c r="D153">
        <f>'Req. Diario'!E152</f>
        <v>1.4236452857142858</v>
      </c>
      <c r="E153">
        <f>(D153-((C153*(Main!$F$41/100))+(G153*(Main!$F$36/100))+(I153*(Main!$F$46/100))+(K153*(Main!$F$51/100))))/$E$6</f>
        <v>3.0948810559006215</v>
      </c>
      <c r="F153">
        <f>'Req. Diario'!F152</f>
        <v>5</v>
      </c>
      <c r="G153">
        <f>(F153-((C153*(Main!$G$41/100))+(E153*(Main!$G$31/100))+(I153*(Main!$G$46/100))+(K153*(Main!$G$51/100))))/$G$6</f>
        <v>8.333333333333334</v>
      </c>
      <c r="H153">
        <f>'Req. Diario'!G152</f>
        <v>0.8557544830560249</v>
      </c>
      <c r="I153">
        <f>H153/$I$6</f>
        <v>5.348465519100155</v>
      </c>
      <c r="J153">
        <f>'Req. Diario'!H152</f>
        <v>2.9766350000000004</v>
      </c>
      <c r="K153">
        <f>J153/$K$6</f>
        <v>0.00029766350000000005</v>
      </c>
      <c r="L153">
        <f>'Req. Diario'!I152</f>
        <v>35.6483</v>
      </c>
      <c r="M153">
        <f>L153/$M$6</f>
        <v>173.89414634146343</v>
      </c>
    </row>
    <row r="154">
      <c r="A154">
        <v>22</v>
      </c>
      <c r="B154">
        <f>'Req. Diario'!D153</f>
        <v>3.6697247706422016</v>
      </c>
      <c r="C154">
        <f>(B154-((E154*(Main!$E$31/100))+(G154*(Main!$E$36/100))+(I154*(Main!$E$46/100))+(K154*(Main!$E$51/100))))/$C$6</f>
        <v>6.766622131695847</v>
      </c>
      <c r="D154">
        <f>'Req. Diario'!E153</f>
        <v>1.4236452857142858</v>
      </c>
      <c r="E154">
        <f>(D154-((C154*(Main!$F$41/100))+(G154*(Main!$F$36/100))+(I154*(Main!$F$46/100))+(K154*(Main!$F$51/100))))/$E$6</f>
        <v>3.0948810559006215</v>
      </c>
      <c r="F154">
        <f>'Req. Diario'!F153</f>
        <v>5</v>
      </c>
      <c r="G154">
        <f>(F154-((C154*(Main!$G$41/100))+(E154*(Main!$G$31/100))+(I154*(Main!$G$46/100))+(K154*(Main!$G$51/100))))/$G$6</f>
        <v>8.333333333333334</v>
      </c>
      <c r="H154">
        <f>'Req. Diario'!G153</f>
        <v>0.8557544830560249</v>
      </c>
      <c r="I154">
        <f>H154/$I$6</f>
        <v>5.348465519100155</v>
      </c>
      <c r="J154">
        <f>'Req. Diario'!H153</f>
        <v>2.9766350000000004</v>
      </c>
      <c r="K154">
        <f>J154/$K$6</f>
        <v>0.00029766350000000005</v>
      </c>
      <c r="L154">
        <f>'Req. Diario'!I153</f>
        <v>35.6483</v>
      </c>
      <c r="M154">
        <f>L154/$M$6</f>
        <v>173.89414634146343</v>
      </c>
    </row>
    <row r="155">
      <c r="B155">
        <f>'Req. Diario'!D154</f>
        <v>3.6697247706422016</v>
      </c>
      <c r="C155">
        <f>(B155-((E155*(Main!$E$31/100))+(G155*(Main!$E$36/100))+(I155*(Main!$E$46/100))+(K155*(Main!$E$51/100))))/$C$6</f>
        <v>6.766622131695847</v>
      </c>
      <c r="D155">
        <f>'Req. Diario'!E154</f>
        <v>1.4236452857142858</v>
      </c>
      <c r="E155">
        <f>(D155-((C155*(Main!$F$41/100))+(G155*(Main!$F$36/100))+(I155*(Main!$F$46/100))+(K155*(Main!$F$51/100))))/$E$6</f>
        <v>3.0948810559006215</v>
      </c>
      <c r="F155">
        <f>'Req. Diario'!F154</f>
        <v>5</v>
      </c>
      <c r="G155">
        <f>(F155-((C155*(Main!$G$41/100))+(E155*(Main!$G$31/100))+(I155*(Main!$G$46/100))+(K155*(Main!$G$51/100))))/$G$6</f>
        <v>8.333333333333334</v>
      </c>
      <c r="H155">
        <f>'Req. Diario'!G154</f>
        <v>0.8557544830560249</v>
      </c>
      <c r="I155">
        <f>H155/$I$6</f>
        <v>5.348465519100155</v>
      </c>
      <c r="J155">
        <f>'Req. Diario'!H154</f>
        <v>2.9766350000000004</v>
      </c>
      <c r="K155">
        <f>J155/$K$6</f>
        <v>0.00029766350000000005</v>
      </c>
      <c r="L155">
        <f>'Req. Diario'!I154</f>
        <v>35.6483</v>
      </c>
      <c r="M155">
        <f>L155/$M$6</f>
        <v>173.89414634146343</v>
      </c>
    </row>
    <row r="156">
      <c r="B156">
        <f>'Req. Diario'!D155</f>
        <v>3.6697247706422016</v>
      </c>
      <c r="C156">
        <f>(B156-((E156*(Main!$E$31/100))+(G156*(Main!$E$36/100))+(I156*(Main!$E$46/100))+(K156*(Main!$E$51/100))))/$C$6</f>
        <v>6.766622131695847</v>
      </c>
      <c r="D156">
        <f>'Req. Diario'!E155</f>
        <v>1.4236452857142858</v>
      </c>
      <c r="E156">
        <f>(D156-((C156*(Main!$F$41/100))+(G156*(Main!$F$36/100))+(I156*(Main!$F$46/100))+(K156*(Main!$F$51/100))))/$E$6</f>
        <v>3.0948810559006215</v>
      </c>
      <c r="F156">
        <f>'Req. Diario'!F155</f>
        <v>5</v>
      </c>
      <c r="G156">
        <f>(F156-((C156*(Main!$G$41/100))+(E156*(Main!$G$31/100))+(I156*(Main!$G$46/100))+(K156*(Main!$G$51/100))))/$G$6</f>
        <v>8.333333333333334</v>
      </c>
      <c r="H156">
        <f>'Req. Diario'!G155</f>
        <v>0.8557544830560249</v>
      </c>
      <c r="I156">
        <f>H156/$I$6</f>
        <v>5.348465519100155</v>
      </c>
      <c r="J156">
        <f>'Req. Diario'!H155</f>
        <v>2.9766350000000004</v>
      </c>
      <c r="K156">
        <f>J156/$K$6</f>
        <v>0.00029766350000000005</v>
      </c>
      <c r="L156">
        <f>'Req. Diario'!I155</f>
        <v>35.6483</v>
      </c>
      <c r="M156">
        <f>L156/$M$6</f>
        <v>173.89414634146343</v>
      </c>
    </row>
    <row r="157">
      <c r="B157">
        <f>'Req. Diario'!D156</f>
        <v>3.6697247706422016</v>
      </c>
      <c r="C157">
        <f>(B157-((E157*(Main!$E$31/100))+(G157*(Main!$E$36/100))+(I157*(Main!$E$46/100))+(K157*(Main!$E$51/100))))/$C$6</f>
        <v>6.766622131695847</v>
      </c>
      <c r="D157">
        <f>'Req. Diario'!E156</f>
        <v>1.4236452857142858</v>
      </c>
      <c r="E157">
        <f>(D157-((C157*(Main!$F$41/100))+(G157*(Main!$F$36/100))+(I157*(Main!$F$46/100))+(K157*(Main!$F$51/100))))/$E$6</f>
        <v>3.0948810559006215</v>
      </c>
      <c r="F157">
        <f>'Req. Diario'!F156</f>
        <v>5</v>
      </c>
      <c r="G157">
        <f>(F157-((C157*(Main!$G$41/100))+(E157*(Main!$G$31/100))+(I157*(Main!$G$46/100))+(K157*(Main!$G$51/100))))/$G$6</f>
        <v>8.333333333333334</v>
      </c>
      <c r="H157">
        <f>'Req. Diario'!G156</f>
        <v>0.8557544830560249</v>
      </c>
      <c r="I157">
        <f>H157/$I$6</f>
        <v>5.348465519100155</v>
      </c>
      <c r="J157">
        <f>'Req. Diario'!H156</f>
        <v>2.9766350000000004</v>
      </c>
      <c r="K157">
        <f>J157/$K$6</f>
        <v>0.00029766350000000005</v>
      </c>
      <c r="L157">
        <f>'Req. Diario'!I156</f>
        <v>35.6483</v>
      </c>
      <c r="M157">
        <f>L157/$M$6</f>
        <v>173.89414634146343</v>
      </c>
    </row>
    <row r="158">
      <c r="B158">
        <f>'Req. Diario'!D157</f>
        <v>3.6697247706422016</v>
      </c>
      <c r="C158">
        <f>(B158-((E158*(Main!$E$31/100))+(G158*(Main!$E$36/100))+(I158*(Main!$E$46/100))+(K158*(Main!$E$51/100))))/$C$6</f>
        <v>6.766622131695847</v>
      </c>
      <c r="D158">
        <f>'Req. Diario'!E157</f>
        <v>1.4236452857142858</v>
      </c>
      <c r="E158">
        <f>(D158-((C158*(Main!$F$41/100))+(G158*(Main!$F$36/100))+(I158*(Main!$F$46/100))+(K158*(Main!$F$51/100))))/$E$6</f>
        <v>3.0948810559006215</v>
      </c>
      <c r="F158">
        <f>'Req. Diario'!F157</f>
        <v>5</v>
      </c>
      <c r="G158">
        <f>(F158-((C158*(Main!$G$41/100))+(E158*(Main!$G$31/100))+(I158*(Main!$G$46/100))+(K158*(Main!$G$51/100))))/$G$6</f>
        <v>8.333333333333334</v>
      </c>
      <c r="H158">
        <f>'Req. Diario'!G157</f>
        <v>0.8557544830560249</v>
      </c>
      <c r="I158">
        <f>H158/$I$6</f>
        <v>5.348465519100155</v>
      </c>
      <c r="J158">
        <f>'Req. Diario'!H157</f>
        <v>2.9766350000000004</v>
      </c>
      <c r="K158">
        <f>J158/$K$6</f>
        <v>0.00029766350000000005</v>
      </c>
      <c r="L158">
        <f>'Req. Diario'!I157</f>
        <v>35.6483</v>
      </c>
      <c r="M158">
        <f>L158/$M$6</f>
        <v>173.89414634146343</v>
      </c>
    </row>
    <row r="159">
      <c r="B159">
        <f>'Req. Diario'!D158</f>
        <v>3.6697247706422016</v>
      </c>
      <c r="C159">
        <f>(B159-((E159*(Main!$E$31/100))+(G159*(Main!$E$36/100))+(I159*(Main!$E$46/100))+(K159*(Main!$E$51/100))))/$C$6</f>
        <v>6.766622131695847</v>
      </c>
      <c r="D159">
        <f>'Req. Diario'!E158</f>
        <v>1.4236452857142858</v>
      </c>
      <c r="E159">
        <f>(D159-((C159*(Main!$F$41/100))+(G159*(Main!$F$36/100))+(I159*(Main!$F$46/100))+(K159*(Main!$F$51/100))))/$E$6</f>
        <v>3.0948810559006215</v>
      </c>
      <c r="F159">
        <f>'Req. Diario'!F158</f>
        <v>5</v>
      </c>
      <c r="G159">
        <f>(F159-((C159*(Main!$G$41/100))+(E159*(Main!$G$31/100))+(I159*(Main!$G$46/100))+(K159*(Main!$G$51/100))))/$G$6</f>
        <v>8.333333333333334</v>
      </c>
      <c r="H159">
        <f>'Req. Diario'!G158</f>
        <v>0.8557544830560249</v>
      </c>
      <c r="I159">
        <f>H159/$I$6</f>
        <v>5.348465519100155</v>
      </c>
      <c r="J159">
        <f>'Req. Diario'!H158</f>
        <v>2.9766350000000004</v>
      </c>
      <c r="K159">
        <f>J159/$K$6</f>
        <v>0.00029766350000000005</v>
      </c>
      <c r="L159">
        <f>'Req. Diario'!I158</f>
        <v>35.6483</v>
      </c>
      <c r="M159">
        <f>L159/$M$6</f>
        <v>173.89414634146343</v>
      </c>
    </row>
    <row r="160">
      <c r="B160">
        <f>'Req. Diario'!D159</f>
        <v>3.6697247706422016</v>
      </c>
      <c r="C160">
        <f>(B160-((E160*(Main!$E$31/100))+(G160*(Main!$E$36/100))+(I160*(Main!$E$46/100))+(K160*(Main!$E$51/100))))/$C$6</f>
        <v>6.766622131695847</v>
      </c>
      <c r="D160">
        <f>'Req. Diario'!E159</f>
        <v>1.4236452857142858</v>
      </c>
      <c r="E160">
        <f>(D160-((C160*(Main!$F$41/100))+(G160*(Main!$F$36/100))+(I160*(Main!$F$46/100))+(K160*(Main!$F$51/100))))/$E$6</f>
        <v>3.0948810559006215</v>
      </c>
      <c r="F160">
        <f>'Req. Diario'!F159</f>
        <v>5</v>
      </c>
      <c r="G160">
        <f>(F160-((C160*(Main!$G$41/100))+(E160*(Main!$G$31/100))+(I160*(Main!$G$46/100))+(K160*(Main!$G$51/100))))/$G$6</f>
        <v>8.333333333333334</v>
      </c>
      <c r="H160">
        <f>'Req. Diario'!G159</f>
        <v>0.8557544830560249</v>
      </c>
      <c r="I160">
        <f>H160/$I$6</f>
        <v>5.348465519100155</v>
      </c>
      <c r="J160">
        <f>'Req. Diario'!H159</f>
        <v>2.9766350000000004</v>
      </c>
      <c r="K160">
        <f>J160/$K$6</f>
        <v>0.00029766350000000005</v>
      </c>
      <c r="L160">
        <f>'Req. Diario'!I159</f>
        <v>35.6483</v>
      </c>
      <c r="M160">
        <f>L160/$M$6</f>
        <v>173.89414634146343</v>
      </c>
    </row>
    <row r="161">
      <c r="A161">
        <v>23</v>
      </c>
      <c r="B161">
        <f>'Req. Diario'!D160</f>
        <v>3.6697247706422016</v>
      </c>
      <c r="C161">
        <f>(B161-((E161*(Main!$E$31/100))+(G161*(Main!$E$36/100))+(I161*(Main!$E$46/100))+(K161*(Main!$E$51/100))))/$C$6</f>
        <v>6.766622131695847</v>
      </c>
      <c r="D161">
        <f>'Req. Diario'!E160</f>
        <v>1.4236452857142858</v>
      </c>
      <c r="E161">
        <f>(D161-((C161*(Main!$F$41/100))+(G161*(Main!$F$36/100))+(I161*(Main!$F$46/100))+(K161*(Main!$F$51/100))))/$E$6</f>
        <v>3.0948810559006215</v>
      </c>
      <c r="F161">
        <f>'Req. Diario'!F160</f>
        <v>5</v>
      </c>
      <c r="G161">
        <f>(F161-((C161*(Main!$G$41/100))+(E161*(Main!$G$31/100))+(I161*(Main!$G$46/100))+(K161*(Main!$G$51/100))))/$G$6</f>
        <v>8.333333333333334</v>
      </c>
      <c r="H161">
        <f>'Req. Diario'!G160</f>
        <v>0.8557544830560249</v>
      </c>
      <c r="I161">
        <f>H161/$I$6</f>
        <v>5.348465519100155</v>
      </c>
      <c r="J161">
        <f>'Req. Diario'!H160</f>
        <v>2.9766350000000004</v>
      </c>
      <c r="K161">
        <f>J161/$K$6</f>
        <v>0.00029766350000000005</v>
      </c>
      <c r="L161">
        <f>'Req. Diario'!I160</f>
        <v>35.6483</v>
      </c>
      <c r="M161">
        <f>L161/$M$6</f>
        <v>173.89414634146343</v>
      </c>
    </row>
    <row r="162">
      <c r="B162">
        <f>'Req. Diario'!D161</f>
        <v>3.6697247706422016</v>
      </c>
      <c r="C162">
        <f>(B162-((E162*(Main!$E$31/100))+(G162*(Main!$E$36/100))+(I162*(Main!$E$46/100))+(K162*(Main!$E$51/100))))/$C$6</f>
        <v>6.766622131695847</v>
      </c>
      <c r="D162">
        <f>'Req. Diario'!E161</f>
        <v>1.4236452857142858</v>
      </c>
      <c r="E162">
        <f>(D162-((C162*(Main!$F$41/100))+(G162*(Main!$F$36/100))+(I162*(Main!$F$46/100))+(K162*(Main!$F$51/100))))/$E$6</f>
        <v>3.0948810559006215</v>
      </c>
      <c r="F162">
        <f>'Req. Diario'!F161</f>
        <v>5</v>
      </c>
      <c r="G162">
        <f>(F162-((C162*(Main!$G$41/100))+(E162*(Main!$G$31/100))+(I162*(Main!$G$46/100))+(K162*(Main!$G$51/100))))/$G$6</f>
        <v>8.333333333333334</v>
      </c>
      <c r="H162">
        <f>'Req. Diario'!G161</f>
        <v>0.8557544830560249</v>
      </c>
      <c r="I162">
        <f>H162/$I$6</f>
        <v>5.348465519100155</v>
      </c>
      <c r="J162">
        <f>'Req. Diario'!H161</f>
        <v>2.9766350000000004</v>
      </c>
      <c r="K162">
        <f>J162/$K$6</f>
        <v>0.00029766350000000005</v>
      </c>
      <c r="L162">
        <f>'Req. Diario'!I161</f>
        <v>35.6483</v>
      </c>
      <c r="M162">
        <f>L162/$M$6</f>
        <v>173.89414634146343</v>
      </c>
    </row>
    <row r="163">
      <c r="B163">
        <f>'Req. Diario'!D162</f>
        <v>3.6697247706422016</v>
      </c>
      <c r="C163">
        <f>(B163-((E163*(Main!$E$31/100))+(G163*(Main!$E$36/100))+(I163*(Main!$E$46/100))+(K163*(Main!$E$51/100))))/$C$6</f>
        <v>6.766622131695847</v>
      </c>
      <c r="D163">
        <f>'Req. Diario'!E162</f>
        <v>1.4236452857142858</v>
      </c>
      <c r="E163">
        <f>(D163-((C163*(Main!$F$41/100))+(G163*(Main!$F$36/100))+(I163*(Main!$F$46/100))+(K163*(Main!$F$51/100))))/$E$6</f>
        <v>3.0948810559006215</v>
      </c>
      <c r="F163">
        <f>'Req. Diario'!F162</f>
        <v>5</v>
      </c>
      <c r="G163">
        <f>(F163-((C163*(Main!$G$41/100))+(E163*(Main!$G$31/100))+(I163*(Main!$G$46/100))+(K163*(Main!$G$51/100))))/$G$6</f>
        <v>8.333333333333334</v>
      </c>
      <c r="H163">
        <f>'Req. Diario'!G162</f>
        <v>0.8557544830560249</v>
      </c>
      <c r="I163">
        <f>H163/$I$6</f>
        <v>5.348465519100155</v>
      </c>
      <c r="J163">
        <f>'Req. Diario'!H162</f>
        <v>2.9766350000000004</v>
      </c>
      <c r="K163">
        <f>J163/$K$6</f>
        <v>0.00029766350000000005</v>
      </c>
      <c r="L163">
        <f>'Req. Diario'!I162</f>
        <v>35.6483</v>
      </c>
      <c r="M163">
        <f>L163/$M$6</f>
        <v>173.89414634146343</v>
      </c>
    </row>
    <row r="164">
      <c r="B164">
        <f>'Req. Diario'!D163</f>
        <v>3.6697247706422016</v>
      </c>
      <c r="C164">
        <f>(B164-((E164*(Main!$E$31/100))+(G164*(Main!$E$36/100))+(I164*(Main!$E$46/100))+(K164*(Main!$E$51/100))))/$C$6</f>
        <v>6.766622131695847</v>
      </c>
      <c r="D164">
        <f>'Req. Diario'!E163</f>
        <v>1.4236452857142858</v>
      </c>
      <c r="E164">
        <f>(D164-((C164*(Main!$F$41/100))+(G164*(Main!$F$36/100))+(I164*(Main!$F$46/100))+(K164*(Main!$F$51/100))))/$E$6</f>
        <v>3.0948810559006215</v>
      </c>
      <c r="F164">
        <f>'Req. Diario'!F163</f>
        <v>5</v>
      </c>
      <c r="G164">
        <f>(F164-((C164*(Main!$G$41/100))+(E164*(Main!$G$31/100))+(I164*(Main!$G$46/100))+(K164*(Main!$G$51/100))))/$G$6</f>
        <v>8.333333333333334</v>
      </c>
      <c r="H164">
        <f>'Req. Diario'!G163</f>
        <v>0.8557544830560249</v>
      </c>
      <c r="I164">
        <f>H164/$I$6</f>
        <v>5.348465519100155</v>
      </c>
      <c r="J164">
        <f>'Req. Diario'!H163</f>
        <v>2.9766350000000004</v>
      </c>
      <c r="K164">
        <f>J164/$K$6</f>
        <v>0.00029766350000000005</v>
      </c>
      <c r="L164">
        <f>'Req. Diario'!I163</f>
        <v>35.6483</v>
      </c>
      <c r="M164">
        <f>L164/$M$6</f>
        <v>173.89414634146343</v>
      </c>
    </row>
    <row r="165">
      <c r="B165">
        <f>'Req. Diario'!D164</f>
        <v>3.6697247706422016</v>
      </c>
      <c r="C165">
        <f>(B165-((E165*(Main!$E$31/100))+(G165*(Main!$E$36/100))+(I165*(Main!$E$46/100))+(K165*(Main!$E$51/100))))/$C$6</f>
        <v>6.766622131695847</v>
      </c>
      <c r="D165">
        <f>'Req. Diario'!E164</f>
        <v>1.4236452857142858</v>
      </c>
      <c r="E165">
        <f>(D165-((C165*(Main!$F$41/100))+(G165*(Main!$F$36/100))+(I165*(Main!$F$46/100))+(K165*(Main!$F$51/100))))/$E$6</f>
        <v>3.0948810559006215</v>
      </c>
      <c r="F165">
        <f>'Req. Diario'!F164</f>
        <v>5</v>
      </c>
      <c r="G165">
        <f>(F165-((C165*(Main!$G$41/100))+(E165*(Main!$G$31/100))+(I165*(Main!$G$46/100))+(K165*(Main!$G$51/100))))/$G$6</f>
        <v>8.333333333333334</v>
      </c>
      <c r="H165">
        <f>'Req. Diario'!G164</f>
        <v>0.8557544830560249</v>
      </c>
      <c r="I165">
        <f>H165/$I$6</f>
        <v>5.348465519100155</v>
      </c>
      <c r="J165">
        <f>'Req. Diario'!H164</f>
        <v>2.9766350000000004</v>
      </c>
      <c r="K165">
        <f>J165/$K$6</f>
        <v>0.00029766350000000005</v>
      </c>
      <c r="L165">
        <f>'Req. Diario'!I164</f>
        <v>35.6483</v>
      </c>
      <c r="M165">
        <f>L165/$M$6</f>
        <v>173.89414634146343</v>
      </c>
    </row>
    <row r="166">
      <c r="B166">
        <f>'Req. Diario'!D165</f>
        <v>3.6697247706422016</v>
      </c>
      <c r="C166">
        <f>(B166-((E166*(Main!$E$31/100))+(G166*(Main!$E$36/100))+(I166*(Main!$E$46/100))+(K166*(Main!$E$51/100))))/$C$6</f>
        <v>6.766622131695847</v>
      </c>
      <c r="D166">
        <f>'Req. Diario'!E165</f>
        <v>1.4236452857142858</v>
      </c>
      <c r="E166">
        <f>(D166-((C166*(Main!$F$41/100))+(G166*(Main!$F$36/100))+(I166*(Main!$F$46/100))+(K166*(Main!$F$51/100))))/$E$6</f>
        <v>3.0948810559006215</v>
      </c>
      <c r="F166">
        <f>'Req. Diario'!F165</f>
        <v>5</v>
      </c>
      <c r="G166">
        <f>(F166-((C166*(Main!$G$41/100))+(E166*(Main!$G$31/100))+(I166*(Main!$G$46/100))+(K166*(Main!$G$51/100))))/$G$6</f>
        <v>8.333333333333334</v>
      </c>
      <c r="H166">
        <f>'Req. Diario'!G165</f>
        <v>0.8557544830560249</v>
      </c>
      <c r="I166">
        <f>H166/$I$6</f>
        <v>5.348465519100155</v>
      </c>
      <c r="J166">
        <f>'Req. Diario'!H165</f>
        <v>2.9766350000000004</v>
      </c>
      <c r="K166">
        <f>J166/$K$6</f>
        <v>0.00029766350000000005</v>
      </c>
      <c r="L166">
        <f>'Req. Diario'!I165</f>
        <v>35.6483</v>
      </c>
      <c r="M166">
        <f>L166/$M$6</f>
        <v>173.89414634146343</v>
      </c>
    </row>
    <row r="167">
      <c r="B167">
        <f>'Req. Diario'!D166</f>
        <v>3.6697247706422016</v>
      </c>
      <c r="C167">
        <f>(B167-((E167*(Main!$E$31/100))+(G167*(Main!$E$36/100))+(I167*(Main!$E$46/100))+(K167*(Main!$E$51/100))))/$C$6</f>
        <v>6.766622131695847</v>
      </c>
      <c r="D167">
        <f>'Req. Diario'!E166</f>
        <v>1.4236452857142858</v>
      </c>
      <c r="E167">
        <f>(D167-((C167*(Main!$F$41/100))+(G167*(Main!$F$36/100))+(I167*(Main!$F$46/100))+(K167*(Main!$F$51/100))))/$E$6</f>
        <v>3.0948810559006215</v>
      </c>
      <c r="F167">
        <f>'Req. Diario'!F166</f>
        <v>5</v>
      </c>
      <c r="G167">
        <f>(F167-((C167*(Main!$G$41/100))+(E167*(Main!$G$31/100))+(I167*(Main!$G$46/100))+(K167*(Main!$G$51/100))))/$G$6</f>
        <v>8.333333333333334</v>
      </c>
      <c r="H167">
        <f>'Req. Diario'!G166</f>
        <v>0.8557544830560249</v>
      </c>
      <c r="I167">
        <f>H167/$I$6</f>
        <v>5.348465519100155</v>
      </c>
      <c r="J167">
        <f>'Req. Diario'!H166</f>
        <v>2.9766350000000004</v>
      </c>
      <c r="K167">
        <f>J167/$K$6</f>
        <v>0.00029766350000000005</v>
      </c>
      <c r="L167">
        <f>'Req. Diario'!I166</f>
        <v>35.6483</v>
      </c>
      <c r="M167">
        <f>L167/$M$6</f>
        <v>173.89414634146343</v>
      </c>
    </row>
    <row r="168">
      <c r="A168">
        <v>24</v>
      </c>
      <c r="B168">
        <f>'Req. Diario'!D167</f>
        <v>3.6697247706422016</v>
      </c>
      <c r="C168">
        <f>(B168-((E168*(Main!$E$31/100))+(G168*(Main!$E$36/100))+(I168*(Main!$E$46/100))+(K168*(Main!$E$51/100))))/$C$6</f>
        <v>6.766622131695847</v>
      </c>
      <c r="D168">
        <f>'Req. Diario'!E167</f>
        <v>1.4236452857142858</v>
      </c>
      <c r="E168">
        <f>(D168-((C168*(Main!$F$41/100))+(G168*(Main!$F$36/100))+(I168*(Main!$F$46/100))+(K168*(Main!$F$51/100))))/$E$6</f>
        <v>3.0948810559006215</v>
      </c>
      <c r="F168">
        <f>'Req. Diario'!F167</f>
        <v>5</v>
      </c>
      <c r="G168">
        <f>(F168-((C168*(Main!$G$41/100))+(E168*(Main!$G$31/100))+(I168*(Main!$G$46/100))+(K168*(Main!$G$51/100))))/$G$6</f>
        <v>8.333333333333334</v>
      </c>
      <c r="H168">
        <f>'Req. Diario'!G167</f>
        <v>0.8557544830560249</v>
      </c>
      <c r="I168">
        <f>H168/$I$6</f>
        <v>5.348465519100155</v>
      </c>
      <c r="J168">
        <f>'Req. Diario'!H167</f>
        <v>2.9766350000000004</v>
      </c>
      <c r="K168">
        <f>J168/$K$6</f>
        <v>0.00029766350000000005</v>
      </c>
      <c r="L168">
        <f>'Req. Diario'!I167</f>
        <v>35.6483</v>
      </c>
      <c r="M168">
        <f>L168/$M$6</f>
        <v>173.89414634146343</v>
      </c>
    </row>
    <row r="169">
      <c r="B169">
        <f>'Req. Diario'!D168</f>
        <v>3.6697247706422016</v>
      </c>
      <c r="C169">
        <f>(B169-((E169*(Main!$E$31/100))+(G169*(Main!$E$36/100))+(I169*(Main!$E$46/100))+(K169*(Main!$E$51/100))))/$C$6</f>
        <v>6.766622131695847</v>
      </c>
      <c r="D169">
        <f>'Req. Diario'!E168</f>
        <v>1.4236452857142858</v>
      </c>
      <c r="E169">
        <f>(D169-((C169*(Main!$F$41/100))+(G169*(Main!$F$36/100))+(I169*(Main!$F$46/100))+(K169*(Main!$F$51/100))))/$E$6</f>
        <v>3.0948810559006215</v>
      </c>
      <c r="F169">
        <f>'Req. Diario'!F168</f>
        <v>5</v>
      </c>
      <c r="G169">
        <f>(F169-((C169*(Main!$G$41/100))+(E169*(Main!$G$31/100))+(I169*(Main!$G$46/100))+(K169*(Main!$G$51/100))))/$G$6</f>
        <v>8.333333333333334</v>
      </c>
      <c r="H169">
        <f>'Req. Diario'!G168</f>
        <v>0.8557544830560249</v>
      </c>
      <c r="I169">
        <f>H169/$I$6</f>
        <v>5.348465519100155</v>
      </c>
      <c r="J169">
        <f>'Req. Diario'!H168</f>
        <v>2.9766350000000004</v>
      </c>
      <c r="K169">
        <f>J169/$K$6</f>
        <v>0.00029766350000000005</v>
      </c>
      <c r="L169">
        <f>'Req. Diario'!I168</f>
        <v>35.6483</v>
      </c>
      <c r="M169">
        <f>L169/$M$6</f>
        <v>173.89414634146343</v>
      </c>
    </row>
    <row r="170">
      <c r="B170">
        <f>'Req. Diario'!D169</f>
        <v>3.6697247706422016</v>
      </c>
      <c r="C170">
        <f>(B170-((E170*(Main!$E$31/100))+(G170*(Main!$E$36/100))+(I170*(Main!$E$46/100))+(K170*(Main!$E$51/100))))/$C$6</f>
        <v>6.766622131695847</v>
      </c>
      <c r="D170">
        <f>'Req. Diario'!E169</f>
        <v>1.4236452857142858</v>
      </c>
      <c r="E170">
        <f>(D170-((C170*(Main!$F$41/100))+(G170*(Main!$F$36/100))+(I170*(Main!$F$46/100))+(K170*(Main!$F$51/100))))/$E$6</f>
        <v>3.0948810559006215</v>
      </c>
      <c r="F170">
        <f>'Req. Diario'!F169</f>
        <v>5</v>
      </c>
      <c r="G170">
        <f>(F170-((C170*(Main!$G$41/100))+(E170*(Main!$G$31/100))+(I170*(Main!$G$46/100))+(K170*(Main!$G$51/100))))/$G$6</f>
        <v>8.333333333333334</v>
      </c>
      <c r="H170">
        <f>'Req. Diario'!G169</f>
        <v>0.8557544830560249</v>
      </c>
      <c r="I170">
        <f>H170/$I$6</f>
        <v>5.348465519100155</v>
      </c>
      <c r="J170">
        <f>'Req. Diario'!H169</f>
        <v>2.9766350000000004</v>
      </c>
      <c r="K170">
        <f>J170/$K$6</f>
        <v>0.00029766350000000005</v>
      </c>
      <c r="L170">
        <f>'Req. Diario'!I169</f>
        <v>35.6483</v>
      </c>
      <c r="M170">
        <f>L170/$M$6</f>
        <v>173.89414634146343</v>
      </c>
    </row>
    <row r="171">
      <c r="B171">
        <f>'Req. Diario'!D170</f>
        <v>3.6697247706422016</v>
      </c>
      <c r="C171">
        <f>(B171-((E171*(Main!$E$31/100))+(G171*(Main!$E$36/100))+(I171*(Main!$E$46/100))+(K171*(Main!$E$51/100))))/$C$6</f>
        <v>6.766622131695847</v>
      </c>
      <c r="D171">
        <f>'Req. Diario'!E170</f>
        <v>1.4236452857142858</v>
      </c>
      <c r="E171">
        <f>(D171-((C171*(Main!$F$41/100))+(G171*(Main!$F$36/100))+(I171*(Main!$F$46/100))+(K171*(Main!$F$51/100))))/$E$6</f>
        <v>3.0948810559006215</v>
      </c>
      <c r="F171">
        <f>'Req. Diario'!F170</f>
        <v>5</v>
      </c>
      <c r="G171">
        <f>(F171-((C171*(Main!$G$41/100))+(E171*(Main!$G$31/100))+(I171*(Main!$G$46/100))+(K171*(Main!$G$51/100))))/$G$6</f>
        <v>8.333333333333334</v>
      </c>
      <c r="H171">
        <f>'Req. Diario'!G170</f>
        <v>0.8557544830560249</v>
      </c>
      <c r="I171">
        <f>H171/$I$6</f>
        <v>5.348465519100155</v>
      </c>
      <c r="J171">
        <f>'Req. Diario'!H170</f>
        <v>2.9766350000000004</v>
      </c>
      <c r="K171">
        <f>J171/$K$6</f>
        <v>0.00029766350000000005</v>
      </c>
      <c r="L171">
        <f>'Req. Diario'!I170</f>
        <v>35.6483</v>
      </c>
      <c r="M171">
        <f>L171/$M$6</f>
        <v>173.89414634146343</v>
      </c>
    </row>
    <row r="172">
      <c r="B172">
        <f>'Req. Diario'!D171</f>
        <v>3.6697247706422016</v>
      </c>
      <c r="C172">
        <f>(B172-((E172*(Main!$E$31/100))+(G172*(Main!$E$36/100))+(I172*(Main!$E$46/100))+(K172*(Main!$E$51/100))))/$C$6</f>
        <v>6.766622131695847</v>
      </c>
      <c r="D172">
        <f>'Req. Diario'!E171</f>
        <v>1.4236452857142858</v>
      </c>
      <c r="E172">
        <f>(D172-((C172*(Main!$F$41/100))+(G172*(Main!$F$36/100))+(I172*(Main!$F$46/100))+(K172*(Main!$F$51/100))))/$E$6</f>
        <v>3.0948810559006215</v>
      </c>
      <c r="F172">
        <f>'Req. Diario'!F171</f>
        <v>5</v>
      </c>
      <c r="G172">
        <f>(F172-((C172*(Main!$G$41/100))+(E172*(Main!$G$31/100))+(I172*(Main!$G$46/100))+(K172*(Main!$G$51/100))))/$G$6</f>
        <v>8.333333333333334</v>
      </c>
      <c r="H172">
        <f>'Req. Diario'!G171</f>
        <v>0.8557544830560249</v>
      </c>
      <c r="I172">
        <f>H172/$I$6</f>
        <v>5.348465519100155</v>
      </c>
      <c r="J172">
        <f>'Req. Diario'!H171</f>
        <v>2.9766350000000004</v>
      </c>
      <c r="K172">
        <f>J172/$K$6</f>
        <v>0.00029766350000000005</v>
      </c>
      <c r="L172">
        <f>'Req. Diario'!I171</f>
        <v>35.6483</v>
      </c>
      <c r="M172">
        <f>L172/$M$6</f>
        <v>173.89414634146343</v>
      </c>
    </row>
    <row r="173">
      <c r="B173">
        <f>'Req. Diario'!D172</f>
        <v>3.6697247706422016</v>
      </c>
      <c r="C173">
        <f>(B173-((E173*(Main!$E$31/100))+(G173*(Main!$E$36/100))+(I173*(Main!$E$46/100))+(K173*(Main!$E$51/100))))/$C$6</f>
        <v>6.766622131695847</v>
      </c>
      <c r="D173">
        <f>'Req. Diario'!E172</f>
        <v>1.4236452857142858</v>
      </c>
      <c r="E173">
        <f>(D173-((C173*(Main!$F$41/100))+(G173*(Main!$F$36/100))+(I173*(Main!$F$46/100))+(K173*(Main!$F$51/100))))/$E$6</f>
        <v>3.0948810559006215</v>
      </c>
      <c r="F173">
        <f>'Req. Diario'!F172</f>
        <v>5</v>
      </c>
      <c r="G173">
        <f>(F173-((C173*(Main!$G$41/100))+(E173*(Main!$G$31/100))+(I173*(Main!$G$46/100))+(K173*(Main!$G$51/100))))/$G$6</f>
        <v>8.333333333333334</v>
      </c>
      <c r="H173">
        <f>'Req. Diario'!G172</f>
        <v>0.8557544830560249</v>
      </c>
      <c r="I173">
        <f>H173/$I$6</f>
        <v>5.348465519100155</v>
      </c>
      <c r="J173">
        <f>'Req. Diario'!H172</f>
        <v>2.9766350000000004</v>
      </c>
      <c r="K173">
        <f>J173/$K$6</f>
        <v>0.00029766350000000005</v>
      </c>
      <c r="L173">
        <f>'Req. Diario'!I172</f>
        <v>35.6483</v>
      </c>
      <c r="M173">
        <f>L173/$M$6</f>
        <v>173.89414634146343</v>
      </c>
    </row>
    <row r="174">
      <c r="B174">
        <f>'Req. Diario'!D173</f>
        <v>3.6697247706422016</v>
      </c>
      <c r="C174">
        <f>(B174-((E174*(Main!$E$31/100))+(G174*(Main!$E$36/100))+(I174*(Main!$E$46/100))+(K174*(Main!$E$51/100))))/$C$6</f>
        <v>6.766622131695847</v>
      </c>
      <c r="D174">
        <f>'Req. Diario'!E173</f>
        <v>1.4236452857142858</v>
      </c>
      <c r="E174">
        <f>(D174-((C174*(Main!$F$41/100))+(G174*(Main!$F$36/100))+(I174*(Main!$F$46/100))+(K174*(Main!$F$51/100))))/$E$6</f>
        <v>3.0948810559006215</v>
      </c>
      <c r="F174">
        <f>'Req. Diario'!F173</f>
        <v>5</v>
      </c>
      <c r="G174">
        <f>(F174-((C174*(Main!$G$41/100))+(E174*(Main!$G$31/100))+(I174*(Main!$G$46/100))+(K174*(Main!$G$51/100))))/$G$6</f>
        <v>8.333333333333334</v>
      </c>
      <c r="H174">
        <f>'Req. Diario'!G173</f>
        <v>0.8557544830560249</v>
      </c>
      <c r="I174">
        <f>H174/$I$6</f>
        <v>5.348465519100155</v>
      </c>
      <c r="J174">
        <f>'Req. Diario'!H173</f>
        <v>2.9766350000000004</v>
      </c>
      <c r="K174">
        <f>J174/$K$6</f>
        <v>0.00029766350000000005</v>
      </c>
      <c r="L174">
        <f>'Req. Diario'!I173</f>
        <v>35.6483</v>
      </c>
      <c r="M174">
        <f>L174/$M$6</f>
        <v>173.89414634146343</v>
      </c>
    </row>
    <row r="175">
      <c r="A175">
        <v>25</v>
      </c>
      <c r="B175">
        <f>'Req. Diario'!D174</f>
        <v>3.6697247706422016</v>
      </c>
      <c r="C175">
        <f>(B175-((E175*(Main!$E$31/100))+(G175*(Main!$E$36/100))+(I175*(Main!$E$46/100))+(K175*(Main!$E$51/100))))/$C$6</f>
        <v>6.766622131695847</v>
      </c>
      <c r="D175">
        <f>'Req. Diario'!E174</f>
        <v>1.4236452857142858</v>
      </c>
      <c r="E175">
        <f>(D175-((C175*(Main!$F$41/100))+(G175*(Main!$F$36/100))+(I175*(Main!$F$46/100))+(K175*(Main!$F$51/100))))/$E$6</f>
        <v>3.0948810559006215</v>
      </c>
      <c r="F175">
        <f>'Req. Diario'!F174</f>
        <v>5</v>
      </c>
      <c r="G175">
        <f>(F175-((C175*(Main!$G$41/100))+(E175*(Main!$G$31/100))+(I175*(Main!$G$46/100))+(K175*(Main!$G$51/100))))/$G$6</f>
        <v>8.333333333333334</v>
      </c>
      <c r="H175">
        <f>'Req. Diario'!G174</f>
        <v>0.8557544830560249</v>
      </c>
      <c r="I175">
        <f>H175/$I$6</f>
        <v>5.348465519100155</v>
      </c>
      <c r="J175">
        <f>'Req. Diario'!H174</f>
        <v>2.9766350000000004</v>
      </c>
      <c r="K175">
        <f>J175/$K$6</f>
        <v>0.00029766350000000005</v>
      </c>
      <c r="L175">
        <f>'Req. Diario'!I174</f>
        <v>35.6483</v>
      </c>
      <c r="M175">
        <f>L175/$M$6</f>
        <v>173.89414634146343</v>
      </c>
    </row>
    <row r="176">
      <c r="B176">
        <f>'Req. Diario'!D175</f>
        <v>3.6697247706422016</v>
      </c>
      <c r="C176">
        <f>(B176-((E176*(Main!$E$31/100))+(G176*(Main!$E$36/100))+(I176*(Main!$E$46/100))+(K176*(Main!$E$51/100))))/$C$6</f>
        <v>6.766622131695847</v>
      </c>
      <c r="D176">
        <f>'Req. Diario'!E175</f>
        <v>1.4236452857142858</v>
      </c>
      <c r="E176">
        <f>(D176-((C176*(Main!$F$41/100))+(G176*(Main!$F$36/100))+(I176*(Main!$F$46/100))+(K176*(Main!$F$51/100))))/$E$6</f>
        <v>3.0948810559006215</v>
      </c>
      <c r="F176">
        <f>'Req. Diario'!F175</f>
        <v>5</v>
      </c>
      <c r="G176">
        <f>(F176-((C176*(Main!$G$41/100))+(E176*(Main!$G$31/100))+(I176*(Main!$G$46/100))+(K176*(Main!$G$51/100))))/$G$6</f>
        <v>8.333333333333334</v>
      </c>
      <c r="H176">
        <f>'Req. Diario'!G175</f>
        <v>0.8557544830560249</v>
      </c>
      <c r="I176">
        <f>H176/$I$6</f>
        <v>5.348465519100155</v>
      </c>
      <c r="J176">
        <f>'Req. Diario'!H175</f>
        <v>2.9766350000000004</v>
      </c>
      <c r="K176">
        <f>J176/$K$6</f>
        <v>0.00029766350000000005</v>
      </c>
      <c r="L176">
        <f>'Req. Diario'!I175</f>
        <v>35.6483</v>
      </c>
      <c r="M176">
        <f>L176/$M$6</f>
        <v>173.89414634146343</v>
      </c>
    </row>
    <row r="177">
      <c r="B177">
        <f>'Req. Diario'!D176</f>
        <v>3.6697247706422016</v>
      </c>
      <c r="C177">
        <f>(B177-((E177*(Main!$E$31/100))+(G177*(Main!$E$36/100))+(I177*(Main!$E$46/100))+(K177*(Main!$E$51/100))))/$C$6</f>
        <v>6.766622131695847</v>
      </c>
      <c r="D177">
        <f>'Req. Diario'!E176</f>
        <v>1.4236452857142858</v>
      </c>
      <c r="E177">
        <f>(D177-((C177*(Main!$F$41/100))+(G177*(Main!$F$36/100))+(I177*(Main!$F$46/100))+(K177*(Main!$F$51/100))))/$E$6</f>
        <v>3.0948810559006215</v>
      </c>
      <c r="F177">
        <f>'Req. Diario'!F176</f>
        <v>5</v>
      </c>
      <c r="G177">
        <f>(F177-((C177*(Main!$G$41/100))+(E177*(Main!$G$31/100))+(I177*(Main!$G$46/100))+(K177*(Main!$G$51/100))))/$G$6</f>
        <v>8.333333333333334</v>
      </c>
      <c r="H177">
        <f>'Req. Diario'!G176</f>
        <v>0.8557544830560249</v>
      </c>
      <c r="I177">
        <f>H177/$I$6</f>
        <v>5.348465519100155</v>
      </c>
      <c r="J177">
        <f>'Req. Diario'!H176</f>
        <v>2.9766350000000004</v>
      </c>
      <c r="K177">
        <f>J177/$K$6</f>
        <v>0.00029766350000000005</v>
      </c>
      <c r="L177">
        <f>'Req. Diario'!I176</f>
        <v>35.6483</v>
      </c>
      <c r="M177">
        <f>L177/$M$6</f>
        <v>173.89414634146343</v>
      </c>
    </row>
    <row r="178">
      <c r="B178">
        <f>'Req. Diario'!D177</f>
        <v>3.6697247706422016</v>
      </c>
      <c r="C178">
        <f>(B178-((E178*(Main!$E$31/100))+(G178*(Main!$E$36/100))+(I178*(Main!$E$46/100))+(K178*(Main!$E$51/100))))/$C$6</f>
        <v>6.766622131695847</v>
      </c>
      <c r="D178">
        <f>'Req. Diario'!E177</f>
        <v>1.4236452857142858</v>
      </c>
      <c r="E178">
        <f>(D178-((C178*(Main!$F$41/100))+(G178*(Main!$F$36/100))+(I178*(Main!$F$46/100))+(K178*(Main!$F$51/100))))/$E$6</f>
        <v>3.0948810559006215</v>
      </c>
      <c r="F178">
        <f>'Req. Diario'!F177</f>
        <v>5</v>
      </c>
      <c r="G178">
        <f>(F178-((C178*(Main!$G$41/100))+(E178*(Main!$G$31/100))+(I178*(Main!$G$46/100))+(K178*(Main!$G$51/100))))/$G$6</f>
        <v>8.333333333333334</v>
      </c>
      <c r="H178">
        <f>'Req. Diario'!G177</f>
        <v>0.8557544830560249</v>
      </c>
      <c r="I178">
        <f>H178/$I$6</f>
        <v>5.348465519100155</v>
      </c>
      <c r="J178">
        <f>'Req. Diario'!H177</f>
        <v>2.9766350000000004</v>
      </c>
      <c r="K178">
        <f>J178/$K$6</f>
        <v>0.00029766350000000005</v>
      </c>
      <c r="L178">
        <f>'Req. Diario'!I177</f>
        <v>35.6483</v>
      </c>
      <c r="M178">
        <f>L178/$M$6</f>
        <v>173.89414634146343</v>
      </c>
    </row>
    <row r="179">
      <c r="B179">
        <f>'Req. Diario'!D178</f>
        <v>3.6697247706422016</v>
      </c>
      <c r="C179">
        <f>(B179-((E179*(Main!$E$31/100))+(G179*(Main!$E$36/100))+(I179*(Main!$E$46/100))+(K179*(Main!$E$51/100))))/$C$6</f>
        <v>6.766622131695847</v>
      </c>
      <c r="D179">
        <f>'Req. Diario'!E178</f>
        <v>1.4236452857142858</v>
      </c>
      <c r="E179">
        <f>(D179-((C179*(Main!$F$41/100))+(G179*(Main!$F$36/100))+(I179*(Main!$F$46/100))+(K179*(Main!$F$51/100))))/$E$6</f>
        <v>3.0948810559006215</v>
      </c>
      <c r="F179">
        <f>'Req. Diario'!F178</f>
        <v>5</v>
      </c>
      <c r="G179">
        <f>(F179-((C179*(Main!$G$41/100))+(E179*(Main!$G$31/100))+(I179*(Main!$G$46/100))+(K179*(Main!$G$51/100))))/$G$6</f>
        <v>8.333333333333334</v>
      </c>
      <c r="H179">
        <f>'Req. Diario'!G178</f>
        <v>0.8557544830560249</v>
      </c>
      <c r="I179">
        <f>H179/$I$6</f>
        <v>5.348465519100155</v>
      </c>
      <c r="J179">
        <f>'Req. Diario'!H178</f>
        <v>2.9766350000000004</v>
      </c>
      <c r="K179">
        <f>J179/$K$6</f>
        <v>0.00029766350000000005</v>
      </c>
      <c r="L179">
        <f>'Req. Diario'!I178</f>
        <v>35.6483</v>
      </c>
      <c r="M179">
        <f>L179/$M$6</f>
        <v>173.89414634146343</v>
      </c>
    </row>
    <row r="180">
      <c r="B180">
        <f>'Req. Diario'!D179</f>
        <v>3.6697247706422016</v>
      </c>
      <c r="C180">
        <f>(B180-((E180*(Main!$E$31/100))+(G180*(Main!$E$36/100))+(I180*(Main!$E$46/100))+(K180*(Main!$E$51/100))))/$C$6</f>
        <v>6.766622131695847</v>
      </c>
      <c r="D180">
        <f>'Req. Diario'!E179</f>
        <v>1.4236452857142858</v>
      </c>
      <c r="E180">
        <f>(D180-((C180*(Main!$F$41/100))+(G180*(Main!$F$36/100))+(I180*(Main!$F$46/100))+(K180*(Main!$F$51/100))))/$E$6</f>
        <v>3.0948810559006215</v>
      </c>
      <c r="F180">
        <f>'Req. Diario'!F179</f>
        <v>5</v>
      </c>
      <c r="G180">
        <f>(F180-((C180*(Main!$G$41/100))+(E180*(Main!$G$31/100))+(I180*(Main!$G$46/100))+(K180*(Main!$G$51/100))))/$G$6</f>
        <v>8.333333333333334</v>
      </c>
      <c r="H180">
        <f>'Req. Diario'!G179</f>
        <v>0.8557544830560249</v>
      </c>
      <c r="I180">
        <f>H180/$I$6</f>
        <v>5.348465519100155</v>
      </c>
      <c r="J180">
        <f>'Req. Diario'!H179</f>
        <v>2.9766350000000004</v>
      </c>
      <c r="K180">
        <f>J180/$K$6</f>
        <v>0.00029766350000000005</v>
      </c>
      <c r="L180">
        <f>'Req. Diario'!I179</f>
        <v>35.6483</v>
      </c>
      <c r="M180">
        <f>L180/$M$6</f>
        <v>173.89414634146343</v>
      </c>
    </row>
    <row r="181">
      <c r="B181">
        <f>'Req. Diario'!D180</f>
        <v>3.6697247706422016</v>
      </c>
      <c r="C181">
        <f>(B181-((E181*(Main!$E$31/100))+(G181*(Main!$E$36/100))+(I181*(Main!$E$46/100))+(K181*(Main!$E$51/100))))/$C$6</f>
        <v>6.766622131695847</v>
      </c>
      <c r="D181">
        <f>'Req. Diario'!E180</f>
        <v>1.4236452857142858</v>
      </c>
      <c r="E181">
        <f>(D181-((C181*(Main!$F$41/100))+(G181*(Main!$F$36/100))+(I181*(Main!$F$46/100))+(K181*(Main!$F$51/100))))/$E$6</f>
        <v>3.0948810559006215</v>
      </c>
      <c r="F181">
        <f>'Req. Diario'!F180</f>
        <v>5</v>
      </c>
      <c r="G181">
        <f>(F181-((C181*(Main!$G$41/100))+(E181*(Main!$G$31/100))+(I181*(Main!$G$46/100))+(K181*(Main!$G$51/100))))/$G$6</f>
        <v>8.333333333333334</v>
      </c>
      <c r="H181">
        <f>'Req. Diario'!G180</f>
        <v>0.8557544830560249</v>
      </c>
      <c r="I181">
        <f>H181/$I$6</f>
        <v>5.348465519100155</v>
      </c>
      <c r="J181">
        <f>'Req. Diario'!H180</f>
        <v>2.9766350000000004</v>
      </c>
      <c r="K181">
        <f>J181/$K$6</f>
        <v>0.00029766350000000005</v>
      </c>
      <c r="L181">
        <f>'Req. Diario'!I180</f>
        <v>35.6483</v>
      </c>
      <c r="M181">
        <f>L181/$M$6</f>
        <v>173.89414634146343</v>
      </c>
    </row>
    <row r="182">
      <c r="A182">
        <v>26</v>
      </c>
      <c r="B182">
        <f>'Req. Diario'!D181</f>
        <v>3.6697247706422016</v>
      </c>
      <c r="C182">
        <f>(B182-((E182*(Main!$E$31/100))+(G182*(Main!$E$36/100))+(I182*(Main!$E$46/100))+(K182*(Main!$E$51/100))))/$C$6</f>
        <v>6.766622131695847</v>
      </c>
      <c r="D182">
        <f>'Req. Diario'!E181</f>
        <v>1.4236452857142858</v>
      </c>
      <c r="E182">
        <f>(D182-((C182*(Main!$F$41/100))+(G182*(Main!$F$36/100))+(I182*(Main!$F$46/100))+(K182*(Main!$F$51/100))))/$E$6</f>
        <v>3.0948810559006215</v>
      </c>
      <c r="F182">
        <f>'Req. Diario'!F181</f>
        <v>5</v>
      </c>
      <c r="G182">
        <f>(F182-((C182*(Main!$G$41/100))+(E182*(Main!$G$31/100))+(I182*(Main!$G$46/100))+(K182*(Main!$G$51/100))))/$G$6</f>
        <v>8.333333333333334</v>
      </c>
      <c r="H182">
        <f>'Req. Diario'!G181</f>
        <v>0.8557544830560249</v>
      </c>
      <c r="I182">
        <f>H182/$I$6</f>
        <v>5.348465519100155</v>
      </c>
      <c r="J182">
        <f>'Req. Diario'!H181</f>
        <v>2.9766350000000004</v>
      </c>
      <c r="K182">
        <f>J182/$K$6</f>
        <v>0.00029766350000000005</v>
      </c>
      <c r="L182">
        <f>'Req. Diario'!I181</f>
        <v>35.6483</v>
      </c>
      <c r="M182">
        <f>L182/$M$6</f>
        <v>173.89414634146343</v>
      </c>
    </row>
    <row r="183">
      <c r="B183">
        <f>'Req. Diario'!D182</f>
        <v>3.6697247706422016</v>
      </c>
      <c r="C183">
        <f>(B183-((E183*(Main!$E$31/100))+(G183*(Main!$E$36/100))+(I183*(Main!$E$46/100))+(K183*(Main!$E$51/100))))/$C$6</f>
        <v>6.766622131695847</v>
      </c>
      <c r="D183">
        <f>'Req. Diario'!E182</f>
        <v>1.4236452857142858</v>
      </c>
      <c r="E183">
        <f>(D183-((C183*(Main!$F$41/100))+(G183*(Main!$F$36/100))+(I183*(Main!$F$46/100))+(K183*(Main!$F$51/100))))/$E$6</f>
        <v>3.0948810559006215</v>
      </c>
      <c r="F183">
        <f>'Req. Diario'!F182</f>
        <v>5</v>
      </c>
      <c r="G183">
        <f>(F183-((C183*(Main!$G$41/100))+(E183*(Main!$G$31/100))+(I183*(Main!$G$46/100))+(K183*(Main!$G$51/100))))/$G$6</f>
        <v>8.333333333333334</v>
      </c>
      <c r="H183">
        <f>'Req. Diario'!G182</f>
        <v>0.8557544830560249</v>
      </c>
      <c r="I183">
        <f>H183/$I$6</f>
        <v>5.348465519100155</v>
      </c>
      <c r="J183">
        <f>'Req. Diario'!H182</f>
        <v>2.9766350000000004</v>
      </c>
      <c r="K183">
        <f>J183/$K$6</f>
        <v>0.00029766350000000005</v>
      </c>
      <c r="L183">
        <f>'Req. Diario'!I182</f>
        <v>35.6483</v>
      </c>
      <c r="M183">
        <f>L183/$M$6</f>
        <v>173.89414634146343</v>
      </c>
    </row>
    <row r="184">
      <c r="B184">
        <f>'Req. Diario'!D183</f>
        <v>3.6697247706422016</v>
      </c>
      <c r="C184">
        <f>(B184-((E184*(Main!$E$31/100))+(G184*(Main!$E$36/100))+(I184*(Main!$E$46/100))+(K184*(Main!$E$51/100))))/$C$6</f>
        <v>6.766622131695847</v>
      </c>
      <c r="D184">
        <f>'Req. Diario'!E183</f>
        <v>1.4236452857142858</v>
      </c>
      <c r="E184">
        <f>(D184-((C184*(Main!$F$41/100))+(G184*(Main!$F$36/100))+(I184*(Main!$F$46/100))+(K184*(Main!$F$51/100))))/$E$6</f>
        <v>3.0948810559006215</v>
      </c>
      <c r="F184">
        <f>'Req. Diario'!F183</f>
        <v>5</v>
      </c>
      <c r="G184">
        <f>(F184-((C184*(Main!$G$41/100))+(E184*(Main!$G$31/100))+(I184*(Main!$G$46/100))+(K184*(Main!$G$51/100))))/$G$6</f>
        <v>8.333333333333334</v>
      </c>
      <c r="H184">
        <f>'Req. Diario'!G183</f>
        <v>0.8557544830560249</v>
      </c>
      <c r="I184">
        <f>H184/$I$6</f>
        <v>5.348465519100155</v>
      </c>
      <c r="J184">
        <f>'Req. Diario'!H183</f>
        <v>2.9766350000000004</v>
      </c>
      <c r="K184">
        <f>J184/$K$6</f>
        <v>0.00029766350000000005</v>
      </c>
      <c r="L184">
        <f>'Req. Diario'!I183</f>
        <v>35.6483</v>
      </c>
      <c r="M184">
        <f>L184/$M$6</f>
        <v>173.89414634146343</v>
      </c>
    </row>
    <row r="185">
      <c r="B185">
        <f>'Req. Diario'!D184</f>
        <v>3.6697247706422016</v>
      </c>
      <c r="C185">
        <f>(B185-((E185*(Main!$E$31/100))+(G185*(Main!$E$36/100))+(I185*(Main!$E$46/100))+(K185*(Main!$E$51/100))))/$C$6</f>
        <v>6.766622131695847</v>
      </c>
      <c r="D185">
        <f>'Req. Diario'!E184</f>
        <v>1.4236452857142858</v>
      </c>
      <c r="E185">
        <f>(D185-((C185*(Main!$F$41/100))+(G185*(Main!$F$36/100))+(I185*(Main!$F$46/100))+(K185*(Main!$F$51/100))))/$E$6</f>
        <v>3.0948810559006215</v>
      </c>
      <c r="F185">
        <f>'Req. Diario'!F184</f>
        <v>5</v>
      </c>
      <c r="G185">
        <f>(F185-((C185*(Main!$G$41/100))+(E185*(Main!$G$31/100))+(I185*(Main!$G$46/100))+(K185*(Main!$G$51/100))))/$G$6</f>
        <v>8.333333333333334</v>
      </c>
      <c r="H185">
        <f>'Req. Diario'!G184</f>
        <v>0.8557544830560249</v>
      </c>
      <c r="I185">
        <f>H185/$I$6</f>
        <v>5.348465519100155</v>
      </c>
      <c r="J185">
        <f>'Req. Diario'!H184</f>
        <v>2.9766350000000004</v>
      </c>
      <c r="K185">
        <f>J185/$K$6</f>
        <v>0.00029766350000000005</v>
      </c>
      <c r="L185">
        <f>'Req. Diario'!I184</f>
        <v>35.6483</v>
      </c>
      <c r="M185">
        <f>L185/$M$6</f>
        <v>173.89414634146343</v>
      </c>
    </row>
    <row r="186">
      <c r="B186">
        <f>'Req. Diario'!D185</f>
        <v>3.6697247706422016</v>
      </c>
      <c r="C186">
        <f>(B186-((E186*(Main!$E$31/100))+(G186*(Main!$E$36/100))+(I186*(Main!$E$46/100))+(K186*(Main!$E$51/100))))/$C$6</f>
        <v>6.766622131695847</v>
      </c>
      <c r="D186">
        <f>'Req. Diario'!E185</f>
        <v>1.4236452857142858</v>
      </c>
      <c r="E186">
        <f>(D186-((C186*(Main!$F$41/100))+(G186*(Main!$F$36/100))+(I186*(Main!$F$46/100))+(K186*(Main!$F$51/100))))/$E$6</f>
        <v>3.0948810559006215</v>
      </c>
      <c r="F186">
        <f>'Req. Diario'!F185</f>
        <v>5</v>
      </c>
      <c r="G186">
        <f>(F186-((C186*(Main!$G$41/100))+(E186*(Main!$G$31/100))+(I186*(Main!$G$46/100))+(K186*(Main!$G$51/100))))/$G$6</f>
        <v>8.333333333333334</v>
      </c>
      <c r="H186">
        <f>'Req. Diario'!G185</f>
        <v>0.8557544830560249</v>
      </c>
      <c r="I186">
        <f>H186/$I$6</f>
        <v>5.348465519100155</v>
      </c>
      <c r="J186">
        <f>'Req. Diario'!H185</f>
        <v>2.9766350000000004</v>
      </c>
      <c r="K186">
        <f>J186/$K$6</f>
        <v>0.00029766350000000005</v>
      </c>
      <c r="L186">
        <f>'Req. Diario'!I185</f>
        <v>35.6483</v>
      </c>
      <c r="M186">
        <f>L186/$M$6</f>
        <v>173.89414634146343</v>
      </c>
    </row>
    <row r="187">
      <c r="B187">
        <f>'Req. Diario'!D186</f>
        <v>3.6697247706422016</v>
      </c>
      <c r="C187">
        <f>(B187-((E187*(Main!$E$31/100))+(G187*(Main!$E$36/100))+(I187*(Main!$E$46/100))+(K187*(Main!$E$51/100))))/$C$6</f>
        <v>6.766622131695847</v>
      </c>
      <c r="D187">
        <f>'Req. Diario'!E186</f>
        <v>1.4236452857142858</v>
      </c>
      <c r="E187">
        <f>(D187-((C187*(Main!$F$41/100))+(G187*(Main!$F$36/100))+(I187*(Main!$F$46/100))+(K187*(Main!$F$51/100))))/$E$6</f>
        <v>3.0948810559006215</v>
      </c>
      <c r="F187">
        <f>'Req. Diario'!F186</f>
        <v>5</v>
      </c>
      <c r="G187">
        <f>(F187-((C187*(Main!$G$41/100))+(E187*(Main!$G$31/100))+(I187*(Main!$G$46/100))+(K187*(Main!$G$51/100))))/$G$6</f>
        <v>8.333333333333334</v>
      </c>
      <c r="H187">
        <f>'Req. Diario'!G186</f>
        <v>0.8557544830560249</v>
      </c>
      <c r="I187">
        <f>H187/$I$6</f>
        <v>5.348465519100155</v>
      </c>
      <c r="J187">
        <f>'Req. Diario'!H186</f>
        <v>2.9766350000000004</v>
      </c>
      <c r="K187">
        <f>J187/$K$6</f>
        <v>0.00029766350000000005</v>
      </c>
      <c r="L187">
        <f>'Req. Diario'!I186</f>
        <v>35.6483</v>
      </c>
      <c r="M187">
        <f>L187/$M$6</f>
        <v>173.89414634146343</v>
      </c>
    </row>
    <row r="188">
      <c r="B188">
        <f>'Req. Diario'!D187</f>
        <v>3.6697247706422016</v>
      </c>
      <c r="C188">
        <f>(B188-((E188*(Main!$E$31/100))+(G188*(Main!$E$36/100))+(I188*(Main!$E$46/100))+(K188*(Main!$E$51/100))))/$C$6</f>
        <v>6.766622131695847</v>
      </c>
      <c r="D188">
        <f>'Req. Diario'!E187</f>
        <v>1.4236452857142858</v>
      </c>
      <c r="E188">
        <f>(D188-((C188*(Main!$F$41/100))+(G188*(Main!$F$36/100))+(I188*(Main!$F$46/100))+(K188*(Main!$F$51/100))))/$E$6</f>
        <v>3.0948810559006215</v>
      </c>
      <c r="F188">
        <f>'Req. Diario'!F187</f>
        <v>5</v>
      </c>
      <c r="G188">
        <f>(F188-((C188*(Main!$G$41/100))+(E188*(Main!$G$31/100))+(I188*(Main!$G$46/100))+(K188*(Main!$G$51/100))))/$G$6</f>
        <v>8.333333333333334</v>
      </c>
      <c r="H188">
        <f>'Req. Diario'!G187</f>
        <v>0.8557544830560249</v>
      </c>
      <c r="I188">
        <f>H188/$I$6</f>
        <v>5.348465519100155</v>
      </c>
      <c r="J188">
        <f>'Req. Diario'!H187</f>
        <v>2.9766350000000004</v>
      </c>
      <c r="K188">
        <f>J188/$K$6</f>
        <v>0.00029766350000000005</v>
      </c>
      <c r="L188">
        <f>'Req. Diario'!I187</f>
        <v>35.6483</v>
      </c>
      <c r="M188">
        <f>L188/$M$6</f>
        <v>173.89414634146343</v>
      </c>
    </row>
    <row r="189">
      <c r="A189">
        <v>27</v>
      </c>
      <c r="B189">
        <f>'Req. Diario'!D188</f>
        <v>3.6697247706422016</v>
      </c>
      <c r="C189">
        <f>(B189-((E189*(Main!$E$31/100))+(G189*(Main!$E$36/100))+(I189*(Main!$E$46/100))+(K189*(Main!$E$51/100))))/$C$6</f>
        <v>6.766622131695847</v>
      </c>
      <c r="D189">
        <f>'Req. Diario'!E188</f>
        <v>1.4236452857142858</v>
      </c>
      <c r="E189">
        <f>(D189-((C189*(Main!$F$41/100))+(G189*(Main!$F$36/100))+(I189*(Main!$F$46/100))+(K189*(Main!$F$51/100))))/$E$6</f>
        <v>3.0948810559006215</v>
      </c>
      <c r="F189">
        <f>'Req. Diario'!F188</f>
        <v>5</v>
      </c>
      <c r="G189">
        <f>(F189-((C189*(Main!$G$41/100))+(E189*(Main!$G$31/100))+(I189*(Main!$G$46/100))+(K189*(Main!$G$51/100))))/$G$6</f>
        <v>8.333333333333334</v>
      </c>
      <c r="H189">
        <f>'Req. Diario'!G188</f>
        <v>0.8557544830560249</v>
      </c>
      <c r="I189">
        <f>H189/$I$6</f>
        <v>5.348465519100155</v>
      </c>
      <c r="J189">
        <f>'Req. Diario'!H188</f>
        <v>2.9766350000000004</v>
      </c>
      <c r="K189">
        <f>J189/$K$6</f>
        <v>0.00029766350000000005</v>
      </c>
      <c r="L189">
        <f>'Req. Diario'!I188</f>
        <v>35.6483</v>
      </c>
      <c r="M189">
        <f>L189/$M$6</f>
        <v>173.89414634146343</v>
      </c>
    </row>
    <row r="190">
      <c r="B190">
        <f>'Req. Diario'!D189</f>
        <v>3.6697247706422016</v>
      </c>
      <c r="C190">
        <f>(B190-((E190*(Main!$E$31/100))+(G190*(Main!$E$36/100))+(I190*(Main!$E$46/100))+(K190*(Main!$E$51/100))))/$C$6</f>
        <v>6.766622131695847</v>
      </c>
      <c r="D190">
        <f>'Req. Diario'!E189</f>
        <v>1.4236452857142858</v>
      </c>
      <c r="E190">
        <f>(D190-((C190*(Main!$F$41/100))+(G190*(Main!$F$36/100))+(I190*(Main!$F$46/100))+(K190*(Main!$F$51/100))))/$E$6</f>
        <v>3.0948810559006215</v>
      </c>
      <c r="F190">
        <f>'Req. Diario'!F189</f>
        <v>5</v>
      </c>
      <c r="G190">
        <f>(F190-((C190*(Main!$G$41/100))+(E190*(Main!$G$31/100))+(I190*(Main!$G$46/100))+(K190*(Main!$G$51/100))))/$G$6</f>
        <v>8.333333333333334</v>
      </c>
      <c r="H190">
        <f>'Req. Diario'!G189</f>
        <v>0.8557544830560249</v>
      </c>
      <c r="I190">
        <f>H190/$I$6</f>
        <v>5.348465519100155</v>
      </c>
      <c r="J190">
        <f>'Req. Diario'!H189</f>
        <v>2.9766350000000004</v>
      </c>
      <c r="K190">
        <f>J190/$K$6</f>
        <v>0.00029766350000000005</v>
      </c>
      <c r="L190">
        <f>'Req. Diario'!I189</f>
        <v>35.6483</v>
      </c>
      <c r="M190">
        <f>L190/$M$6</f>
        <v>173.89414634146343</v>
      </c>
    </row>
    <row r="191">
      <c r="B191">
        <f>'Req. Diario'!D190</f>
        <v>3.6697247706422016</v>
      </c>
      <c r="C191">
        <f>(B191-((E191*(Main!$E$31/100))+(G191*(Main!$E$36/100))+(I191*(Main!$E$46/100))+(K191*(Main!$E$51/100))))/$C$6</f>
        <v>6.766622131695847</v>
      </c>
      <c r="D191">
        <f>'Req. Diario'!E190</f>
        <v>1.4236452857142858</v>
      </c>
      <c r="E191">
        <f>(D191-((C191*(Main!$F$41/100))+(G191*(Main!$F$36/100))+(I191*(Main!$F$46/100))+(K191*(Main!$F$51/100))))/$E$6</f>
        <v>3.0948810559006215</v>
      </c>
      <c r="F191">
        <f>'Req. Diario'!F190</f>
        <v>5</v>
      </c>
      <c r="G191">
        <f>(F191-((C191*(Main!$G$41/100))+(E191*(Main!$G$31/100))+(I191*(Main!$G$46/100))+(K191*(Main!$G$51/100))))/$G$6</f>
        <v>8.333333333333334</v>
      </c>
      <c r="H191">
        <f>'Req. Diario'!G190</f>
        <v>0.8557544830560249</v>
      </c>
      <c r="I191">
        <f>H191/$I$6</f>
        <v>5.348465519100155</v>
      </c>
      <c r="J191">
        <f>'Req. Diario'!H190</f>
        <v>2.9766350000000004</v>
      </c>
      <c r="K191">
        <f>J191/$K$6</f>
        <v>0.00029766350000000005</v>
      </c>
      <c r="L191">
        <f>'Req. Diario'!I190</f>
        <v>35.6483</v>
      </c>
      <c r="M191">
        <f>L191/$M$6</f>
        <v>173.89414634146343</v>
      </c>
    </row>
    <row r="192">
      <c r="B192">
        <f>'Req. Diario'!D191</f>
        <v>3.6697247706422016</v>
      </c>
      <c r="C192">
        <f>(B192-((E192*(Main!$E$31/100))+(G192*(Main!$E$36/100))+(I192*(Main!$E$46/100))+(K192*(Main!$E$51/100))))/$C$6</f>
        <v>6.766622131695847</v>
      </c>
      <c r="D192">
        <f>'Req. Diario'!E191</f>
        <v>1.4236452857142858</v>
      </c>
      <c r="E192">
        <f>(D192-((C192*(Main!$F$41/100))+(G192*(Main!$F$36/100))+(I192*(Main!$F$46/100))+(K192*(Main!$F$51/100))))/$E$6</f>
        <v>3.0948810559006215</v>
      </c>
      <c r="F192">
        <f>'Req. Diario'!F191</f>
        <v>5</v>
      </c>
      <c r="G192">
        <f>(F192-((C192*(Main!$G$41/100))+(E192*(Main!$G$31/100))+(I192*(Main!$G$46/100))+(K192*(Main!$G$51/100))))/$G$6</f>
        <v>8.333333333333334</v>
      </c>
      <c r="H192">
        <f>'Req. Diario'!G191</f>
        <v>0.8557544830560249</v>
      </c>
      <c r="I192">
        <f>H192/$I$6</f>
        <v>5.348465519100155</v>
      </c>
      <c r="J192">
        <f>'Req. Diario'!H191</f>
        <v>2.9766350000000004</v>
      </c>
      <c r="K192">
        <f>J192/$K$6</f>
        <v>0.00029766350000000005</v>
      </c>
      <c r="L192">
        <f>'Req. Diario'!I191</f>
        <v>35.6483</v>
      </c>
      <c r="M192">
        <f>L192/$M$6</f>
        <v>173.89414634146343</v>
      </c>
    </row>
    <row r="193">
      <c r="B193">
        <f>'Req. Diario'!D192</f>
        <v>3.6697247706422016</v>
      </c>
      <c r="C193">
        <f>(B193-((E193*(Main!$E$31/100))+(G193*(Main!$E$36/100))+(I193*(Main!$E$46/100))+(K193*(Main!$E$51/100))))/$C$6</f>
        <v>6.766622131695847</v>
      </c>
      <c r="D193">
        <f>'Req. Diario'!E192</f>
        <v>1.4236452857142858</v>
      </c>
      <c r="E193">
        <f>(D193-((C193*(Main!$F$41/100))+(G193*(Main!$F$36/100))+(I193*(Main!$F$46/100))+(K193*(Main!$F$51/100))))/$E$6</f>
        <v>3.0948810559006215</v>
      </c>
      <c r="F193">
        <f>'Req. Diario'!F192</f>
        <v>5</v>
      </c>
      <c r="G193">
        <f>(F193-((C193*(Main!$G$41/100))+(E193*(Main!$G$31/100))+(I193*(Main!$G$46/100))+(K193*(Main!$G$51/100))))/$G$6</f>
        <v>8.333333333333334</v>
      </c>
      <c r="H193">
        <f>'Req. Diario'!G192</f>
        <v>0.8557544830560249</v>
      </c>
      <c r="I193">
        <f>H193/$I$6</f>
        <v>5.348465519100155</v>
      </c>
      <c r="J193">
        <f>'Req. Diario'!H192</f>
        <v>2.9766350000000004</v>
      </c>
      <c r="K193">
        <f>J193/$K$6</f>
        <v>0.00029766350000000005</v>
      </c>
      <c r="L193">
        <f>'Req. Diario'!I192</f>
        <v>35.6483</v>
      </c>
      <c r="M193">
        <f>L193/$M$6</f>
        <v>173.89414634146343</v>
      </c>
    </row>
    <row r="194">
      <c r="B194">
        <f>'Req. Diario'!D193</f>
        <v>3.6697247706422016</v>
      </c>
      <c r="C194">
        <f>(B194-((E194*(Main!$E$31/100))+(G194*(Main!$E$36/100))+(I194*(Main!$E$46/100))+(K194*(Main!$E$51/100))))/$C$6</f>
        <v>6.766622131695847</v>
      </c>
      <c r="D194">
        <f>'Req. Diario'!E193</f>
        <v>1.4236452857142858</v>
      </c>
      <c r="E194">
        <f>(D194-((C194*(Main!$F$41/100))+(G194*(Main!$F$36/100))+(I194*(Main!$F$46/100))+(K194*(Main!$F$51/100))))/$E$6</f>
        <v>3.0948810559006215</v>
      </c>
      <c r="F194">
        <f>'Req. Diario'!F193</f>
        <v>5</v>
      </c>
      <c r="G194">
        <f>(F194-((C194*(Main!$G$41/100))+(E194*(Main!$G$31/100))+(I194*(Main!$G$46/100))+(K194*(Main!$G$51/100))))/$G$6</f>
        <v>8.333333333333334</v>
      </c>
      <c r="H194">
        <f>'Req. Diario'!G193</f>
        <v>0.8557544830560249</v>
      </c>
      <c r="I194">
        <f>H194/$I$6</f>
        <v>5.348465519100155</v>
      </c>
      <c r="J194">
        <f>'Req. Diario'!H193</f>
        <v>2.9766350000000004</v>
      </c>
      <c r="K194">
        <f>J194/$K$6</f>
        <v>0.00029766350000000005</v>
      </c>
      <c r="L194">
        <f>'Req. Diario'!I193</f>
        <v>35.6483</v>
      </c>
      <c r="M194">
        <f>L194/$M$6</f>
        <v>173.89414634146343</v>
      </c>
    </row>
    <row r="195">
      <c r="B195">
        <f>'Req. Diario'!D194</f>
        <v>3.6697247706422016</v>
      </c>
      <c r="C195">
        <f>(B195-((E195*(Main!$E$31/100))+(G195*(Main!$E$36/100))+(I195*(Main!$E$46/100))+(K195*(Main!$E$51/100))))/$C$6</f>
        <v>6.766622131695847</v>
      </c>
      <c r="D195">
        <f>'Req. Diario'!E194</f>
        <v>1.4236452857142858</v>
      </c>
      <c r="E195">
        <f>(D195-((C195*(Main!$F$41/100))+(G195*(Main!$F$36/100))+(I195*(Main!$F$46/100))+(K195*(Main!$F$51/100))))/$E$6</f>
        <v>3.0948810559006215</v>
      </c>
      <c r="F195">
        <f>'Req. Diario'!F194</f>
        <v>5</v>
      </c>
      <c r="G195">
        <f>(F195-((C195*(Main!$G$41/100))+(E195*(Main!$G$31/100))+(I195*(Main!$G$46/100))+(K195*(Main!$G$51/100))))/$G$6</f>
        <v>8.333333333333334</v>
      </c>
      <c r="H195">
        <f>'Req. Diario'!G194</f>
        <v>0.8557544830560249</v>
      </c>
      <c r="I195">
        <f>H195/$I$6</f>
        <v>5.348465519100155</v>
      </c>
      <c r="J195">
        <f>'Req. Diario'!H194</f>
        <v>2.9766350000000004</v>
      </c>
      <c r="K195">
        <f>J195/$K$6</f>
        <v>0.00029766350000000005</v>
      </c>
      <c r="L195">
        <f>'Req. Diario'!I194</f>
        <v>35.6483</v>
      </c>
      <c r="M195">
        <f>L195/$M$6</f>
        <v>173.89414634146343</v>
      </c>
    </row>
    <row r="197">
      <c r="B197">
        <f>SUM(B6:B195)</f>
        <v>716.6366512986655</v>
      </c>
      <c r="C197">
        <f>SUM(C6:C195)</f>
        <v>1354.9109742787616</v>
      </c>
      <c r="D197">
        <f>SUM(D6:D195)</f>
        <v>239.17240800000008</v>
      </c>
      <c r="E197">
        <f>SUM(E6:E195)</f>
        <v>520.4000173913031</v>
      </c>
      <c r="F197">
        <f>SUM(F6:F195)</f>
        <v>921.7325274071602</v>
      </c>
      <c r="G197">
        <f>SUM(G6:G195)</f>
        <v>1536.8208790119304</v>
      </c>
      <c r="H197">
        <f>SUM(H6:H195)</f>
        <v>157.7553485014478</v>
      </c>
      <c r="I197">
        <f>SUM(I6:I195)</f>
        <v>986.1309281340473</v>
      </c>
      <c r="J197">
        <f>SUM(J6:J195)</f>
        <v>548.7322603437209</v>
      </c>
      <c r="K197">
        <f>SUM(K6:K195)</f>
        <v>10000.054873226123</v>
      </c>
      <c r="L197">
        <f>SUM(L6:L195)</f>
        <v>5326.8736999999865</v>
      </c>
      <c r="M197">
        <f>SUM(M6:M195)</f>
        <v>25984.954756097522</v>
      </c>
    </row>
  </sheetData>
  <sheetProtection sheet="1"/>
  <mergeCells count="1">
    <mergeCell ref="E1:J1"/>
  </mergeCells>
  <pageMargins left="0.42" right="0.75" top="0.44" bottom="0.39" header="0.25" footer="0.25"/>
  <ignoredErrors>
    <ignoredError numberStoredAsText="1" sqref="A1:Q197"/>
  </ignoredErrors>
</worksheet>
</file>

<file path=xl/worksheets/sheet10.xml><?xml version="1.0" encoding="utf-8"?>
<worksheet xmlns="http://schemas.openxmlformats.org/spreadsheetml/2006/main" xmlns:r="http://schemas.openxmlformats.org/officeDocument/2006/relationships">
  <dimension ref="A1:T195"/>
  <sheetViews>
    <sheetView workbookViewId="0" rightToLeft="0"/>
  </sheetViews>
  <sheetData>
    <row r="1">
      <c r="A1" t="str">
        <v>Requerimientos Diarios para:</v>
      </c>
      <c r="H1" t="str">
        <f>Main!E21</f>
        <v>Cunde</v>
      </c>
    </row>
    <row r="2">
      <c r="A2" t="str">
        <v>Esta tabla es de libras por hectárea por Día</v>
      </c>
    </row>
    <row r="3" ht="15.6" customHeight="1">
      <c r="A3" t="str">
        <f>Main!C13</f>
        <v>"Sin Fertilización Base"</v>
      </c>
    </row>
    <row r="4" ht="43.95000000000001" customHeight="1">
      <c r="A4" t="str">
        <v>Fase</v>
      </c>
      <c r="B4" t="str">
        <v>Día Después Siembra</v>
      </c>
      <c r="C4" t="str">
        <v>Semana</v>
      </c>
      <c r="D4" t="str">
        <v>N</v>
      </c>
      <c r="E4" t="str">
        <v>P2O5</v>
      </c>
      <c r="F4" t="str">
        <v>K20</v>
      </c>
      <c r="G4" t="str">
        <v>MgO</v>
      </c>
      <c r="H4" t="str">
        <v>Ca</v>
      </c>
      <c r="I4" t="str">
        <v>B Gramos/Ha</v>
      </c>
      <c r="J4" t="str">
        <v>Relación N:K N/(K2O/3.36)</v>
      </c>
      <c r="K4" t="str">
        <v>Relación Ca:Mg (1:0.5) (CaO/1.39)/MgO</v>
      </c>
      <c r="L4" t="str">
        <v>Relación K:Ca (1:1)     (CaO/1.19)/K2O</v>
      </c>
    </row>
    <row r="5">
      <c r="A5" t="str">
        <v>Ion que Adsorbe la Planta</v>
      </c>
      <c r="D5" t="str">
        <v>NO3-  NH4+</v>
      </c>
      <c r="E5" t="str">
        <v>H2PO4+ HPO4-2</v>
      </c>
      <c r="F5" t="str">
        <v>K+</v>
      </c>
      <c r="G5" t="str">
        <v>Mg+2</v>
      </c>
      <c r="H5" t="str">
        <v>Ca+2</v>
      </c>
      <c r="I5" t="str">
        <v>H3BO3</v>
      </c>
      <c r="J5" t="str">
        <v>Esta relación depende del cultivo y estado</v>
      </c>
      <c r="K5">
        <v>0.4</v>
      </c>
      <c r="L5">
        <v>0.5</v>
      </c>
    </row>
    <row r="6">
      <c r="B6">
        <v>1</v>
      </c>
      <c r="C6">
        <v>1</v>
      </c>
      <c r="D6">
        <v>2.3</v>
      </c>
      <c r="E6">
        <v>0.9490968571428572</v>
      </c>
      <c r="F6">
        <v>2.5942908940000002</v>
      </c>
      <c r="G6">
        <f>(H6/1.39135)*$K$5</f>
        <v>0.4440152125783845</v>
      </c>
      <c r="H6">
        <f>(F6*1.190654)*$L$5</f>
        <v>1.5444514150523383</v>
      </c>
      <c r="I6">
        <v>5.0926</v>
      </c>
      <c r="J6">
        <f>D6/(F6/3.362524)</f>
        <v>2.981086360780326</v>
      </c>
      <c r="K6">
        <f>G6/(H6/1.39135)</f>
        <v>0.4</v>
      </c>
      <c r="L6">
        <f>(H6/1.190654)/F6</f>
        <v>0.5</v>
      </c>
    </row>
    <row r="7">
      <c r="B7">
        <v>2</v>
      </c>
      <c r="C7">
        <v>1</v>
      </c>
      <c r="D7">
        <v>2.3</v>
      </c>
      <c r="E7">
        <v>0.9490968571428572</v>
      </c>
      <c r="F7">
        <v>2.5942908940000002</v>
      </c>
      <c r="G7">
        <f>(H7/1.39135)*$K$5</f>
        <v>0.4440152125783845</v>
      </c>
      <c r="H7">
        <f>(F7*1.190654)*$L$5</f>
        <v>1.5444514150523383</v>
      </c>
      <c r="I7">
        <v>5.0926</v>
      </c>
      <c r="J7">
        <f>D7/(F7/3.362524)</f>
        <v>2.981086360780326</v>
      </c>
      <c r="K7">
        <f>G7/(H7/1.39135)</f>
        <v>0.4</v>
      </c>
      <c r="L7">
        <f>(H7/1.190654)/F7</f>
        <v>0.5</v>
      </c>
    </row>
    <row r="8">
      <c r="B8">
        <v>3</v>
      </c>
      <c r="C8">
        <v>1</v>
      </c>
      <c r="D8">
        <v>2.3</v>
      </c>
      <c r="E8">
        <v>0.9490968571428572</v>
      </c>
      <c r="F8">
        <v>2.5942908940000002</v>
      </c>
      <c r="G8">
        <f>(H8/1.39135)*$K$5</f>
        <v>0.4440152125783845</v>
      </c>
      <c r="H8">
        <f>(F8*1.190654)*$L$5</f>
        <v>1.5444514150523383</v>
      </c>
      <c r="I8">
        <v>5.0926</v>
      </c>
      <c r="J8">
        <f>D8/(F8/3.362524)</f>
        <v>2.981086360780326</v>
      </c>
      <c r="K8">
        <f>G8/(H8/1.39135)</f>
        <v>0.4</v>
      </c>
      <c r="L8">
        <f>(H8/1.190654)/F8</f>
        <v>0.5</v>
      </c>
    </row>
    <row r="9">
      <c r="B9">
        <v>4</v>
      </c>
      <c r="C9">
        <v>1</v>
      </c>
      <c r="D9">
        <v>2.3</v>
      </c>
      <c r="E9">
        <v>0.9490968571428572</v>
      </c>
      <c r="F9">
        <v>2.5942908940000002</v>
      </c>
      <c r="G9">
        <f>(H9/1.39135)*$K$5</f>
        <v>0.4440152125783845</v>
      </c>
      <c r="H9">
        <f>(F9*1.190654)*$L$5</f>
        <v>1.5444514150523383</v>
      </c>
      <c r="I9">
        <v>5.0926</v>
      </c>
      <c r="J9">
        <f>D9/(F9/3.362524)</f>
        <v>2.981086360780326</v>
      </c>
      <c r="K9">
        <f>G9/(H9/1.39135)</f>
        <v>0.4</v>
      </c>
      <c r="L9">
        <f>(H9/1.190654)/F9</f>
        <v>0.5</v>
      </c>
    </row>
    <row r="10">
      <c r="B10">
        <v>5</v>
      </c>
      <c r="C10">
        <v>1</v>
      </c>
      <c r="D10">
        <v>2.3</v>
      </c>
      <c r="E10">
        <v>0.9490968571428572</v>
      </c>
      <c r="F10">
        <v>2.5942908940000002</v>
      </c>
      <c r="G10">
        <f>(H10/1.39135)*$K$5</f>
        <v>0.4440152125783845</v>
      </c>
      <c r="H10">
        <f>(F10*1.190654)*$L$5</f>
        <v>1.5444514150523383</v>
      </c>
      <c r="I10">
        <v>5.0926</v>
      </c>
      <c r="J10">
        <f>D10/(F10/3.362524)</f>
        <v>2.981086360780326</v>
      </c>
      <c r="K10">
        <f>G10/(H10/1.39135)</f>
        <v>0.4</v>
      </c>
      <c r="L10">
        <f>(H10/1.190654)/F10</f>
        <v>0.5</v>
      </c>
    </row>
    <row r="11">
      <c r="B11">
        <v>6</v>
      </c>
      <c r="C11">
        <v>1</v>
      </c>
      <c r="D11">
        <v>2.3</v>
      </c>
      <c r="E11">
        <v>0.9490968571428572</v>
      </c>
      <c r="F11">
        <v>2.5942908940000002</v>
      </c>
      <c r="G11">
        <f>(H11/1.39135)*$K$5</f>
        <v>0.4440152125783845</v>
      </c>
      <c r="H11">
        <f>(F11*1.190654)*$L$5</f>
        <v>1.5444514150523383</v>
      </c>
      <c r="I11">
        <v>5.0926</v>
      </c>
      <c r="J11">
        <f>D11/(F11/3.362524)</f>
        <v>2.981086360780326</v>
      </c>
      <c r="K11">
        <f>G11/(H11/1.39135)</f>
        <v>0.4</v>
      </c>
      <c r="L11">
        <f>(H11/1.190654)/F11</f>
        <v>0.5</v>
      </c>
    </row>
    <row r="12">
      <c r="B12">
        <v>7</v>
      </c>
      <c r="C12">
        <v>1</v>
      </c>
      <c r="D12">
        <v>2.3</v>
      </c>
      <c r="E12">
        <v>0.9490968571428572</v>
      </c>
      <c r="F12">
        <v>2.5942908940000002</v>
      </c>
      <c r="G12">
        <f>(H12/1.39135)*$K$5</f>
        <v>0.4440152125783845</v>
      </c>
      <c r="H12">
        <f>(F12*1.190654)*$L$5</f>
        <v>1.5444514150523383</v>
      </c>
      <c r="I12">
        <v>5.0926</v>
      </c>
      <c r="J12">
        <f>D12/(F12/3.362524)</f>
        <v>2.981086360780326</v>
      </c>
      <c r="K12">
        <f>G12/(H12/1.39135)</f>
        <v>0.4</v>
      </c>
      <c r="L12">
        <f>(H12/1.190654)/F12</f>
        <v>0.5</v>
      </c>
    </row>
    <row r="13">
      <c r="B13">
        <v>8</v>
      </c>
      <c r="C13">
        <v>2</v>
      </c>
      <c r="D13">
        <v>3.4518660953406726</v>
      </c>
      <c r="E13">
        <v>0.9490968571428572</v>
      </c>
      <c r="F13">
        <v>3.89227659716</v>
      </c>
      <c r="G13">
        <f>(H13/1.39135)*$K$5</f>
        <v>0.6661666294627437</v>
      </c>
      <c r="H13">
        <f>(F13*1.190654)*$L$5</f>
        <v>2.3171773497574715</v>
      </c>
      <c r="I13">
        <v>5.0926</v>
      </c>
      <c r="J13">
        <f>D13/(F13/3.362524)</f>
        <v>2.9820549235474005</v>
      </c>
      <c r="K13">
        <f>G13/(H13/1.39135)</f>
        <v>0.4</v>
      </c>
      <c r="L13">
        <f>(H13/1.190654)/F13</f>
        <v>0.5</v>
      </c>
    </row>
    <row r="14">
      <c r="B14">
        <v>9</v>
      </c>
      <c r="C14">
        <v>2</v>
      </c>
      <c r="D14">
        <v>3.4518660953406726</v>
      </c>
      <c r="E14">
        <v>0.9490968571428572</v>
      </c>
      <c r="F14">
        <v>3.89227659716</v>
      </c>
      <c r="G14">
        <f>(H14/1.39135)*$K$5</f>
        <v>0.6661666294627437</v>
      </c>
      <c r="H14">
        <f>(F14*1.190654)*$L$5</f>
        <v>2.3171773497574715</v>
      </c>
      <c r="I14">
        <v>5.0926</v>
      </c>
      <c r="J14">
        <f>D14/(F14/3.362524)</f>
        <v>2.9820549235474005</v>
      </c>
      <c r="K14">
        <f>G14/(H14/1.39135)</f>
        <v>0.4</v>
      </c>
      <c r="L14">
        <f>(H14/1.190654)/F14</f>
        <v>0.5</v>
      </c>
    </row>
    <row r="15">
      <c r="B15">
        <v>10</v>
      </c>
      <c r="C15">
        <v>2</v>
      </c>
      <c r="D15">
        <v>3.4518660953406726</v>
      </c>
      <c r="E15">
        <v>0.9490968571428572</v>
      </c>
      <c r="F15">
        <v>3.89227659716</v>
      </c>
      <c r="G15">
        <f>(H15/1.39135)*$K$5</f>
        <v>0.6661666294627437</v>
      </c>
      <c r="H15">
        <f>(F15*1.190654)*$L$5</f>
        <v>2.3171773497574715</v>
      </c>
      <c r="I15">
        <v>5.0926</v>
      </c>
      <c r="J15">
        <f>D15/(F15/3.362524)</f>
        <v>2.9820549235474005</v>
      </c>
      <c r="K15">
        <f>G15/(H15/1.39135)</f>
        <v>0.4</v>
      </c>
      <c r="L15">
        <f>(H15/1.190654)/F15</f>
        <v>0.5</v>
      </c>
    </row>
    <row r="16">
      <c r="B16">
        <v>11</v>
      </c>
      <c r="C16">
        <v>2</v>
      </c>
      <c r="D16">
        <v>3.4518660953406726</v>
      </c>
      <c r="E16">
        <v>0.9490968571428572</v>
      </c>
      <c r="F16">
        <v>3.89227659716</v>
      </c>
      <c r="G16">
        <f>(H16/1.39135)*$K$5</f>
        <v>0.6661666294627437</v>
      </c>
      <c r="H16">
        <f>(F16*1.190654)*$L$5</f>
        <v>2.3171773497574715</v>
      </c>
      <c r="I16">
        <v>9.1667</v>
      </c>
      <c r="J16">
        <f>D16/(F16/3.362524)</f>
        <v>2.9820549235474005</v>
      </c>
      <c r="K16">
        <f>G16/(H16/1.39135)</f>
        <v>0.4</v>
      </c>
      <c r="L16">
        <f>(H16/1.190654)/F16</f>
        <v>0.5</v>
      </c>
    </row>
    <row r="17">
      <c r="B17">
        <v>12</v>
      </c>
      <c r="C17">
        <v>2</v>
      </c>
      <c r="D17">
        <v>3.4518660953406726</v>
      </c>
      <c r="E17">
        <v>0.9490968571428572</v>
      </c>
      <c r="F17">
        <v>3.89227659716</v>
      </c>
      <c r="G17">
        <f>(H17/1.39135)*$K$5</f>
        <v>0.6661666294627437</v>
      </c>
      <c r="H17">
        <f>(F17*1.190654)*$L$5</f>
        <v>2.3171773497574715</v>
      </c>
      <c r="I17">
        <v>9.1667</v>
      </c>
      <c r="J17">
        <f>D17/(F17/3.362524)</f>
        <v>2.9820549235474005</v>
      </c>
      <c r="K17">
        <f>G17/(H17/1.39135)</f>
        <v>0.4</v>
      </c>
      <c r="L17">
        <f>(H17/1.190654)/F17</f>
        <v>0.5</v>
      </c>
    </row>
    <row r="18">
      <c r="B18">
        <v>13</v>
      </c>
      <c r="C18">
        <v>2</v>
      </c>
      <c r="D18">
        <v>3.4518660953406726</v>
      </c>
      <c r="E18">
        <v>0.9490968571428572</v>
      </c>
      <c r="F18">
        <v>3.89227659716</v>
      </c>
      <c r="G18">
        <f>(H18/1.39135)*$K$5</f>
        <v>0.6661666294627437</v>
      </c>
      <c r="H18">
        <f>(F18*1.190654)*$L$5</f>
        <v>2.3171773497574715</v>
      </c>
      <c r="I18">
        <v>9.1667</v>
      </c>
      <c r="J18">
        <f>D18/(F18/3.362524)</f>
        <v>2.9820549235474005</v>
      </c>
      <c r="K18">
        <f>G18/(H18/1.39135)</f>
        <v>0.4</v>
      </c>
      <c r="L18">
        <f>(H18/1.190654)/F18</f>
        <v>0.5</v>
      </c>
    </row>
    <row r="19">
      <c r="B19">
        <v>14</v>
      </c>
      <c r="C19">
        <v>2</v>
      </c>
      <c r="D19">
        <v>3.4518660953406726</v>
      </c>
      <c r="E19">
        <v>0.9490968571428572</v>
      </c>
      <c r="F19">
        <v>3.89227659716</v>
      </c>
      <c r="G19">
        <f>(H19/1.39135)*$K$5</f>
        <v>0.6661666294627437</v>
      </c>
      <c r="H19">
        <f>(F19*1.190654)*$L$5</f>
        <v>2.3171773497574715</v>
      </c>
      <c r="I19">
        <v>9.1667</v>
      </c>
      <c r="J19">
        <f>D19/(F19/3.362524)</f>
        <v>2.9820549235474005</v>
      </c>
      <c r="K19">
        <f>G19/(H19/1.39135)</f>
        <v>0.4</v>
      </c>
      <c r="L19">
        <f>(H19/1.190654)/F19</f>
        <v>0.5</v>
      </c>
    </row>
    <row r="20">
      <c r="B20">
        <v>15</v>
      </c>
      <c r="C20">
        <v>3</v>
      </c>
      <c r="D20">
        <v>3.4518660953406726</v>
      </c>
      <c r="E20">
        <v>0.9490968571428572</v>
      </c>
      <c r="F20">
        <v>3.89227659716</v>
      </c>
      <c r="G20">
        <f>(H20/1.39135)*$K$5</f>
        <v>0.6661666294627437</v>
      </c>
      <c r="H20">
        <f>(F20*1.190654)*$L$5</f>
        <v>2.3171773497574715</v>
      </c>
      <c r="I20">
        <v>9.1667</v>
      </c>
      <c r="J20">
        <f>D20/(F20/3.362524)</f>
        <v>2.9820549235474005</v>
      </c>
      <c r="K20">
        <f>G20/(H20/1.39135)</f>
        <v>0.4</v>
      </c>
      <c r="L20">
        <f>(H20/1.190654)/F20</f>
        <v>0.5</v>
      </c>
    </row>
    <row r="21">
      <c r="B21">
        <v>16</v>
      </c>
      <c r="C21">
        <v>3</v>
      </c>
      <c r="D21">
        <v>3.4518660953406726</v>
      </c>
      <c r="E21">
        <v>0.9490968571428572</v>
      </c>
      <c r="F21">
        <v>3.89227659716</v>
      </c>
      <c r="G21">
        <f>(H21/1.39135)*$K$5</f>
        <v>0.6661666294627437</v>
      </c>
      <c r="H21">
        <f>(F21*1.190654)*$L$5</f>
        <v>2.3171773497574715</v>
      </c>
      <c r="I21">
        <v>9.1667</v>
      </c>
      <c r="J21">
        <f>D21/(F21/3.362524)</f>
        <v>2.9820549235474005</v>
      </c>
      <c r="K21">
        <f>G21/(H21/1.39135)</f>
        <v>0.4</v>
      </c>
      <c r="L21">
        <f>(H21/1.190654)/F21</f>
        <v>0.5</v>
      </c>
    </row>
    <row r="22">
      <c r="B22">
        <v>17</v>
      </c>
      <c r="C22">
        <v>3</v>
      </c>
      <c r="D22">
        <v>3.4518660953406726</v>
      </c>
      <c r="E22">
        <v>0.9490968571428572</v>
      </c>
      <c r="F22">
        <v>3.89227659716</v>
      </c>
      <c r="G22">
        <f>(H22/1.39135)*$K$5</f>
        <v>0.6661666294627437</v>
      </c>
      <c r="H22">
        <f>(F22*1.190654)*$L$5</f>
        <v>2.3171773497574715</v>
      </c>
      <c r="I22">
        <v>9.1667</v>
      </c>
      <c r="J22">
        <f>D22/(F22/3.362524)</f>
        <v>2.9820549235474005</v>
      </c>
      <c r="K22">
        <f>G22/(H22/1.39135)</f>
        <v>0.4</v>
      </c>
      <c r="L22">
        <f>(H22/1.190654)/F22</f>
        <v>0.5</v>
      </c>
    </row>
    <row r="23">
      <c r="B23">
        <v>18</v>
      </c>
      <c r="C23">
        <v>3</v>
      </c>
      <c r="D23">
        <v>3.4518660953406726</v>
      </c>
      <c r="E23">
        <v>0.9490968571428572</v>
      </c>
      <c r="F23">
        <v>3.89227659716</v>
      </c>
      <c r="G23">
        <f>(H23/1.39135)*$K$5</f>
        <v>0.6661666294627437</v>
      </c>
      <c r="H23">
        <f>(F23*1.190654)*$L$5</f>
        <v>2.3171773497574715</v>
      </c>
      <c r="I23">
        <v>12.2222</v>
      </c>
      <c r="J23">
        <f>D23/(F23/3.362524)</f>
        <v>2.9820549235474005</v>
      </c>
      <c r="K23">
        <f>G23/(H23/1.39135)</f>
        <v>0.4</v>
      </c>
      <c r="L23">
        <f>(H23/1.190654)/F23</f>
        <v>0.5</v>
      </c>
    </row>
    <row r="24">
      <c r="B24">
        <v>19</v>
      </c>
      <c r="C24">
        <v>3</v>
      </c>
      <c r="D24">
        <v>3.4518660953406726</v>
      </c>
      <c r="E24">
        <v>0.9490968571428572</v>
      </c>
      <c r="F24">
        <v>3.89227659716</v>
      </c>
      <c r="G24">
        <f>(H24/1.39135)*$K$5</f>
        <v>0.6661666294627437</v>
      </c>
      <c r="H24">
        <f>(F24*1.190654)*$L$5</f>
        <v>2.3171773497574715</v>
      </c>
      <c r="I24">
        <v>12.2222</v>
      </c>
      <c r="J24">
        <f>D24/(F24/3.362524)</f>
        <v>2.9820549235474005</v>
      </c>
      <c r="K24">
        <f>G24/(H24/1.39135)</f>
        <v>0.4</v>
      </c>
      <c r="L24">
        <f>(H24/1.190654)/F24</f>
        <v>0.5</v>
      </c>
    </row>
    <row r="25">
      <c r="B25">
        <v>20</v>
      </c>
      <c r="C25">
        <v>3</v>
      </c>
      <c r="D25">
        <v>3.4518660953406726</v>
      </c>
      <c r="E25">
        <v>0.9490968571428572</v>
      </c>
      <c r="F25">
        <v>3.89227659716</v>
      </c>
      <c r="G25">
        <f>(H25/1.39135)*$K$5</f>
        <v>0.6661666294627437</v>
      </c>
      <c r="H25">
        <f>(F25*1.190654)*$L$5</f>
        <v>2.3171773497574715</v>
      </c>
      <c r="I25">
        <v>12.2222</v>
      </c>
      <c r="J25">
        <f>D25/(F25/3.362524)</f>
        <v>2.9820549235474005</v>
      </c>
      <c r="K25">
        <f>G25/(H25/1.39135)</f>
        <v>0.4</v>
      </c>
      <c r="L25">
        <f>(H25/1.190654)/F25</f>
        <v>0.5</v>
      </c>
    </row>
    <row r="26">
      <c r="B26">
        <v>21</v>
      </c>
      <c r="C26">
        <v>3</v>
      </c>
      <c r="D26">
        <v>3.4518660953406726</v>
      </c>
      <c r="E26">
        <v>0.9490968571428572</v>
      </c>
      <c r="F26">
        <v>3.89227659716</v>
      </c>
      <c r="G26">
        <f>(H26/1.39135)*$K$5</f>
        <v>0.6661666294627437</v>
      </c>
      <c r="H26">
        <f>(F26*1.190654)*$L$5</f>
        <v>2.3171773497574715</v>
      </c>
      <c r="I26">
        <v>12.2222</v>
      </c>
      <c r="J26">
        <f>D26/(F26/3.362524)</f>
        <v>2.9820549235474005</v>
      </c>
      <c r="K26">
        <f>G26/(H26/1.39135)</f>
        <v>0.4</v>
      </c>
      <c r="L26">
        <f>(H26/1.190654)/F26</f>
        <v>0.5</v>
      </c>
    </row>
    <row r="27">
      <c r="B27">
        <v>22</v>
      </c>
      <c r="C27">
        <v>4</v>
      </c>
      <c r="D27">
        <v>4.625992387417126</v>
      </c>
      <c r="E27">
        <v>0.9490968571428572</v>
      </c>
      <c r="F27">
        <v>5.216205209260001</v>
      </c>
      <c r="G27">
        <f>(H27/1.39135)*$K$5</f>
        <v>0.8927581984728872</v>
      </c>
      <c r="H27">
        <f>(F27*1.190654)*$L$5</f>
        <v>3.1053477986131286</v>
      </c>
      <c r="I27">
        <v>12.2222</v>
      </c>
      <c r="J27">
        <f>D27/(F27/3.362524)</f>
        <v>2.9820549235474005</v>
      </c>
      <c r="K27">
        <f>G27/(H27/1.39135)</f>
        <v>0.4</v>
      </c>
      <c r="L27">
        <f>(H27/1.190654)/F27</f>
        <v>0.5</v>
      </c>
    </row>
    <row r="28">
      <c r="B28">
        <v>23</v>
      </c>
      <c r="C28">
        <v>4</v>
      </c>
      <c r="D28">
        <v>4.625992387417126</v>
      </c>
      <c r="E28">
        <v>0.9490968571428572</v>
      </c>
      <c r="F28">
        <v>5.216205209260001</v>
      </c>
      <c r="G28">
        <f>(H28/1.39135)*$K$5</f>
        <v>0.8927581984728872</v>
      </c>
      <c r="H28">
        <f>(F28*1.190654)*$L$5</f>
        <v>3.1053477986131286</v>
      </c>
      <c r="I28">
        <v>12.2222</v>
      </c>
      <c r="J28">
        <f>D28/(F28/3.362524)</f>
        <v>2.9820549235474005</v>
      </c>
      <c r="K28">
        <f>G28/(H28/1.39135)</f>
        <v>0.4</v>
      </c>
      <c r="L28">
        <f>(H28/1.190654)/F28</f>
        <v>0.5</v>
      </c>
    </row>
    <row r="29">
      <c r="B29">
        <v>24</v>
      </c>
      <c r="C29">
        <v>4</v>
      </c>
      <c r="D29">
        <v>4.625992387417126</v>
      </c>
      <c r="E29">
        <v>0.9490968571428572</v>
      </c>
      <c r="F29">
        <v>5.216205209260001</v>
      </c>
      <c r="G29">
        <f>(H29/1.39135)*$K$5</f>
        <v>0.8927581984728872</v>
      </c>
      <c r="H29">
        <f>(F29*1.190654)*$L$5</f>
        <v>3.1053477986131286</v>
      </c>
      <c r="I29">
        <v>12.2222</v>
      </c>
      <c r="J29">
        <f>D29/(F29/3.362524)</f>
        <v>2.9820549235474005</v>
      </c>
      <c r="K29">
        <f>G29/(H29/1.39135)</f>
        <v>0.4</v>
      </c>
      <c r="L29">
        <f>(H29/1.190654)/F29</f>
        <v>0.5</v>
      </c>
    </row>
    <row r="30">
      <c r="B30">
        <v>25</v>
      </c>
      <c r="C30">
        <v>4</v>
      </c>
      <c r="D30">
        <v>4.625992387417126</v>
      </c>
      <c r="E30">
        <v>0.9490968571428572</v>
      </c>
      <c r="F30">
        <v>5.216205209260001</v>
      </c>
      <c r="G30">
        <f>(H30/1.39135)*$K$5</f>
        <v>0.8927581984728872</v>
      </c>
      <c r="H30">
        <f>(F30*1.190654)*$L$5</f>
        <v>3.1053477986131286</v>
      </c>
      <c r="I30">
        <v>12.2222</v>
      </c>
      <c r="J30">
        <f>D30/(F30/3.362524)</f>
        <v>2.9820549235474005</v>
      </c>
      <c r="K30">
        <f>G30/(H30/1.39135)</f>
        <v>0.4</v>
      </c>
      <c r="L30">
        <f>(H30/1.190654)/F30</f>
        <v>0.5</v>
      </c>
    </row>
    <row r="31">
      <c r="B31">
        <v>26</v>
      </c>
      <c r="C31">
        <v>4</v>
      </c>
      <c r="D31">
        <v>4.625992387417126</v>
      </c>
      <c r="E31">
        <v>0.9490968571428572</v>
      </c>
      <c r="F31">
        <v>5.216205209260001</v>
      </c>
      <c r="G31">
        <f>(H31/1.39135)*$K$5</f>
        <v>0.8927581984728872</v>
      </c>
      <c r="H31">
        <f>(F31*1.190654)*$L$5</f>
        <v>3.1053477986131286</v>
      </c>
      <c r="I31">
        <v>12.2222</v>
      </c>
      <c r="J31">
        <f>D31/(F31/3.362524)</f>
        <v>2.9820549235474005</v>
      </c>
      <c r="K31">
        <f>G31/(H31/1.39135)</f>
        <v>0.4</v>
      </c>
      <c r="L31">
        <f>(H31/1.190654)/F31</f>
        <v>0.5</v>
      </c>
    </row>
    <row r="32">
      <c r="B32">
        <v>27</v>
      </c>
      <c r="C32">
        <v>4</v>
      </c>
      <c r="D32">
        <v>4.625992387417126</v>
      </c>
      <c r="E32">
        <v>0.9490968571428572</v>
      </c>
      <c r="F32">
        <v>5.216205209260001</v>
      </c>
      <c r="G32">
        <f>(H32/1.39135)*$K$5</f>
        <v>0.8927581984728872</v>
      </c>
      <c r="H32">
        <f>(F32*1.190654)*$L$5</f>
        <v>3.1053477986131286</v>
      </c>
      <c r="I32">
        <v>12.2222</v>
      </c>
      <c r="J32">
        <f>D32/(F32/3.362524)</f>
        <v>2.9820549235474005</v>
      </c>
      <c r="K32">
        <f>G32/(H32/1.39135)</f>
        <v>0.4</v>
      </c>
      <c r="L32">
        <f>(H32/1.190654)/F32</f>
        <v>0.5</v>
      </c>
    </row>
    <row r="33">
      <c r="B33">
        <v>28</v>
      </c>
      <c r="C33">
        <v>4</v>
      </c>
      <c r="D33">
        <v>4.625992387417126</v>
      </c>
      <c r="E33">
        <v>0.9490968571428572</v>
      </c>
      <c r="F33">
        <v>5.216205209260001</v>
      </c>
      <c r="G33">
        <f>(H33/1.39135)*$K$5</f>
        <v>0.8927581984728872</v>
      </c>
      <c r="H33">
        <f>(F33*1.190654)*$L$5</f>
        <v>3.1053477986131286</v>
      </c>
      <c r="I33">
        <v>12.2222</v>
      </c>
      <c r="J33">
        <f>D33/(F33/3.362524)</f>
        <v>2.9820549235474005</v>
      </c>
      <c r="K33">
        <f>G33/(H33/1.39135)</f>
        <v>0.4</v>
      </c>
      <c r="L33">
        <f>(H33/1.190654)/F33</f>
        <v>0.5</v>
      </c>
    </row>
    <row r="34">
      <c r="B34">
        <v>29</v>
      </c>
      <c r="C34">
        <v>5</v>
      </c>
      <c r="D34">
        <v>4.625992387417126</v>
      </c>
      <c r="E34">
        <v>0.9490968571428572</v>
      </c>
      <c r="F34">
        <v>5.216205209260001</v>
      </c>
      <c r="G34">
        <f>(H34/1.39135)*$K$5</f>
        <v>0.8927581984728872</v>
      </c>
      <c r="H34">
        <f>(F34*1.190654)*$L$5</f>
        <v>3.1053477986131286</v>
      </c>
      <c r="I34">
        <v>12.2222</v>
      </c>
      <c r="J34">
        <f>D34/(F34/3.362524)</f>
        <v>2.9820549235474005</v>
      </c>
      <c r="K34">
        <f>G34/(H34/1.39135)</f>
        <v>0.4</v>
      </c>
      <c r="L34">
        <f>(H34/1.190654)/F34</f>
        <v>0.5</v>
      </c>
    </row>
    <row r="35">
      <c r="B35">
        <v>30</v>
      </c>
      <c r="C35">
        <v>5</v>
      </c>
      <c r="D35">
        <v>4.625992387417126</v>
      </c>
      <c r="E35">
        <v>0.9490968571428572</v>
      </c>
      <c r="F35">
        <v>5.216205209260001</v>
      </c>
      <c r="G35">
        <f>(H35/1.39135)*$K$5</f>
        <v>0.8927581984728872</v>
      </c>
      <c r="H35">
        <f>(F35*1.190654)*$L$5</f>
        <v>3.1053477986131286</v>
      </c>
      <c r="I35">
        <v>12.2222</v>
      </c>
      <c r="J35">
        <f>D35/(F35/3.362524)</f>
        <v>2.9820549235474005</v>
      </c>
      <c r="K35">
        <f>G35/(H35/1.39135)</f>
        <v>0.4</v>
      </c>
      <c r="L35">
        <f>(H35/1.190654)/F35</f>
        <v>0.5</v>
      </c>
    </row>
    <row r="36">
      <c r="B36">
        <v>31</v>
      </c>
      <c r="C36">
        <v>5</v>
      </c>
      <c r="D36">
        <v>4.625992387417126</v>
      </c>
      <c r="E36">
        <v>0.9490968571428572</v>
      </c>
      <c r="F36">
        <v>5.216205209260001</v>
      </c>
      <c r="G36">
        <f>(H36/1.39135)*$K$5</f>
        <v>0.8927581984728872</v>
      </c>
      <c r="H36">
        <f>(F36*1.190654)*$L$5</f>
        <v>3.1053477986131286</v>
      </c>
      <c r="I36">
        <v>12.2222</v>
      </c>
      <c r="J36">
        <f>D36/(F36/3.362524)</f>
        <v>2.9820549235474005</v>
      </c>
      <c r="K36">
        <f>G36/(H36/1.39135)</f>
        <v>0.4</v>
      </c>
      <c r="L36">
        <f>(H36/1.190654)/F36</f>
        <v>0.5</v>
      </c>
    </row>
    <row r="37">
      <c r="B37">
        <v>32</v>
      </c>
      <c r="C37">
        <v>5</v>
      </c>
      <c r="D37">
        <v>4.625992387417126</v>
      </c>
      <c r="E37">
        <v>0.9490968571428572</v>
      </c>
      <c r="F37">
        <v>5.216205209260001</v>
      </c>
      <c r="G37">
        <f>(H37/1.39135)*$K$5</f>
        <v>0.8927581984728872</v>
      </c>
      <c r="H37">
        <f>(F37*1.190654)*$L$5</f>
        <v>3.1053477986131286</v>
      </c>
      <c r="I37">
        <v>12.2222</v>
      </c>
      <c r="J37">
        <f>D37/(F37/3.362524)</f>
        <v>2.9820549235474005</v>
      </c>
      <c r="K37">
        <f>G37/(H37/1.39135)</f>
        <v>0.4</v>
      </c>
      <c r="L37">
        <f>(H37/1.190654)/F37</f>
        <v>0.5</v>
      </c>
    </row>
    <row r="38">
      <c r="B38">
        <v>33</v>
      </c>
      <c r="C38">
        <v>5</v>
      </c>
      <c r="D38">
        <v>4.625992387417126</v>
      </c>
      <c r="E38">
        <v>0.9490968571428572</v>
      </c>
      <c r="F38">
        <v>5.216205209260001</v>
      </c>
      <c r="G38">
        <f>(H38/1.39135)*$K$5</f>
        <v>0.8927581984728872</v>
      </c>
      <c r="H38">
        <f>(F38*1.190654)*$L$5</f>
        <v>3.1053477986131286</v>
      </c>
      <c r="I38">
        <v>17.3149</v>
      </c>
      <c r="J38">
        <f>D38/(F38/3.362524)</f>
        <v>2.9820549235474005</v>
      </c>
      <c r="K38">
        <f>G38/(H38/1.39135)</f>
        <v>0.4</v>
      </c>
      <c r="L38">
        <f>(H38/1.190654)/F38</f>
        <v>0.5</v>
      </c>
    </row>
    <row r="39">
      <c r="B39">
        <v>34</v>
      </c>
      <c r="C39">
        <v>5</v>
      </c>
      <c r="D39">
        <v>4.625992387417126</v>
      </c>
      <c r="E39">
        <v>0.9490968571428572</v>
      </c>
      <c r="F39">
        <v>5.216205209260001</v>
      </c>
      <c r="G39">
        <f>(H39/1.39135)*$K$5</f>
        <v>0.8927581984728872</v>
      </c>
      <c r="H39">
        <f>(F39*1.190654)*$L$5</f>
        <v>3.1053477986131286</v>
      </c>
      <c r="I39">
        <v>17.3149</v>
      </c>
      <c r="J39">
        <f>D39/(F39/3.362524)</f>
        <v>2.9820549235474005</v>
      </c>
      <c r="K39">
        <f>G39/(H39/1.39135)</f>
        <v>0.4</v>
      </c>
      <c r="L39">
        <f>(H39/1.190654)/F39</f>
        <v>0.5</v>
      </c>
    </row>
    <row r="40">
      <c r="B40">
        <v>35</v>
      </c>
      <c r="C40">
        <v>5</v>
      </c>
      <c r="D40">
        <v>4.625992387417126</v>
      </c>
      <c r="E40">
        <v>0.9490968571428572</v>
      </c>
      <c r="F40">
        <v>5.216205209260001</v>
      </c>
      <c r="G40">
        <f>(H40/1.39135)*$K$5</f>
        <v>0.8927581984728872</v>
      </c>
      <c r="H40">
        <f>(F40*1.190654)*$L$5</f>
        <v>3.1053477986131286</v>
      </c>
      <c r="I40">
        <v>17.3149</v>
      </c>
      <c r="J40">
        <f>D40/(F40/3.362524)</f>
        <v>2.9820549235474005</v>
      </c>
      <c r="K40">
        <f>G40/(H40/1.39135)</f>
        <v>0.4</v>
      </c>
      <c r="L40">
        <f>(H40/1.190654)/F40</f>
        <v>0.5</v>
      </c>
    </row>
    <row r="41">
      <c r="B41">
        <v>36</v>
      </c>
      <c r="C41">
        <v>6</v>
      </c>
      <c r="D41">
        <v>4.625992387417126</v>
      </c>
      <c r="E41">
        <v>0.9490968571428572</v>
      </c>
      <c r="F41">
        <v>5.216205209260001</v>
      </c>
      <c r="G41">
        <f>(H41/1.39135)*$K$5</f>
        <v>0.8927581984728872</v>
      </c>
      <c r="H41">
        <f>(F41*1.190654)*$L$5</f>
        <v>3.1053477986131286</v>
      </c>
      <c r="I41">
        <v>17.3149</v>
      </c>
      <c r="J41">
        <f>D41/(F41/3.362524)</f>
        <v>2.9820549235474005</v>
      </c>
      <c r="K41">
        <f>G41/(H41/1.39135)</f>
        <v>0.4</v>
      </c>
      <c r="L41">
        <f>(H41/1.190654)/F41</f>
        <v>0.5</v>
      </c>
    </row>
    <row r="42">
      <c r="B42">
        <v>37</v>
      </c>
      <c r="C42">
        <v>6</v>
      </c>
      <c r="D42">
        <v>4.625992387417126</v>
      </c>
      <c r="E42">
        <v>0.9490968571428572</v>
      </c>
      <c r="F42">
        <v>5.216205209260001</v>
      </c>
      <c r="G42">
        <f>(H42/1.39135)*$K$5</f>
        <v>0.8927581984728872</v>
      </c>
      <c r="H42">
        <f>(F42*1.190654)*$L$5</f>
        <v>3.1053477986131286</v>
      </c>
      <c r="I42">
        <v>17.3149</v>
      </c>
      <c r="J42">
        <f>D42/(F42/3.362524)</f>
        <v>2.9820549235474005</v>
      </c>
      <c r="K42">
        <f>G42/(H42/1.39135)</f>
        <v>0.4</v>
      </c>
      <c r="L42">
        <f>(H42/1.190654)/F42</f>
        <v>0.5</v>
      </c>
    </row>
    <row r="43">
      <c r="B43">
        <v>38</v>
      </c>
      <c r="C43">
        <v>6</v>
      </c>
      <c r="D43">
        <v>4.625992387417126</v>
      </c>
      <c r="E43">
        <v>0.9490968571428572</v>
      </c>
      <c r="F43">
        <v>5.216205209260001</v>
      </c>
      <c r="G43">
        <f>(H43/1.39135)*$K$5</f>
        <v>0.8927581984728872</v>
      </c>
      <c r="H43">
        <f>(F43*1.190654)*$L$5</f>
        <v>3.1053477986131286</v>
      </c>
      <c r="I43">
        <v>17.3149</v>
      </c>
      <c r="J43">
        <f>D43/(F43/3.362524)</f>
        <v>2.9820549235474005</v>
      </c>
      <c r="K43">
        <f>G43/(H43/1.39135)</f>
        <v>0.4</v>
      </c>
      <c r="L43">
        <f>(H43/1.190654)/F43</f>
        <v>0.5</v>
      </c>
    </row>
    <row r="44">
      <c r="B44">
        <v>39</v>
      </c>
      <c r="C44">
        <v>6</v>
      </c>
      <c r="D44">
        <v>4.625992387417126</v>
      </c>
      <c r="E44">
        <v>0.9490968571428572</v>
      </c>
      <c r="F44">
        <v>5.216205209260001</v>
      </c>
      <c r="G44">
        <f>(H44/1.39135)*$K$5</f>
        <v>0.8927581984728872</v>
      </c>
      <c r="H44">
        <f>(F44*1.190654)*$L$5</f>
        <v>3.1053477986131286</v>
      </c>
      <c r="I44">
        <v>17.3149</v>
      </c>
      <c r="J44">
        <f>D44/(F44/3.362524)</f>
        <v>2.9820549235474005</v>
      </c>
      <c r="K44">
        <f>G44/(H44/1.39135)</f>
        <v>0.4</v>
      </c>
      <c r="L44">
        <f>(H44/1.190654)/F44</f>
        <v>0.5</v>
      </c>
    </row>
    <row r="45">
      <c r="B45">
        <v>40</v>
      </c>
      <c r="C45">
        <v>6</v>
      </c>
      <c r="D45">
        <v>4.625992387417126</v>
      </c>
      <c r="E45">
        <v>0.9490968571428572</v>
      </c>
      <c r="F45">
        <v>5.216205209260001</v>
      </c>
      <c r="G45">
        <f>(H45/1.39135)*$K$5</f>
        <v>0.8927581984728872</v>
      </c>
      <c r="H45">
        <f>(F45*1.190654)*$L$5</f>
        <v>3.1053477986131286</v>
      </c>
      <c r="I45">
        <v>17.3149</v>
      </c>
      <c r="J45">
        <f>D45/(F45/3.362524)</f>
        <v>2.9820549235474005</v>
      </c>
      <c r="K45">
        <f>G45/(H45/1.39135)</f>
        <v>0.4</v>
      </c>
      <c r="L45">
        <f>(H45/1.190654)/F45</f>
        <v>0.5</v>
      </c>
    </row>
    <row r="46">
      <c r="B46">
        <v>41</v>
      </c>
      <c r="C46">
        <v>6</v>
      </c>
      <c r="D46">
        <v>4.625992387417126</v>
      </c>
      <c r="E46">
        <v>0.9490968571428572</v>
      </c>
      <c r="F46">
        <v>5.216205209260001</v>
      </c>
      <c r="G46">
        <f>(H46/1.39135)*$K$5</f>
        <v>0.8927581984728872</v>
      </c>
      <c r="H46">
        <f>(F46*1.190654)*$L$5</f>
        <v>3.1053477986131286</v>
      </c>
      <c r="I46">
        <v>17.3149</v>
      </c>
      <c r="J46">
        <f>D46/(F46/3.362524)</f>
        <v>2.9820549235474005</v>
      </c>
      <c r="K46">
        <f>G46/(H46/1.39135)</f>
        <v>0.4</v>
      </c>
      <c r="L46">
        <f>(H46/1.190654)/F46</f>
        <v>0.5</v>
      </c>
    </row>
    <row r="47">
      <c r="B47">
        <v>42</v>
      </c>
      <c r="C47">
        <v>6</v>
      </c>
      <c r="D47">
        <v>4.625992387417126</v>
      </c>
      <c r="E47">
        <v>0.9490968571428572</v>
      </c>
      <c r="F47">
        <v>5.216205209260001</v>
      </c>
      <c r="G47">
        <f>(H47/1.39135)*$K$5</f>
        <v>0.8927581984728872</v>
      </c>
      <c r="H47">
        <f>(F47*1.190654)*$L$5</f>
        <v>3.1053477986131286</v>
      </c>
      <c r="I47">
        <v>17.3149</v>
      </c>
      <c r="J47">
        <f>D47/(F47/3.362524)</f>
        <v>2.9820549235474005</v>
      </c>
      <c r="K47">
        <f>G47/(H47/1.39135)</f>
        <v>0.4</v>
      </c>
      <c r="L47">
        <f>(H47/1.190654)/F47</f>
        <v>0.5</v>
      </c>
    </row>
    <row r="48">
      <c r="B48">
        <v>43</v>
      </c>
      <c r="C48">
        <v>7</v>
      </c>
      <c r="D48">
        <v>4.625992387417126</v>
      </c>
      <c r="E48">
        <v>0.9490968571428572</v>
      </c>
      <c r="F48">
        <v>5.216205209260001</v>
      </c>
      <c r="G48">
        <f>(H48/1.39135)*$K$5</f>
        <v>0.8927581984728872</v>
      </c>
      <c r="H48">
        <f>(F48*1.190654)*$L$5</f>
        <v>3.1053477986131286</v>
      </c>
      <c r="I48">
        <v>17.3149</v>
      </c>
      <c r="J48">
        <f>D48/(F48/3.362524)</f>
        <v>2.9820549235474005</v>
      </c>
      <c r="K48">
        <f>G48/(H48/1.39135)</f>
        <v>0.4</v>
      </c>
      <c r="L48">
        <f>(H48/1.190654)/F48</f>
        <v>0.5</v>
      </c>
    </row>
    <row r="49">
      <c r="B49">
        <v>44</v>
      </c>
      <c r="C49">
        <v>7</v>
      </c>
      <c r="D49">
        <v>4.625992387417126</v>
      </c>
      <c r="E49">
        <v>0.9490968571428572</v>
      </c>
      <c r="F49">
        <v>5.216205209260001</v>
      </c>
      <c r="G49">
        <f>(H49/1.39135)*$K$5</f>
        <v>0.8927581984728872</v>
      </c>
      <c r="H49">
        <f>(F49*1.190654)*$L$5</f>
        <v>3.1053477986131286</v>
      </c>
      <c r="I49">
        <v>17.3149</v>
      </c>
      <c r="J49">
        <f>D49/(F49/3.362524)</f>
        <v>2.9820549235474005</v>
      </c>
      <c r="K49">
        <f>G49/(H49/1.39135)</f>
        <v>0.4</v>
      </c>
      <c r="L49">
        <f>(H49/1.190654)/F49</f>
        <v>0.5</v>
      </c>
    </row>
    <row r="50">
      <c r="B50">
        <v>45</v>
      </c>
      <c r="C50">
        <v>7</v>
      </c>
      <c r="D50">
        <v>4.625992387417126</v>
      </c>
      <c r="E50">
        <v>0.9490968571428572</v>
      </c>
      <c r="F50">
        <v>5.216205209260001</v>
      </c>
      <c r="G50">
        <f>(H50/1.39135)*$K$5</f>
        <v>0.8927581984728872</v>
      </c>
      <c r="H50">
        <f>(F50*1.190654)*$L$5</f>
        <v>3.1053477986131286</v>
      </c>
      <c r="I50">
        <v>17.3149</v>
      </c>
      <c r="J50">
        <f>D50/(F50/3.362524)</f>
        <v>2.9820549235474005</v>
      </c>
      <c r="K50">
        <f>G50/(H50/1.39135)</f>
        <v>0.4</v>
      </c>
      <c r="L50">
        <f>(H50/1.190654)/F50</f>
        <v>0.5</v>
      </c>
    </row>
    <row r="51">
      <c r="B51">
        <v>46</v>
      </c>
      <c r="C51">
        <v>7</v>
      </c>
      <c r="D51">
        <v>4.625992387417126</v>
      </c>
      <c r="E51">
        <v>0.9490968571428572</v>
      </c>
      <c r="F51">
        <v>5.216205209260001</v>
      </c>
      <c r="G51">
        <f>(H51/1.39135)*$K$5</f>
        <v>0.8927581984728872</v>
      </c>
      <c r="H51">
        <f>(F51*1.190654)*$L$5</f>
        <v>3.1053477986131286</v>
      </c>
      <c r="I51">
        <v>17.3149</v>
      </c>
      <c r="J51">
        <f>D51/(F51/3.362524)</f>
        <v>2.9820549235474005</v>
      </c>
      <c r="K51">
        <f>G51/(H51/1.39135)</f>
        <v>0.4</v>
      </c>
      <c r="L51">
        <f>(H51/1.190654)/F51</f>
        <v>0.5</v>
      </c>
    </row>
    <row r="52">
      <c r="B52">
        <v>47</v>
      </c>
      <c r="C52">
        <v>7</v>
      </c>
      <c r="D52">
        <v>4.625992387417126</v>
      </c>
      <c r="E52">
        <v>0.9490968571428572</v>
      </c>
      <c r="F52">
        <v>5.216205209260001</v>
      </c>
      <c r="G52">
        <f>(H52/1.39135)*$K$5</f>
        <v>0.8927581984728872</v>
      </c>
      <c r="H52">
        <f>(F52*1.190654)*$L$5</f>
        <v>3.1053477986131286</v>
      </c>
      <c r="I52">
        <v>17.3149</v>
      </c>
      <c r="J52">
        <f>D52/(F52/3.362524)</f>
        <v>2.9820549235474005</v>
      </c>
      <c r="K52">
        <f>G52/(H52/1.39135)</f>
        <v>0.4</v>
      </c>
      <c r="L52">
        <f>(H52/1.190654)/F52</f>
        <v>0.5</v>
      </c>
    </row>
    <row r="53">
      <c r="B53">
        <v>48</v>
      </c>
      <c r="C53">
        <v>7</v>
      </c>
      <c r="D53">
        <v>4.625992387417126</v>
      </c>
      <c r="E53">
        <v>0.9490968571428572</v>
      </c>
      <c r="F53">
        <v>5.216205209260001</v>
      </c>
      <c r="G53">
        <f>(H53/1.39135)*$K$5</f>
        <v>0.8927581984728872</v>
      </c>
      <c r="H53">
        <f>(F53*1.190654)*$L$5</f>
        <v>3.1053477986131286</v>
      </c>
      <c r="I53">
        <v>23.426</v>
      </c>
      <c r="J53">
        <f>D53/(F53/3.362524)</f>
        <v>2.9820549235474005</v>
      </c>
      <c r="K53">
        <f>G53/(H53/1.39135)</f>
        <v>0.4</v>
      </c>
      <c r="L53">
        <f>(H53/1.190654)/F53</f>
        <v>0.5</v>
      </c>
    </row>
    <row r="54">
      <c r="B54">
        <v>49</v>
      </c>
      <c r="C54">
        <v>7</v>
      </c>
      <c r="D54">
        <v>4.625992387417126</v>
      </c>
      <c r="E54">
        <v>0.9490968571428572</v>
      </c>
      <c r="F54">
        <v>5.216205209260001</v>
      </c>
      <c r="G54">
        <f>(H54/1.39135)*$K$5</f>
        <v>0.8927581984728872</v>
      </c>
      <c r="H54">
        <f>(F54*1.190654)*$L$5</f>
        <v>3.1053477986131286</v>
      </c>
      <c r="I54">
        <v>23.426</v>
      </c>
      <c r="J54">
        <f>D54/(F54/3.362524)</f>
        <v>2.9820549235474005</v>
      </c>
      <c r="K54">
        <f>G54/(H54/1.39135)</f>
        <v>0.4</v>
      </c>
      <c r="L54">
        <f>(H54/1.190654)/F54</f>
        <v>0.5</v>
      </c>
    </row>
    <row r="55">
      <c r="B55">
        <v>50</v>
      </c>
      <c r="C55">
        <v>8</v>
      </c>
      <c r="D55">
        <v>4.306958429664221</v>
      </c>
      <c r="E55">
        <v>0.9490968571428572</v>
      </c>
      <c r="F55">
        <v>5.216205209260001</v>
      </c>
      <c r="G55">
        <f>(H55/1.39135)*$K$5</f>
        <v>0.8927581984728872</v>
      </c>
      <c r="H55">
        <f>(F55*1.190654)*$L$5</f>
        <v>3.1053477986131286</v>
      </c>
      <c r="I55">
        <v>23.426</v>
      </c>
      <c r="J55">
        <f>D55/(F55/3.362524)</f>
        <v>2.7763959633027526</v>
      </c>
      <c r="K55">
        <f>G55/(H55/1.39135)</f>
        <v>0.4</v>
      </c>
      <c r="L55">
        <f>(H55/1.190654)/F55</f>
        <v>0.5</v>
      </c>
    </row>
    <row r="56">
      <c r="B56">
        <v>51</v>
      </c>
      <c r="C56">
        <v>8</v>
      </c>
      <c r="D56">
        <v>4.306958429664221</v>
      </c>
      <c r="E56">
        <v>0.9490968571428572</v>
      </c>
      <c r="F56">
        <v>5.216205209260001</v>
      </c>
      <c r="G56">
        <f>(H56/1.39135)*$K$5</f>
        <v>0.8927581984728872</v>
      </c>
      <c r="H56">
        <f>(F56*1.190654)*$L$5</f>
        <v>3.1053477986131286</v>
      </c>
      <c r="I56">
        <v>23.426</v>
      </c>
      <c r="J56">
        <f>D56/(F56/3.362524)</f>
        <v>2.7763959633027526</v>
      </c>
      <c r="K56">
        <f>G56/(H56/1.39135)</f>
        <v>0.4</v>
      </c>
      <c r="L56">
        <f>(H56/1.190654)/F56</f>
        <v>0.5</v>
      </c>
    </row>
    <row r="57">
      <c r="B57">
        <v>52</v>
      </c>
      <c r="C57">
        <v>8</v>
      </c>
      <c r="D57">
        <v>4.306958429664221</v>
      </c>
      <c r="E57">
        <v>0.9490968571428572</v>
      </c>
      <c r="F57">
        <v>5.216205209260001</v>
      </c>
      <c r="G57">
        <f>(H57/1.39135)*$K$5</f>
        <v>0.8927581984728872</v>
      </c>
      <c r="H57">
        <f>(F57*1.190654)*$L$5</f>
        <v>3.1053477986131286</v>
      </c>
      <c r="I57">
        <v>23.426</v>
      </c>
      <c r="J57">
        <f>D57/(F57/3.362524)</f>
        <v>2.7763959633027526</v>
      </c>
      <c r="K57">
        <f>G57/(H57/1.39135)</f>
        <v>0.4</v>
      </c>
      <c r="L57">
        <f>(H57/1.190654)/F57</f>
        <v>0.5</v>
      </c>
    </row>
    <row r="58">
      <c r="B58">
        <v>53</v>
      </c>
      <c r="C58">
        <v>8</v>
      </c>
      <c r="D58">
        <v>4.306958429664221</v>
      </c>
      <c r="E58">
        <v>0.9490968571428572</v>
      </c>
      <c r="F58">
        <v>5.216205209260001</v>
      </c>
      <c r="G58">
        <f>(H58/1.39135)*$K$5</f>
        <v>0.8927581984728872</v>
      </c>
      <c r="H58">
        <f>(F58*1.190654)*$L$5</f>
        <v>3.1053477986131286</v>
      </c>
      <c r="I58">
        <v>23.426</v>
      </c>
      <c r="J58">
        <f>D58/(F58/3.362524)</f>
        <v>2.7763959633027526</v>
      </c>
      <c r="K58">
        <f>G58/(H58/1.39135)</f>
        <v>0.4</v>
      </c>
      <c r="L58">
        <f>(H58/1.190654)/F58</f>
        <v>0.5</v>
      </c>
    </row>
    <row r="59">
      <c r="B59">
        <v>54</v>
      </c>
      <c r="C59">
        <v>8</v>
      </c>
      <c r="D59">
        <v>4.306958429664221</v>
      </c>
      <c r="E59">
        <v>0.9490968571428572</v>
      </c>
      <c r="F59">
        <v>5.216205209260001</v>
      </c>
      <c r="G59">
        <f>(H59/1.39135)*$K$5</f>
        <v>0.8927581984728872</v>
      </c>
      <c r="H59">
        <f>(F59*1.190654)*$L$5</f>
        <v>3.1053477986131286</v>
      </c>
      <c r="I59">
        <v>23.426</v>
      </c>
      <c r="J59">
        <f>D59/(F59/3.362524)</f>
        <v>2.7763959633027526</v>
      </c>
      <c r="K59">
        <f>G59/(H59/1.39135)</f>
        <v>0.4</v>
      </c>
      <c r="L59">
        <f>(H59/1.190654)/F59</f>
        <v>0.5</v>
      </c>
    </row>
    <row r="60">
      <c r="B60">
        <v>55</v>
      </c>
      <c r="C60">
        <v>8</v>
      </c>
      <c r="D60">
        <v>4.306958429664221</v>
      </c>
      <c r="E60">
        <v>0.9490968571428572</v>
      </c>
      <c r="F60">
        <v>5.216205209260001</v>
      </c>
      <c r="G60">
        <f>(H60/1.39135)*$K$5</f>
        <v>0.8927581984728872</v>
      </c>
      <c r="H60">
        <f>(F60*1.190654)*$L$5</f>
        <v>3.1053477986131286</v>
      </c>
      <c r="I60">
        <v>23.426</v>
      </c>
      <c r="J60">
        <f>D60/(F60/3.362524)</f>
        <v>2.7763959633027526</v>
      </c>
      <c r="K60">
        <f>G60/(H60/1.39135)</f>
        <v>0.4</v>
      </c>
      <c r="L60">
        <f>(H60/1.190654)/F60</f>
        <v>0.5</v>
      </c>
    </row>
    <row r="61">
      <c r="B61">
        <v>56</v>
      </c>
      <c r="C61">
        <v>8</v>
      </c>
      <c r="D61">
        <v>4.306958429664221</v>
      </c>
      <c r="E61">
        <v>0.9490968571428572</v>
      </c>
      <c r="F61">
        <v>5.216205209260001</v>
      </c>
      <c r="G61">
        <f>(H61/1.39135)*$K$5</f>
        <v>0.8927581984728872</v>
      </c>
      <c r="H61">
        <f>(F61*1.190654)*$L$5</f>
        <v>3.1053477986131286</v>
      </c>
      <c r="I61">
        <v>23.426</v>
      </c>
      <c r="J61">
        <f>D61/(F61/3.362524)</f>
        <v>2.7763959633027526</v>
      </c>
      <c r="K61">
        <f>G61/(H61/1.39135)</f>
        <v>0.4</v>
      </c>
      <c r="L61">
        <f>(H61/1.190654)/F61</f>
        <v>0.5</v>
      </c>
    </row>
    <row r="62">
      <c r="B62">
        <v>57</v>
      </c>
      <c r="C62">
        <v>9</v>
      </c>
      <c r="D62">
        <v>4.306958429664221</v>
      </c>
      <c r="E62">
        <v>0.9490968571428572</v>
      </c>
      <c r="F62">
        <v>5.216205209260001</v>
      </c>
      <c r="G62">
        <f>(H62/1.39135)*$K$5</f>
        <v>0.8927581984728872</v>
      </c>
      <c r="H62">
        <f>(F62*1.190654)*$L$5</f>
        <v>3.1053477986131286</v>
      </c>
      <c r="I62">
        <v>23.426</v>
      </c>
      <c r="J62">
        <f>D62/(F62/3.362524)</f>
        <v>2.7763959633027526</v>
      </c>
      <c r="K62">
        <f>G62/(H62/1.39135)</f>
        <v>0.4</v>
      </c>
      <c r="L62">
        <f>(H62/1.190654)/F62</f>
        <v>0.5</v>
      </c>
    </row>
    <row r="63">
      <c r="B63">
        <v>58</v>
      </c>
      <c r="C63">
        <v>9</v>
      </c>
      <c r="D63">
        <v>4.306958429664221</v>
      </c>
      <c r="E63">
        <v>0.9490968571428572</v>
      </c>
      <c r="F63">
        <v>5.216205209260001</v>
      </c>
      <c r="G63">
        <f>(H63/1.39135)*$K$5</f>
        <v>0.8927581984728872</v>
      </c>
      <c r="H63">
        <f>(F63*1.190654)*$L$5</f>
        <v>3.1053477986131286</v>
      </c>
      <c r="I63">
        <v>23.426</v>
      </c>
      <c r="J63">
        <f>D63/(F63/3.362524)</f>
        <v>2.7763959633027526</v>
      </c>
      <c r="K63">
        <f>G63/(H63/1.39135)</f>
        <v>0.4</v>
      </c>
      <c r="L63">
        <f>(H63/1.190654)/F63</f>
        <v>0.5</v>
      </c>
    </row>
    <row r="64">
      <c r="B64">
        <v>59</v>
      </c>
      <c r="C64">
        <v>9</v>
      </c>
      <c r="D64">
        <v>4.306958429664221</v>
      </c>
      <c r="E64">
        <v>0.9490968571428572</v>
      </c>
      <c r="F64">
        <v>5.216205209260001</v>
      </c>
      <c r="G64">
        <f>(H64/1.39135)*$K$5</f>
        <v>0.8927581984728872</v>
      </c>
      <c r="H64">
        <f>(F64*1.190654)*$L$5</f>
        <v>3.1053477986131286</v>
      </c>
      <c r="I64">
        <v>23.426</v>
      </c>
      <c r="J64">
        <f>D64/(F64/3.362524)</f>
        <v>2.7763959633027526</v>
      </c>
      <c r="K64">
        <f>G64/(H64/1.39135)</f>
        <v>0.4</v>
      </c>
      <c r="L64">
        <f>(H64/1.190654)/F64</f>
        <v>0.5</v>
      </c>
    </row>
    <row r="65">
      <c r="B65">
        <v>60</v>
      </c>
      <c r="C65">
        <v>9</v>
      </c>
      <c r="D65">
        <v>4.306958429664221</v>
      </c>
      <c r="E65">
        <v>0.9490968571428572</v>
      </c>
      <c r="F65">
        <v>5.216205209260001</v>
      </c>
      <c r="G65">
        <f>(H65/1.39135)*$K$5</f>
        <v>0.8927581984728872</v>
      </c>
      <c r="H65">
        <f>(F65*1.190654)*$L$5</f>
        <v>3.1053477986131286</v>
      </c>
      <c r="I65">
        <v>23.426</v>
      </c>
      <c r="J65">
        <f>D65/(F65/3.362524)</f>
        <v>2.7763959633027526</v>
      </c>
      <c r="K65">
        <f>G65/(H65/1.39135)</f>
        <v>0.4</v>
      </c>
      <c r="L65">
        <f>(H65/1.190654)/F65</f>
        <v>0.5</v>
      </c>
    </row>
    <row r="66">
      <c r="B66">
        <v>61</v>
      </c>
      <c r="C66">
        <v>9</v>
      </c>
      <c r="D66">
        <v>4.306958429664221</v>
      </c>
      <c r="E66">
        <v>0.9490968571428572</v>
      </c>
      <c r="F66">
        <v>5.216205209260001</v>
      </c>
      <c r="G66">
        <f>(H66/1.39135)*$K$5</f>
        <v>0.8927581984728872</v>
      </c>
      <c r="H66">
        <f>(F66*1.190654)*$L$5</f>
        <v>3.1053477986131286</v>
      </c>
      <c r="I66">
        <v>23.426</v>
      </c>
      <c r="J66">
        <f>D66/(F66/3.362524)</f>
        <v>2.7763959633027526</v>
      </c>
      <c r="K66">
        <f>G66/(H66/1.39135)</f>
        <v>0.4</v>
      </c>
      <c r="L66">
        <f>(H66/1.190654)/F66</f>
        <v>0.5</v>
      </c>
    </row>
    <row r="67">
      <c r="B67">
        <v>62</v>
      </c>
      <c r="C67">
        <v>9</v>
      </c>
      <c r="D67">
        <v>4.306958429664221</v>
      </c>
      <c r="E67">
        <v>0.9490968571428572</v>
      </c>
      <c r="F67">
        <v>5.216205209260001</v>
      </c>
      <c r="G67">
        <f>(H67/1.39135)*$K$5</f>
        <v>0.8927581984728872</v>
      </c>
      <c r="H67">
        <f>(F67*1.190654)*$L$5</f>
        <v>3.1053477986131286</v>
      </c>
      <c r="I67">
        <v>23.426</v>
      </c>
      <c r="J67">
        <f>D67/(F67/3.362524)</f>
        <v>2.7763959633027526</v>
      </c>
      <c r="K67">
        <f>G67/(H67/1.39135)</f>
        <v>0.4</v>
      </c>
      <c r="L67">
        <f>(H67/1.190654)/F67</f>
        <v>0.5</v>
      </c>
    </row>
    <row r="68">
      <c r="B68">
        <v>63</v>
      </c>
      <c r="C68">
        <v>9</v>
      </c>
      <c r="D68">
        <v>4.306958429664221</v>
      </c>
      <c r="E68">
        <v>0.9490968571428572</v>
      </c>
      <c r="F68">
        <v>5.216205209260001</v>
      </c>
      <c r="G68">
        <f>(H68/1.39135)*$K$5</f>
        <v>0.8927581984728872</v>
      </c>
      <c r="H68">
        <f>(F68*1.190654)*$L$5</f>
        <v>3.1053477986131286</v>
      </c>
      <c r="I68">
        <v>29.5372</v>
      </c>
      <c r="J68">
        <f>D68/(F68/3.362524)</f>
        <v>2.7763959633027526</v>
      </c>
      <c r="K68">
        <f>G68/(H68/1.39135)</f>
        <v>0.4</v>
      </c>
      <c r="L68">
        <f>(H68/1.190654)/F68</f>
        <v>0.5</v>
      </c>
    </row>
    <row r="69">
      <c r="B69">
        <v>64</v>
      </c>
      <c r="C69">
        <v>10</v>
      </c>
      <c r="D69">
        <v>3.6697247706422016</v>
      </c>
      <c r="E69">
        <v>1.4236452857142858</v>
      </c>
      <c r="F69">
        <v>5</v>
      </c>
      <c r="G69">
        <f>(H69/1.39135)*$K$5</f>
        <v>0.8557544830560249</v>
      </c>
      <c r="H69">
        <f>(F69*1.190654)*$L$5</f>
        <v>2.9766350000000004</v>
      </c>
      <c r="I69">
        <v>29.5372</v>
      </c>
      <c r="J69">
        <f>D69/(F69/3.362524)</f>
        <v>2.46790752293578</v>
      </c>
      <c r="K69">
        <f>G69/(H69/1.39135)</f>
        <v>0.4</v>
      </c>
      <c r="L69">
        <f>(H69/1.190654)/F69</f>
        <v>0.5</v>
      </c>
    </row>
    <row r="70">
      <c r="B70">
        <v>65</v>
      </c>
      <c r="C70">
        <v>10</v>
      </c>
      <c r="D70">
        <v>3.6697247706422016</v>
      </c>
      <c r="E70">
        <v>1.4236452857142858</v>
      </c>
      <c r="F70">
        <v>5</v>
      </c>
      <c r="G70">
        <f>(H70/1.39135)*$K$5</f>
        <v>0.8557544830560249</v>
      </c>
      <c r="H70">
        <f>(F70*1.190654)*$L$5</f>
        <v>2.9766350000000004</v>
      </c>
      <c r="I70">
        <v>29.5372</v>
      </c>
      <c r="J70">
        <f>D70/(F70/3.362524)</f>
        <v>2.46790752293578</v>
      </c>
      <c r="K70">
        <f>G70/(H70/1.39135)</f>
        <v>0.4</v>
      </c>
      <c r="L70">
        <f>(H70/1.190654)/F70</f>
        <v>0.5</v>
      </c>
    </row>
    <row r="71">
      <c r="B71">
        <v>66</v>
      </c>
      <c r="C71">
        <v>10</v>
      </c>
      <c r="D71">
        <v>3.6697247706422016</v>
      </c>
      <c r="E71">
        <v>1.4236452857142858</v>
      </c>
      <c r="F71">
        <v>5</v>
      </c>
      <c r="G71">
        <f>(H71/1.39135)*$K$5</f>
        <v>0.8557544830560249</v>
      </c>
      <c r="H71">
        <f>(F71*1.190654)*$L$5</f>
        <v>2.9766350000000004</v>
      </c>
      <c r="I71">
        <v>29.5372</v>
      </c>
      <c r="J71">
        <f>D71/(F71/3.362524)</f>
        <v>2.46790752293578</v>
      </c>
      <c r="K71">
        <f>G71/(H71/1.39135)</f>
        <v>0.4</v>
      </c>
      <c r="L71">
        <f>(H71/1.190654)/F71</f>
        <v>0.5</v>
      </c>
    </row>
    <row r="72">
      <c r="B72">
        <v>67</v>
      </c>
      <c r="C72">
        <v>10</v>
      </c>
      <c r="D72">
        <v>3.6697247706422016</v>
      </c>
      <c r="E72">
        <v>1.4236452857142858</v>
      </c>
      <c r="F72">
        <v>5</v>
      </c>
      <c r="G72">
        <f>(H72/1.39135)*$K$5</f>
        <v>0.8557544830560249</v>
      </c>
      <c r="H72">
        <f>(F72*1.190654)*$L$5</f>
        <v>2.9766350000000004</v>
      </c>
      <c r="I72">
        <v>29.5372</v>
      </c>
      <c r="J72">
        <f>D72/(F72/3.362524)</f>
        <v>2.46790752293578</v>
      </c>
      <c r="K72">
        <f>G72/(H72/1.39135)</f>
        <v>0.4</v>
      </c>
      <c r="L72">
        <f>(H72/1.190654)/F72</f>
        <v>0.5</v>
      </c>
    </row>
    <row r="73">
      <c r="B73">
        <v>68</v>
      </c>
      <c r="C73">
        <v>10</v>
      </c>
      <c r="D73">
        <v>3.6697247706422016</v>
      </c>
      <c r="E73">
        <v>1.4236452857142858</v>
      </c>
      <c r="F73">
        <v>5</v>
      </c>
      <c r="G73">
        <f>(H73/1.39135)*$K$5</f>
        <v>0.8557544830560249</v>
      </c>
      <c r="H73">
        <f>(F73*1.190654)*$L$5</f>
        <v>2.9766350000000004</v>
      </c>
      <c r="I73">
        <v>29.5372</v>
      </c>
      <c r="J73">
        <f>D73/(F73/3.362524)</f>
        <v>2.46790752293578</v>
      </c>
      <c r="K73">
        <f>G73/(H73/1.39135)</f>
        <v>0.4</v>
      </c>
      <c r="L73">
        <f>(H73/1.190654)/F73</f>
        <v>0.5</v>
      </c>
    </row>
    <row r="74">
      <c r="B74">
        <v>69</v>
      </c>
      <c r="C74">
        <v>10</v>
      </c>
      <c r="D74">
        <v>3.6697247706422016</v>
      </c>
      <c r="E74">
        <v>1.4236452857142858</v>
      </c>
      <c r="F74">
        <v>5</v>
      </c>
      <c r="G74">
        <f>(H74/1.39135)*$K$5</f>
        <v>0.8557544830560249</v>
      </c>
      <c r="H74">
        <f>(F74*1.190654)*$L$5</f>
        <v>2.9766350000000004</v>
      </c>
      <c r="I74">
        <v>29.5372</v>
      </c>
      <c r="J74">
        <f>D74/(F74/3.362524)</f>
        <v>2.46790752293578</v>
      </c>
      <c r="K74">
        <f>G74/(H74/1.39135)</f>
        <v>0.4</v>
      </c>
      <c r="L74">
        <f>(H74/1.190654)/F74</f>
        <v>0.5</v>
      </c>
    </row>
    <row r="75">
      <c r="B75">
        <v>70</v>
      </c>
      <c r="C75">
        <v>10</v>
      </c>
      <c r="D75">
        <v>3.6697247706422016</v>
      </c>
      <c r="E75">
        <v>1.4236452857142858</v>
      </c>
      <c r="F75">
        <v>5</v>
      </c>
      <c r="G75">
        <f>(H75/1.39135)*$K$5</f>
        <v>0.8557544830560249</v>
      </c>
      <c r="H75">
        <f>(F75*1.190654)*$L$5</f>
        <v>2.9766350000000004</v>
      </c>
      <c r="I75">
        <v>29.5372</v>
      </c>
      <c r="J75">
        <f>D75/(F75/3.362524)</f>
        <v>2.46790752293578</v>
      </c>
      <c r="K75">
        <f>G75/(H75/1.39135)</f>
        <v>0.4</v>
      </c>
      <c r="L75">
        <f>(H75/1.190654)/F75</f>
        <v>0.5</v>
      </c>
    </row>
    <row r="76">
      <c r="B76">
        <v>71</v>
      </c>
      <c r="C76">
        <v>11</v>
      </c>
      <c r="D76">
        <v>3.6697247706422016</v>
      </c>
      <c r="E76">
        <v>1.4236452857142858</v>
      </c>
      <c r="F76">
        <v>5</v>
      </c>
      <c r="G76">
        <f>(H76/1.39135)*$K$5</f>
        <v>0.8557544830560249</v>
      </c>
      <c r="H76">
        <f>(F76*1.190654)*$L$5</f>
        <v>2.9766350000000004</v>
      </c>
      <c r="I76">
        <v>29.5372</v>
      </c>
      <c r="J76">
        <f>D76/(F76/3.362524)</f>
        <v>2.46790752293578</v>
      </c>
      <c r="K76">
        <f>G76/(H76/1.39135)</f>
        <v>0.4</v>
      </c>
      <c r="L76">
        <f>(H76/1.190654)/F76</f>
        <v>0.5</v>
      </c>
    </row>
    <row r="77">
      <c r="B77">
        <v>72</v>
      </c>
      <c r="C77">
        <v>11</v>
      </c>
      <c r="D77">
        <v>3.6697247706422016</v>
      </c>
      <c r="E77">
        <v>1.4236452857142858</v>
      </c>
      <c r="F77">
        <v>5</v>
      </c>
      <c r="G77">
        <f>(H77/1.39135)*$K$5</f>
        <v>0.8557544830560249</v>
      </c>
      <c r="H77">
        <f>(F77*1.190654)*$L$5</f>
        <v>2.9766350000000004</v>
      </c>
      <c r="I77">
        <v>29.5372</v>
      </c>
      <c r="J77">
        <f>D77/(F77/3.362524)</f>
        <v>2.46790752293578</v>
      </c>
      <c r="K77">
        <f>G77/(H77/1.39135)</f>
        <v>0.4</v>
      </c>
      <c r="L77">
        <f>(H77/1.190654)/F77</f>
        <v>0.5</v>
      </c>
    </row>
    <row r="78">
      <c r="B78">
        <v>73</v>
      </c>
      <c r="C78">
        <v>11</v>
      </c>
      <c r="D78">
        <v>3.6697247706422016</v>
      </c>
      <c r="E78">
        <v>1.4236452857142858</v>
      </c>
      <c r="F78">
        <v>5</v>
      </c>
      <c r="G78">
        <f>(H78/1.39135)*$K$5</f>
        <v>0.8557544830560249</v>
      </c>
      <c r="H78">
        <f>(F78*1.190654)*$L$5</f>
        <v>2.9766350000000004</v>
      </c>
      <c r="I78">
        <v>29.5372</v>
      </c>
      <c r="J78">
        <f>D78/(F78/3.362524)</f>
        <v>2.46790752293578</v>
      </c>
      <c r="K78">
        <f>G78/(H78/1.39135)</f>
        <v>0.4</v>
      </c>
      <c r="L78">
        <f>(H78/1.190654)/F78</f>
        <v>0.5</v>
      </c>
    </row>
    <row r="79">
      <c r="B79">
        <v>74</v>
      </c>
      <c r="C79">
        <v>11</v>
      </c>
      <c r="D79">
        <v>3.6697247706422016</v>
      </c>
      <c r="E79">
        <v>1.4236452857142858</v>
      </c>
      <c r="F79">
        <v>5</v>
      </c>
      <c r="G79">
        <f>(H79/1.39135)*$K$5</f>
        <v>0.8557544830560249</v>
      </c>
      <c r="H79">
        <f>(F79*1.190654)*$L$5</f>
        <v>2.9766350000000004</v>
      </c>
      <c r="I79">
        <v>29.5372</v>
      </c>
      <c r="J79">
        <f>D79/(F79/3.362524)</f>
        <v>2.46790752293578</v>
      </c>
      <c r="K79">
        <f>G79/(H79/1.39135)</f>
        <v>0.4</v>
      </c>
      <c r="L79">
        <f>(H79/1.190654)/F79</f>
        <v>0.5</v>
      </c>
    </row>
    <row r="80">
      <c r="B80">
        <v>75</v>
      </c>
      <c r="C80">
        <v>11</v>
      </c>
      <c r="D80">
        <v>3.6697247706422016</v>
      </c>
      <c r="E80">
        <v>1.4236452857142858</v>
      </c>
      <c r="F80">
        <v>5</v>
      </c>
      <c r="G80">
        <f>(H80/1.39135)*$K$5</f>
        <v>0.8557544830560249</v>
      </c>
      <c r="H80">
        <f>(F80*1.190654)*$L$5</f>
        <v>2.9766350000000004</v>
      </c>
      <c r="I80">
        <v>29.5372</v>
      </c>
      <c r="J80">
        <f>D80/(F80/3.362524)</f>
        <v>2.46790752293578</v>
      </c>
      <c r="K80">
        <f>G80/(H80/1.39135)</f>
        <v>0.4</v>
      </c>
      <c r="L80">
        <f>(H80/1.190654)/F80</f>
        <v>0.5</v>
      </c>
    </row>
    <row r="81">
      <c r="B81">
        <v>76</v>
      </c>
      <c r="C81">
        <v>11</v>
      </c>
      <c r="D81">
        <v>3.6697247706422016</v>
      </c>
      <c r="E81">
        <v>1.4236452857142858</v>
      </c>
      <c r="F81">
        <v>5</v>
      </c>
      <c r="G81">
        <f>(H81/1.39135)*$K$5</f>
        <v>0.8557544830560249</v>
      </c>
      <c r="H81">
        <f>(F81*1.190654)*$L$5</f>
        <v>2.9766350000000004</v>
      </c>
      <c r="I81">
        <v>29.5372</v>
      </c>
      <c r="J81">
        <f>D81/(F81/3.362524)</f>
        <v>2.46790752293578</v>
      </c>
      <c r="K81">
        <f>G81/(H81/1.39135)</f>
        <v>0.4</v>
      </c>
      <c r="L81">
        <f>(H81/1.190654)/F81</f>
        <v>0.5</v>
      </c>
    </row>
    <row r="82">
      <c r="B82">
        <v>77</v>
      </c>
      <c r="C82">
        <v>11</v>
      </c>
      <c r="D82">
        <v>3.6697247706422016</v>
      </c>
      <c r="E82">
        <v>1.4236452857142858</v>
      </c>
      <c r="F82">
        <v>5</v>
      </c>
      <c r="G82">
        <f>(H82/1.39135)*$K$5</f>
        <v>0.8557544830560249</v>
      </c>
      <c r="H82">
        <f>(F82*1.190654)*$L$5</f>
        <v>2.9766350000000004</v>
      </c>
      <c r="I82">
        <v>29.5372</v>
      </c>
      <c r="J82">
        <f>D82/(F82/3.362524)</f>
        <v>2.46790752293578</v>
      </c>
      <c r="K82">
        <f>G82/(H82/1.39135)</f>
        <v>0.4</v>
      </c>
      <c r="L82">
        <f>(H82/1.190654)/F82</f>
        <v>0.5</v>
      </c>
    </row>
    <row r="83">
      <c r="B83">
        <v>78</v>
      </c>
      <c r="C83">
        <v>12</v>
      </c>
      <c r="D83">
        <v>3.6697247706422016</v>
      </c>
      <c r="E83">
        <v>1.4236452857142858</v>
      </c>
      <c r="F83">
        <v>5</v>
      </c>
      <c r="G83">
        <f>(H83/1.39135)*$K$5</f>
        <v>0.8557544830560249</v>
      </c>
      <c r="H83">
        <f>(F83*1.190654)*$L$5</f>
        <v>2.9766350000000004</v>
      </c>
      <c r="I83">
        <v>29.5372</v>
      </c>
      <c r="J83">
        <f>D83/(F83/3.362524)</f>
        <v>2.46790752293578</v>
      </c>
      <c r="K83">
        <f>G83/(H83/1.39135)</f>
        <v>0.4</v>
      </c>
      <c r="L83">
        <f>(H83/1.190654)/F83</f>
        <v>0.5</v>
      </c>
    </row>
    <row r="84">
      <c r="B84">
        <v>79</v>
      </c>
      <c r="C84">
        <v>12</v>
      </c>
      <c r="D84">
        <v>3.6697247706422016</v>
      </c>
      <c r="E84">
        <v>1.4236452857142858</v>
      </c>
      <c r="F84">
        <v>5</v>
      </c>
      <c r="G84">
        <f>(H84/1.39135)*$K$5</f>
        <v>0.8557544830560249</v>
      </c>
      <c r="H84">
        <f>(F84*1.190654)*$L$5</f>
        <v>2.9766350000000004</v>
      </c>
      <c r="I84">
        <v>29.5372</v>
      </c>
      <c r="J84">
        <f>D84/(F84/3.362524)</f>
        <v>2.46790752293578</v>
      </c>
      <c r="K84">
        <f>G84/(H84/1.39135)</f>
        <v>0.4</v>
      </c>
      <c r="L84">
        <f>(H84/1.190654)/F84</f>
        <v>0.5</v>
      </c>
    </row>
    <row r="85">
      <c r="B85">
        <v>80</v>
      </c>
      <c r="C85">
        <v>12</v>
      </c>
      <c r="D85">
        <v>3.6697247706422016</v>
      </c>
      <c r="E85">
        <v>1.4236452857142858</v>
      </c>
      <c r="F85">
        <v>5</v>
      </c>
      <c r="G85">
        <f>(H85/1.39135)*$K$5</f>
        <v>0.8557544830560249</v>
      </c>
      <c r="H85">
        <f>(F85*1.190654)*$L$5</f>
        <v>2.9766350000000004</v>
      </c>
      <c r="I85">
        <v>29.5372</v>
      </c>
      <c r="J85">
        <f>D85/(F85/3.362524)</f>
        <v>2.46790752293578</v>
      </c>
      <c r="K85">
        <f>G85/(H85/1.39135)</f>
        <v>0.4</v>
      </c>
      <c r="L85">
        <f>(H85/1.190654)/F85</f>
        <v>0.5</v>
      </c>
    </row>
    <row r="86">
      <c r="B86">
        <v>81</v>
      </c>
      <c r="C86">
        <v>12</v>
      </c>
      <c r="D86">
        <v>3.6697247706422016</v>
      </c>
      <c r="E86">
        <v>1.4236452857142858</v>
      </c>
      <c r="F86">
        <v>5</v>
      </c>
      <c r="G86">
        <f>(H86/1.39135)*$K$5</f>
        <v>0.8557544830560249</v>
      </c>
      <c r="H86">
        <f>(F86*1.190654)*$L$5</f>
        <v>2.9766350000000004</v>
      </c>
      <c r="I86">
        <v>35.6483</v>
      </c>
      <c r="J86">
        <f>D86/(F86/3.362524)</f>
        <v>2.46790752293578</v>
      </c>
      <c r="K86">
        <f>G86/(H86/1.39135)</f>
        <v>0.4</v>
      </c>
      <c r="L86">
        <f>(H86/1.190654)/F86</f>
        <v>0.5</v>
      </c>
    </row>
    <row r="87">
      <c r="B87">
        <v>82</v>
      </c>
      <c r="C87">
        <v>12</v>
      </c>
      <c r="D87">
        <v>3.6697247706422016</v>
      </c>
      <c r="E87">
        <v>1.4236452857142858</v>
      </c>
      <c r="F87">
        <v>5</v>
      </c>
      <c r="G87">
        <f>(H87/1.39135)*$K$5</f>
        <v>0.8557544830560249</v>
      </c>
      <c r="H87">
        <f>(F87*1.190654)*$L$5</f>
        <v>2.9766350000000004</v>
      </c>
      <c r="I87">
        <v>35.6483</v>
      </c>
      <c r="J87">
        <f>D87/(F87/3.362524)</f>
        <v>2.46790752293578</v>
      </c>
      <c r="K87">
        <f>G87/(H87/1.39135)</f>
        <v>0.4</v>
      </c>
      <c r="L87">
        <f>(H87/1.190654)/F87</f>
        <v>0.5</v>
      </c>
    </row>
    <row r="88">
      <c r="B88">
        <v>83</v>
      </c>
      <c r="C88">
        <v>12</v>
      </c>
      <c r="D88">
        <v>3.6697247706422016</v>
      </c>
      <c r="E88">
        <v>1.4236452857142858</v>
      </c>
      <c r="F88">
        <v>5</v>
      </c>
      <c r="G88">
        <f>(H88/1.39135)*$K$5</f>
        <v>0.8557544830560249</v>
      </c>
      <c r="H88">
        <f>(F88*1.190654)*$L$5</f>
        <v>2.9766350000000004</v>
      </c>
      <c r="I88">
        <v>35.6483</v>
      </c>
      <c r="J88">
        <f>D88/(F88/3.362524)</f>
        <v>2.46790752293578</v>
      </c>
      <c r="K88">
        <f>G88/(H88/1.39135)</f>
        <v>0.4</v>
      </c>
      <c r="L88">
        <f>(H88/1.190654)/F88</f>
        <v>0.5</v>
      </c>
    </row>
    <row r="89">
      <c r="B89">
        <v>84</v>
      </c>
      <c r="C89">
        <v>12</v>
      </c>
      <c r="D89">
        <v>3.6697247706422016</v>
      </c>
      <c r="E89">
        <v>1.4236452857142858</v>
      </c>
      <c r="F89">
        <v>5</v>
      </c>
      <c r="G89">
        <f>(H89/1.39135)*$K$5</f>
        <v>0.8557544830560249</v>
      </c>
      <c r="H89">
        <f>(F89*1.190654)*$L$5</f>
        <v>2.9766350000000004</v>
      </c>
      <c r="I89">
        <v>35.6483</v>
      </c>
      <c r="J89">
        <f>D89/(F89/3.362524)</f>
        <v>2.46790752293578</v>
      </c>
      <c r="K89">
        <f>G89/(H89/1.39135)</f>
        <v>0.4</v>
      </c>
      <c r="L89">
        <f>(H89/1.190654)/F89</f>
        <v>0.5</v>
      </c>
    </row>
    <row r="90">
      <c r="B90">
        <v>85</v>
      </c>
      <c r="C90">
        <v>13</v>
      </c>
      <c r="D90">
        <v>3.6697247706422016</v>
      </c>
      <c r="E90">
        <v>1.4236452857142858</v>
      </c>
      <c r="F90">
        <v>5</v>
      </c>
      <c r="G90">
        <f>(H90/1.39135)*$K$5</f>
        <v>0.8557544830560249</v>
      </c>
      <c r="H90">
        <f>(F90*1.190654)*$L$5</f>
        <v>2.9766350000000004</v>
      </c>
      <c r="I90">
        <v>35.6483</v>
      </c>
      <c r="J90">
        <f>D90/(F90/3.362524)</f>
        <v>2.46790752293578</v>
      </c>
      <c r="K90">
        <f>G90/(H90/1.39135)</f>
        <v>0.4</v>
      </c>
      <c r="L90">
        <f>(H90/1.190654)/F90</f>
        <v>0.5</v>
      </c>
    </row>
    <row r="91">
      <c r="B91">
        <v>86</v>
      </c>
      <c r="C91">
        <v>13</v>
      </c>
      <c r="D91">
        <v>3.6697247706422016</v>
      </c>
      <c r="E91">
        <v>1.4236452857142858</v>
      </c>
      <c r="F91">
        <v>5</v>
      </c>
      <c r="G91">
        <f>(H91/1.39135)*$K$5</f>
        <v>0.8557544830560249</v>
      </c>
      <c r="H91">
        <f>(F91*1.190654)*$L$5</f>
        <v>2.9766350000000004</v>
      </c>
      <c r="I91">
        <v>35.6483</v>
      </c>
      <c r="J91">
        <f>D91/(F91/3.362524)</f>
        <v>2.46790752293578</v>
      </c>
      <c r="K91">
        <f>G91/(H91/1.39135)</f>
        <v>0.4</v>
      </c>
      <c r="L91">
        <f>(H91/1.190654)/F91</f>
        <v>0.5</v>
      </c>
    </row>
    <row r="92">
      <c r="B92">
        <v>87</v>
      </c>
      <c r="C92">
        <v>13</v>
      </c>
      <c r="D92">
        <v>3.6697247706422016</v>
      </c>
      <c r="E92">
        <v>1.4236452857142858</v>
      </c>
      <c r="F92">
        <v>5</v>
      </c>
      <c r="G92">
        <f>(H92/1.39135)*$K$5</f>
        <v>0.8557544830560249</v>
      </c>
      <c r="H92">
        <f>(F92*1.190654)*$L$5</f>
        <v>2.9766350000000004</v>
      </c>
      <c r="I92">
        <v>35.6483</v>
      </c>
      <c r="J92">
        <f>D92/(F92/3.362524)</f>
        <v>2.46790752293578</v>
      </c>
      <c r="K92">
        <f>G92/(H92/1.39135)</f>
        <v>0.4</v>
      </c>
      <c r="L92">
        <f>(H92/1.190654)/F92</f>
        <v>0.5</v>
      </c>
    </row>
    <row r="93">
      <c r="B93">
        <v>88</v>
      </c>
      <c r="C93">
        <v>13</v>
      </c>
      <c r="D93">
        <v>3.6697247706422016</v>
      </c>
      <c r="E93">
        <v>1.4236452857142858</v>
      </c>
      <c r="F93">
        <v>5</v>
      </c>
      <c r="G93">
        <f>(H93/1.39135)*$K$5</f>
        <v>0.8557544830560249</v>
      </c>
      <c r="H93">
        <f>(F93*1.190654)*$L$5</f>
        <v>2.9766350000000004</v>
      </c>
      <c r="I93">
        <v>35.6483</v>
      </c>
      <c r="J93">
        <f>D93/(F93/3.362524)</f>
        <v>2.46790752293578</v>
      </c>
      <c r="K93">
        <f>G93/(H93/1.39135)</f>
        <v>0.4</v>
      </c>
      <c r="L93">
        <f>(H93/1.190654)/F93</f>
        <v>0.5</v>
      </c>
    </row>
    <row r="94">
      <c r="B94">
        <v>89</v>
      </c>
      <c r="C94">
        <v>13</v>
      </c>
      <c r="D94">
        <v>3.6697247706422016</v>
      </c>
      <c r="E94">
        <v>1.4236452857142858</v>
      </c>
      <c r="F94">
        <v>5</v>
      </c>
      <c r="G94">
        <f>(H94/1.39135)*$K$5</f>
        <v>0.8557544830560249</v>
      </c>
      <c r="H94">
        <f>(F94*1.190654)*$L$5</f>
        <v>2.9766350000000004</v>
      </c>
      <c r="I94">
        <v>35.6483</v>
      </c>
      <c r="J94">
        <f>D94/(F94/3.362524)</f>
        <v>2.46790752293578</v>
      </c>
      <c r="K94">
        <f>G94/(H94/1.39135)</f>
        <v>0.4</v>
      </c>
      <c r="L94">
        <f>(H94/1.190654)/F94</f>
        <v>0.5</v>
      </c>
    </row>
    <row r="95">
      <c r="B95">
        <v>90</v>
      </c>
      <c r="C95">
        <v>13</v>
      </c>
      <c r="D95">
        <v>3.6697247706422016</v>
      </c>
      <c r="E95">
        <v>1.4236452857142858</v>
      </c>
      <c r="F95">
        <v>5</v>
      </c>
      <c r="G95">
        <f>(H95/1.39135)*$K$5</f>
        <v>0.8557544830560249</v>
      </c>
      <c r="H95">
        <f>(F95*1.190654)*$L$5</f>
        <v>2.9766350000000004</v>
      </c>
      <c r="I95">
        <v>35.6483</v>
      </c>
      <c r="J95">
        <f>D95/(F95/3.362524)</f>
        <v>2.46790752293578</v>
      </c>
      <c r="K95">
        <f>G95/(H95/1.39135)</f>
        <v>0.4</v>
      </c>
      <c r="L95">
        <f>(H95/1.190654)/F95</f>
        <v>0.5</v>
      </c>
    </row>
    <row r="96">
      <c r="B96">
        <v>91</v>
      </c>
      <c r="C96">
        <v>13</v>
      </c>
      <c r="D96">
        <v>3.6697247706422016</v>
      </c>
      <c r="E96">
        <v>1.4236452857142858</v>
      </c>
      <c r="F96">
        <v>5</v>
      </c>
      <c r="G96">
        <f>(H96/1.39135)*$K$5</f>
        <v>0.8557544830560249</v>
      </c>
      <c r="H96">
        <f>(F96*1.190654)*$L$5</f>
        <v>2.9766350000000004</v>
      </c>
      <c r="I96">
        <v>35.6483</v>
      </c>
      <c r="J96">
        <f>D96/(F96/3.362524)</f>
        <v>2.46790752293578</v>
      </c>
      <c r="K96">
        <f>G96/(H96/1.39135)</f>
        <v>0.4</v>
      </c>
      <c r="L96">
        <f>(H96/1.190654)/F96</f>
        <v>0.5</v>
      </c>
    </row>
    <row r="97">
      <c r="B97">
        <v>92</v>
      </c>
      <c r="C97">
        <v>14</v>
      </c>
      <c r="D97">
        <v>3.6697247706422016</v>
      </c>
      <c r="E97">
        <v>1.4236452857142858</v>
      </c>
      <c r="F97">
        <v>5</v>
      </c>
      <c r="G97">
        <f>(H97/1.39135)*$K$5</f>
        <v>0.8557544830560249</v>
      </c>
      <c r="H97">
        <f>(F97*1.190654)*$L$5</f>
        <v>2.9766350000000004</v>
      </c>
      <c r="I97">
        <v>35.6483</v>
      </c>
      <c r="J97">
        <f>D97/(F97/3.362524)</f>
        <v>2.46790752293578</v>
      </c>
      <c r="K97">
        <f>G97/(H97/1.39135)</f>
        <v>0.4</v>
      </c>
      <c r="L97">
        <f>(H97/1.190654)/F97</f>
        <v>0.5</v>
      </c>
    </row>
    <row r="98">
      <c r="B98">
        <v>93</v>
      </c>
      <c r="C98">
        <v>14</v>
      </c>
      <c r="D98">
        <v>3.6697247706422016</v>
      </c>
      <c r="E98">
        <v>1.4236452857142858</v>
      </c>
      <c r="F98">
        <v>5</v>
      </c>
      <c r="G98">
        <f>(H98/1.39135)*$K$5</f>
        <v>0.8557544830560249</v>
      </c>
      <c r="H98">
        <f>(F98*1.190654)*$L$5</f>
        <v>2.9766350000000004</v>
      </c>
      <c r="I98">
        <v>35.6483</v>
      </c>
      <c r="J98">
        <f>D98/(F98/3.362524)</f>
        <v>2.46790752293578</v>
      </c>
      <c r="K98">
        <f>G98/(H98/1.39135)</f>
        <v>0.4</v>
      </c>
      <c r="L98">
        <f>(H98/1.190654)/F98</f>
        <v>0.5</v>
      </c>
    </row>
    <row r="99">
      <c r="B99">
        <v>94</v>
      </c>
      <c r="C99">
        <v>14</v>
      </c>
      <c r="D99">
        <v>3.6697247706422016</v>
      </c>
      <c r="E99">
        <v>1.4236452857142858</v>
      </c>
      <c r="F99">
        <v>5</v>
      </c>
      <c r="G99">
        <f>(H99/1.39135)*$K$5</f>
        <v>0.8557544830560249</v>
      </c>
      <c r="H99">
        <f>(F99*1.190654)*$L$5</f>
        <v>2.9766350000000004</v>
      </c>
      <c r="I99">
        <v>35.6483</v>
      </c>
      <c r="J99">
        <f>D99/(F99/3.362524)</f>
        <v>2.46790752293578</v>
      </c>
      <c r="K99">
        <f>G99/(H99/1.39135)</f>
        <v>0.4</v>
      </c>
      <c r="L99">
        <f>(H99/1.190654)/F99</f>
        <v>0.5</v>
      </c>
    </row>
    <row r="100">
      <c r="B100">
        <v>95</v>
      </c>
      <c r="C100">
        <v>14</v>
      </c>
      <c r="D100">
        <v>3.6697247706422016</v>
      </c>
      <c r="E100">
        <v>1.4236452857142858</v>
      </c>
      <c r="F100">
        <v>5</v>
      </c>
      <c r="G100">
        <f>(H100/1.39135)*$K$5</f>
        <v>0.8557544830560249</v>
      </c>
      <c r="H100">
        <f>(F100*1.190654)*$L$5</f>
        <v>2.9766350000000004</v>
      </c>
      <c r="I100">
        <v>35.6483</v>
      </c>
      <c r="J100">
        <f>D100/(F100/3.362524)</f>
        <v>2.46790752293578</v>
      </c>
      <c r="K100">
        <f>G100/(H100/1.39135)</f>
        <v>0.4</v>
      </c>
      <c r="L100">
        <f>(H100/1.190654)/F100</f>
        <v>0.5</v>
      </c>
    </row>
    <row r="101">
      <c r="B101">
        <v>96</v>
      </c>
      <c r="C101">
        <v>14</v>
      </c>
      <c r="D101">
        <v>3.6697247706422016</v>
      </c>
      <c r="E101">
        <v>1.4236452857142858</v>
      </c>
      <c r="F101">
        <v>5</v>
      </c>
      <c r="G101">
        <f>(H101/1.39135)*$K$5</f>
        <v>0.8557544830560249</v>
      </c>
      <c r="H101">
        <f>(F101*1.190654)*$L$5</f>
        <v>2.9766350000000004</v>
      </c>
      <c r="I101">
        <v>35.6483</v>
      </c>
      <c r="J101">
        <f>D101/(F101/3.362524)</f>
        <v>2.46790752293578</v>
      </c>
      <c r="K101">
        <f>G101/(H101/1.39135)</f>
        <v>0.4</v>
      </c>
      <c r="L101">
        <f>(H101/1.190654)/F101</f>
        <v>0.5</v>
      </c>
    </row>
    <row r="102">
      <c r="B102">
        <v>97</v>
      </c>
      <c r="C102">
        <v>14</v>
      </c>
      <c r="D102">
        <v>3.6697247706422016</v>
      </c>
      <c r="E102">
        <v>1.4236452857142858</v>
      </c>
      <c r="F102">
        <v>5</v>
      </c>
      <c r="G102">
        <f>(H102/1.39135)*$K$5</f>
        <v>0.8557544830560249</v>
      </c>
      <c r="H102">
        <f>(F102*1.190654)*$L$5</f>
        <v>2.9766350000000004</v>
      </c>
      <c r="I102">
        <v>35.6483</v>
      </c>
      <c r="J102">
        <f>D102/(F102/3.362524)</f>
        <v>2.46790752293578</v>
      </c>
      <c r="K102">
        <f>G102/(H102/1.39135)</f>
        <v>0.4</v>
      </c>
      <c r="L102">
        <f>(H102/1.190654)/F102</f>
        <v>0.5</v>
      </c>
    </row>
    <row r="103">
      <c r="B103">
        <v>98</v>
      </c>
      <c r="C103">
        <v>14</v>
      </c>
      <c r="D103">
        <v>3.6697247706422016</v>
      </c>
      <c r="E103">
        <v>1.4236452857142858</v>
      </c>
      <c r="F103">
        <v>5</v>
      </c>
      <c r="G103">
        <f>(H103/1.39135)*$K$5</f>
        <v>0.8557544830560249</v>
      </c>
      <c r="H103">
        <f>(F103*1.190654)*$L$5</f>
        <v>2.9766350000000004</v>
      </c>
      <c r="I103">
        <v>35.6483</v>
      </c>
      <c r="J103">
        <f>D103/(F103/3.362524)</f>
        <v>2.46790752293578</v>
      </c>
      <c r="K103">
        <f>G103/(H103/1.39135)</f>
        <v>0.4</v>
      </c>
      <c r="L103">
        <f>(H103/1.190654)/F103</f>
        <v>0.5</v>
      </c>
    </row>
    <row r="104">
      <c r="B104">
        <v>99</v>
      </c>
      <c r="C104">
        <v>15</v>
      </c>
      <c r="D104">
        <v>3.6697247706422016</v>
      </c>
      <c r="E104">
        <v>1.4236452857142858</v>
      </c>
      <c r="F104">
        <v>5</v>
      </c>
      <c r="G104">
        <f>(H104/1.39135)*$K$5</f>
        <v>0.8557544830560249</v>
      </c>
      <c r="H104">
        <f>(F104*1.190654)*$L$5</f>
        <v>2.9766350000000004</v>
      </c>
      <c r="I104">
        <v>35.6483</v>
      </c>
      <c r="J104">
        <f>D104/(F104/3.362524)</f>
        <v>2.46790752293578</v>
      </c>
      <c r="K104">
        <f>G104/(H104/1.39135)</f>
        <v>0.4</v>
      </c>
      <c r="L104">
        <f>(H104/1.190654)/F104</f>
        <v>0.5</v>
      </c>
    </row>
    <row r="105">
      <c r="B105">
        <v>100</v>
      </c>
      <c r="C105">
        <v>15</v>
      </c>
      <c r="D105">
        <v>3.6697247706422016</v>
      </c>
      <c r="E105">
        <v>1.4236452857142858</v>
      </c>
      <c r="F105">
        <v>5</v>
      </c>
      <c r="G105">
        <f>(H105/1.39135)*$K$5</f>
        <v>0.8557544830560249</v>
      </c>
      <c r="H105">
        <f>(F105*1.190654)*$L$5</f>
        <v>2.9766350000000004</v>
      </c>
      <c r="I105">
        <v>35.6483</v>
      </c>
      <c r="J105">
        <f>D105/(F105/3.362524)</f>
        <v>2.46790752293578</v>
      </c>
      <c r="K105">
        <f>G105/(H105/1.39135)</f>
        <v>0.4</v>
      </c>
      <c r="L105">
        <f>(H105/1.190654)/F105</f>
        <v>0.5</v>
      </c>
    </row>
    <row r="106">
      <c r="B106">
        <v>101</v>
      </c>
      <c r="C106">
        <v>15</v>
      </c>
      <c r="D106">
        <v>3.6697247706422016</v>
      </c>
      <c r="E106">
        <v>1.4236452857142858</v>
      </c>
      <c r="F106">
        <v>5</v>
      </c>
      <c r="G106">
        <f>(H106/1.39135)*$K$5</f>
        <v>0.8557544830560249</v>
      </c>
      <c r="H106">
        <f>(F106*1.190654)*$L$5</f>
        <v>2.9766350000000004</v>
      </c>
      <c r="I106">
        <v>35.6483</v>
      </c>
      <c r="J106">
        <f>D106/(F106/3.362524)</f>
        <v>2.46790752293578</v>
      </c>
      <c r="K106">
        <f>G106/(H106/1.39135)</f>
        <v>0.4</v>
      </c>
      <c r="L106">
        <f>(H106/1.190654)/F106</f>
        <v>0.5</v>
      </c>
    </row>
    <row r="107">
      <c r="B107">
        <v>102</v>
      </c>
      <c r="C107">
        <v>15</v>
      </c>
      <c r="D107">
        <v>3.6697247706422016</v>
      </c>
      <c r="E107">
        <v>1.4236452857142858</v>
      </c>
      <c r="F107">
        <v>5</v>
      </c>
      <c r="G107">
        <f>(H107/1.39135)*$K$5</f>
        <v>0.8557544830560249</v>
      </c>
      <c r="H107">
        <f>(F107*1.190654)*$L$5</f>
        <v>2.9766350000000004</v>
      </c>
      <c r="I107">
        <v>35.6483</v>
      </c>
      <c r="J107">
        <f>D107/(F107/3.362524)</f>
        <v>2.46790752293578</v>
      </c>
      <c r="K107">
        <f>G107/(H107/1.39135)</f>
        <v>0.4</v>
      </c>
      <c r="L107">
        <f>(H107/1.190654)/F107</f>
        <v>0.5</v>
      </c>
    </row>
    <row r="108">
      <c r="B108">
        <v>103</v>
      </c>
      <c r="C108">
        <v>15</v>
      </c>
      <c r="D108">
        <v>3.6697247706422016</v>
      </c>
      <c r="E108">
        <v>1.4236452857142858</v>
      </c>
      <c r="F108">
        <v>5</v>
      </c>
      <c r="G108">
        <f>(H108/1.39135)*$K$5</f>
        <v>0.8557544830560249</v>
      </c>
      <c r="H108">
        <f>(F108*1.190654)*$L$5</f>
        <v>2.9766350000000004</v>
      </c>
      <c r="I108">
        <v>35.6483</v>
      </c>
      <c r="J108">
        <f>D108/(F108/3.362524)</f>
        <v>2.46790752293578</v>
      </c>
      <c r="K108">
        <f>G108/(H108/1.39135)</f>
        <v>0.4</v>
      </c>
      <c r="L108">
        <f>(H108/1.190654)/F108</f>
        <v>0.5</v>
      </c>
    </row>
    <row r="109">
      <c r="B109">
        <v>104</v>
      </c>
      <c r="C109">
        <v>15</v>
      </c>
      <c r="D109">
        <v>3.6697247706422016</v>
      </c>
      <c r="E109">
        <v>1.4236452857142858</v>
      </c>
      <c r="F109">
        <v>5</v>
      </c>
      <c r="G109">
        <f>(H109/1.39135)*$K$5</f>
        <v>0.8557544830560249</v>
      </c>
      <c r="H109">
        <f>(F109*1.190654)*$L$5</f>
        <v>2.9766350000000004</v>
      </c>
      <c r="I109">
        <v>35.6483</v>
      </c>
      <c r="J109">
        <f>D109/(F109/3.362524)</f>
        <v>2.46790752293578</v>
      </c>
      <c r="K109">
        <f>G109/(H109/1.39135)</f>
        <v>0.4</v>
      </c>
      <c r="L109">
        <f>(H109/1.190654)/F109</f>
        <v>0.5</v>
      </c>
    </row>
    <row r="110">
      <c r="B110">
        <v>105</v>
      </c>
      <c r="C110">
        <v>15</v>
      </c>
      <c r="D110">
        <v>3.6697247706422016</v>
      </c>
      <c r="E110">
        <v>1.4236452857142858</v>
      </c>
      <c r="F110">
        <v>5</v>
      </c>
      <c r="G110">
        <f>(H110/1.39135)*$K$5</f>
        <v>0.8557544830560249</v>
      </c>
      <c r="H110">
        <f>(F110*1.190654)*$L$5</f>
        <v>2.9766350000000004</v>
      </c>
      <c r="I110">
        <v>35.6483</v>
      </c>
      <c r="J110">
        <f>D110/(F110/3.362524)</f>
        <v>2.46790752293578</v>
      </c>
      <c r="K110">
        <f>G110/(H110/1.39135)</f>
        <v>0.4</v>
      </c>
      <c r="L110">
        <f>(H110/1.190654)/F110</f>
        <v>0.5</v>
      </c>
    </row>
    <row r="111">
      <c r="B111">
        <v>106</v>
      </c>
      <c r="C111">
        <v>16</v>
      </c>
      <c r="D111">
        <v>3.6697247706422016</v>
      </c>
      <c r="E111">
        <v>1.4236452857142858</v>
      </c>
      <c r="F111">
        <v>5</v>
      </c>
      <c r="G111">
        <f>(H111/1.39135)*$K$5</f>
        <v>0.8557544830560249</v>
      </c>
      <c r="H111">
        <f>(F111*1.190654)*$L$5</f>
        <v>2.9766350000000004</v>
      </c>
      <c r="I111">
        <v>35.6483</v>
      </c>
      <c r="J111">
        <f>D111/(F111/3.362524)</f>
        <v>2.46790752293578</v>
      </c>
      <c r="K111">
        <f>G111/(H111/1.39135)</f>
        <v>0.4</v>
      </c>
      <c r="L111">
        <f>(H111/1.190654)/F111</f>
        <v>0.5</v>
      </c>
    </row>
    <row r="112">
      <c r="B112">
        <v>107</v>
      </c>
      <c r="C112">
        <v>16</v>
      </c>
      <c r="D112">
        <v>3.6697247706422016</v>
      </c>
      <c r="E112">
        <v>1.4236452857142858</v>
      </c>
      <c r="F112">
        <v>5</v>
      </c>
      <c r="G112">
        <f>(H112/1.39135)*$K$5</f>
        <v>0.8557544830560249</v>
      </c>
      <c r="H112">
        <f>(F112*1.190654)*$L$5</f>
        <v>2.9766350000000004</v>
      </c>
      <c r="I112">
        <v>35.6483</v>
      </c>
      <c r="J112">
        <f>D112/(F112/3.362524)</f>
        <v>2.46790752293578</v>
      </c>
      <c r="K112">
        <f>G112/(H112/1.39135)</f>
        <v>0.4</v>
      </c>
      <c r="L112">
        <f>(H112/1.190654)/F112</f>
        <v>0.5</v>
      </c>
    </row>
    <row r="113">
      <c r="B113">
        <v>108</v>
      </c>
      <c r="C113">
        <v>16</v>
      </c>
      <c r="D113">
        <v>3.6697247706422016</v>
      </c>
      <c r="E113">
        <v>1.4236452857142858</v>
      </c>
      <c r="F113">
        <v>5</v>
      </c>
      <c r="G113">
        <f>(H113/1.39135)*$K$5</f>
        <v>0.8557544830560249</v>
      </c>
      <c r="H113">
        <f>(F113*1.190654)*$L$5</f>
        <v>2.9766350000000004</v>
      </c>
      <c r="I113">
        <v>35.6483</v>
      </c>
      <c r="J113">
        <f>D113/(F113/3.362524)</f>
        <v>2.46790752293578</v>
      </c>
      <c r="K113">
        <f>G113/(H113/1.39135)</f>
        <v>0.4</v>
      </c>
      <c r="L113">
        <f>(H113/1.190654)/F113</f>
        <v>0.5</v>
      </c>
    </row>
    <row r="114">
      <c r="B114">
        <v>109</v>
      </c>
      <c r="C114">
        <v>16</v>
      </c>
      <c r="D114">
        <v>3.6697247706422016</v>
      </c>
      <c r="E114">
        <v>1.4236452857142858</v>
      </c>
      <c r="F114">
        <v>5</v>
      </c>
      <c r="G114">
        <f>(H114/1.39135)*$K$5</f>
        <v>0.8557544830560249</v>
      </c>
      <c r="H114">
        <f>(F114*1.190654)*$L$5</f>
        <v>2.9766350000000004</v>
      </c>
      <c r="I114">
        <v>35.6483</v>
      </c>
      <c r="J114">
        <f>D114/(F114/3.362524)</f>
        <v>2.46790752293578</v>
      </c>
      <c r="K114">
        <f>G114/(H114/1.39135)</f>
        <v>0.4</v>
      </c>
      <c r="L114">
        <f>(H114/1.190654)/F114</f>
        <v>0.5</v>
      </c>
    </row>
    <row r="115">
      <c r="B115">
        <v>110</v>
      </c>
      <c r="C115">
        <v>16</v>
      </c>
      <c r="D115">
        <v>3.6697247706422016</v>
      </c>
      <c r="E115">
        <v>1.4236452857142858</v>
      </c>
      <c r="F115">
        <v>5</v>
      </c>
      <c r="G115">
        <f>(H115/1.39135)*$K$5</f>
        <v>0.8557544830560249</v>
      </c>
      <c r="H115">
        <f>(F115*1.190654)*$L$5</f>
        <v>2.9766350000000004</v>
      </c>
      <c r="I115">
        <v>35.6483</v>
      </c>
      <c r="J115">
        <f>D115/(F115/3.362524)</f>
        <v>2.46790752293578</v>
      </c>
      <c r="K115">
        <f>G115/(H115/1.39135)</f>
        <v>0.4</v>
      </c>
      <c r="L115">
        <f>(H115/1.190654)/F115</f>
        <v>0.5</v>
      </c>
    </row>
    <row r="116">
      <c r="B116">
        <v>111</v>
      </c>
      <c r="C116">
        <v>16</v>
      </c>
      <c r="D116">
        <v>3.6697247706422016</v>
      </c>
      <c r="E116">
        <v>1.4236452857142858</v>
      </c>
      <c r="F116">
        <v>5</v>
      </c>
      <c r="G116">
        <f>(H116/1.39135)*$K$5</f>
        <v>0.8557544830560249</v>
      </c>
      <c r="H116">
        <f>(F116*1.190654)*$L$5</f>
        <v>2.9766350000000004</v>
      </c>
      <c r="I116">
        <v>35.6483</v>
      </c>
      <c r="J116">
        <f>D116/(F116/3.362524)</f>
        <v>2.46790752293578</v>
      </c>
      <c r="K116">
        <f>G116/(H116/1.39135)</f>
        <v>0.4</v>
      </c>
      <c r="L116">
        <f>(H116/1.190654)/F116</f>
        <v>0.5</v>
      </c>
    </row>
    <row r="117">
      <c r="B117">
        <v>112</v>
      </c>
      <c r="C117">
        <v>16</v>
      </c>
      <c r="D117">
        <v>3.6697247706422016</v>
      </c>
      <c r="E117">
        <v>1.4236452857142858</v>
      </c>
      <c r="F117">
        <v>5</v>
      </c>
      <c r="G117">
        <f>(H117/1.39135)*$K$5</f>
        <v>0.8557544830560249</v>
      </c>
      <c r="H117">
        <f>(F117*1.190654)*$L$5</f>
        <v>2.9766350000000004</v>
      </c>
      <c r="I117">
        <v>35.6483</v>
      </c>
      <c r="J117">
        <f>D117/(F117/3.362524)</f>
        <v>2.46790752293578</v>
      </c>
      <c r="K117">
        <f>G117/(H117/1.39135)</f>
        <v>0.4</v>
      </c>
      <c r="L117">
        <f>(H117/1.190654)/F117</f>
        <v>0.5</v>
      </c>
    </row>
    <row r="118">
      <c r="B118">
        <v>113</v>
      </c>
      <c r="C118">
        <v>17</v>
      </c>
      <c r="D118">
        <v>3.6697247706422016</v>
      </c>
      <c r="E118">
        <v>1.4236452857142858</v>
      </c>
      <c r="F118">
        <v>5</v>
      </c>
      <c r="G118">
        <f>(H118/1.39135)*$K$5</f>
        <v>0.8557544830560249</v>
      </c>
      <c r="H118">
        <f>(F118*1.190654)*$L$5</f>
        <v>2.9766350000000004</v>
      </c>
      <c r="I118">
        <v>35.6483</v>
      </c>
      <c r="J118">
        <f>D118/(F118/3.362524)</f>
        <v>2.46790752293578</v>
      </c>
      <c r="K118">
        <f>G118/(H118/1.39135)</f>
        <v>0.4</v>
      </c>
      <c r="L118">
        <f>(H118/1.190654)/F118</f>
        <v>0.5</v>
      </c>
    </row>
    <row r="119">
      <c r="B119">
        <v>114</v>
      </c>
      <c r="C119">
        <v>17</v>
      </c>
      <c r="D119">
        <v>3.6697247706422016</v>
      </c>
      <c r="E119">
        <v>1.4236452857142858</v>
      </c>
      <c r="F119">
        <v>5</v>
      </c>
      <c r="G119">
        <f>(H119/1.39135)*$K$5</f>
        <v>0.8557544830560249</v>
      </c>
      <c r="H119">
        <f>(F119*1.190654)*$L$5</f>
        <v>2.9766350000000004</v>
      </c>
      <c r="I119">
        <v>35.6483</v>
      </c>
      <c r="J119">
        <f>D119/(F119/3.362524)</f>
        <v>2.46790752293578</v>
      </c>
      <c r="K119">
        <f>G119/(H119/1.39135)</f>
        <v>0.4</v>
      </c>
      <c r="L119">
        <f>(H119/1.190654)/F119</f>
        <v>0.5</v>
      </c>
    </row>
    <row r="120">
      <c r="B120">
        <v>115</v>
      </c>
      <c r="C120">
        <v>17</v>
      </c>
      <c r="D120">
        <v>3.6697247706422016</v>
      </c>
      <c r="E120">
        <v>1.4236452857142858</v>
      </c>
      <c r="F120">
        <v>5</v>
      </c>
      <c r="G120">
        <f>(H120/1.39135)*$K$5</f>
        <v>0.8557544830560249</v>
      </c>
      <c r="H120">
        <f>(F120*1.190654)*$L$5</f>
        <v>2.9766350000000004</v>
      </c>
      <c r="I120">
        <v>35.6483</v>
      </c>
      <c r="J120">
        <f>D120/(F120/3.362524)</f>
        <v>2.46790752293578</v>
      </c>
      <c r="K120">
        <f>G120/(H120/1.39135)</f>
        <v>0.4</v>
      </c>
      <c r="L120">
        <f>(H120/1.190654)/F120</f>
        <v>0.5</v>
      </c>
    </row>
    <row r="121">
      <c r="B121">
        <v>116</v>
      </c>
      <c r="C121">
        <v>17</v>
      </c>
      <c r="D121">
        <v>3.6697247706422016</v>
      </c>
      <c r="E121">
        <v>1.4236452857142858</v>
      </c>
      <c r="F121">
        <v>5</v>
      </c>
      <c r="G121">
        <f>(H121/1.39135)*$K$5</f>
        <v>0.8557544830560249</v>
      </c>
      <c r="H121">
        <f>(F121*1.190654)*$L$5</f>
        <v>2.9766350000000004</v>
      </c>
      <c r="I121">
        <v>35.6483</v>
      </c>
      <c r="J121">
        <f>D121/(F121/3.362524)</f>
        <v>2.46790752293578</v>
      </c>
      <c r="K121">
        <f>G121/(H121/1.39135)</f>
        <v>0.4</v>
      </c>
      <c r="L121">
        <f>(H121/1.190654)/F121</f>
        <v>0.5</v>
      </c>
    </row>
    <row r="122">
      <c r="B122">
        <v>117</v>
      </c>
      <c r="C122">
        <v>17</v>
      </c>
      <c r="D122">
        <v>3.6697247706422016</v>
      </c>
      <c r="E122">
        <v>1.4236452857142858</v>
      </c>
      <c r="F122">
        <v>5</v>
      </c>
      <c r="G122">
        <f>(H122/1.39135)*$K$5</f>
        <v>0.8557544830560249</v>
      </c>
      <c r="H122">
        <f>(F122*1.190654)*$L$5</f>
        <v>2.9766350000000004</v>
      </c>
      <c r="I122">
        <v>35.6483</v>
      </c>
      <c r="J122">
        <f>D122/(F122/3.362524)</f>
        <v>2.46790752293578</v>
      </c>
      <c r="K122">
        <f>G122/(H122/1.39135)</f>
        <v>0.4</v>
      </c>
      <c r="L122">
        <f>(H122/1.190654)/F122</f>
        <v>0.5</v>
      </c>
    </row>
    <row r="123">
      <c r="B123">
        <v>118</v>
      </c>
      <c r="C123">
        <v>17</v>
      </c>
      <c r="D123">
        <v>3.6697247706422016</v>
      </c>
      <c r="E123">
        <v>1.4236452857142858</v>
      </c>
      <c r="F123">
        <v>5</v>
      </c>
      <c r="G123">
        <f>(H123/1.39135)*$K$5</f>
        <v>0.8557544830560249</v>
      </c>
      <c r="H123">
        <f>(F123*1.190654)*$L$5</f>
        <v>2.9766350000000004</v>
      </c>
      <c r="I123">
        <v>35.6483</v>
      </c>
      <c r="J123">
        <f>D123/(F123/3.362524)</f>
        <v>2.46790752293578</v>
      </c>
      <c r="K123">
        <f>G123/(H123/1.39135)</f>
        <v>0.4</v>
      </c>
      <c r="L123">
        <f>(H123/1.190654)/F123</f>
        <v>0.5</v>
      </c>
    </row>
    <row r="124">
      <c r="B124">
        <v>119</v>
      </c>
      <c r="C124">
        <v>17</v>
      </c>
      <c r="D124">
        <v>3.6697247706422016</v>
      </c>
      <c r="E124">
        <v>1.4236452857142858</v>
      </c>
      <c r="F124">
        <v>5</v>
      </c>
      <c r="G124">
        <f>(H124/1.39135)*$K$5</f>
        <v>0.8557544830560249</v>
      </c>
      <c r="H124">
        <f>(F124*1.190654)*$L$5</f>
        <v>2.9766350000000004</v>
      </c>
      <c r="I124">
        <v>35.6483</v>
      </c>
      <c r="J124">
        <f>D124/(F124/3.362524)</f>
        <v>2.46790752293578</v>
      </c>
      <c r="K124">
        <f>G124/(H124/1.39135)</f>
        <v>0.4</v>
      </c>
      <c r="L124">
        <f>(H124/1.190654)/F124</f>
        <v>0.5</v>
      </c>
    </row>
    <row r="125">
      <c r="B125">
        <v>120</v>
      </c>
      <c r="C125">
        <v>18</v>
      </c>
      <c r="D125">
        <v>3.6697247706422016</v>
      </c>
      <c r="E125">
        <v>1.4236452857142858</v>
      </c>
      <c r="F125">
        <v>5</v>
      </c>
      <c r="G125">
        <f>(H125/1.39135)*$K$5</f>
        <v>0.8557544830560249</v>
      </c>
      <c r="H125">
        <f>(F125*1.190654)*$L$5</f>
        <v>2.9766350000000004</v>
      </c>
      <c r="I125">
        <v>35.6483</v>
      </c>
      <c r="J125">
        <f>D125/(F125/3.362524)</f>
        <v>2.46790752293578</v>
      </c>
      <c r="K125">
        <f>G125/(H125/1.39135)</f>
        <v>0.4</v>
      </c>
      <c r="L125">
        <f>(H125/1.190654)/F125</f>
        <v>0.5</v>
      </c>
    </row>
    <row r="126">
      <c r="B126">
        <v>121</v>
      </c>
      <c r="C126">
        <v>18</v>
      </c>
      <c r="D126">
        <v>3.6697247706422016</v>
      </c>
      <c r="E126">
        <v>1.4236452857142858</v>
      </c>
      <c r="F126">
        <v>5</v>
      </c>
      <c r="G126">
        <f>(H126/1.39135)*$K$5</f>
        <v>0.8557544830560249</v>
      </c>
      <c r="H126">
        <f>(F126*1.190654)*$L$5</f>
        <v>2.9766350000000004</v>
      </c>
      <c r="I126">
        <v>35.6483</v>
      </c>
      <c r="J126">
        <f>D126/(F126/3.362524)</f>
        <v>2.46790752293578</v>
      </c>
      <c r="K126">
        <f>G126/(H126/1.39135)</f>
        <v>0.4</v>
      </c>
      <c r="L126">
        <f>(H126/1.190654)/F126</f>
        <v>0.5</v>
      </c>
    </row>
    <row r="127">
      <c r="B127">
        <v>122</v>
      </c>
      <c r="C127">
        <v>18</v>
      </c>
      <c r="D127">
        <v>3.6697247706422016</v>
      </c>
      <c r="E127">
        <v>1.4236452857142858</v>
      </c>
      <c r="F127">
        <v>5</v>
      </c>
      <c r="G127">
        <f>(H127/1.39135)*$K$5</f>
        <v>0.8557544830560249</v>
      </c>
      <c r="H127">
        <f>(F127*1.190654)*$L$5</f>
        <v>2.9766350000000004</v>
      </c>
      <c r="I127">
        <v>35.6483</v>
      </c>
      <c r="J127">
        <f>D127/(F127/3.362524)</f>
        <v>2.46790752293578</v>
      </c>
      <c r="K127">
        <f>G127/(H127/1.39135)</f>
        <v>0.4</v>
      </c>
      <c r="L127">
        <f>(H127/1.190654)/F127</f>
        <v>0.5</v>
      </c>
    </row>
    <row r="128">
      <c r="B128">
        <v>123</v>
      </c>
      <c r="C128">
        <v>18</v>
      </c>
      <c r="D128">
        <v>3.6697247706422016</v>
      </c>
      <c r="E128">
        <v>1.4236452857142858</v>
      </c>
      <c r="F128">
        <v>5</v>
      </c>
      <c r="G128">
        <f>(H128/1.39135)*$K$5</f>
        <v>0.8557544830560249</v>
      </c>
      <c r="H128">
        <f>(F128*1.190654)*$L$5</f>
        <v>2.9766350000000004</v>
      </c>
      <c r="I128">
        <v>35.6483</v>
      </c>
      <c r="J128">
        <f>D128/(F128/3.362524)</f>
        <v>2.46790752293578</v>
      </c>
      <c r="K128">
        <f>G128/(H128/1.39135)</f>
        <v>0.4</v>
      </c>
      <c r="L128">
        <f>(H128/1.190654)/F128</f>
        <v>0.5</v>
      </c>
    </row>
    <row r="129">
      <c r="B129">
        <v>124</v>
      </c>
      <c r="C129">
        <v>18</v>
      </c>
      <c r="D129">
        <v>3.6697247706422016</v>
      </c>
      <c r="E129">
        <v>1.4236452857142858</v>
      </c>
      <c r="F129">
        <v>5</v>
      </c>
      <c r="G129">
        <f>(H129/1.39135)*$K$5</f>
        <v>0.8557544830560249</v>
      </c>
      <c r="H129">
        <f>(F129*1.190654)*$L$5</f>
        <v>2.9766350000000004</v>
      </c>
      <c r="I129">
        <v>35.6483</v>
      </c>
      <c r="J129">
        <f>D129/(F129/3.362524)</f>
        <v>2.46790752293578</v>
      </c>
      <c r="K129">
        <f>G129/(H129/1.39135)</f>
        <v>0.4</v>
      </c>
      <c r="L129">
        <f>(H129/1.190654)/F129</f>
        <v>0.5</v>
      </c>
    </row>
    <row r="130">
      <c r="B130">
        <v>125</v>
      </c>
      <c r="C130">
        <v>18</v>
      </c>
      <c r="D130">
        <v>3.6697247706422016</v>
      </c>
      <c r="E130">
        <v>1.4236452857142858</v>
      </c>
      <c r="F130">
        <v>5</v>
      </c>
      <c r="G130">
        <f>(H130/1.39135)*$K$5</f>
        <v>0.8557544830560249</v>
      </c>
      <c r="H130">
        <f>(F130*1.190654)*$L$5</f>
        <v>2.9766350000000004</v>
      </c>
      <c r="I130">
        <v>35.6483</v>
      </c>
      <c r="J130">
        <f>D130/(F130/3.362524)</f>
        <v>2.46790752293578</v>
      </c>
      <c r="K130">
        <f>G130/(H130/1.39135)</f>
        <v>0.4</v>
      </c>
      <c r="L130">
        <f>(H130/1.190654)/F130</f>
        <v>0.5</v>
      </c>
    </row>
    <row r="131">
      <c r="B131">
        <v>126</v>
      </c>
      <c r="C131">
        <v>18</v>
      </c>
      <c r="D131">
        <v>3.6697247706422016</v>
      </c>
      <c r="E131">
        <v>1.4236452857142858</v>
      </c>
      <c r="F131">
        <v>5</v>
      </c>
      <c r="G131">
        <f>(H131/1.39135)*$K$5</f>
        <v>0.8557544830560249</v>
      </c>
      <c r="H131">
        <f>(F131*1.190654)*$L$5</f>
        <v>2.9766350000000004</v>
      </c>
      <c r="I131">
        <v>35.6483</v>
      </c>
      <c r="J131">
        <f>D131/(F131/3.362524)</f>
        <v>2.46790752293578</v>
      </c>
      <c r="K131">
        <f>G131/(H131/1.39135)</f>
        <v>0.4</v>
      </c>
      <c r="L131">
        <f>(H131/1.190654)/F131</f>
        <v>0.5</v>
      </c>
    </row>
    <row r="132">
      <c r="B132">
        <v>127</v>
      </c>
      <c r="C132">
        <v>19</v>
      </c>
      <c r="D132">
        <v>3.6697247706422016</v>
      </c>
      <c r="E132">
        <v>1.4236452857142858</v>
      </c>
      <c r="F132">
        <v>5</v>
      </c>
      <c r="G132">
        <f>(H132/1.39135)*$K$5</f>
        <v>0.8557544830560249</v>
      </c>
      <c r="H132">
        <f>(F132*1.190654)*$L$5</f>
        <v>2.9766350000000004</v>
      </c>
      <c r="I132">
        <v>35.6483</v>
      </c>
      <c r="J132">
        <f>D132/(F132/3.362524)</f>
        <v>2.46790752293578</v>
      </c>
      <c r="K132">
        <f>G132/(H132/1.39135)</f>
        <v>0.4</v>
      </c>
      <c r="L132">
        <f>(H132/1.190654)/F132</f>
        <v>0.5</v>
      </c>
    </row>
    <row r="133">
      <c r="B133">
        <v>128</v>
      </c>
      <c r="C133">
        <v>19</v>
      </c>
      <c r="D133">
        <v>3.6697247706422016</v>
      </c>
      <c r="E133">
        <v>1.4236452857142858</v>
      </c>
      <c r="F133">
        <v>5</v>
      </c>
      <c r="G133">
        <f>(H133/1.39135)*$K$5</f>
        <v>0.8557544830560249</v>
      </c>
      <c r="H133">
        <f>(F133*1.190654)*$L$5</f>
        <v>2.9766350000000004</v>
      </c>
      <c r="I133">
        <v>35.6483</v>
      </c>
      <c r="J133">
        <f>D133/(F133/3.362524)</f>
        <v>2.46790752293578</v>
      </c>
      <c r="K133">
        <f>G133/(H133/1.39135)</f>
        <v>0.4</v>
      </c>
      <c r="L133">
        <f>(H133/1.190654)/F133</f>
        <v>0.5</v>
      </c>
    </row>
    <row r="134">
      <c r="B134">
        <v>129</v>
      </c>
      <c r="C134">
        <v>19</v>
      </c>
      <c r="D134">
        <v>3.6697247706422016</v>
      </c>
      <c r="E134">
        <v>1.4236452857142858</v>
      </c>
      <c r="F134">
        <v>5</v>
      </c>
      <c r="G134">
        <f>(H134/1.39135)*$K$5</f>
        <v>0.8557544830560249</v>
      </c>
      <c r="H134">
        <f>(F134*1.190654)*$L$5</f>
        <v>2.9766350000000004</v>
      </c>
      <c r="I134">
        <v>35.6483</v>
      </c>
      <c r="J134">
        <f>D134/(F134/3.362524)</f>
        <v>2.46790752293578</v>
      </c>
      <c r="K134">
        <f>G134/(H134/1.39135)</f>
        <v>0.4</v>
      </c>
      <c r="L134">
        <f>(H134/1.190654)/F134</f>
        <v>0.5</v>
      </c>
    </row>
    <row r="135">
      <c r="B135">
        <v>130</v>
      </c>
      <c r="C135">
        <v>19</v>
      </c>
      <c r="D135">
        <v>3.6697247706422016</v>
      </c>
      <c r="E135">
        <v>1.4236452857142858</v>
      </c>
      <c r="F135">
        <v>5</v>
      </c>
      <c r="G135">
        <f>(H135/1.39135)*$K$5</f>
        <v>0.8557544830560249</v>
      </c>
      <c r="H135">
        <f>(F135*1.190654)*$L$5</f>
        <v>2.9766350000000004</v>
      </c>
      <c r="I135">
        <v>35.6483</v>
      </c>
      <c r="J135">
        <f>D135/(F135/3.362524)</f>
        <v>2.46790752293578</v>
      </c>
      <c r="K135">
        <f>G135/(H135/1.39135)</f>
        <v>0.4</v>
      </c>
      <c r="L135">
        <f>(H135/1.190654)/F135</f>
        <v>0.5</v>
      </c>
    </row>
    <row r="136">
      <c r="B136">
        <v>131</v>
      </c>
      <c r="C136">
        <v>19</v>
      </c>
      <c r="D136">
        <v>3.6697247706422016</v>
      </c>
      <c r="E136">
        <v>1.4236452857142858</v>
      </c>
      <c r="F136">
        <v>5</v>
      </c>
      <c r="G136">
        <f>(H136/1.39135)*$K$5</f>
        <v>0.8557544830560249</v>
      </c>
      <c r="H136">
        <f>(F136*1.190654)*$L$5</f>
        <v>2.9766350000000004</v>
      </c>
      <c r="I136">
        <v>35.6483</v>
      </c>
      <c r="J136">
        <f>D136/(F136/3.362524)</f>
        <v>2.46790752293578</v>
      </c>
      <c r="K136">
        <f>G136/(H136/1.39135)</f>
        <v>0.4</v>
      </c>
      <c r="L136">
        <f>(H136/1.190654)/F136</f>
        <v>0.5</v>
      </c>
    </row>
    <row r="137">
      <c r="B137">
        <v>132</v>
      </c>
      <c r="C137">
        <v>19</v>
      </c>
      <c r="D137">
        <v>3.6697247706422016</v>
      </c>
      <c r="E137">
        <v>1.4236452857142858</v>
      </c>
      <c r="F137">
        <v>5</v>
      </c>
      <c r="G137">
        <f>(H137/1.39135)*$K$5</f>
        <v>0.8557544830560249</v>
      </c>
      <c r="H137">
        <f>(F137*1.190654)*$L$5</f>
        <v>2.9766350000000004</v>
      </c>
      <c r="I137">
        <v>35.6483</v>
      </c>
      <c r="J137">
        <f>D137/(F137/3.362524)</f>
        <v>2.46790752293578</v>
      </c>
      <c r="K137">
        <f>G137/(H137/1.39135)</f>
        <v>0.4</v>
      </c>
      <c r="L137">
        <f>(H137/1.190654)/F137</f>
        <v>0.5</v>
      </c>
    </row>
    <row r="138">
      <c r="B138">
        <v>133</v>
      </c>
      <c r="C138">
        <v>19</v>
      </c>
      <c r="D138">
        <v>3.6697247706422016</v>
      </c>
      <c r="E138">
        <v>1.4236452857142858</v>
      </c>
      <c r="F138">
        <v>5</v>
      </c>
      <c r="G138">
        <f>(H138/1.39135)*$K$5</f>
        <v>0.8557544830560249</v>
      </c>
      <c r="H138">
        <f>(F138*1.190654)*$L$5</f>
        <v>2.9766350000000004</v>
      </c>
      <c r="I138">
        <v>35.6483</v>
      </c>
      <c r="J138">
        <f>D138/(F138/3.362524)</f>
        <v>2.46790752293578</v>
      </c>
      <c r="K138">
        <f>G138/(H138/1.39135)</f>
        <v>0.4</v>
      </c>
      <c r="L138">
        <f>(H138/1.190654)/F138</f>
        <v>0.5</v>
      </c>
    </row>
    <row r="139">
      <c r="B139">
        <v>134</v>
      </c>
      <c r="C139">
        <v>20</v>
      </c>
      <c r="D139">
        <v>3.6697247706422016</v>
      </c>
      <c r="E139">
        <v>1.4236452857142858</v>
      </c>
      <c r="F139">
        <v>5</v>
      </c>
      <c r="G139">
        <f>(H139/1.39135)*$K$5</f>
        <v>0.8557544830560249</v>
      </c>
      <c r="H139">
        <f>(F139*1.190654)*$L$5</f>
        <v>2.9766350000000004</v>
      </c>
      <c r="I139">
        <v>35.6483</v>
      </c>
      <c r="J139">
        <f>D139/(F139/3.362524)</f>
        <v>2.46790752293578</v>
      </c>
      <c r="K139">
        <f>G139/(H139/1.39135)</f>
        <v>0.4</v>
      </c>
      <c r="L139">
        <f>(H139/1.190654)/F139</f>
        <v>0.5</v>
      </c>
    </row>
    <row r="140">
      <c r="B140">
        <v>135</v>
      </c>
      <c r="C140">
        <v>20</v>
      </c>
      <c r="D140">
        <v>3.6697247706422016</v>
      </c>
      <c r="E140">
        <v>1.4236452857142858</v>
      </c>
      <c r="F140">
        <v>5</v>
      </c>
      <c r="G140">
        <f>(H140/1.39135)*$K$5</f>
        <v>0.8557544830560249</v>
      </c>
      <c r="H140">
        <f>(F140*1.190654)*$L$5</f>
        <v>2.9766350000000004</v>
      </c>
      <c r="I140">
        <v>35.6483</v>
      </c>
      <c r="J140">
        <f>D140/(F140/3.362524)</f>
        <v>2.46790752293578</v>
      </c>
      <c r="K140">
        <f>G140/(H140/1.39135)</f>
        <v>0.4</v>
      </c>
      <c r="L140">
        <f>(H140/1.190654)/F140</f>
        <v>0.5</v>
      </c>
    </row>
    <row r="141">
      <c r="B141">
        <v>136</v>
      </c>
      <c r="C141">
        <v>20</v>
      </c>
      <c r="D141">
        <v>3.6697247706422016</v>
      </c>
      <c r="E141">
        <v>1.4236452857142858</v>
      </c>
      <c r="F141">
        <v>5</v>
      </c>
      <c r="G141">
        <f>(H141/1.39135)*$K$5</f>
        <v>0.8557544830560249</v>
      </c>
      <c r="H141">
        <f>(F141*1.190654)*$L$5</f>
        <v>2.9766350000000004</v>
      </c>
      <c r="I141">
        <v>35.6483</v>
      </c>
      <c r="J141">
        <f>D141/(F141/3.362524)</f>
        <v>2.46790752293578</v>
      </c>
      <c r="K141">
        <f>G141/(H141/1.39135)</f>
        <v>0.4</v>
      </c>
      <c r="L141">
        <f>(H141/1.190654)/F141</f>
        <v>0.5</v>
      </c>
    </row>
    <row r="142">
      <c r="B142">
        <v>137</v>
      </c>
      <c r="C142">
        <v>20</v>
      </c>
      <c r="D142">
        <v>3.6697247706422016</v>
      </c>
      <c r="E142">
        <v>1.4236452857142858</v>
      </c>
      <c r="F142">
        <v>5</v>
      </c>
      <c r="G142">
        <f>(H142/1.39135)*$K$5</f>
        <v>0.8557544830560249</v>
      </c>
      <c r="H142">
        <f>(F142*1.190654)*$L$5</f>
        <v>2.9766350000000004</v>
      </c>
      <c r="I142">
        <v>35.6483</v>
      </c>
      <c r="J142">
        <f>D142/(F142/3.362524)</f>
        <v>2.46790752293578</v>
      </c>
      <c r="K142">
        <f>G142/(H142/1.39135)</f>
        <v>0.4</v>
      </c>
      <c r="L142">
        <f>(H142/1.190654)/F142</f>
        <v>0.5</v>
      </c>
    </row>
    <row r="143">
      <c r="B143">
        <v>138</v>
      </c>
      <c r="C143">
        <v>20</v>
      </c>
      <c r="D143">
        <v>3.6697247706422016</v>
      </c>
      <c r="E143">
        <v>1.4236452857142858</v>
      </c>
      <c r="F143">
        <v>5</v>
      </c>
      <c r="G143">
        <f>(H143/1.39135)*$K$5</f>
        <v>0.8557544830560249</v>
      </c>
      <c r="H143">
        <f>(F143*1.190654)*$L$5</f>
        <v>2.9766350000000004</v>
      </c>
      <c r="I143">
        <v>35.6483</v>
      </c>
      <c r="J143">
        <f>D143/(F143/3.362524)</f>
        <v>2.46790752293578</v>
      </c>
      <c r="K143">
        <f>G143/(H143/1.39135)</f>
        <v>0.4</v>
      </c>
      <c r="L143">
        <f>(H143/1.190654)/F143</f>
        <v>0.5</v>
      </c>
    </row>
    <row r="144">
      <c r="B144">
        <v>139</v>
      </c>
      <c r="C144">
        <v>20</v>
      </c>
      <c r="D144">
        <v>3.6697247706422016</v>
      </c>
      <c r="E144">
        <v>1.4236452857142858</v>
      </c>
      <c r="F144">
        <v>5</v>
      </c>
      <c r="G144">
        <f>(H144/1.39135)*$K$5</f>
        <v>0.8557544830560249</v>
      </c>
      <c r="H144">
        <f>(F144*1.190654)*$L$5</f>
        <v>2.9766350000000004</v>
      </c>
      <c r="I144">
        <v>35.6483</v>
      </c>
      <c r="J144">
        <f>D144/(F144/3.362524)</f>
        <v>2.46790752293578</v>
      </c>
      <c r="K144">
        <f>G144/(H144/1.39135)</f>
        <v>0.4</v>
      </c>
      <c r="L144">
        <f>(H144/1.190654)/F144</f>
        <v>0.5</v>
      </c>
    </row>
    <row r="145">
      <c r="B145">
        <v>140</v>
      </c>
      <c r="C145">
        <v>20</v>
      </c>
      <c r="D145">
        <v>3.6697247706422016</v>
      </c>
      <c r="E145">
        <v>1.4236452857142858</v>
      </c>
      <c r="F145">
        <v>5</v>
      </c>
      <c r="G145">
        <f>(H145/1.39135)*$K$5</f>
        <v>0.8557544830560249</v>
      </c>
      <c r="H145">
        <f>(F145*1.190654)*$L$5</f>
        <v>2.9766350000000004</v>
      </c>
      <c r="I145">
        <v>35.6483</v>
      </c>
      <c r="J145">
        <f>D145/(F145/3.362524)</f>
        <v>2.46790752293578</v>
      </c>
      <c r="K145">
        <f>G145/(H145/1.39135)</f>
        <v>0.4</v>
      </c>
      <c r="L145">
        <f>(H145/1.190654)/F145</f>
        <v>0.5</v>
      </c>
    </row>
    <row r="146">
      <c r="B146">
        <v>141</v>
      </c>
      <c r="C146">
        <v>21</v>
      </c>
      <c r="D146">
        <v>3.6697247706422016</v>
      </c>
      <c r="E146">
        <v>1.4236452857142858</v>
      </c>
      <c r="F146">
        <v>5</v>
      </c>
      <c r="G146">
        <f>(H146/1.39135)*$K$5</f>
        <v>0.8557544830560249</v>
      </c>
      <c r="H146">
        <f>(F146*1.190654)*$L$5</f>
        <v>2.9766350000000004</v>
      </c>
      <c r="I146">
        <v>35.6483</v>
      </c>
      <c r="J146">
        <f>D146/(F146/3.362524)</f>
        <v>2.46790752293578</v>
      </c>
      <c r="K146">
        <f>G146/(H146/1.39135)</f>
        <v>0.4</v>
      </c>
      <c r="L146">
        <f>(H146/1.190654)/F146</f>
        <v>0.5</v>
      </c>
    </row>
    <row r="147">
      <c r="B147">
        <v>142</v>
      </c>
      <c r="C147">
        <v>21</v>
      </c>
      <c r="D147">
        <v>3.6697247706422016</v>
      </c>
      <c r="E147">
        <v>1.4236452857142858</v>
      </c>
      <c r="F147">
        <v>5</v>
      </c>
      <c r="G147">
        <f>(H147/1.39135)*$K$5</f>
        <v>0.8557544830560249</v>
      </c>
      <c r="H147">
        <f>(F147*1.190654)*$L$5</f>
        <v>2.9766350000000004</v>
      </c>
      <c r="I147">
        <v>35.6483</v>
      </c>
      <c r="J147">
        <f>D147/(F147/3.362524)</f>
        <v>2.46790752293578</v>
      </c>
      <c r="K147">
        <f>G147/(H147/1.39135)</f>
        <v>0.4</v>
      </c>
      <c r="L147">
        <f>(H147/1.190654)/F147</f>
        <v>0.5</v>
      </c>
    </row>
    <row r="148">
      <c r="B148">
        <v>143</v>
      </c>
      <c r="C148">
        <v>21</v>
      </c>
      <c r="D148">
        <v>3.6697247706422016</v>
      </c>
      <c r="E148">
        <v>1.4236452857142858</v>
      </c>
      <c r="F148">
        <v>5</v>
      </c>
      <c r="G148">
        <f>(H148/1.39135)*$K$5</f>
        <v>0.8557544830560249</v>
      </c>
      <c r="H148">
        <f>(F148*1.190654)*$L$5</f>
        <v>2.9766350000000004</v>
      </c>
      <c r="I148">
        <v>35.6483</v>
      </c>
      <c r="J148">
        <f>D148/(F148/3.362524)</f>
        <v>2.46790752293578</v>
      </c>
      <c r="K148">
        <f>G148/(H148/1.39135)</f>
        <v>0.4</v>
      </c>
      <c r="L148">
        <f>(H148/1.190654)/F148</f>
        <v>0.5</v>
      </c>
    </row>
    <row r="149">
      <c r="B149">
        <v>144</v>
      </c>
      <c r="C149">
        <v>21</v>
      </c>
      <c r="D149">
        <v>3.6697247706422016</v>
      </c>
      <c r="E149">
        <v>1.4236452857142858</v>
      </c>
      <c r="F149">
        <v>5</v>
      </c>
      <c r="G149">
        <f>(H149/1.39135)*$K$5</f>
        <v>0.8557544830560249</v>
      </c>
      <c r="H149">
        <f>(F149*1.190654)*$L$5</f>
        <v>2.9766350000000004</v>
      </c>
      <c r="I149">
        <v>35.6483</v>
      </c>
      <c r="J149">
        <f>D149/(F149/3.362524)</f>
        <v>2.46790752293578</v>
      </c>
      <c r="K149">
        <f>G149/(H149/1.39135)</f>
        <v>0.4</v>
      </c>
      <c r="L149">
        <f>(H149/1.190654)/F149</f>
        <v>0.5</v>
      </c>
    </row>
    <row r="150">
      <c r="B150">
        <v>145</v>
      </c>
      <c r="C150">
        <v>21</v>
      </c>
      <c r="D150">
        <v>3.6697247706422016</v>
      </c>
      <c r="E150">
        <v>1.4236452857142858</v>
      </c>
      <c r="F150">
        <v>5</v>
      </c>
      <c r="G150">
        <f>(H150/1.39135)*$K$5</f>
        <v>0.8557544830560249</v>
      </c>
      <c r="H150">
        <f>(F150*1.190654)*$L$5</f>
        <v>2.9766350000000004</v>
      </c>
      <c r="I150">
        <v>35.6483</v>
      </c>
      <c r="J150">
        <f>D150/(F150/3.362524)</f>
        <v>2.46790752293578</v>
      </c>
      <c r="K150">
        <f>G150/(H150/1.39135)</f>
        <v>0.4</v>
      </c>
      <c r="L150">
        <f>(H150/1.190654)/F150</f>
        <v>0.5</v>
      </c>
    </row>
    <row r="151">
      <c r="B151">
        <v>146</v>
      </c>
      <c r="C151">
        <v>21</v>
      </c>
      <c r="D151">
        <v>3.6697247706422016</v>
      </c>
      <c r="E151">
        <v>1.4236452857142858</v>
      </c>
      <c r="F151">
        <v>5</v>
      </c>
      <c r="G151">
        <f>(H151/1.39135)*$K$5</f>
        <v>0.8557544830560249</v>
      </c>
      <c r="H151">
        <f>(F151*1.190654)*$L$5</f>
        <v>2.9766350000000004</v>
      </c>
      <c r="I151">
        <v>35.6483</v>
      </c>
      <c r="J151">
        <f>D151/(F151/3.362524)</f>
        <v>2.46790752293578</v>
      </c>
      <c r="K151">
        <f>G151/(H151/1.39135)</f>
        <v>0.4</v>
      </c>
      <c r="L151">
        <f>(H151/1.190654)/F151</f>
        <v>0.5</v>
      </c>
    </row>
    <row r="152">
      <c r="B152">
        <v>147</v>
      </c>
      <c r="C152">
        <v>21</v>
      </c>
      <c r="D152">
        <v>3.6697247706422016</v>
      </c>
      <c r="E152">
        <v>1.4236452857142858</v>
      </c>
      <c r="F152">
        <v>5</v>
      </c>
      <c r="G152">
        <f>(H152/1.39135)*$K$5</f>
        <v>0.8557544830560249</v>
      </c>
      <c r="H152">
        <f>(F152*1.190654)*$L$5</f>
        <v>2.9766350000000004</v>
      </c>
      <c r="I152">
        <v>35.6483</v>
      </c>
      <c r="J152">
        <f>D152/(F152/3.362524)</f>
        <v>2.46790752293578</v>
      </c>
      <c r="K152">
        <f>G152/(H152/1.39135)</f>
        <v>0.4</v>
      </c>
      <c r="L152">
        <f>(H152/1.190654)/F152</f>
        <v>0.5</v>
      </c>
    </row>
    <row r="153">
      <c r="B153">
        <v>148</v>
      </c>
      <c r="C153">
        <v>22</v>
      </c>
      <c r="D153">
        <v>3.6697247706422016</v>
      </c>
      <c r="E153">
        <v>1.4236452857142858</v>
      </c>
      <c r="F153">
        <v>5</v>
      </c>
      <c r="G153">
        <f>(H153/1.39135)*$K$5</f>
        <v>0.8557544830560249</v>
      </c>
      <c r="H153">
        <f>(F153*1.190654)*$L$5</f>
        <v>2.9766350000000004</v>
      </c>
      <c r="I153">
        <v>35.6483</v>
      </c>
      <c r="J153">
        <f>D153/(F153/3.362524)</f>
        <v>2.46790752293578</v>
      </c>
      <c r="K153">
        <f>G153/(H153/1.39135)</f>
        <v>0.4</v>
      </c>
      <c r="L153">
        <f>(H153/1.190654)/F153</f>
        <v>0.5</v>
      </c>
    </row>
    <row r="154">
      <c r="B154">
        <v>149</v>
      </c>
      <c r="C154">
        <v>22</v>
      </c>
      <c r="D154">
        <v>3.6697247706422016</v>
      </c>
      <c r="E154">
        <v>1.4236452857142858</v>
      </c>
      <c r="F154">
        <v>5</v>
      </c>
      <c r="G154">
        <f>(H154/1.39135)*$K$5</f>
        <v>0.8557544830560249</v>
      </c>
      <c r="H154">
        <f>(F154*1.190654)*$L$5</f>
        <v>2.9766350000000004</v>
      </c>
      <c r="I154">
        <v>35.6483</v>
      </c>
      <c r="J154">
        <f>D154/(F154/3.362524)</f>
        <v>2.46790752293578</v>
      </c>
      <c r="K154">
        <f>G154/(H154/1.39135)</f>
        <v>0.4</v>
      </c>
      <c r="L154">
        <f>(H154/1.190654)/F154</f>
        <v>0.5</v>
      </c>
    </row>
    <row r="155">
      <c r="B155">
        <v>150</v>
      </c>
      <c r="C155">
        <v>22</v>
      </c>
      <c r="D155">
        <v>3.6697247706422016</v>
      </c>
      <c r="E155">
        <v>1.4236452857142858</v>
      </c>
      <c r="F155">
        <v>5</v>
      </c>
      <c r="G155">
        <f>(H155/1.39135)*$K$5</f>
        <v>0.8557544830560249</v>
      </c>
      <c r="H155">
        <f>(F155*1.190654)*$L$5</f>
        <v>2.9766350000000004</v>
      </c>
      <c r="I155">
        <v>35.6483</v>
      </c>
      <c r="J155">
        <f>D155/(F155/3.362524)</f>
        <v>2.46790752293578</v>
      </c>
      <c r="K155">
        <f>G155/(H155/1.39135)</f>
        <v>0.4</v>
      </c>
      <c r="L155">
        <f>(H155/1.190654)/F155</f>
        <v>0.5</v>
      </c>
    </row>
    <row r="156">
      <c r="B156">
        <v>151</v>
      </c>
      <c r="C156">
        <v>22</v>
      </c>
      <c r="D156">
        <v>3.6697247706422016</v>
      </c>
      <c r="E156">
        <v>1.4236452857142858</v>
      </c>
      <c r="F156">
        <v>5</v>
      </c>
      <c r="G156">
        <f>(H156/1.39135)*$K$5</f>
        <v>0.8557544830560249</v>
      </c>
      <c r="H156">
        <f>(F156*1.190654)*$L$5</f>
        <v>2.9766350000000004</v>
      </c>
      <c r="I156">
        <v>35.6483</v>
      </c>
      <c r="J156">
        <f>D156/(F156/3.362524)</f>
        <v>2.46790752293578</v>
      </c>
      <c r="K156">
        <f>G156/(H156/1.39135)</f>
        <v>0.4</v>
      </c>
      <c r="L156">
        <f>(H156/1.190654)/F156</f>
        <v>0.5</v>
      </c>
    </row>
    <row r="157">
      <c r="B157">
        <v>152</v>
      </c>
      <c r="C157">
        <v>22</v>
      </c>
      <c r="D157">
        <v>3.6697247706422016</v>
      </c>
      <c r="E157">
        <v>1.4236452857142858</v>
      </c>
      <c r="F157">
        <v>5</v>
      </c>
      <c r="G157">
        <f>(H157/1.39135)*$K$5</f>
        <v>0.8557544830560249</v>
      </c>
      <c r="H157">
        <f>(F157*1.190654)*$L$5</f>
        <v>2.9766350000000004</v>
      </c>
      <c r="I157">
        <v>35.6483</v>
      </c>
      <c r="J157">
        <f>D157/(F157/3.362524)</f>
        <v>2.46790752293578</v>
      </c>
      <c r="K157">
        <f>G157/(H157/1.39135)</f>
        <v>0.4</v>
      </c>
      <c r="L157">
        <f>(H157/1.190654)/F157</f>
        <v>0.5</v>
      </c>
    </row>
    <row r="158">
      <c r="B158">
        <v>153</v>
      </c>
      <c r="C158">
        <v>22</v>
      </c>
      <c r="D158">
        <v>3.6697247706422016</v>
      </c>
      <c r="E158">
        <v>1.4236452857142858</v>
      </c>
      <c r="F158">
        <v>5</v>
      </c>
      <c r="G158">
        <f>(H158/1.39135)*$K$5</f>
        <v>0.8557544830560249</v>
      </c>
      <c r="H158">
        <f>(F158*1.190654)*$L$5</f>
        <v>2.9766350000000004</v>
      </c>
      <c r="I158">
        <v>35.6483</v>
      </c>
      <c r="J158">
        <f>D158/(F158/3.362524)</f>
        <v>2.46790752293578</v>
      </c>
      <c r="K158">
        <f>G158/(H158/1.39135)</f>
        <v>0.4</v>
      </c>
      <c r="L158">
        <f>(H158/1.190654)/F158</f>
        <v>0.5</v>
      </c>
    </row>
    <row r="159">
      <c r="B159">
        <v>154</v>
      </c>
      <c r="C159">
        <v>22</v>
      </c>
      <c r="D159">
        <v>3.6697247706422016</v>
      </c>
      <c r="E159">
        <v>1.4236452857142858</v>
      </c>
      <c r="F159">
        <v>5</v>
      </c>
      <c r="G159">
        <f>(H159/1.39135)*$K$5</f>
        <v>0.8557544830560249</v>
      </c>
      <c r="H159">
        <f>(F159*1.190654)*$L$5</f>
        <v>2.9766350000000004</v>
      </c>
      <c r="I159">
        <v>35.6483</v>
      </c>
      <c r="J159">
        <f>D159/(F159/3.362524)</f>
        <v>2.46790752293578</v>
      </c>
      <c r="K159">
        <f>G159/(H159/1.39135)</f>
        <v>0.4</v>
      </c>
      <c r="L159">
        <f>(H159/1.190654)/F159</f>
        <v>0.5</v>
      </c>
    </row>
    <row r="160">
      <c r="B160">
        <v>155</v>
      </c>
      <c r="C160">
        <v>23</v>
      </c>
      <c r="D160">
        <v>3.6697247706422016</v>
      </c>
      <c r="E160">
        <v>1.4236452857142858</v>
      </c>
      <c r="F160">
        <v>5</v>
      </c>
      <c r="G160">
        <f>(H160/1.39135)*$K$5</f>
        <v>0.8557544830560249</v>
      </c>
      <c r="H160">
        <f>(F160*1.190654)*$L$5</f>
        <v>2.9766350000000004</v>
      </c>
      <c r="I160">
        <v>35.6483</v>
      </c>
      <c r="J160">
        <f>D160/(F160/3.362524)</f>
        <v>2.46790752293578</v>
      </c>
      <c r="K160">
        <f>G160/(H160/1.39135)</f>
        <v>0.4</v>
      </c>
      <c r="L160">
        <f>(H160/1.190654)/F160</f>
        <v>0.5</v>
      </c>
    </row>
    <row r="161">
      <c r="B161">
        <v>156</v>
      </c>
      <c r="C161">
        <v>23</v>
      </c>
      <c r="D161">
        <v>3.6697247706422016</v>
      </c>
      <c r="E161">
        <v>1.4236452857142858</v>
      </c>
      <c r="F161">
        <v>5</v>
      </c>
      <c r="G161">
        <f>(H161/1.39135)*$K$5</f>
        <v>0.8557544830560249</v>
      </c>
      <c r="H161">
        <f>(F161*1.190654)*$L$5</f>
        <v>2.9766350000000004</v>
      </c>
      <c r="I161">
        <v>35.6483</v>
      </c>
      <c r="J161">
        <f>D161/(F161/3.362524)</f>
        <v>2.46790752293578</v>
      </c>
      <c r="K161">
        <f>G161/(H161/1.39135)</f>
        <v>0.4</v>
      </c>
      <c r="L161">
        <f>(H161/1.190654)/F161</f>
        <v>0.5</v>
      </c>
    </row>
    <row r="162">
      <c r="B162">
        <v>157</v>
      </c>
      <c r="C162">
        <v>23</v>
      </c>
      <c r="D162">
        <v>3.6697247706422016</v>
      </c>
      <c r="E162">
        <v>1.4236452857142858</v>
      </c>
      <c r="F162">
        <v>5</v>
      </c>
      <c r="G162">
        <f>(H162/1.39135)*$K$5</f>
        <v>0.8557544830560249</v>
      </c>
      <c r="H162">
        <f>(F162*1.190654)*$L$5</f>
        <v>2.9766350000000004</v>
      </c>
      <c r="I162">
        <v>35.6483</v>
      </c>
      <c r="J162">
        <f>D162/(F162/3.362524)</f>
        <v>2.46790752293578</v>
      </c>
      <c r="K162">
        <f>G162/(H162/1.39135)</f>
        <v>0.4</v>
      </c>
      <c r="L162">
        <f>(H162/1.190654)/F162</f>
        <v>0.5</v>
      </c>
    </row>
    <row r="163">
      <c r="B163">
        <v>158</v>
      </c>
      <c r="C163">
        <v>23</v>
      </c>
      <c r="D163">
        <v>3.6697247706422016</v>
      </c>
      <c r="E163">
        <v>1.4236452857142858</v>
      </c>
      <c r="F163">
        <v>5</v>
      </c>
      <c r="G163">
        <f>(H163/1.39135)*$K$5</f>
        <v>0.8557544830560249</v>
      </c>
      <c r="H163">
        <f>(F163*1.190654)*$L$5</f>
        <v>2.9766350000000004</v>
      </c>
      <c r="I163">
        <v>35.6483</v>
      </c>
      <c r="J163">
        <f>D163/(F163/3.362524)</f>
        <v>2.46790752293578</v>
      </c>
      <c r="K163">
        <f>G163/(H163/1.39135)</f>
        <v>0.4</v>
      </c>
      <c r="L163">
        <f>(H163/1.190654)/F163</f>
        <v>0.5</v>
      </c>
    </row>
    <row r="164">
      <c r="B164">
        <v>159</v>
      </c>
      <c r="C164">
        <v>23</v>
      </c>
      <c r="D164">
        <v>3.6697247706422016</v>
      </c>
      <c r="E164">
        <v>1.4236452857142858</v>
      </c>
      <c r="F164">
        <v>5</v>
      </c>
      <c r="G164">
        <f>(H164/1.39135)*$K$5</f>
        <v>0.8557544830560249</v>
      </c>
      <c r="H164">
        <f>(F164*1.190654)*$L$5</f>
        <v>2.9766350000000004</v>
      </c>
      <c r="I164">
        <v>35.6483</v>
      </c>
      <c r="J164">
        <f>D164/(F164/3.362524)</f>
        <v>2.46790752293578</v>
      </c>
      <c r="K164">
        <f>G164/(H164/1.39135)</f>
        <v>0.4</v>
      </c>
      <c r="L164">
        <f>(H164/1.190654)/F164</f>
        <v>0.5</v>
      </c>
    </row>
    <row r="165">
      <c r="B165">
        <v>160</v>
      </c>
      <c r="C165">
        <v>23</v>
      </c>
      <c r="D165">
        <v>3.6697247706422016</v>
      </c>
      <c r="E165">
        <v>1.4236452857142858</v>
      </c>
      <c r="F165">
        <v>5</v>
      </c>
      <c r="G165">
        <f>(H165/1.39135)*$K$5</f>
        <v>0.8557544830560249</v>
      </c>
      <c r="H165">
        <f>(F165*1.190654)*$L$5</f>
        <v>2.9766350000000004</v>
      </c>
      <c r="I165">
        <v>35.6483</v>
      </c>
      <c r="J165">
        <f>D165/(F165/3.362524)</f>
        <v>2.46790752293578</v>
      </c>
      <c r="K165">
        <f>G165/(H165/1.39135)</f>
        <v>0.4</v>
      </c>
      <c r="L165">
        <f>(H165/1.190654)/F165</f>
        <v>0.5</v>
      </c>
    </row>
    <row r="166">
      <c r="B166">
        <v>161</v>
      </c>
      <c r="C166">
        <v>23</v>
      </c>
      <c r="D166">
        <v>3.6697247706422016</v>
      </c>
      <c r="E166">
        <v>1.4236452857142858</v>
      </c>
      <c r="F166">
        <v>5</v>
      </c>
      <c r="G166">
        <f>(H166/1.39135)*$K$5</f>
        <v>0.8557544830560249</v>
      </c>
      <c r="H166">
        <f>(F166*1.190654)*$L$5</f>
        <v>2.9766350000000004</v>
      </c>
      <c r="I166">
        <v>35.6483</v>
      </c>
      <c r="J166">
        <f>D166/(F166/3.362524)</f>
        <v>2.46790752293578</v>
      </c>
      <c r="K166">
        <f>G166/(H166/1.39135)</f>
        <v>0.4</v>
      </c>
      <c r="L166">
        <f>(H166/1.190654)/F166</f>
        <v>0.5</v>
      </c>
    </row>
    <row r="167">
      <c r="B167">
        <v>162</v>
      </c>
      <c r="C167">
        <v>24</v>
      </c>
      <c r="D167">
        <v>3.6697247706422016</v>
      </c>
      <c r="E167">
        <v>1.4236452857142858</v>
      </c>
      <c r="F167">
        <v>5</v>
      </c>
      <c r="G167">
        <f>(H167/1.39135)*$K$5</f>
        <v>0.8557544830560249</v>
      </c>
      <c r="H167">
        <f>(F167*1.190654)*$L$5</f>
        <v>2.9766350000000004</v>
      </c>
      <c r="I167">
        <v>35.6483</v>
      </c>
      <c r="J167">
        <f>D167/(F167/3.362524)</f>
        <v>2.46790752293578</v>
      </c>
      <c r="K167">
        <f>G167/(H167/1.39135)</f>
        <v>0.4</v>
      </c>
      <c r="L167">
        <f>(H167/1.190654)/F167</f>
        <v>0.5</v>
      </c>
    </row>
    <row r="168">
      <c r="B168">
        <v>163</v>
      </c>
      <c r="C168">
        <v>24</v>
      </c>
      <c r="D168">
        <v>3.6697247706422016</v>
      </c>
      <c r="E168">
        <v>1.4236452857142858</v>
      </c>
      <c r="F168">
        <v>5</v>
      </c>
      <c r="G168">
        <f>(H168/1.39135)*$K$5</f>
        <v>0.8557544830560249</v>
      </c>
      <c r="H168">
        <f>(F168*1.190654)*$L$5</f>
        <v>2.9766350000000004</v>
      </c>
      <c r="I168">
        <v>35.6483</v>
      </c>
      <c r="J168">
        <f>D168/(F168/3.362524)</f>
        <v>2.46790752293578</v>
      </c>
      <c r="K168">
        <f>G168/(H168/1.39135)</f>
        <v>0.4</v>
      </c>
      <c r="L168">
        <f>(H168/1.190654)/F168</f>
        <v>0.5</v>
      </c>
    </row>
    <row r="169">
      <c r="B169">
        <v>164</v>
      </c>
      <c r="C169">
        <v>24</v>
      </c>
      <c r="D169">
        <v>3.6697247706422016</v>
      </c>
      <c r="E169">
        <v>1.4236452857142858</v>
      </c>
      <c r="F169">
        <v>5</v>
      </c>
      <c r="G169">
        <f>(H169/1.39135)*$K$5</f>
        <v>0.8557544830560249</v>
      </c>
      <c r="H169">
        <f>(F169*1.190654)*$L$5</f>
        <v>2.9766350000000004</v>
      </c>
      <c r="I169">
        <v>35.6483</v>
      </c>
      <c r="J169">
        <f>D169/(F169/3.362524)</f>
        <v>2.46790752293578</v>
      </c>
      <c r="K169">
        <f>G169/(H169/1.39135)</f>
        <v>0.4</v>
      </c>
      <c r="L169">
        <f>(H169/1.190654)/F169</f>
        <v>0.5</v>
      </c>
    </row>
    <row r="170">
      <c r="B170">
        <v>165</v>
      </c>
      <c r="C170">
        <v>24</v>
      </c>
      <c r="D170">
        <v>3.6697247706422016</v>
      </c>
      <c r="E170">
        <v>1.4236452857142858</v>
      </c>
      <c r="F170">
        <v>5</v>
      </c>
      <c r="G170">
        <f>(H170/1.39135)*$K$5</f>
        <v>0.8557544830560249</v>
      </c>
      <c r="H170">
        <f>(F170*1.190654)*$L$5</f>
        <v>2.9766350000000004</v>
      </c>
      <c r="I170">
        <v>35.6483</v>
      </c>
      <c r="J170">
        <f>D170/(F170/3.362524)</f>
        <v>2.46790752293578</v>
      </c>
      <c r="K170">
        <f>G170/(H170/1.39135)</f>
        <v>0.4</v>
      </c>
      <c r="L170">
        <f>(H170/1.190654)/F170</f>
        <v>0.5</v>
      </c>
    </row>
    <row r="171">
      <c r="B171">
        <v>166</v>
      </c>
      <c r="C171">
        <v>24</v>
      </c>
      <c r="D171">
        <v>3.6697247706422016</v>
      </c>
      <c r="E171">
        <v>1.4236452857142858</v>
      </c>
      <c r="F171">
        <v>5</v>
      </c>
      <c r="G171">
        <f>(H171/1.39135)*$K$5</f>
        <v>0.8557544830560249</v>
      </c>
      <c r="H171">
        <f>(F171*1.190654)*$L$5</f>
        <v>2.9766350000000004</v>
      </c>
      <c r="I171">
        <v>35.6483</v>
      </c>
      <c r="J171">
        <f>D171/(F171/3.362524)</f>
        <v>2.46790752293578</v>
      </c>
      <c r="K171">
        <f>G171/(H171/1.39135)</f>
        <v>0.4</v>
      </c>
      <c r="L171">
        <f>(H171/1.190654)/F171</f>
        <v>0.5</v>
      </c>
    </row>
    <row r="172">
      <c r="B172">
        <v>167</v>
      </c>
      <c r="C172">
        <v>24</v>
      </c>
      <c r="D172">
        <v>3.6697247706422016</v>
      </c>
      <c r="E172">
        <v>1.4236452857142858</v>
      </c>
      <c r="F172">
        <v>5</v>
      </c>
      <c r="G172">
        <f>(H172/1.39135)*$K$5</f>
        <v>0.8557544830560249</v>
      </c>
      <c r="H172">
        <f>(F172*1.190654)*$L$5</f>
        <v>2.9766350000000004</v>
      </c>
      <c r="I172">
        <v>35.6483</v>
      </c>
      <c r="J172">
        <f>D172/(F172/3.362524)</f>
        <v>2.46790752293578</v>
      </c>
      <c r="K172">
        <f>G172/(H172/1.39135)</f>
        <v>0.4</v>
      </c>
      <c r="L172">
        <f>(H172/1.190654)/F172</f>
        <v>0.5</v>
      </c>
    </row>
    <row r="173">
      <c r="B173">
        <v>168</v>
      </c>
      <c r="C173">
        <v>24</v>
      </c>
      <c r="D173">
        <v>3.6697247706422016</v>
      </c>
      <c r="E173">
        <v>1.4236452857142858</v>
      </c>
      <c r="F173">
        <v>5</v>
      </c>
      <c r="G173">
        <f>(H173/1.39135)*$K$5</f>
        <v>0.8557544830560249</v>
      </c>
      <c r="H173">
        <f>(F173*1.190654)*$L$5</f>
        <v>2.9766350000000004</v>
      </c>
      <c r="I173">
        <v>35.6483</v>
      </c>
      <c r="J173">
        <f>D173/(F173/3.362524)</f>
        <v>2.46790752293578</v>
      </c>
      <c r="K173">
        <f>G173/(H173/1.39135)</f>
        <v>0.4</v>
      </c>
      <c r="L173">
        <f>(H173/1.190654)/F173</f>
        <v>0.5</v>
      </c>
    </row>
    <row r="174">
      <c r="B174">
        <v>169</v>
      </c>
      <c r="C174">
        <v>25</v>
      </c>
      <c r="D174">
        <v>3.6697247706422016</v>
      </c>
      <c r="E174">
        <v>1.4236452857142858</v>
      </c>
      <c r="F174">
        <v>5</v>
      </c>
      <c r="G174">
        <f>(H174/1.39135)*$K$5</f>
        <v>0.8557544830560249</v>
      </c>
      <c r="H174">
        <f>(F174*1.190654)*$L$5</f>
        <v>2.9766350000000004</v>
      </c>
      <c r="I174">
        <v>35.6483</v>
      </c>
      <c r="J174">
        <f>D174/(F174/3.362524)</f>
        <v>2.46790752293578</v>
      </c>
      <c r="K174">
        <f>G174/(H174/1.39135)</f>
        <v>0.4</v>
      </c>
      <c r="L174">
        <f>(H174/1.190654)/F174</f>
        <v>0.5</v>
      </c>
    </row>
    <row r="175">
      <c r="B175">
        <v>170</v>
      </c>
      <c r="C175">
        <v>25</v>
      </c>
      <c r="D175">
        <v>3.6697247706422016</v>
      </c>
      <c r="E175">
        <v>1.4236452857142858</v>
      </c>
      <c r="F175">
        <v>5</v>
      </c>
      <c r="G175">
        <f>(H175/1.39135)*$K$5</f>
        <v>0.8557544830560249</v>
      </c>
      <c r="H175">
        <f>(F175*1.190654)*$L$5</f>
        <v>2.9766350000000004</v>
      </c>
      <c r="I175">
        <v>35.6483</v>
      </c>
      <c r="J175">
        <f>D175/(F175/3.362524)</f>
        <v>2.46790752293578</v>
      </c>
      <c r="K175">
        <f>G175/(H175/1.39135)</f>
        <v>0.4</v>
      </c>
      <c r="L175">
        <f>(H175/1.190654)/F175</f>
        <v>0.5</v>
      </c>
    </row>
    <row r="176">
      <c r="B176">
        <v>171</v>
      </c>
      <c r="C176">
        <v>25</v>
      </c>
      <c r="D176">
        <v>3.6697247706422016</v>
      </c>
      <c r="E176">
        <v>1.4236452857142858</v>
      </c>
      <c r="F176">
        <v>5</v>
      </c>
      <c r="G176">
        <f>(H176/1.39135)*$K$5</f>
        <v>0.8557544830560249</v>
      </c>
      <c r="H176">
        <f>(F176*1.190654)*$L$5</f>
        <v>2.9766350000000004</v>
      </c>
      <c r="I176">
        <v>35.6483</v>
      </c>
      <c r="J176">
        <f>D176/(F176/3.362524)</f>
        <v>2.46790752293578</v>
      </c>
      <c r="K176">
        <f>G176/(H176/1.39135)</f>
        <v>0.4</v>
      </c>
      <c r="L176">
        <f>(H176/1.190654)/F176</f>
        <v>0.5</v>
      </c>
    </row>
    <row r="177">
      <c r="B177">
        <v>172</v>
      </c>
      <c r="C177">
        <v>25</v>
      </c>
      <c r="D177">
        <v>3.6697247706422016</v>
      </c>
      <c r="E177">
        <v>1.4236452857142858</v>
      </c>
      <c r="F177">
        <v>5</v>
      </c>
      <c r="G177">
        <f>(H177/1.39135)*$K$5</f>
        <v>0.8557544830560249</v>
      </c>
      <c r="H177">
        <f>(F177*1.190654)*$L$5</f>
        <v>2.9766350000000004</v>
      </c>
      <c r="I177">
        <v>35.6483</v>
      </c>
      <c r="J177">
        <f>D177/(F177/3.362524)</f>
        <v>2.46790752293578</v>
      </c>
      <c r="K177">
        <f>G177/(H177/1.39135)</f>
        <v>0.4</v>
      </c>
      <c r="L177">
        <f>(H177/1.190654)/F177</f>
        <v>0.5</v>
      </c>
    </row>
    <row r="178">
      <c r="B178">
        <v>173</v>
      </c>
      <c r="C178">
        <v>25</v>
      </c>
      <c r="D178">
        <v>3.6697247706422016</v>
      </c>
      <c r="E178">
        <v>1.4236452857142858</v>
      </c>
      <c r="F178">
        <v>5</v>
      </c>
      <c r="G178">
        <f>(H178/1.39135)*$K$5</f>
        <v>0.8557544830560249</v>
      </c>
      <c r="H178">
        <f>(F178*1.190654)*$L$5</f>
        <v>2.9766350000000004</v>
      </c>
      <c r="I178">
        <v>35.6483</v>
      </c>
      <c r="J178">
        <f>D178/(F178/3.362524)</f>
        <v>2.46790752293578</v>
      </c>
      <c r="K178">
        <f>G178/(H178/1.39135)</f>
        <v>0.4</v>
      </c>
      <c r="L178">
        <f>(H178/1.190654)/F178</f>
        <v>0.5</v>
      </c>
    </row>
    <row r="179">
      <c r="B179">
        <v>174</v>
      </c>
      <c r="C179">
        <v>25</v>
      </c>
      <c r="D179">
        <v>3.6697247706422016</v>
      </c>
      <c r="E179">
        <v>1.4236452857142858</v>
      </c>
      <c r="F179">
        <v>5</v>
      </c>
      <c r="G179">
        <f>(H179/1.39135)*$K$5</f>
        <v>0.8557544830560249</v>
      </c>
      <c r="H179">
        <f>(F179*1.190654)*$L$5</f>
        <v>2.9766350000000004</v>
      </c>
      <c r="I179">
        <v>35.6483</v>
      </c>
      <c r="J179">
        <f>D179/(F179/3.362524)</f>
        <v>2.46790752293578</v>
      </c>
      <c r="K179">
        <f>G179/(H179/1.39135)</f>
        <v>0.4</v>
      </c>
      <c r="L179">
        <f>(H179/1.190654)/F179</f>
        <v>0.5</v>
      </c>
    </row>
    <row r="180">
      <c r="B180">
        <v>175</v>
      </c>
      <c r="C180">
        <v>25</v>
      </c>
      <c r="D180">
        <v>3.6697247706422016</v>
      </c>
      <c r="E180">
        <v>1.4236452857142858</v>
      </c>
      <c r="F180">
        <v>5</v>
      </c>
      <c r="G180">
        <f>(H180/1.39135)*$K$5</f>
        <v>0.8557544830560249</v>
      </c>
      <c r="H180">
        <f>(F180*1.190654)*$L$5</f>
        <v>2.9766350000000004</v>
      </c>
      <c r="I180">
        <v>35.6483</v>
      </c>
      <c r="J180">
        <f>D180/(F180/3.362524)</f>
        <v>2.46790752293578</v>
      </c>
      <c r="K180">
        <f>G180/(H180/1.39135)</f>
        <v>0.4</v>
      </c>
      <c r="L180">
        <f>(H180/1.190654)/F180</f>
        <v>0.5</v>
      </c>
    </row>
    <row r="181">
      <c r="B181">
        <v>176</v>
      </c>
      <c r="C181">
        <v>26</v>
      </c>
      <c r="D181">
        <v>3.6697247706422016</v>
      </c>
      <c r="E181">
        <v>1.4236452857142858</v>
      </c>
      <c r="F181">
        <v>5</v>
      </c>
      <c r="G181">
        <f>(H181/1.39135)*$K$5</f>
        <v>0.8557544830560249</v>
      </c>
      <c r="H181">
        <f>(F181*1.190654)*$L$5</f>
        <v>2.9766350000000004</v>
      </c>
      <c r="I181">
        <v>35.6483</v>
      </c>
      <c r="J181">
        <f>D181/(F181/3.362524)</f>
        <v>2.46790752293578</v>
      </c>
      <c r="K181">
        <f>G181/(H181/1.39135)</f>
        <v>0.4</v>
      </c>
      <c r="L181">
        <f>(H181/1.190654)/F181</f>
        <v>0.5</v>
      </c>
    </row>
    <row r="182">
      <c r="B182">
        <v>177</v>
      </c>
      <c r="C182">
        <v>26</v>
      </c>
      <c r="D182">
        <v>3.6697247706422016</v>
      </c>
      <c r="E182">
        <v>1.4236452857142858</v>
      </c>
      <c r="F182">
        <v>5</v>
      </c>
      <c r="G182">
        <f>(H182/1.39135)*$K$5</f>
        <v>0.8557544830560249</v>
      </c>
      <c r="H182">
        <f>(F182*1.190654)*$L$5</f>
        <v>2.9766350000000004</v>
      </c>
      <c r="I182">
        <v>35.6483</v>
      </c>
      <c r="J182">
        <f>D182/(F182/3.362524)</f>
        <v>2.46790752293578</v>
      </c>
      <c r="K182">
        <f>G182/(H182/1.39135)</f>
        <v>0.4</v>
      </c>
      <c r="L182">
        <f>(H182/1.190654)/F182</f>
        <v>0.5</v>
      </c>
    </row>
    <row r="183">
      <c r="B183">
        <v>178</v>
      </c>
      <c r="C183">
        <v>26</v>
      </c>
      <c r="D183">
        <v>3.6697247706422016</v>
      </c>
      <c r="E183">
        <v>1.4236452857142858</v>
      </c>
      <c r="F183">
        <v>5</v>
      </c>
      <c r="G183">
        <f>(H183/1.39135)*$K$5</f>
        <v>0.8557544830560249</v>
      </c>
      <c r="H183">
        <f>(F183*1.190654)*$L$5</f>
        <v>2.9766350000000004</v>
      </c>
      <c r="I183">
        <v>35.6483</v>
      </c>
      <c r="J183">
        <f>D183/(F183/3.362524)</f>
        <v>2.46790752293578</v>
      </c>
      <c r="K183">
        <f>G183/(H183/1.39135)</f>
        <v>0.4</v>
      </c>
      <c r="L183">
        <f>(H183/1.190654)/F183</f>
        <v>0.5</v>
      </c>
    </row>
    <row r="184">
      <c r="B184">
        <v>179</v>
      </c>
      <c r="C184">
        <v>26</v>
      </c>
      <c r="D184">
        <v>3.6697247706422016</v>
      </c>
      <c r="E184">
        <v>1.4236452857142858</v>
      </c>
      <c r="F184">
        <v>5</v>
      </c>
      <c r="G184">
        <f>(H184/1.39135)*$K$5</f>
        <v>0.8557544830560249</v>
      </c>
      <c r="H184">
        <f>(F184*1.190654)*$L$5</f>
        <v>2.9766350000000004</v>
      </c>
      <c r="I184">
        <v>35.6483</v>
      </c>
      <c r="J184">
        <f>D184/(F184/3.362524)</f>
        <v>2.46790752293578</v>
      </c>
      <c r="K184">
        <f>G184/(H184/1.39135)</f>
        <v>0.4</v>
      </c>
      <c r="L184">
        <f>(H184/1.190654)/F184</f>
        <v>0.5</v>
      </c>
    </row>
    <row r="185">
      <c r="B185">
        <v>180</v>
      </c>
      <c r="C185">
        <v>26</v>
      </c>
      <c r="D185">
        <v>3.6697247706422016</v>
      </c>
      <c r="E185">
        <v>1.4236452857142858</v>
      </c>
      <c r="F185">
        <v>5</v>
      </c>
      <c r="G185">
        <f>(H185/1.39135)*$K$5</f>
        <v>0.8557544830560249</v>
      </c>
      <c r="H185">
        <f>(F185*1.190654)*$L$5</f>
        <v>2.9766350000000004</v>
      </c>
      <c r="I185">
        <v>35.6483</v>
      </c>
      <c r="J185">
        <f>D185/(F185/3.362524)</f>
        <v>2.46790752293578</v>
      </c>
      <c r="K185">
        <f>G185/(H185/1.39135)</f>
        <v>0.4</v>
      </c>
      <c r="L185">
        <f>(H185/1.190654)/F185</f>
        <v>0.5</v>
      </c>
    </row>
    <row r="186">
      <c r="B186">
        <v>181</v>
      </c>
      <c r="C186">
        <v>26</v>
      </c>
      <c r="D186">
        <v>3.6697247706422016</v>
      </c>
      <c r="E186">
        <v>1.4236452857142858</v>
      </c>
      <c r="F186">
        <v>5</v>
      </c>
      <c r="G186">
        <f>(H186/1.39135)*$K$5</f>
        <v>0.8557544830560249</v>
      </c>
      <c r="H186">
        <f>(F186*1.190654)*$L$5</f>
        <v>2.9766350000000004</v>
      </c>
      <c r="I186">
        <v>35.6483</v>
      </c>
      <c r="J186">
        <f>D186/(F186/3.362524)</f>
        <v>2.46790752293578</v>
      </c>
      <c r="K186">
        <f>G186/(H186/1.39135)</f>
        <v>0.4</v>
      </c>
      <c r="L186">
        <f>(H186/1.190654)/F186</f>
        <v>0.5</v>
      </c>
    </row>
    <row r="187">
      <c r="B187">
        <v>182</v>
      </c>
      <c r="C187">
        <v>26</v>
      </c>
      <c r="D187">
        <v>3.6697247706422016</v>
      </c>
      <c r="E187">
        <v>1.4236452857142858</v>
      </c>
      <c r="F187">
        <v>5</v>
      </c>
      <c r="G187">
        <f>(H187/1.39135)*$K$5</f>
        <v>0.8557544830560249</v>
      </c>
      <c r="H187">
        <f>(F187*1.190654)*$L$5</f>
        <v>2.9766350000000004</v>
      </c>
      <c r="I187">
        <v>35.6483</v>
      </c>
      <c r="J187">
        <f>D187/(F187/3.362524)</f>
        <v>2.46790752293578</v>
      </c>
      <c r="K187">
        <f>G187/(H187/1.39135)</f>
        <v>0.4</v>
      </c>
      <c r="L187">
        <f>(H187/1.190654)/F187</f>
        <v>0.5</v>
      </c>
    </row>
    <row r="188">
      <c r="B188">
        <v>183</v>
      </c>
      <c r="C188">
        <v>27</v>
      </c>
      <c r="D188">
        <v>3.6697247706422016</v>
      </c>
      <c r="E188">
        <v>1.4236452857142858</v>
      </c>
      <c r="F188">
        <v>5</v>
      </c>
      <c r="G188">
        <f>(H188/1.39135)*$K$5</f>
        <v>0.8557544830560249</v>
      </c>
      <c r="H188">
        <f>(F188*1.190654)*$L$5</f>
        <v>2.9766350000000004</v>
      </c>
      <c r="I188">
        <v>35.6483</v>
      </c>
      <c r="J188">
        <f>D188/(F188/3.362524)</f>
        <v>2.46790752293578</v>
      </c>
      <c r="K188">
        <f>G188/(H188/1.39135)</f>
        <v>0.4</v>
      </c>
      <c r="L188">
        <f>(H188/1.190654)/F188</f>
        <v>0.5</v>
      </c>
    </row>
    <row r="189">
      <c r="B189">
        <v>184</v>
      </c>
      <c r="C189">
        <v>27</v>
      </c>
      <c r="D189">
        <v>3.6697247706422016</v>
      </c>
      <c r="E189">
        <v>1.4236452857142858</v>
      </c>
      <c r="F189">
        <v>5</v>
      </c>
      <c r="G189">
        <f>(H189/1.39135)*$K$5</f>
        <v>0.8557544830560249</v>
      </c>
      <c r="H189">
        <f>(F189*1.190654)*$L$5</f>
        <v>2.9766350000000004</v>
      </c>
      <c r="I189">
        <v>35.6483</v>
      </c>
      <c r="J189">
        <f>D189/(F189/3.362524)</f>
        <v>2.46790752293578</v>
      </c>
      <c r="K189">
        <f>G189/(H189/1.39135)</f>
        <v>0.4</v>
      </c>
      <c r="L189">
        <f>(H189/1.190654)/F189</f>
        <v>0.5</v>
      </c>
    </row>
    <row r="190">
      <c r="B190">
        <v>185</v>
      </c>
      <c r="C190">
        <v>27</v>
      </c>
      <c r="D190">
        <v>3.6697247706422016</v>
      </c>
      <c r="E190">
        <v>1.4236452857142858</v>
      </c>
      <c r="F190">
        <v>5</v>
      </c>
      <c r="G190">
        <f>(H190/1.39135)*$K$5</f>
        <v>0.8557544830560249</v>
      </c>
      <c r="H190">
        <f>(F190*1.190654)*$L$5</f>
        <v>2.9766350000000004</v>
      </c>
      <c r="I190">
        <v>35.6483</v>
      </c>
      <c r="J190">
        <f>D190/(F190/3.362524)</f>
        <v>2.46790752293578</v>
      </c>
      <c r="K190">
        <f>G190/(H190/1.39135)</f>
        <v>0.4</v>
      </c>
      <c r="L190">
        <f>(H190/1.190654)/F190</f>
        <v>0.5</v>
      </c>
    </row>
    <row r="191">
      <c r="B191">
        <v>186</v>
      </c>
      <c r="C191">
        <v>27</v>
      </c>
      <c r="D191">
        <v>3.6697247706422016</v>
      </c>
      <c r="E191">
        <v>1.4236452857142858</v>
      </c>
      <c r="F191">
        <v>5</v>
      </c>
      <c r="G191">
        <f>(H191/1.39135)*$K$5</f>
        <v>0.8557544830560249</v>
      </c>
      <c r="H191">
        <f>(F191*1.190654)*$L$5</f>
        <v>2.9766350000000004</v>
      </c>
      <c r="I191">
        <v>35.6483</v>
      </c>
      <c r="J191">
        <f>D191/(F191/3.362524)</f>
        <v>2.46790752293578</v>
      </c>
      <c r="K191">
        <f>G191/(H191/1.39135)</f>
        <v>0.4</v>
      </c>
      <c r="L191">
        <f>(H191/1.190654)/F191</f>
        <v>0.5</v>
      </c>
    </row>
    <row r="192">
      <c r="B192">
        <v>187</v>
      </c>
      <c r="C192">
        <v>27</v>
      </c>
      <c r="D192">
        <v>3.6697247706422016</v>
      </c>
      <c r="E192">
        <v>1.4236452857142858</v>
      </c>
      <c r="F192">
        <v>5</v>
      </c>
      <c r="G192">
        <f>(H192/1.39135)*$K$5</f>
        <v>0.8557544830560249</v>
      </c>
      <c r="H192">
        <f>(F192*1.190654)*$L$5</f>
        <v>2.9766350000000004</v>
      </c>
      <c r="I192">
        <v>35.6483</v>
      </c>
      <c r="J192">
        <f>D192/(F192/3.362524)</f>
        <v>2.46790752293578</v>
      </c>
      <c r="K192">
        <f>G192/(H192/1.39135)</f>
        <v>0.4</v>
      </c>
      <c r="L192">
        <f>(H192/1.190654)/F192</f>
        <v>0.5</v>
      </c>
    </row>
    <row r="193">
      <c r="B193">
        <v>188</v>
      </c>
      <c r="C193">
        <v>27</v>
      </c>
      <c r="D193">
        <v>3.6697247706422016</v>
      </c>
      <c r="E193">
        <v>1.4236452857142858</v>
      </c>
      <c r="F193">
        <v>5</v>
      </c>
      <c r="G193">
        <f>(H193/1.39135)*$K$5</f>
        <v>0.8557544830560249</v>
      </c>
      <c r="H193">
        <f>(F193*1.190654)*$L$5</f>
        <v>2.9766350000000004</v>
      </c>
      <c r="I193">
        <v>35.6483</v>
      </c>
      <c r="J193">
        <f>D193/(F193/3.362524)</f>
        <v>2.46790752293578</v>
      </c>
      <c r="K193">
        <f>G193/(H193/1.39135)</f>
        <v>0.4</v>
      </c>
      <c r="L193">
        <f>(H193/1.190654)/F193</f>
        <v>0.5</v>
      </c>
    </row>
    <row r="194">
      <c r="B194">
        <v>189</v>
      </c>
      <c r="C194">
        <v>27</v>
      </c>
      <c r="D194">
        <v>3.6697247706422016</v>
      </c>
      <c r="E194">
        <v>1.4236452857142858</v>
      </c>
      <c r="F194">
        <v>5</v>
      </c>
      <c r="G194">
        <f>(H194/1.39135)*$K$5</f>
        <v>0.8557544830560249</v>
      </c>
      <c r="H194">
        <f>(F194*1.190654)*$L$5</f>
        <v>2.9766350000000004</v>
      </c>
      <c r="I194">
        <v>35.6483</v>
      </c>
      <c r="J194">
        <f>D194/(F194/3.362524)</f>
        <v>2.46790752293578</v>
      </c>
      <c r="K194">
        <f>G194/(H194/1.39135)</f>
        <v>0.4</v>
      </c>
      <c r="L194">
        <f>(H194/1.190654)/F194</f>
        <v>0.5</v>
      </c>
    </row>
    <row r="195">
      <c r="D195">
        <f>SUM(D6:D194)</f>
        <v>716.6366512986655</v>
      </c>
      <c r="E195">
        <f>SUM(E6:E194)</f>
        <v>239.17240800000008</v>
      </c>
      <c r="F195">
        <f>SUM(F6:F194)</f>
        <v>921.7325274071602</v>
      </c>
      <c r="G195">
        <f>SUM(G6:G194)</f>
        <v>157.7553485014478</v>
      </c>
      <c r="H195">
        <f>SUM(H6:H194)</f>
        <v>548.7322603437209</v>
      </c>
      <c r="I195">
        <f>SUM(I6:I194)</f>
        <v>5326.8736999999865</v>
      </c>
    </row>
  </sheetData>
  <sheetProtection sheet="1"/>
  <mergeCells count="4">
    <mergeCell ref="A2:M2"/>
    <mergeCell ref="A3:M3"/>
    <mergeCell ref="H1:M1"/>
    <mergeCell ref="A5:C5"/>
  </mergeCells>
  <pageMargins left="0.75" right="0.75" top="1" bottom="1" header="0.5" footer="0.5"/>
  <ignoredErrors>
    <ignoredError numberStoredAsText="1" sqref="A1:T195"/>
  </ignoredErrors>
  <legacyDrawing r:id="rId1"/>
</worksheet>
</file>

<file path=xl/worksheets/sheet11.xml><?xml version="1.0" encoding="utf-8"?>
<worksheet xmlns="http://schemas.openxmlformats.org/spreadsheetml/2006/main" xmlns:r="http://schemas.openxmlformats.org/officeDocument/2006/relationships">
  <dimension ref="A1:O104"/>
  <sheetViews>
    <sheetView workbookViewId="0" rightToLeft="0"/>
  </sheetViews>
  <sheetData>
    <row r="2">
      <c r="A2" t="str">
        <v>Nombre</v>
      </c>
      <c r="B2" t="str">
        <v>Formula</v>
      </c>
      <c r="C2" t="str">
        <v>Precio</v>
      </c>
      <c r="D2" t="str">
        <v>N</v>
      </c>
      <c r="E2" t="str">
        <v>P2O5</v>
      </c>
      <c r="F2" t="str">
        <v>K2O</v>
      </c>
      <c r="G2" t="str">
        <v>MgO</v>
      </c>
      <c r="H2" t="str">
        <v>CaO</v>
      </c>
      <c r="I2" t="str">
        <v>SO3</v>
      </c>
      <c r="J2" t="str">
        <v>B</v>
      </c>
      <c r="K2" t="str">
        <v>Unidades</v>
      </c>
    </row>
    <row r="3">
      <c r="A3" t="str">
        <v>Ácido Fosfórico 85% (peso 1.7 gr/ml</v>
      </c>
      <c r="B3" t="str">
        <v>85%.</v>
      </c>
      <c r="C3">
        <v>1610</v>
      </c>
      <c r="D3">
        <v>0</v>
      </c>
      <c r="E3">
        <v>103</v>
      </c>
      <c r="F3">
        <v>0</v>
      </c>
      <c r="G3">
        <v>0</v>
      </c>
      <c r="H3">
        <v>0</v>
      </c>
      <c r="I3">
        <v>0</v>
      </c>
      <c r="J3">
        <v>0</v>
      </c>
      <c r="K3" t="str">
        <v>Lts</v>
      </c>
      <c r="L3" t="str">
        <v>Fertilizantes usados como Fuente de Fósforo</v>
      </c>
      <c r="N3" t="str">
        <v>Si se desea agregar otro fertilizante para fuente de unos elementos se puede agregar en cualquiera de los tres espacios en blanco debajo de cada fuente</v>
      </c>
      <c r="O3" t="str">
        <v>Los cuadros en amarillo deben de actualizarse para cada agricultor. Estas celdas no están protegidas. La ultima columna es por si se desea realizar algún cambio en las unidades de fertilizante ya que puede ser litros, libras, kilos, gramos, etc.</v>
      </c>
    </row>
    <row r="4">
      <c r="A4" t="str">
        <v>DAP 18-46-0</v>
      </c>
      <c r="B4" t="str">
        <v>18-46-0</v>
      </c>
      <c r="C4">
        <v>1200</v>
      </c>
      <c r="D4">
        <v>18</v>
      </c>
      <c r="E4">
        <v>46</v>
      </c>
      <c r="F4">
        <v>0</v>
      </c>
      <c r="G4">
        <v>0</v>
      </c>
      <c r="H4">
        <v>0</v>
      </c>
      <c r="I4">
        <v>0</v>
      </c>
      <c r="J4">
        <v>0</v>
      </c>
      <c r="K4" t="str">
        <v>Lbs</v>
      </c>
    </row>
    <row r="5">
      <c r="A5" t="str">
        <v>DAP 21-53-0 Soluble</v>
      </c>
      <c r="B5" t="str">
        <v>21-53-0</v>
      </c>
      <c r="C5">
        <v>1800</v>
      </c>
      <c r="D5">
        <v>21</v>
      </c>
      <c r="E5">
        <v>53</v>
      </c>
      <c r="F5">
        <v>0</v>
      </c>
      <c r="G5">
        <v>0</v>
      </c>
      <c r="H5">
        <v>0</v>
      </c>
      <c r="I5">
        <v>0</v>
      </c>
      <c r="J5">
        <v>0</v>
      </c>
      <c r="K5" t="str">
        <v>Lbs</v>
      </c>
    </row>
    <row r="6">
      <c r="A6" t="str">
        <v>MAP 12-61-0</v>
      </c>
      <c r="B6" t="str">
        <v>12-61-0</v>
      </c>
      <c r="C6">
        <v>2900</v>
      </c>
      <c r="D6">
        <v>12</v>
      </c>
      <c r="E6">
        <v>61</v>
      </c>
      <c r="F6">
        <v>0</v>
      </c>
      <c r="G6">
        <v>0</v>
      </c>
      <c r="H6">
        <v>0</v>
      </c>
      <c r="I6">
        <v>0</v>
      </c>
      <c r="J6">
        <v>0</v>
      </c>
      <c r="K6" t="str">
        <v>Lbs</v>
      </c>
    </row>
    <row r="7">
      <c r="A7" t="str">
        <v>FofatoMonoPotasico</v>
      </c>
      <c r="B7" t="str">
        <v>0-52-34,</v>
      </c>
      <c r="C7">
        <v>1700</v>
      </c>
      <c r="D7">
        <v>0</v>
      </c>
      <c r="E7">
        <v>52</v>
      </c>
      <c r="F7">
        <v>34</v>
      </c>
      <c r="G7">
        <v>0</v>
      </c>
      <c r="H7">
        <v>0</v>
      </c>
      <c r="I7">
        <v>0</v>
      </c>
      <c r="J7">
        <v>0</v>
      </c>
      <c r="K7" t="str">
        <v>Lbs</v>
      </c>
    </row>
    <row r="8">
      <c r="D8">
        <v>0</v>
      </c>
      <c r="E8">
        <v>0</v>
      </c>
      <c r="F8">
        <v>0</v>
      </c>
      <c r="G8">
        <v>0</v>
      </c>
      <c r="H8">
        <v>0</v>
      </c>
      <c r="I8">
        <v>0</v>
      </c>
      <c r="J8">
        <v>0</v>
      </c>
    </row>
    <row r="9"/>
    <row r="10"/>
    <row r="12">
      <c r="A12" t="str">
        <v>Nitrato de Amonio</v>
      </c>
      <c r="B12" t="str">
        <v>33.5-0-0</v>
      </c>
      <c r="C12">
        <v>620</v>
      </c>
      <c r="D12">
        <v>33.5</v>
      </c>
      <c r="E12">
        <v>0</v>
      </c>
      <c r="F12">
        <v>0</v>
      </c>
      <c r="G12">
        <v>0</v>
      </c>
      <c r="H12">
        <v>0</v>
      </c>
      <c r="I12">
        <v>0</v>
      </c>
      <c r="J12">
        <v>0</v>
      </c>
      <c r="K12" t="str">
        <v>Lbs</v>
      </c>
      <c r="L12" t="str">
        <v>Fertilizantes usados como Fuente de Nitrógeno</v>
      </c>
    </row>
    <row r="13">
      <c r="A13" t="str">
        <v>Sulfato de Amonio</v>
      </c>
      <c r="B13" t="str">
        <v>21-0-0</v>
      </c>
      <c r="C13">
        <v>360</v>
      </c>
      <c r="D13">
        <v>21</v>
      </c>
      <c r="E13">
        <v>0</v>
      </c>
      <c r="F13">
        <v>0</v>
      </c>
      <c r="G13">
        <v>0</v>
      </c>
      <c r="H13">
        <v>0</v>
      </c>
      <c r="I13">
        <v>58.8</v>
      </c>
      <c r="J13">
        <v>0</v>
      </c>
      <c r="K13" t="str">
        <v>Lbs</v>
      </c>
    </row>
    <row r="14">
      <c r="A14" t="str">
        <v>Urea</v>
      </c>
      <c r="B14" t="str">
        <v>46-0-0</v>
      </c>
      <c r="C14">
        <v>650</v>
      </c>
      <c r="D14">
        <v>46</v>
      </c>
      <c r="E14">
        <v>0</v>
      </c>
      <c r="F14">
        <v>0</v>
      </c>
      <c r="G14">
        <v>0</v>
      </c>
      <c r="H14">
        <v>0</v>
      </c>
      <c r="I14">
        <v>0</v>
      </c>
      <c r="J14">
        <v>0</v>
      </c>
      <c r="K14" t="str">
        <v>Lbs</v>
      </c>
    </row>
    <row r="15"/>
    <row r="16"/>
    <row r="17"/>
    <row r="19">
      <c r="A19" t="str">
        <v>Kcl</v>
      </c>
      <c r="B19" t="str">
        <v>0-0-60</v>
      </c>
      <c r="C19">
        <v>580</v>
      </c>
      <c r="D19">
        <v>0</v>
      </c>
      <c r="E19">
        <v>0</v>
      </c>
      <c r="F19">
        <v>60</v>
      </c>
      <c r="G19">
        <v>0</v>
      </c>
      <c r="H19">
        <v>0</v>
      </c>
      <c r="I19">
        <v>0</v>
      </c>
      <c r="J19">
        <v>0</v>
      </c>
      <c r="K19" t="str">
        <v>Lbs</v>
      </c>
      <c r="L19" t="str">
        <v>Fertilizantes usados como Fuente de Potasio</v>
      </c>
    </row>
    <row r="20">
      <c r="A20" t="str">
        <v>Nitrato de Potasio</v>
      </c>
      <c r="B20" t="str">
        <v>13-0-46</v>
      </c>
      <c r="C20">
        <v>670</v>
      </c>
      <c r="D20">
        <v>13</v>
      </c>
      <c r="E20">
        <v>0</v>
      </c>
      <c r="F20">
        <v>46</v>
      </c>
      <c r="G20">
        <v>0</v>
      </c>
      <c r="H20">
        <v>0</v>
      </c>
      <c r="I20">
        <v>0</v>
      </c>
      <c r="J20">
        <v>0</v>
      </c>
      <c r="K20" t="str">
        <v>Lbs</v>
      </c>
    </row>
    <row r="21">
      <c r="A21" t="str">
        <v>Sulfato de Potasio</v>
      </c>
      <c r="B21" t="str">
        <v>0-0-50</v>
      </c>
      <c r="C21">
        <v>505</v>
      </c>
      <c r="D21">
        <v>0</v>
      </c>
      <c r="E21">
        <v>0</v>
      </c>
      <c r="F21">
        <v>52</v>
      </c>
      <c r="G21">
        <v>0</v>
      </c>
      <c r="H21">
        <v>0</v>
      </c>
      <c r="I21">
        <v>47.5</v>
      </c>
      <c r="J21">
        <v>0</v>
      </c>
      <c r="K21" t="str">
        <v>Lbs</v>
      </c>
    </row>
    <row r="22">
      <c r="A22" t="str">
        <v>Kcl Soluble</v>
      </c>
      <c r="B22" t="str">
        <v>0-0-60</v>
      </c>
      <c r="C22">
        <v>780</v>
      </c>
      <c r="D22">
        <v>0</v>
      </c>
      <c r="E22">
        <v>0</v>
      </c>
      <c r="F22">
        <v>60</v>
      </c>
      <c r="G22">
        <v>0</v>
      </c>
      <c r="H22">
        <v>0</v>
      </c>
      <c r="I22">
        <v>0</v>
      </c>
      <c r="J22">
        <v>0</v>
      </c>
      <c r="K22" t="str">
        <v>Lbs</v>
      </c>
    </row>
    <row r="23">
      <c r="A23" t="str">
        <v>Sulpomag (K Mag)</v>
      </c>
      <c r="B23" t="str">
        <v>0-0-22-11-22</v>
      </c>
      <c r="C23">
        <v>0</v>
      </c>
      <c r="D23">
        <v>0</v>
      </c>
      <c r="E23">
        <v>0</v>
      </c>
      <c r="F23">
        <v>22</v>
      </c>
      <c r="G23">
        <v>11</v>
      </c>
      <c r="H23">
        <v>0</v>
      </c>
      <c r="I23">
        <v>22</v>
      </c>
      <c r="J23">
        <v>0</v>
      </c>
      <c r="K23" t="str">
        <v>Lbs</v>
      </c>
    </row>
    <row r="24"/>
    <row r="25"/>
    <row r="26"/>
    <row r="28">
      <c r="A28" t="str">
        <v>Nitrato de Magnesio</v>
      </c>
      <c r="B28" t="str">
        <v>11-0-0-0-15.7</v>
      </c>
      <c r="C28">
        <v>850</v>
      </c>
      <c r="D28">
        <v>11</v>
      </c>
      <c r="E28">
        <v>0</v>
      </c>
      <c r="F28">
        <v>0</v>
      </c>
      <c r="G28">
        <v>15.7</v>
      </c>
      <c r="H28">
        <v>0</v>
      </c>
      <c r="I28">
        <v>0</v>
      </c>
      <c r="J28">
        <v>0</v>
      </c>
      <c r="K28" t="str">
        <v>Lbs</v>
      </c>
      <c r="L28" t="str">
        <v>Fertilizantes usados como Fuente de Magnesio</v>
      </c>
    </row>
    <row r="29">
      <c r="A29" t="str">
        <v>Sulfato de Magnesio</v>
      </c>
      <c r="B29" t="str">
        <v>0-0-0-31.7-16</v>
      </c>
      <c r="C29">
        <v>951</v>
      </c>
      <c r="D29">
        <v>0</v>
      </c>
      <c r="E29">
        <v>0</v>
      </c>
      <c r="F29">
        <v>0</v>
      </c>
      <c r="G29">
        <v>16</v>
      </c>
      <c r="H29">
        <v>0</v>
      </c>
      <c r="I29">
        <v>31.7</v>
      </c>
      <c r="J29">
        <v>0</v>
      </c>
      <c r="K29" t="str">
        <v>Lbs</v>
      </c>
    </row>
    <row r="30">
      <c r="A30" t="str">
        <v>Aquafeed Mg Liquido</v>
      </c>
      <c r="B30" t="str">
        <v>0-0-0-0-10</v>
      </c>
      <c r="C30">
        <v>450</v>
      </c>
      <c r="D30">
        <v>0</v>
      </c>
      <c r="E30">
        <v>0</v>
      </c>
      <c r="F30">
        <v>0</v>
      </c>
      <c r="G30">
        <v>10</v>
      </c>
      <c r="H30">
        <v>0</v>
      </c>
      <c r="I30">
        <v>8</v>
      </c>
      <c r="J30">
        <v>0</v>
      </c>
      <c r="K30" t="str">
        <v>Lts</v>
      </c>
    </row>
    <row r="31"/>
    <row r="32"/>
    <row r="33"/>
    <row r="34">
      <c r="A34" t="str">
        <v>Sin Magnesio</v>
      </c>
      <c r="B34" t="str">
        <v>0-0-0-0-0</v>
      </c>
      <c r="C34">
        <v>0</v>
      </c>
      <c r="D34">
        <v>0</v>
      </c>
      <c r="E34">
        <v>0</v>
      </c>
      <c r="F34">
        <v>0</v>
      </c>
      <c r="G34">
        <v>1000000</v>
      </c>
      <c r="H34">
        <v>0</v>
      </c>
      <c r="I34">
        <v>0</v>
      </c>
      <c r="J34">
        <v>0</v>
      </c>
    </row>
    <row r="36">
      <c r="A36" t="str">
        <v>Nitrato de Calcio</v>
      </c>
      <c r="B36" t="str">
        <v>15.5-0-0-27</v>
      </c>
      <c r="C36">
        <v>1100</v>
      </c>
      <c r="D36">
        <v>15.5</v>
      </c>
      <c r="E36">
        <v>0</v>
      </c>
      <c r="F36">
        <v>0</v>
      </c>
      <c r="G36">
        <v>0</v>
      </c>
      <c r="H36">
        <v>27</v>
      </c>
      <c r="I36">
        <v>0</v>
      </c>
      <c r="J36">
        <v>0</v>
      </c>
      <c r="K36" t="str">
        <v>Lbs</v>
      </c>
      <c r="L36" t="str">
        <v>Fertilizantes usados como Fuente de Calcio</v>
      </c>
    </row>
    <row r="37">
      <c r="A37" t="str">
        <v>Calcio</v>
      </c>
      <c r="B37">
        <v>0</v>
      </c>
      <c r="C37">
        <v>85</v>
      </c>
      <c r="D37">
        <v>0</v>
      </c>
      <c r="E37">
        <v>0</v>
      </c>
      <c r="F37">
        <v>0</v>
      </c>
      <c r="G37">
        <v>0</v>
      </c>
      <c r="H37">
        <v>0</v>
      </c>
      <c r="I37">
        <v>0</v>
      </c>
      <c r="J37">
        <v>0</v>
      </c>
    </row>
    <row r="38"/>
    <row r="39"/>
    <row r="40">
      <c r="A40" t="str">
        <v>Sin Calcio</v>
      </c>
      <c r="B40" t="str">
        <v>0-0-0-0</v>
      </c>
      <c r="C40">
        <v>0</v>
      </c>
      <c r="D40">
        <v>0</v>
      </c>
      <c r="E40">
        <v>0</v>
      </c>
      <c r="F40">
        <v>0</v>
      </c>
      <c r="G40">
        <v>0</v>
      </c>
      <c r="H40">
        <v>1000000</v>
      </c>
      <c r="I40">
        <v>0</v>
      </c>
      <c r="J40">
        <v>0</v>
      </c>
    </row>
    <row r="42">
      <c r="A42" t="str">
        <v>Ácido Bórico</v>
      </c>
      <c r="B42" t="str">
        <v>0-0-0-0-0-0-18</v>
      </c>
      <c r="C42">
        <v>0.03</v>
      </c>
      <c r="D42">
        <v>0</v>
      </c>
      <c r="E42">
        <v>0</v>
      </c>
      <c r="F42">
        <v>0</v>
      </c>
      <c r="G42">
        <v>0</v>
      </c>
      <c r="H42">
        <v>0</v>
      </c>
      <c r="I42">
        <v>0</v>
      </c>
      <c r="J42">
        <v>18</v>
      </c>
      <c r="K42" t="str">
        <v>Gramos</v>
      </c>
      <c r="L42" t="str">
        <v>Fertilizantes usados como Fuente de Boro</v>
      </c>
    </row>
    <row r="43">
      <c r="A43" t="str">
        <v>Solubor</v>
      </c>
      <c r="B43" t="str">
        <v>0-0-0-0-0-0-20.5</v>
      </c>
      <c r="C43">
        <v>0.04</v>
      </c>
      <c r="D43">
        <v>0</v>
      </c>
      <c r="E43">
        <v>0</v>
      </c>
      <c r="F43">
        <v>0</v>
      </c>
      <c r="G43">
        <v>0</v>
      </c>
      <c r="H43">
        <v>0</v>
      </c>
      <c r="I43">
        <v>0</v>
      </c>
      <c r="J43">
        <v>20.5</v>
      </c>
      <c r="K43" t="str">
        <v>Gramos</v>
      </c>
    </row>
    <row r="44"/>
    <row r="45"/>
    <row r="46"/>
    <row r="47">
      <c r="A47" t="str">
        <v>Sin Boro</v>
      </c>
      <c r="B47" t="str">
        <v>0-0-0-0-0-0-0</v>
      </c>
      <c r="C47">
        <v>0</v>
      </c>
      <c r="D47">
        <v>0</v>
      </c>
      <c r="E47">
        <v>0</v>
      </c>
      <c r="F47">
        <v>0</v>
      </c>
      <c r="G47">
        <v>0</v>
      </c>
      <c r="H47">
        <v>0</v>
      </c>
      <c r="I47">
        <v>0</v>
      </c>
      <c r="J47">
        <v>100000</v>
      </c>
    </row>
    <row r="49">
      <c r="A49" t="str">
        <v>Metería Orgánica</v>
      </c>
      <c r="B49" t="str">
        <v>Dosis por Hectárea</v>
      </c>
      <c r="C49" t="str">
        <v>Precio</v>
      </c>
      <c r="D49" t="str">
        <v>Unidades</v>
      </c>
    </row>
    <row r="50">
      <c r="A50" t="str">
        <v>Melaza</v>
      </c>
      <c r="B50">
        <v>20</v>
      </c>
      <c r="C50">
        <v>2.8</v>
      </c>
      <c r="D50" t="str">
        <v>Lts</v>
      </c>
    </row>
    <row r="51">
      <c r="A51" t="str">
        <v>Azúcar</v>
      </c>
      <c r="B51">
        <v>50</v>
      </c>
      <c r="C51">
        <v>5.5</v>
      </c>
      <c r="D51" t="str">
        <v>Lbs</v>
      </c>
    </row>
    <row r="52">
      <c r="A52" t="str">
        <v>Ácidos Húmicos</v>
      </c>
    </row>
    <row r="54">
      <c r="A54">
        <v>0</v>
      </c>
    </row>
    <row r="56">
      <c r="A56" t="str">
        <v>Insecticida Post Trasplante</v>
      </c>
      <c r="B56" t="str">
        <v>Dosis por Hectárea</v>
      </c>
      <c r="C56" t="str">
        <v>Precio</v>
      </c>
      <c r="D56" t="str">
        <v>Unidades</v>
      </c>
    </row>
    <row r="57">
      <c r="A57" t="str">
        <v>Diazol 60 EC</v>
      </c>
      <c r="B57">
        <v>5</v>
      </c>
      <c r="C57">
        <v>210</v>
      </c>
      <c r="D57" t="str">
        <v>Lts</v>
      </c>
    </row>
    <row r="58">
      <c r="A58" t="str">
        <v>Furadan 48 SC</v>
      </c>
      <c r="B58">
        <v>3.785</v>
      </c>
      <c r="C58">
        <v>383</v>
      </c>
      <c r="D58" t="str">
        <v>Lts</v>
      </c>
    </row>
    <row r="59">
      <c r="A59" t="str">
        <v>Lorsban 4E</v>
      </c>
      <c r="B59">
        <v>5</v>
      </c>
      <c r="C59">
        <v>210</v>
      </c>
      <c r="D59" t="str">
        <v>Lts</v>
      </c>
    </row>
    <row r="60">
      <c r="A60" t="str">
        <v>Mocap 72 EC</v>
      </c>
      <c r="B60">
        <v>8</v>
      </c>
      <c r="C60">
        <v>220</v>
      </c>
      <c r="D60" t="str">
        <v>Lts</v>
      </c>
    </row>
    <row r="64">
      <c r="A64">
        <v>0</v>
      </c>
    </row>
    <row r="66">
      <c r="A66" t="str">
        <v>Prevención de virus</v>
      </c>
      <c r="B66" t="str">
        <v>Dosis por Hectárea</v>
      </c>
      <c r="C66" t="str">
        <v>Precio</v>
      </c>
      <c r="D66" t="str">
        <v>Unidades</v>
      </c>
    </row>
    <row r="67">
      <c r="A67" t="str">
        <v>Actara 25 WG</v>
      </c>
      <c r="B67">
        <v>400</v>
      </c>
      <c r="C67">
        <v>3.25</v>
      </c>
      <c r="D67" t="str">
        <v>g</v>
      </c>
    </row>
    <row r="68">
      <c r="A68" t="str">
        <v>Confidor 70 WG</v>
      </c>
      <c r="B68">
        <v>700</v>
      </c>
      <c r="C68">
        <v>1.75</v>
      </c>
      <c r="D68" t="str">
        <v>g</v>
      </c>
    </row>
    <row r="69">
      <c r="A69" t="str">
        <v>Rescate</v>
      </c>
      <c r="B69">
        <v>400</v>
      </c>
      <c r="C69">
        <v>2</v>
      </c>
      <c r="D69" t="str">
        <v>g</v>
      </c>
    </row>
    <row r="73">
      <c r="A73">
        <v>0</v>
      </c>
    </row>
    <row r="75">
      <c r="A75" t="str">
        <v>Activador Resistencia General</v>
      </c>
      <c r="B75" t="str">
        <v>Dosis por Hectárea</v>
      </c>
      <c r="C75" t="str">
        <v>Precio</v>
      </c>
      <c r="D75" t="str">
        <v>Unidades</v>
      </c>
    </row>
    <row r="76">
      <c r="A76" t="str">
        <v>Acido Salicílico</v>
      </c>
      <c r="B76">
        <v>250</v>
      </c>
      <c r="C76">
        <v>0.17</v>
      </c>
      <c r="D76" t="str">
        <v>g</v>
      </c>
    </row>
    <row r="78">
      <c r="A78">
        <v>0</v>
      </c>
    </row>
    <row r="80">
      <c r="A80" t="str">
        <v>Activador Resistencia Oomicetos</v>
      </c>
      <c r="B80" t="str">
        <v>Dosis por Hectárea</v>
      </c>
      <c r="C80" t="str">
        <v>Precio</v>
      </c>
      <c r="D80" t="str">
        <v>Unidades</v>
      </c>
    </row>
    <row r="81">
      <c r="A81" t="str">
        <v>Acido Fosforoso</v>
      </c>
      <c r="B81">
        <v>5</v>
      </c>
      <c r="C81">
        <v>80</v>
      </c>
      <c r="D81" t="str">
        <v>Lts</v>
      </c>
    </row>
    <row r="82">
      <c r="A82" t="str">
        <v>Aliette 80 WP</v>
      </c>
      <c r="D82" t="str">
        <v>Kg</v>
      </c>
    </row>
    <row r="83">
      <c r="A83" t="str">
        <v>Atlante Plus</v>
      </c>
      <c r="D83" t="str">
        <v>Lts</v>
      </c>
    </row>
    <row r="84">
      <c r="A84" t="str">
        <v>Best K</v>
      </c>
      <c r="B84">
        <v>5</v>
      </c>
      <c r="C84">
        <v>180</v>
      </c>
      <c r="D84" t="str">
        <v>Lts</v>
      </c>
    </row>
    <row r="85">
      <c r="A85" t="str">
        <v>Phytos K</v>
      </c>
      <c r="B85">
        <v>5</v>
      </c>
      <c r="D85" t="str">
        <v>Lts</v>
      </c>
    </row>
    <row r="86">
      <c r="A86" t="str">
        <v>Protector K</v>
      </c>
      <c r="B86">
        <v>5</v>
      </c>
      <c r="C86">
        <v>80</v>
      </c>
      <c r="D86" t="str">
        <v>Lts</v>
      </c>
    </row>
    <row r="90">
      <c r="A90">
        <v>0</v>
      </c>
    </row>
    <row r="92">
      <c r="A92" t="str">
        <v>Protectante Enfermedades Suelo</v>
      </c>
      <c r="B92" t="str">
        <v>Dosis por Hectárea</v>
      </c>
      <c r="C92" t="str">
        <v>Precio</v>
      </c>
      <c r="D92" t="str">
        <v>Unidades</v>
      </c>
    </row>
    <row r="93">
      <c r="A93" t="str">
        <v>Mycobac</v>
      </c>
      <c r="B93">
        <v>1</v>
      </c>
      <c r="C93">
        <v>380</v>
      </c>
      <c r="D93" t="str">
        <v>g</v>
      </c>
    </row>
    <row r="94">
      <c r="A94" t="str">
        <v>TricoZam</v>
      </c>
      <c r="B94">
        <v>1</v>
      </c>
      <c r="C94">
        <v>380</v>
      </c>
      <c r="D94" t="str">
        <v>g</v>
      </c>
    </row>
    <row r="97">
      <c r="A97">
        <v>0</v>
      </c>
    </row>
    <row r="99">
      <c r="A99" t="str">
        <v>Protectante Insectos de Suelo</v>
      </c>
      <c r="B99" t="str">
        <v>Dosis por Hectárea</v>
      </c>
      <c r="C99" t="str">
        <v>Precio</v>
      </c>
      <c r="D99" t="str">
        <v>Unidades</v>
      </c>
    </row>
    <row r="100">
      <c r="A100" t="str">
        <v>BaZam</v>
      </c>
      <c r="B100">
        <v>1</v>
      </c>
      <c r="C100">
        <v>380</v>
      </c>
      <c r="D100" t="str">
        <v>g</v>
      </c>
    </row>
    <row r="101">
      <c r="A101" t="str">
        <v>MetaZam</v>
      </c>
      <c r="B101">
        <v>1</v>
      </c>
      <c r="C101">
        <v>380</v>
      </c>
      <c r="D101" t="str">
        <v>g</v>
      </c>
    </row>
    <row r="104">
      <c r="A104">
        <v>0</v>
      </c>
    </row>
  </sheetData>
  <sheetProtection sheet="1"/>
  <mergeCells count="10">
    <mergeCell ref="N3:N47"/>
    <mergeCell ref="O3:O47"/>
    <mergeCell ref="N2:O2"/>
    <mergeCell ref="L12:M17"/>
    <mergeCell ref="L19:M26"/>
    <mergeCell ref="L28:M34"/>
    <mergeCell ref="L36:M40"/>
    <mergeCell ref="L42:M47"/>
    <mergeCell ref="L2:M2"/>
    <mergeCell ref="L3:M10"/>
  </mergeCells>
  <pageMargins left="0.75" right="0.75" top="1" bottom="1" header="0.5" footer="0.5"/>
  <ignoredErrors>
    <ignoredError numberStoredAsText="1" sqref="A1:O104"/>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AppVersion>12.0000</AppVersion>
  <Company>Fintrac CDA</Company>
  <DocSecurity>0</DocSecurity>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Main</vt:lpstr>
      <vt:lpstr>Cal-Diario con Preventivos</vt:lpstr>
      <vt:lpstr>Cal-Diario</vt:lpstr>
      <vt:lpstr>3 Por Sem</vt:lpstr>
      <vt:lpstr>2 Por Sem con Preventivos</vt:lpstr>
      <vt:lpstr>2 Por Sem</vt:lpstr>
      <vt:lpstr>1 Por Sem</vt:lpstr>
      <vt:lpstr>14 Dias</vt:lpstr>
      <vt:lpstr>ReDiarioFert</vt:lpstr>
      <vt:lpstr>Req. Diario</vt:lpstr>
      <vt:lpstr>Fertilizantes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1997-02-19T22:30:29Z</dcterms:created>
  <dcterms:modified xsi:type="dcterms:W3CDTF">2008-06-13T18:23:10Z</dcterms:modified>
  <cp:lastModifiedBy>Ricardo Lardizabal</cp:lastModifiedBy>
  <cp:lastPrinted>2007-12-18T18:13:51Z</cp:lastPrinted>
  <dc:creator>Ricardo Lardizabal</dc:creator>
  <dc:subject>Chile Jalapeno</dc:subject>
  <dc:title>Fertilization Programs</dc:title>
</cp:coreProperties>
</file>