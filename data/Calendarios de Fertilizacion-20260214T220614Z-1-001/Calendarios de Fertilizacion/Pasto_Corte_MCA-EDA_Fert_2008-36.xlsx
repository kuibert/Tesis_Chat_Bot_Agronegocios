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con Preventivos" sheetId="4" r:id="rId4"/>
    <sheet name="3 Por Sem" sheetId="5" r:id="rId5"/>
    <sheet name="2 Por Sem con Preventivos" sheetId="6" r:id="rId6"/>
    <sheet name="2 Por Sem" sheetId="7" r:id="rId7"/>
    <sheet name="1 Por Sem" sheetId="8" r:id="rId8"/>
    <sheet name="14 Dias" sheetId="9" r:id="rId9"/>
    <sheet name="ReDiarioFert" sheetId="10" r:id="rId10"/>
    <sheet name="Req. Diario" sheetId="11" r:id="rId11"/>
    <sheet name="Fertilizantes" sheetId="12" r:id="rId12"/>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1">#REF!</definedName>
    <definedName name="materiaprima">Main!$D$31</definedName>
    <definedName name="MateriaPrima1" localSheetId="11">#REF!</definedName>
    <definedName name="Nitrogeno">Fertilizantes!$A$12:$A$17</definedName>
    <definedName name="Potacio">Fertilizantes!$A$19:$A$26</definedName>
    <definedName name="Prevencionvirus">Fertilizantes!$A$67:$A$73</definedName>
    <definedName name="_xlnm.Print_Area" localSheetId="7">'1 Por Sem'!$A$1:$S$35</definedName>
    <definedName name="_xlnm.Print_Area" localSheetId="8">'14 Dias'!$A$1:$T$34</definedName>
    <definedName name="_xlnm.Print_Area" localSheetId="6">'2 Por Sem'!$A$1:$S$41</definedName>
    <definedName name="_xlnm.Print_Area" localSheetId="5">'2 Por Sem con Preventivos'!$A$1:$S$41</definedName>
    <definedName name="_xlnm.Print_Area" localSheetId="4">'3 Por Sem'!$A$1:$S$46</definedName>
    <definedName name="_xlnm.Print_Area" localSheetId="3">'3 Por Sem con Preventivos'!$A$1:$S$46</definedName>
    <definedName name="_xlnm.Print_Area" localSheetId="2">'Cal-Diario'!$A$1:$S$67</definedName>
    <definedName name="_xlnm.Print_Area" localSheetId="1">'Cal-Diario con Preventivos'!$A$1:$S$67</definedName>
    <definedName name="_xlnm.Print_Area" localSheetId="0">Main!$A$1:$M$112</definedName>
    <definedName name="_xlnm.Print_Titles" localSheetId="7">'1 Por Sem'!$1:$15</definedName>
    <definedName name="_xlnm.Print_Titles" localSheetId="6">'2 Por Sem'!$1:$15</definedName>
    <definedName name="_xlnm.Print_Titles" localSheetId="5">'2 Por Sem con Preventivos'!$1:$15</definedName>
    <definedName name="_xlnm.Print_Titles" localSheetId="4">'3 Por Sem'!$1:$15</definedName>
    <definedName name="_xlnm.Print_Titles" localSheetId="3">'3 Por Sem con Preventivos'!$1:$15</definedName>
    <definedName name="_xlnm.Print_Titles" localSheetId="2">'Cal-Diario'!$1:$17</definedName>
    <definedName name="_xlnm.Print_Titles" localSheetId="1">'Cal-Diario con Preventivos'!$1:$17</definedName>
    <definedName name="_xlnm.Print_Titles" localSheetId="10">'Req. Diario'!$1:$5</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mts2_x0000_Z_x0000_b_x0000__x000c__x0000__x0013__x0000_[_x0000__x0002__x0000__x000c__x0000__x0014__x0000_=_x0000_ï_x0000__x0018__x0000_._x0000_\_x0000__x0007__x0000__x001b__x0000_/_x0000__x0004__x0000_LB_x0010__x0000_</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9.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1.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
Para pasto de corte por costo inicial hasta que se realizen pruebas se deja el Calcio de fuera y se mantendra una relacion de ideal del K al Mg de 0.20 a 0.50.</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2.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"Fertilización Continua"</v>
      </c>
    </row>
    <row r="14" ht="21" customHeight="1">
      <c r="C14" t="str">
        <v>SEGUIR LOS 5 PASOS EN ESTA PAGINA EN LAS ÁREAS GRISES</v>
      </c>
    </row>
    <row r="15">
      <c r="C15" t="str">
        <v>Paso 1. Completar los datos básicos</v>
      </c>
    </row>
    <row r="17" ht="18" customHeight="1">
      <c r="C17" t="str">
        <v>Nombre de Productor:</v>
      </c>
      <c r="E17" t="str">
        <v>IAGSA</v>
      </c>
    </row>
    <row r="18" ht="18" customHeight="1">
      <c r="C18" t="str">
        <v>Zona:</v>
      </c>
      <c r="E18" t="str">
        <v>Comayagua</v>
      </c>
    </row>
    <row r="19" ht="18" customHeight="1">
      <c r="C19" t="str">
        <v>Parcela #:</v>
      </c>
      <c r="E19" t="str">
        <v>Finca 8</v>
      </c>
    </row>
    <row r="20" ht="18" customHeight="1">
      <c r="C20" t="str">
        <v>Nombre del Técnico:</v>
      </c>
      <c r="E20" t="str">
        <v>Raca</v>
      </c>
    </row>
    <row r="21" ht="33" customHeight="1">
      <c r="C21" t="str">
        <v xml:space="preserve">Nombre del Cultivo / Variedad </v>
      </c>
      <c r="E21" t="str">
        <v>Pasto de Corte</v>
      </c>
      <c r="G21" t="str">
        <v>King Grass</v>
      </c>
    </row>
    <row r="22" ht="18" customHeight="1">
      <c r="C22" t="str">
        <v>Área en Manzanas</v>
      </c>
      <c r="E22">
        <v>1.43</v>
      </c>
      <c r="F22" t="str">
        <v>Área en Hectáreas</v>
      </c>
      <c r="I22">
        <f>E22*0.7</f>
        <v>1.001</v>
      </c>
    </row>
    <row r="23" ht="18" customHeight="1">
      <c r="C23" t="str">
        <v>Fecha de Siembra:</v>
      </c>
      <c r="E23">
        <v>39448</v>
      </c>
    </row>
    <row r="24">
      <c r="C24" t="str">
        <v>Cosecha - Días DDT:</v>
      </c>
      <c r="E24">
        <v>30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 Soluble</v>
      </c>
      <c r="E37" t="str">
        <f>VLOOKUP(D37,Fertilizante2,11,FALSE)</f>
        <v>Lbs</v>
      </c>
    </row>
    <row r="38" ht="21.75" customHeight="1">
      <c r="C38" t="str">
        <f>E25</f>
        <v>Lempiras</v>
      </c>
      <c r="D38">
        <f>IF(+$D$37&lt;&gt;0,VLOOKUP(+$D$37,Fertilizante1,3,FALSE),"")</f>
        <v>780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0-0-0-0</v>
      </c>
      <c r="E51">
        <f>IF(+$D$52&lt;&gt;0,VLOOKUP(+$D$52,Fertilizante1,4,FALSE),"")</f>
        <v>0</v>
      </c>
      <c r="F51">
        <f>IF(+$D$52&lt;&gt;0,VLOOKUP(+$D$52,Fertilizante1,5,FALSE),"")</f>
        <v>0</v>
      </c>
      <c r="G51">
        <f>IF(+$D$52&lt;&gt;0,VLOOKUP(+$D$52,Fertilizante1,6,FALSE),"")</f>
        <v>0</v>
      </c>
      <c r="H51">
        <f>IF(+$D$52&lt;&gt;0,VLOOKUP(+$D$52,Fertilizante1,8,FALSE),"")</f>
        <v>1000000</v>
      </c>
    </row>
    <row r="52">
      <c r="C52" t="str">
        <v>Nombre:</v>
      </c>
      <c r="D52" t="str">
        <v>Sin Calcio</v>
      </c>
      <c r="E52">
        <f>VLOOKUP(D52,Fertilizante2,11,FALSE)</f>
        <v>0</v>
      </c>
    </row>
    <row r="53" ht="20.25" customHeight="1">
      <c r="C53" t="str">
        <f>E25</f>
        <v>Lempiras</v>
      </c>
      <c r="D53">
        <f>IF(+$D$52&lt;&gt;0,VLOOKUP(+$D$52,Fertilizante1,3,FALSE),"")</f>
        <v>0</v>
      </c>
    </row>
    <row r="55">
      <c r="C55" t="str">
        <v>Boro</v>
      </c>
      <c r="E55" t="str">
        <v>N</v>
      </c>
      <c r="F55" t="str">
        <v>P2O5</v>
      </c>
      <c r="G55" t="str">
        <v>K2O</v>
      </c>
      <c r="H55" t="str">
        <v>Ca</v>
      </c>
      <c r="I55" t="str">
        <v>S</v>
      </c>
      <c r="J55" t="str">
        <v>MgO</v>
      </c>
      <c r="K55" t="str">
        <v>B</v>
      </c>
    </row>
    <row r="56">
      <c r="C56" t="str">
        <v>Formula:</v>
      </c>
      <c r="D56" t="str">
        <f>VLOOKUP(D57,Fertilizante2,2,FALSE)</f>
        <v>0-0-0-0-0-0-0</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100000</v>
      </c>
    </row>
    <row r="57">
      <c r="C57" t="str">
        <v>Nombre:</v>
      </c>
      <c r="D57" t="str">
        <v>Sin Boro</v>
      </c>
      <c r="E57">
        <f>VLOOKUP(D57,Fertilizante2,11,FALSE)</f>
        <v>0</v>
      </c>
    </row>
    <row r="58">
      <c r="C58" t="str">
        <f>E25</f>
        <v>Lempiras</v>
      </c>
      <c r="D58">
        <f>VLOOKUP(D57,Fertilizante2,3,FALSE)</f>
        <v>0</v>
      </c>
    </row>
    <row r="60">
      <c r="C60" t="str">
        <v>Materia Orgánica</v>
      </c>
    </row>
    <row r="61" ht="13.199999999999998" customHeight="1">
      <c r="C61" t="str">
        <v>Nombre:</v>
      </c>
      <c r="D61" t="str">
        <v>Sin Melaza</v>
      </c>
      <c r="E61">
        <f>VLOOKUP(D61,Fertilizantes!A50:E54,4,FALSE)</f>
        <v>0</v>
      </c>
    </row>
    <row r="62" ht="13.199999999999998" customHeight="1">
      <c r="C62" t="str">
        <f>E25</f>
        <v>Lempiras</v>
      </c>
      <c r="D62">
        <f>VLOOKUP(D61,Fertilizantes!A50:E54,3,FALSE)</f>
        <v>0</v>
      </c>
    </row>
    <row r="63" ht="13.199999999999998" customHeight="1">
      <c r="C63" t="str">
        <v>Dosis/Hectárea</v>
      </c>
      <c r="D63">
        <f>VLOOKUP(D61,Fertilizantes!A50:E54,2,FALSE)</f>
        <v>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Rotación MetaZam y Bazam</v>
      </c>
      <c r="J86" t="e">
        <f>VLOOKUP(H86,Protecinssue,3,FALSE)</f>
        <v>#N/A</v>
      </c>
      <c r="K86" t="e">
        <f>VLOOKUP(H86,Fertilizantes!A100:E104,2,FALSE)</f>
        <v>#N/A</v>
      </c>
      <c r="M86" t="e">
        <f>VLOOKUP(H86,Protecinssue,4,FALSE)</f>
        <v>#N/A</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C103:I103"/>
    <mergeCell ref="C84:G84"/>
    <mergeCell ref="C85:G85"/>
    <mergeCell ref="C86:G86"/>
    <mergeCell ref="C97:I97"/>
    <mergeCell ref="H84:I84"/>
    <mergeCell ref="H85:I85"/>
    <mergeCell ref="C91:M91"/>
    <mergeCell ref="C94:I94"/>
    <mergeCell ref="H86:I86"/>
    <mergeCell ref="C45:D45"/>
    <mergeCell ref="H83:I83"/>
    <mergeCell ref="C80:G80"/>
    <mergeCell ref="C82:G82"/>
    <mergeCell ref="C81:G81"/>
    <mergeCell ref="C83:G83"/>
    <mergeCell ref="I50:M51"/>
    <mergeCell ref="C60:D60"/>
    <mergeCell ref="C50:D50"/>
    <mergeCell ref="C55:D55"/>
    <mergeCell ref="C78:M78"/>
    <mergeCell ref="H81:I81"/>
    <mergeCell ref="H80:I80"/>
    <mergeCell ref="K80:L80"/>
    <mergeCell ref="K81:L81"/>
    <mergeCell ref="C68:M68"/>
    <mergeCell ref="F74:G74"/>
    <mergeCell ref="F75:G75"/>
    <mergeCell ref="F72:G72"/>
    <mergeCell ref="F73:G73"/>
    <mergeCell ref="E24:I24"/>
    <mergeCell ref="H30:M31"/>
    <mergeCell ref="H35:M36"/>
    <mergeCell ref="C35:D35"/>
    <mergeCell ref="C30:D30"/>
    <mergeCell ref="C25:D25"/>
    <mergeCell ref="E25:I25"/>
    <mergeCell ref="C112:I112"/>
    <mergeCell ref="C24:D24"/>
    <mergeCell ref="C28:M28"/>
    <mergeCell ref="C40:D40"/>
    <mergeCell ref="H40:M41"/>
    <mergeCell ref="J45:M46"/>
    <mergeCell ref="C100:I100"/>
    <mergeCell ref="C106:I106"/>
    <mergeCell ref="C109:I109"/>
    <mergeCell ref="F71:G71"/>
    <mergeCell ref="C23:D23"/>
    <mergeCell ref="E19:I19"/>
    <mergeCell ref="C18:D18"/>
    <mergeCell ref="E23:I23"/>
    <mergeCell ref="F22:H22"/>
    <mergeCell ref="C19:D19"/>
    <mergeCell ref="C22:D22"/>
    <mergeCell ref="E20:I20"/>
    <mergeCell ref="C20:D20"/>
    <mergeCell ref="C21:D21"/>
    <mergeCell ref="E21:F21"/>
    <mergeCell ref="C13:J13"/>
    <mergeCell ref="C15:M15"/>
    <mergeCell ref="E17:I17"/>
    <mergeCell ref="E18:I18"/>
    <mergeCell ref="C17:D17"/>
    <mergeCell ref="C14:J14"/>
    <mergeCell ref="G21:I21"/>
    <mergeCell ref="K86:L86"/>
    <mergeCell ref="K87:L87"/>
    <mergeCell ref="H82:I82"/>
    <mergeCell ref="K82:L82"/>
    <mergeCell ref="K83:L83"/>
    <mergeCell ref="K84:L84"/>
    <mergeCell ref="K85:L85"/>
    <mergeCell ref="H87:I87"/>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68"/>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Pasto de Corte</v>
      </c>
    </row>
    <row r="6" ht="26.25" customHeight="1"/>
    <row r="7" ht="26.25" customHeight="1"/>
    <row r="8" ht="8.4" customHeight="1"/>
    <row r="9" ht="26.25" customHeight="1">
      <c r="A9" t="str">
        <f>Main!$C$13</f>
        <v>"Fertilización Continua"</v>
      </c>
      <c r="P9" t="str">
        <f>Main!$G$21</f>
        <v>King Grass</v>
      </c>
    </row>
    <row r="10" ht="4.2" customHeight="1"/>
    <row r="11" ht="20.1" customHeight="1">
      <c r="A11" t="str">
        <v>Productor</v>
      </c>
      <c r="C11" t="str">
        <f>Main!E17</f>
        <v>IAGSA</v>
      </c>
      <c r="F11" t="str">
        <v>Parcela</v>
      </c>
      <c r="I11" t="str">
        <f>Main!E19</f>
        <v>Finca 8</v>
      </c>
    </row>
    <row r="12" ht="20.1" customHeight="1">
      <c r="A12" t="str">
        <v>Zona</v>
      </c>
      <c r="C12" t="str">
        <f>Main!E18</f>
        <v>Comayagua</v>
      </c>
      <c r="F12" t="str">
        <v>Técnico</v>
      </c>
      <c r="I12" t="str">
        <f>Main!E20</f>
        <v>Raca</v>
      </c>
    </row>
    <row r="13" ht="20.1" customHeight="1">
      <c r="A13" t="str">
        <v>Área Mz.</v>
      </c>
      <c r="C13">
        <f>Main!E22</f>
        <v>1.43</v>
      </c>
      <c r="F13" t="str">
        <v>Fecha:</v>
      </c>
      <c r="I13">
        <f>Main!E23</f>
        <v>39448</v>
      </c>
    </row>
    <row r="14" ht="20.1" customHeight="1">
      <c r="A14" t="str">
        <v>Área Ha.</v>
      </c>
      <c r="C14">
        <f>Main!I22</f>
        <v>1.001</v>
      </c>
      <c r="F14" t="str">
        <v>Fecha de Cosecha:</v>
      </c>
      <c r="I14">
        <f>I13+Main!E24</f>
        <v>39478</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Sin Calcio</v>
      </c>
      <c r="O16" t="str">
        <f>Main!$D$57</f>
        <v>Sin Boro</v>
      </c>
      <c r="Q16" t="str">
        <f>Main!$D$61</f>
        <v>Sin 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f>Main!$E$61</f>
        <v>0</v>
      </c>
      <c r="R17" t="str">
        <v>Cambios</v>
      </c>
    </row>
    <row r="18" ht="18.75" customHeight="1">
      <c r="A18">
        <v>1</v>
      </c>
      <c r="B18">
        <v>1</v>
      </c>
      <c r="C18">
        <f>$I$13+B18</f>
        <v>39449</v>
      </c>
      <c r="E18">
        <f>IF($C$14*ReDiarioFert!C7&lt;=0,"0",$C$14*ReDiarioFert!C7)</f>
        <v>10.838710680529301</v>
      </c>
      <c r="G18">
        <f>$C$14*ReDiarioFert!E7</f>
        <v>1.858378260869565</v>
      </c>
      <c r="I18">
        <f>$C$14*ReDiarioFert!G7</f>
        <v>7.44744</v>
      </c>
      <c r="K18">
        <f>$C$14*ReDiarioFert!I7</f>
        <v>7.169578983398938</v>
      </c>
      <c r="M18">
        <f>$C$14*ReDiarioFert!K7</f>
        <v>5.320394535456e-13</v>
      </c>
      <c r="O18">
        <f>$C$14*ReDiarioFert!M7</f>
        <v>0.005097692599999999</v>
      </c>
      <c r="Q18">
        <f>$C$14*Main!$D$63</f>
        <v>0</v>
      </c>
      <c r="S18">
        <f>((E18/100)*$G$57+(G18/100)*$G$58+(I18/100)*$G$59+(K18/100)*$G$60+(M18/100)*$G$61+(O18)*$G$62+(Q18*$G$63))</f>
        <v>219.02488668599915</v>
      </c>
    </row>
    <row r="19" ht="21" customHeight="1">
      <c r="B19">
        <v>2</v>
      </c>
      <c r="C19">
        <f>$I$13+B19</f>
        <v>39450</v>
      </c>
      <c r="D19" t="str">
        <f>Main!$H$86</f>
        <v>Rotación MetaZam y Bazam</v>
      </c>
      <c r="E19">
        <f>IF($C$14*ReDiarioFert!C8&lt;=0,"0",$C$14*ReDiarioFert!C8)</f>
        <v>10.838710680529301</v>
      </c>
      <c r="G19">
        <f>$C$14*ReDiarioFert!E8</f>
        <v>1.858378260869565</v>
      </c>
      <c r="I19">
        <f>$C$14*ReDiarioFert!G8</f>
        <v>7.44744</v>
      </c>
      <c r="K19">
        <f>$C$14*ReDiarioFert!I8</f>
        <v>7.169578983398938</v>
      </c>
      <c r="M19">
        <f>$C$14*ReDiarioFert!K8</f>
        <v>5.320394535456e-13</v>
      </c>
      <c r="O19">
        <f>$C$14*ReDiarioFert!M8</f>
        <v>0.005097692599999999</v>
      </c>
      <c r="R19" t="e">
        <f>Main!$K$86*Main!$I$22</f>
        <v>#N/A</v>
      </c>
      <c r="S19" t="e">
        <f>((E19/100)*$G$57+(G19/100)*$G$58+(I19/100)*$G$59+(K19/100)*$G$60+(M19/100)*$G$61+(O19)*$G$62+(Q19*$G$63)+(R19*Main!$J$86))</f>
        <v>#N/A</v>
      </c>
    </row>
    <row r="20" ht="16.8" customHeight="1">
      <c r="B20">
        <v>3</v>
      </c>
      <c r="C20">
        <f>$I$13+B20</f>
        <v>39451</v>
      </c>
      <c r="E20">
        <f>IF($C$14*ReDiarioFert!C9&lt;=0,"0",$C$14*ReDiarioFert!C9)</f>
        <v>10.838710680529301</v>
      </c>
      <c r="G20">
        <f>$C$14*ReDiarioFert!E9</f>
        <v>1.858378260869565</v>
      </c>
      <c r="I20">
        <f>$C$14*ReDiarioFert!G9</f>
        <v>7.44744</v>
      </c>
      <c r="K20">
        <f>$C$14*ReDiarioFert!I9</f>
        <v>7.169578983398938</v>
      </c>
      <c r="M20">
        <f>$C$14*ReDiarioFert!K9</f>
        <v>5.320394535456e-13</v>
      </c>
      <c r="O20">
        <f>$C$14*ReDiarioFert!M9</f>
        <v>0.005097692599999999</v>
      </c>
      <c r="S20">
        <f>((E20/100)*$G$57+(G20/100)*$G$58+(I20/100)*$G$59+(K20/100)*$G$60+(M20/100)*$G$61+(O20)*$G$62+(Q20*$G$63))</f>
        <v>219.02488668599915</v>
      </c>
    </row>
    <row r="21" ht="16.8" customHeight="1">
      <c r="B21">
        <v>4</v>
      </c>
      <c r="C21">
        <f>$I$13+B21</f>
        <v>39452</v>
      </c>
      <c r="E21">
        <f>IF($C$14*ReDiarioFert!C10&lt;=0,"0",$C$14*ReDiarioFert!C10)</f>
        <v>10.838710680529301</v>
      </c>
      <c r="G21">
        <f>$C$14*ReDiarioFert!E10</f>
        <v>1.858378260869565</v>
      </c>
      <c r="I21">
        <f>$C$14*ReDiarioFert!G10</f>
        <v>7.44744</v>
      </c>
      <c r="K21">
        <f>$C$14*ReDiarioFert!I10</f>
        <v>7.169578983398938</v>
      </c>
      <c r="M21">
        <f>$C$14*ReDiarioFert!K10</f>
        <v>5.320394535456e-13</v>
      </c>
      <c r="O21">
        <f>$C$14*ReDiarioFert!M10</f>
        <v>0.005097692599999999</v>
      </c>
      <c r="S21">
        <f>((E21/100)*$G$57+(G21/100)*$G$58+(I21/100)*$G$59+(K21/100)*$G$60+(M21/100)*$G$61+(O21)*$G$62+(Q21*$G$63))</f>
        <v>219.02488668599915</v>
      </c>
    </row>
    <row r="22" ht="18.75" customHeight="1">
      <c r="B22">
        <v>5</v>
      </c>
      <c r="C22">
        <f>$I$13+B22</f>
        <v>39453</v>
      </c>
      <c r="E22">
        <f>IF($C$14*ReDiarioFert!C11&lt;=0,"0",$C$14*ReDiarioFert!C11)</f>
        <v>10.838710680529301</v>
      </c>
      <c r="G22">
        <f>$C$14*ReDiarioFert!E11</f>
        <v>1.858378260869565</v>
      </c>
      <c r="I22">
        <f>$C$14*ReDiarioFert!G11</f>
        <v>7.44744</v>
      </c>
      <c r="K22">
        <f>$C$14*ReDiarioFert!I11</f>
        <v>7.169578983398938</v>
      </c>
      <c r="M22">
        <f>$C$14*ReDiarioFert!K11</f>
        <v>5.320394535456e-13</v>
      </c>
      <c r="O22">
        <f>$C$14*ReDiarioFert!M11</f>
        <v>0.005097692599999999</v>
      </c>
      <c r="S22">
        <f>((E22/100)*$G$57+(G22/100)*$G$58+(I22/100)*$G$59+(K22/100)*$G$60+(M22/100)*$G$61+(O22)*$G$62+(Q22*$G$63))</f>
        <v>219.02488668599915</v>
      </c>
    </row>
    <row r="23" ht="18.75" customHeight="1">
      <c r="B23">
        <v>6</v>
      </c>
      <c r="C23">
        <f>$I$13+B23</f>
        <v>39454</v>
      </c>
      <c r="E23">
        <f>IF($C$14*ReDiarioFert!C12&lt;=0,"0",$C$14*ReDiarioFert!C12)</f>
        <v>10.838710680529301</v>
      </c>
      <c r="G23">
        <f>$C$14*ReDiarioFert!E12</f>
        <v>1.858378260869565</v>
      </c>
      <c r="I23">
        <f>$C$14*ReDiarioFert!G12</f>
        <v>7.44744</v>
      </c>
      <c r="K23">
        <f>$C$14*ReDiarioFert!I12</f>
        <v>7.169578983398938</v>
      </c>
      <c r="M23">
        <f>$C$14*ReDiarioFert!K12</f>
        <v>5.320394535456e-13</v>
      </c>
      <c r="O23">
        <f>$C$14*ReDiarioFert!M12</f>
        <v>0.005097692599999999</v>
      </c>
      <c r="S23">
        <f>((E23/100)*$G$57+(G23/100)*$G$58+(I23/100)*$G$59+(K23/100)*$G$60+(M23/100)*$G$61+(O23)*$G$62+(Q23*$G$63))</f>
        <v>219.02488668599915</v>
      </c>
    </row>
    <row r="24" ht="18.75" customHeight="1">
      <c r="B24">
        <v>7</v>
      </c>
      <c r="C24">
        <f>$I$13+B24</f>
        <v>39455</v>
      </c>
      <c r="E24">
        <f>IF($C$14*ReDiarioFert!C13&lt;=0,"0",$C$14*ReDiarioFert!C13)</f>
        <v>10.838710680529301</v>
      </c>
      <c r="G24">
        <f>$C$14*ReDiarioFert!E13</f>
        <v>1.858378260869565</v>
      </c>
      <c r="I24">
        <f>$C$14*ReDiarioFert!G13</f>
        <v>7.44744</v>
      </c>
      <c r="K24">
        <f>$C$14*ReDiarioFert!I13</f>
        <v>7.169578983398938</v>
      </c>
      <c r="M24">
        <f>$C$14*ReDiarioFert!K13</f>
        <v>5.320394535456e-13</v>
      </c>
      <c r="O24">
        <f>$C$14*ReDiarioFert!M13</f>
        <v>0.005097692599999999</v>
      </c>
      <c r="S24">
        <f>((E24/100)*$G$57+(G24/100)*$G$58+(I24/100)*$G$59+(K24/100)*$G$60+(M24/100)*$G$61+(O24)*$G$62+(R24*Main!$J$84))</f>
        <v>219.02488668599915</v>
      </c>
    </row>
    <row r="25">
      <c r="A25">
        <v>2</v>
      </c>
      <c r="B25">
        <v>8</v>
      </c>
      <c r="C25">
        <f>$I$13+B25</f>
        <v>39456</v>
      </c>
      <c r="E25">
        <f>IF($C$14*ReDiarioFert!C14&lt;=0,"0",$C$14*ReDiarioFert!C14)</f>
        <v>10.838710680529301</v>
      </c>
      <c r="G25">
        <f>$C$14*ReDiarioFert!E14</f>
        <v>1.858378260869565</v>
      </c>
      <c r="I25">
        <f>$C$14*ReDiarioFert!G14</f>
        <v>7.44744</v>
      </c>
      <c r="K25">
        <f>$C$14*ReDiarioFert!I14</f>
        <v>7.169578983398938</v>
      </c>
      <c r="M25">
        <f>$C$14*ReDiarioFert!K14</f>
        <v>5.320394535456e-13</v>
      </c>
      <c r="O25">
        <f>$C$14*ReDiarioFert!M14</f>
        <v>0.005097692599999999</v>
      </c>
      <c r="Q25">
        <f>$C$14*Main!$D$63</f>
        <v>0</v>
      </c>
      <c r="S25">
        <f>((E25/100)*$G$57+(G25/100)*$G$58+(I25/100)*$G$59+(K25/100)*$G$60+(M25/100)*$G$61+(O25)*$G$62+(Q25*$G$63))</f>
        <v>219.02488668599915</v>
      </c>
    </row>
    <row r="26">
      <c r="B26">
        <v>9</v>
      </c>
      <c r="C26">
        <f>$I$13+B26</f>
        <v>39457</v>
      </c>
      <c r="E26">
        <f>IF($C$14*ReDiarioFert!C15&lt;=0,"0",$C$14*ReDiarioFert!C15)</f>
        <v>10.838710680529301</v>
      </c>
      <c r="G26">
        <f>$C$14*ReDiarioFert!E15</f>
        <v>1.858378260869565</v>
      </c>
      <c r="I26">
        <f>$C$14*ReDiarioFert!G15</f>
        <v>7.44744</v>
      </c>
      <c r="K26">
        <f>$C$14*ReDiarioFert!I15</f>
        <v>7.169578983398938</v>
      </c>
      <c r="M26">
        <f>$C$14*ReDiarioFert!K15</f>
        <v>5.320394535456e-13</v>
      </c>
      <c r="O26">
        <f>$C$14*ReDiarioFert!M15</f>
        <v>0.005097692599999999</v>
      </c>
      <c r="S26">
        <f>((E26/100)*$G$57+(G26/100)*$G$58+(I26/100)*$G$59+(K26/100)*$G$60+(M26/100)*$G$61+(O26)*$G$62+(Q26*$G$63))</f>
        <v>219.02488668599915</v>
      </c>
    </row>
    <row r="27" ht="21" customHeight="1">
      <c r="B27">
        <v>10</v>
      </c>
      <c r="C27">
        <f>$I$13+B27</f>
        <v>39458</v>
      </c>
      <c r="D27" t="str">
        <f>Main!$H$86</f>
        <v>Rotación MetaZam y Bazam</v>
      </c>
      <c r="E27">
        <f>IF($C$14*ReDiarioFert!C16&lt;=0,"0",$C$14*ReDiarioFert!C16)</f>
        <v>10.838710680529301</v>
      </c>
      <c r="G27">
        <f>$C$14*ReDiarioFert!E16</f>
        <v>1.858378260869565</v>
      </c>
      <c r="I27">
        <f>$C$14*ReDiarioFert!G16</f>
        <v>7.44744</v>
      </c>
      <c r="K27">
        <f>$C$14*ReDiarioFert!I16</f>
        <v>7.169578983398938</v>
      </c>
      <c r="M27">
        <f>$C$14*ReDiarioFert!K16</f>
        <v>5.320394535456e-13</v>
      </c>
      <c r="O27">
        <f>$C$14*ReDiarioFert!M16</f>
        <v>0.005097692599999999</v>
      </c>
      <c r="R27" t="e">
        <f>Main!$K$86*Main!$I$22</f>
        <v>#N/A</v>
      </c>
      <c r="S27" t="e">
        <f>((E27/100)*$G$57+(G27/100)*$G$58+(I27/100)*$G$59+(K27/100)*$G$60+(M27/100)*$G$61+(O27)*$G$62+(Q27*$G$63)+(R27*Main!$J$86))</f>
        <v>#N/A</v>
      </c>
    </row>
    <row r="28">
      <c r="B28">
        <v>11</v>
      </c>
      <c r="C28">
        <f>$I$13+B28</f>
        <v>39459</v>
      </c>
      <c r="E28">
        <f>IF($C$14*ReDiarioFert!C17&lt;=0,"0",$C$14*ReDiarioFert!C17)</f>
        <v>10.838710680529301</v>
      </c>
      <c r="G28">
        <f>$C$14*ReDiarioFert!E17</f>
        <v>1.858378260869565</v>
      </c>
      <c r="I28">
        <f>$C$14*ReDiarioFert!G17</f>
        <v>7.44744</v>
      </c>
      <c r="K28">
        <f>$C$14*ReDiarioFert!I17</f>
        <v>7.169578983398938</v>
      </c>
      <c r="M28">
        <f>$C$14*ReDiarioFert!K17</f>
        <v>5.320394535456e-13</v>
      </c>
      <c r="O28">
        <f>$C$14*ReDiarioFert!M17</f>
        <v>0.009175866699999998</v>
      </c>
      <c r="S28">
        <f>((E28/100)*$G$57+(G28/100)*$G$58+(I28/100)*$G$59+(K28/100)*$G$60+(M28/100)*$G$61+(O28)*$G$62+(Q28*$G$63))</f>
        <v>219.02488668599915</v>
      </c>
    </row>
    <row r="29">
      <c r="B29">
        <v>12</v>
      </c>
      <c r="C29">
        <f>$I$13+B29</f>
        <v>39460</v>
      </c>
      <c r="E29">
        <f>IF($C$14*ReDiarioFert!C18&lt;=0,"0",$C$14*ReDiarioFert!C18)</f>
        <v>10.838710680529301</v>
      </c>
      <c r="G29">
        <f>$C$14*ReDiarioFert!E18</f>
        <v>1.858378260869565</v>
      </c>
      <c r="I29">
        <f>$C$14*ReDiarioFert!G18</f>
        <v>7.44744</v>
      </c>
      <c r="K29">
        <f>$C$14*ReDiarioFert!I18</f>
        <v>7.169578983398938</v>
      </c>
      <c r="M29">
        <f>$C$14*ReDiarioFert!K18</f>
        <v>5.320394535456e-13</v>
      </c>
      <c r="O29">
        <f>$C$14*ReDiarioFert!M18</f>
        <v>0.009175866699999998</v>
      </c>
      <c r="S29">
        <f>((E29/100)*$G$57+(G29/100)*$G$58+(I29/100)*$G$59+(K29/100)*$G$60+(M29/100)*$G$61+(O29)*$G$62+(Q29*$G$63))</f>
        <v>219.02488668599915</v>
      </c>
    </row>
    <row r="30">
      <c r="B30">
        <v>13</v>
      </c>
      <c r="C30">
        <f>$I$13+B30</f>
        <v>39461</v>
      </c>
      <c r="E30">
        <f>IF($C$14*ReDiarioFert!C19&lt;=0,"0",$C$14*ReDiarioFert!C19)</f>
        <v>10.838710680529301</v>
      </c>
      <c r="G30">
        <f>$C$14*ReDiarioFert!E19</f>
        <v>1.858378260869565</v>
      </c>
      <c r="I30">
        <f>$C$14*ReDiarioFert!G19</f>
        <v>7.44744</v>
      </c>
      <c r="K30">
        <f>$C$14*ReDiarioFert!I19</f>
        <v>7.169578983398938</v>
      </c>
      <c r="M30">
        <f>$C$14*ReDiarioFert!K19</f>
        <v>5.320394535456e-13</v>
      </c>
      <c r="O30">
        <f>$C$14*ReDiarioFert!M19</f>
        <v>0.009175866699999998</v>
      </c>
      <c r="S30">
        <f>((E30/100)*$G$57+(G30/100)*$G$58+(I30/100)*$G$59+(K30/100)*$G$60+(M30/100)*$G$61+(O30)*$G$62+(Q30*$G$63))</f>
        <v>219.02488668599915</v>
      </c>
    </row>
    <row r="31">
      <c r="B31">
        <v>14</v>
      </c>
      <c r="C31">
        <f>$I$13+B31</f>
        <v>39462</v>
      </c>
      <c r="E31">
        <f>IF($C$14*ReDiarioFert!C20&lt;=0,"0",$C$14*ReDiarioFert!C20)</f>
        <v>10.838710680529301</v>
      </c>
      <c r="G31">
        <f>$C$14*ReDiarioFert!E20</f>
        <v>1.858378260869565</v>
      </c>
      <c r="I31">
        <f>$C$14*ReDiarioFert!G20</f>
        <v>7.44744</v>
      </c>
      <c r="K31">
        <f>$C$14*ReDiarioFert!I20</f>
        <v>7.169578983398938</v>
      </c>
      <c r="M31">
        <f>$C$14*ReDiarioFert!K20</f>
        <v>5.320394535456e-13</v>
      </c>
      <c r="O31">
        <f>$C$14*ReDiarioFert!M20</f>
        <v>0.009175866699999998</v>
      </c>
      <c r="S31">
        <f>((E31/100)*$G$57+(G31/100)*$G$58+(I31/100)*$G$59+(K31/100)*$G$60+(M31/100)*$G$61+(O31)*$G$62+(Q31*$G$63))</f>
        <v>219.02488668599915</v>
      </c>
    </row>
    <row r="32">
      <c r="A32">
        <v>3</v>
      </c>
      <c r="B32">
        <v>15</v>
      </c>
      <c r="C32">
        <f>$I$13+B32</f>
        <v>39463</v>
      </c>
      <c r="E32">
        <f>IF($C$14*ReDiarioFert!C21&lt;=0,"0",$C$14*ReDiarioFert!C21)</f>
        <v>10.838710680529301</v>
      </c>
      <c r="G32">
        <f>$C$14*ReDiarioFert!E21</f>
        <v>1.858378260869565</v>
      </c>
      <c r="I32">
        <f>$C$14*ReDiarioFert!G21</f>
        <v>7.44744</v>
      </c>
      <c r="K32">
        <f>$C$14*ReDiarioFert!I21</f>
        <v>7.169578983398938</v>
      </c>
      <c r="M32">
        <f>$C$14*ReDiarioFert!K21</f>
        <v>5.320394535456e-13</v>
      </c>
      <c r="O32">
        <f>$C$14*ReDiarioFert!M21</f>
        <v>0.009175866699999998</v>
      </c>
      <c r="Q32">
        <f>$C$14*Main!$D$63</f>
        <v>0</v>
      </c>
      <c r="S32">
        <f>((E32/100)*$G$57+(G32/100)*$G$58+(I32/100)*$G$59+(K32/100)*$G$60+(M32/100)*$G$61+(O32)*$G$62+(Q32*$G$63))</f>
        <v>219.02488668599915</v>
      </c>
    </row>
    <row r="33">
      <c r="B33">
        <v>16</v>
      </c>
      <c r="C33">
        <f>$I$13+B33</f>
        <v>39464</v>
      </c>
      <c r="E33">
        <f>IF($C$14*ReDiarioFert!C22&lt;=0,"0",$C$14*ReDiarioFert!C22)</f>
        <v>10.838710680529301</v>
      </c>
      <c r="G33">
        <f>$C$14*ReDiarioFert!E22</f>
        <v>1.858378260869565</v>
      </c>
      <c r="I33">
        <f>$C$14*ReDiarioFert!G22</f>
        <v>7.44744</v>
      </c>
      <c r="K33">
        <f>$C$14*ReDiarioFert!I22</f>
        <v>7.169578983398938</v>
      </c>
      <c r="M33">
        <f>$C$14*ReDiarioFert!K22</f>
        <v>5.320394535456e-13</v>
      </c>
      <c r="O33">
        <f>$C$14*ReDiarioFert!M22</f>
        <v>0.009175866699999998</v>
      </c>
      <c r="S33">
        <f>((E33/100)*$G$57+(G33/100)*$G$58+(I33/100)*$G$59+(K33/100)*$G$60+(M33/100)*$G$61+(O33)*$G$62+(Q33*$G$63))</f>
        <v>219.02488668599915</v>
      </c>
    </row>
    <row r="34" ht="20.4" customHeight="1">
      <c r="B34">
        <v>17</v>
      </c>
      <c r="C34">
        <f>$I$13+B34</f>
        <v>39465</v>
      </c>
      <c r="D34" t="str">
        <f>Main!$H$85</f>
        <v>TricoZam</v>
      </c>
      <c r="E34">
        <f>IF($C$14*ReDiarioFert!C23&lt;=0,"0",$C$14*ReDiarioFert!C23)</f>
        <v>10.838710680529301</v>
      </c>
      <c r="G34">
        <f>$C$14*ReDiarioFert!E23</f>
        <v>1.858378260869565</v>
      </c>
      <c r="I34">
        <f>$C$14*ReDiarioFert!G23</f>
        <v>7.44744</v>
      </c>
      <c r="K34">
        <f>$C$14*ReDiarioFert!I23</f>
        <v>7.169578983398938</v>
      </c>
      <c r="M34">
        <f>$C$14*ReDiarioFert!K23</f>
        <v>5.320394535456e-13</v>
      </c>
      <c r="O34">
        <f>$C$14*ReDiarioFert!M23</f>
        <v>0.009175866699999998</v>
      </c>
      <c r="R34">
        <f>Main!$K$85*Main!$I$22</f>
        <v>1.001</v>
      </c>
      <c r="S34">
        <f>((E34/100)*$G$57+(G34/100)*$G$58+(I34/100)*$G$59+(K34/100)*$G$60+(M34/100)*$G$61+(O34)*$G$62+(Q34*$G$63)+(R34*Main!$J$85))</f>
        <v>599.4048866859991</v>
      </c>
    </row>
    <row r="35">
      <c r="B35">
        <v>18</v>
      </c>
      <c r="C35">
        <f>$I$13+B35</f>
        <v>39466</v>
      </c>
      <c r="E35">
        <f>IF($C$14*ReDiarioFert!C24&lt;=0,"0",$C$14*ReDiarioFert!C24)</f>
        <v>10.838710680529301</v>
      </c>
      <c r="G35">
        <f>$C$14*ReDiarioFert!E24</f>
        <v>1.858378260869565</v>
      </c>
      <c r="I35">
        <f>$C$14*ReDiarioFert!G24</f>
        <v>7.44744</v>
      </c>
      <c r="K35">
        <f>$C$14*ReDiarioFert!I24</f>
        <v>7.169578983398938</v>
      </c>
      <c r="M35">
        <f>$C$14*ReDiarioFert!K24</f>
        <v>5.320394535456e-13</v>
      </c>
      <c r="O35">
        <f>$C$14*ReDiarioFert!M24</f>
        <v>0.0122344222</v>
      </c>
      <c r="S35">
        <f>((E35/100)*$G$57+(G35/100)*$G$58+(I35/100)*$G$59+(K35/100)*$G$60+(M35/100)*$G$61+(O35)*$G$62+(Q35*$G$63))</f>
        <v>219.02488668599915</v>
      </c>
    </row>
    <row r="36">
      <c r="B36">
        <v>19</v>
      </c>
      <c r="C36">
        <f>$I$13+B36</f>
        <v>39467</v>
      </c>
      <c r="E36">
        <f>IF($C$14*ReDiarioFert!C25&lt;=0,"0",$C$14*ReDiarioFert!C25)</f>
        <v>10.838710680529301</v>
      </c>
      <c r="G36">
        <f>$C$14*ReDiarioFert!E25</f>
        <v>1.858378260869565</v>
      </c>
      <c r="I36">
        <f>$C$14*ReDiarioFert!G25</f>
        <v>7.44744</v>
      </c>
      <c r="K36">
        <f>$C$14*ReDiarioFert!I25</f>
        <v>7.169578983398938</v>
      </c>
      <c r="M36">
        <f>$C$14*ReDiarioFert!K25</f>
        <v>5.320394535456e-13</v>
      </c>
      <c r="O36">
        <f>$C$14*ReDiarioFert!M25</f>
        <v>0.0122344222</v>
      </c>
      <c r="S36">
        <f>((E36/100)*$G$57+(G36/100)*$G$58+(I36/100)*$G$59+(K36/100)*$G$60+(M36/100)*$G$61+(O36)*$G$62+(Q36*$G$63))</f>
        <v>219.02488668599915</v>
      </c>
    </row>
    <row r="37">
      <c r="B37">
        <v>20</v>
      </c>
      <c r="C37">
        <f>$I$13+B37</f>
        <v>39468</v>
      </c>
      <c r="E37">
        <f>IF($C$14*ReDiarioFert!C26&lt;=0,"0",$C$14*ReDiarioFert!C26)</f>
        <v>10.838710680529301</v>
      </c>
      <c r="G37">
        <f>$C$14*ReDiarioFert!E26</f>
        <v>1.858378260869565</v>
      </c>
      <c r="I37">
        <f>$C$14*ReDiarioFert!G26</f>
        <v>7.44744</v>
      </c>
      <c r="K37">
        <f>$C$14*ReDiarioFert!I26</f>
        <v>7.169578983398938</v>
      </c>
      <c r="M37">
        <f>$C$14*ReDiarioFert!K26</f>
        <v>5.320394535456e-13</v>
      </c>
      <c r="O37">
        <f>$C$14*ReDiarioFert!M26</f>
        <v>0.0122344222</v>
      </c>
      <c r="S37">
        <f>((E37/100)*$G$57+(G37/100)*$G$58+(I37/100)*$G$59+(K37/100)*$G$60+(M37/100)*$G$61+(O37)*$G$62+(Q37*$G$63))</f>
        <v>219.02488668599915</v>
      </c>
    </row>
    <row r="38">
      <c r="B38">
        <v>21</v>
      </c>
      <c r="C38">
        <f>$I$13+B38</f>
        <v>39469</v>
      </c>
      <c r="E38">
        <f>IF($C$14*ReDiarioFert!C27&lt;=0,"0",$C$14*ReDiarioFert!C27)</f>
        <v>10.838710680529301</v>
      </c>
      <c r="G38">
        <f>$C$14*ReDiarioFert!E27</f>
        <v>1.858378260869565</v>
      </c>
      <c r="I38">
        <f>$C$14*ReDiarioFert!G27</f>
        <v>7.44744</v>
      </c>
      <c r="K38">
        <f>$C$14*ReDiarioFert!I27</f>
        <v>7.169578983398938</v>
      </c>
      <c r="M38">
        <f>$C$14*ReDiarioFert!K27</f>
        <v>5.320394535456e-13</v>
      </c>
      <c r="O38">
        <f>$C$14*ReDiarioFert!M27</f>
        <v>0.0122344222</v>
      </c>
      <c r="S38">
        <f>((E38/100)*$G$57+(G38/100)*$G$58+(I38/100)*$G$59+(K38/100)*$G$60+(M38/100)*$G$61+(O38)*$G$62+(Q38*$G$63))</f>
        <v>219.02488668599915</v>
      </c>
    </row>
    <row r="39">
      <c r="A39">
        <v>4</v>
      </c>
      <c r="B39">
        <v>22</v>
      </c>
      <c r="C39">
        <f>$I$13+B39</f>
        <v>39470</v>
      </c>
      <c r="E39">
        <f>IF($C$14*ReDiarioFert!C28&lt;=0,"0",$C$14*ReDiarioFert!C28)</f>
        <v>10.838710680529301</v>
      </c>
      <c r="G39">
        <f>$C$14*ReDiarioFert!E28</f>
        <v>1.858378260869565</v>
      </c>
      <c r="I39">
        <f>$C$14*ReDiarioFert!G28</f>
        <v>7.44744</v>
      </c>
      <c r="K39">
        <f>$C$14*ReDiarioFert!I28</f>
        <v>7.169578983398938</v>
      </c>
      <c r="M39">
        <f>$C$14*ReDiarioFert!K28</f>
        <v>5.320394535456e-13</v>
      </c>
      <c r="O39">
        <f>$C$14*ReDiarioFert!M28</f>
        <v>0.0122344222</v>
      </c>
      <c r="Q39">
        <f>$C$14*Main!$D$63</f>
        <v>0</v>
      </c>
      <c r="S39">
        <f>((E39/100)*$G$57+(G39/100)*$G$58+(I39/100)*$G$59+(K39/100)*$G$60+(M39/100)*$G$61+(O39)*$G$62+(Q39*$G$63))</f>
        <v>219.02488668599915</v>
      </c>
    </row>
    <row r="40">
      <c r="B40">
        <v>23</v>
      </c>
      <c r="C40">
        <f>$I$13+B40</f>
        <v>39471</v>
      </c>
      <c r="E40">
        <f>IF($C$14*ReDiarioFert!C29&lt;=0,"0",$C$14*ReDiarioFert!C29)</f>
        <v>10.838710680529301</v>
      </c>
      <c r="G40">
        <f>$C$14*ReDiarioFert!E29</f>
        <v>1.858378260869565</v>
      </c>
      <c r="I40">
        <f>$C$14*ReDiarioFert!G29</f>
        <v>7.44744</v>
      </c>
      <c r="K40">
        <f>$C$14*ReDiarioFert!I29</f>
        <v>7.169578983398938</v>
      </c>
      <c r="M40">
        <f>$C$14*ReDiarioFert!K29</f>
        <v>5.320394535456e-13</v>
      </c>
      <c r="O40">
        <f>$C$14*ReDiarioFert!M29</f>
        <v>0.0122344222</v>
      </c>
      <c r="S40">
        <f>((E40/100)*$G$57+(G40/100)*$G$58+(I40/100)*$G$59+(K40/100)*$G$60+(M40/100)*$G$61+(O40)*$G$62+(Q40*$G$63))</f>
        <v>219.02488668599915</v>
      </c>
    </row>
    <row r="41">
      <c r="B41">
        <v>24</v>
      </c>
      <c r="C41">
        <f>$I$13+B41</f>
        <v>39472</v>
      </c>
      <c r="E41">
        <f>IF($C$14*ReDiarioFert!C30&lt;=0,"0",$C$14*ReDiarioFert!C30)</f>
        <v>10.838710680529301</v>
      </c>
      <c r="G41">
        <f>$C$14*ReDiarioFert!E30</f>
        <v>1.858378260869565</v>
      </c>
      <c r="I41">
        <f>$C$14*ReDiarioFert!G30</f>
        <v>7.44744</v>
      </c>
      <c r="K41">
        <f>$C$14*ReDiarioFert!I30</f>
        <v>7.169578983398938</v>
      </c>
      <c r="M41">
        <f>$C$14*ReDiarioFert!K30</f>
        <v>5.320394535456e-13</v>
      </c>
      <c r="O41">
        <f>$C$14*ReDiarioFert!M30</f>
        <v>0.0122344222</v>
      </c>
      <c r="S41">
        <f>((E41/100)*$G$57+(G41/100)*$G$58+(I41/100)*$G$59+(K41/100)*$G$60+(M41/100)*$G$61+(O41)*$G$62+(Q41*$G$63))</f>
        <v>219.02488668599915</v>
      </c>
    </row>
    <row r="42">
      <c r="B42">
        <v>25</v>
      </c>
      <c r="C42">
        <f>$I$13+B42</f>
        <v>39473</v>
      </c>
      <c r="E42">
        <f>IF($C$14*ReDiarioFert!C31&lt;=0,"0",$C$14*ReDiarioFert!C31)</f>
        <v>10.838710680529301</v>
      </c>
      <c r="G42">
        <f>$C$14*ReDiarioFert!E31</f>
        <v>1.858378260869565</v>
      </c>
      <c r="I42">
        <f>$C$14*ReDiarioFert!G31</f>
        <v>7.44744</v>
      </c>
      <c r="K42">
        <f>$C$14*ReDiarioFert!I31</f>
        <v>7.169578983398938</v>
      </c>
      <c r="M42">
        <f>$C$14*ReDiarioFert!K31</f>
        <v>5.320394535456e-13</v>
      </c>
      <c r="O42">
        <f>$C$14*ReDiarioFert!M31</f>
        <v>0.0122344222</v>
      </c>
      <c r="S42">
        <f>((E42/100)*$G$57+(G42/100)*$G$58+(I42/100)*$G$59+(K42/100)*$G$60+(M42/100)*$G$61+(O42)*$G$62+(Q42*$G$63))</f>
        <v>219.02488668599915</v>
      </c>
    </row>
    <row r="43">
      <c r="B43">
        <v>26</v>
      </c>
      <c r="C43">
        <f>$I$13+B43</f>
        <v>39474</v>
      </c>
      <c r="E43">
        <f>IF($C$14*ReDiarioFert!C32&lt;=0,"0",$C$14*ReDiarioFert!C32)</f>
        <v>10.838710680529301</v>
      </c>
      <c r="G43">
        <f>$C$14*ReDiarioFert!E32</f>
        <v>1.858378260869565</v>
      </c>
      <c r="I43">
        <f>$C$14*ReDiarioFert!G32</f>
        <v>7.44744</v>
      </c>
      <c r="K43">
        <f>$C$14*ReDiarioFert!I32</f>
        <v>7.169578983398938</v>
      </c>
      <c r="M43">
        <f>$C$14*ReDiarioFert!K32</f>
        <v>5.320394535456e-13</v>
      </c>
      <c r="O43">
        <f>$C$14*ReDiarioFert!M32</f>
        <v>0.0122344222</v>
      </c>
      <c r="S43">
        <f>((E43/100)*$G$57+(G43/100)*$G$58+(I43/100)*$G$59+(K43/100)*$G$60+(M43/100)*$G$61+(O43)*$G$62+(Q43*$G$63))</f>
        <v>219.02488668599915</v>
      </c>
    </row>
    <row r="44">
      <c r="B44">
        <v>27</v>
      </c>
      <c r="C44">
        <f>$I$13+B44</f>
        <v>39475</v>
      </c>
      <c r="E44">
        <f>IF($C$14*ReDiarioFert!C33&lt;=0,"0",$C$14*ReDiarioFert!C33)</f>
        <v>10.838710680529301</v>
      </c>
      <c r="G44">
        <f>$C$14*ReDiarioFert!E33</f>
        <v>1.858378260869565</v>
      </c>
      <c r="I44">
        <f>$C$14*ReDiarioFert!G33</f>
        <v>7.44744</v>
      </c>
      <c r="K44">
        <f>$C$14*ReDiarioFert!I33</f>
        <v>7.169578983398938</v>
      </c>
      <c r="M44">
        <f>$C$14*ReDiarioFert!K33</f>
        <v>5.320394535456e-13</v>
      </c>
      <c r="O44">
        <f>$C$14*ReDiarioFert!M33</f>
        <v>0.0122344222</v>
      </c>
      <c r="S44">
        <f>((E44/100)*$G$57+(G44/100)*$G$58+(I44/100)*$G$59+(K44/100)*$G$60+(M44/100)*$G$61+(O44)*$G$62+(Q44*$G$63))</f>
        <v>219.02488668599915</v>
      </c>
    </row>
    <row r="45">
      <c r="B45">
        <v>28</v>
      </c>
      <c r="C45">
        <f>$I$13+B45</f>
        <v>39476</v>
      </c>
      <c r="E45">
        <f>IF($C$14*ReDiarioFert!C34&lt;=0,"0",$C$14*ReDiarioFert!C34)</f>
        <v>10.838710680529301</v>
      </c>
      <c r="G45">
        <f>$C$14*ReDiarioFert!E34</f>
        <v>1.858378260869565</v>
      </c>
      <c r="I45">
        <f>$C$14*ReDiarioFert!G34</f>
        <v>7.44744</v>
      </c>
      <c r="K45">
        <f>$C$14*ReDiarioFert!I34</f>
        <v>7.169578983398938</v>
      </c>
      <c r="M45">
        <f>$C$14*ReDiarioFert!K34</f>
        <v>5.320394535456e-13</v>
      </c>
      <c r="O45">
        <f>$C$14*ReDiarioFert!M34</f>
        <v>0.0122344222</v>
      </c>
      <c r="S45">
        <f>((E45/100)*$G$57+(G45/100)*$G$58+(I45/100)*$G$59+(K45/100)*$G$60+(M45/100)*$G$61+(O45)*$G$62+(R45*Main!$J$83))</f>
        <v>219.02488668599915</v>
      </c>
    </row>
    <row r="46">
      <c r="A46">
        <v>5</v>
      </c>
      <c r="B46">
        <v>29</v>
      </c>
      <c r="C46">
        <f>$I$13+B46</f>
        <v>39477</v>
      </c>
      <c r="E46">
        <f>IF($C$14*ReDiarioFert!C35&lt;=0,"0",$C$14*ReDiarioFert!C35)</f>
        <v>10.838710680529301</v>
      </c>
      <c r="G46">
        <f>$C$14*ReDiarioFert!E35</f>
        <v>1.858378260869565</v>
      </c>
      <c r="I46">
        <f>$C$14*ReDiarioFert!G35</f>
        <v>7.44744</v>
      </c>
      <c r="K46">
        <f>$C$14*ReDiarioFert!I35</f>
        <v>7.169578983398938</v>
      </c>
      <c r="M46">
        <f>$C$14*ReDiarioFert!K35</f>
        <v>5.320394535456e-13</v>
      </c>
      <c r="O46">
        <f>$C$14*ReDiarioFert!M35</f>
        <v>0.0122344222</v>
      </c>
      <c r="Q46">
        <f>$C$14*Main!$D$63</f>
        <v>0</v>
      </c>
      <c r="S46" t="e">
        <f>((E46/100)*$G$57+(G46/100)*$G$58+(I46/100)*$G$59+(K46/100)*$G$60+(M46/100)*$G$61+(O46)*$G$62+(Q46*$G$63)+(R46*Main!$J$86))</f>
        <v>#N/A</v>
      </c>
    </row>
    <row r="47">
      <c r="B47">
        <v>30</v>
      </c>
      <c r="C47">
        <f>$I$13+B47</f>
        <v>39478</v>
      </c>
      <c r="E47">
        <f>IF($C$14*ReDiarioFert!C36&lt;=0,"0",$C$14*ReDiarioFert!C36)</f>
        <v>10.838710680529301</v>
      </c>
      <c r="G47">
        <f>$C$14*ReDiarioFert!E36</f>
        <v>1.858378260869565</v>
      </c>
      <c r="I47">
        <f>$C$14*ReDiarioFert!G36</f>
        <v>7.44744</v>
      </c>
      <c r="K47">
        <f>$C$14*ReDiarioFert!I36</f>
        <v>7.169578983398938</v>
      </c>
      <c r="M47">
        <f>$C$14*ReDiarioFert!K36</f>
        <v>5.320394535456e-13</v>
      </c>
      <c r="O47">
        <f>$C$14*ReDiarioFert!M36</f>
        <v>0.0122344222</v>
      </c>
      <c r="S47">
        <f>((E47/100)*$G$57+(G47/100)*$G$58+(I47/100)*$G$59+(K47/100)*$G$60+(M47/100)*$G$61+(O47)*$G$62+(Q47*$G$63))</f>
        <v>219.02488668599915</v>
      </c>
    </row>
    <row r="48">
      <c r="B48">
        <v>31</v>
      </c>
      <c r="C48">
        <f>$I$13+B48</f>
        <v>39479</v>
      </c>
      <c r="E48">
        <f>IF($C$14*ReDiarioFert!C37&lt;=0,"0",$C$14*ReDiarioFert!C37)</f>
        <v>10.838710680529301</v>
      </c>
      <c r="G48">
        <f>$C$14*ReDiarioFert!E37</f>
        <v>1.858378260869565</v>
      </c>
      <c r="I48">
        <f>$C$14*ReDiarioFert!G37</f>
        <v>7.44744</v>
      </c>
      <c r="K48">
        <f>$C$14*ReDiarioFert!I37</f>
        <v>7.169578983398938</v>
      </c>
      <c r="M48">
        <f>$C$14*ReDiarioFert!K37</f>
        <v>5.320394535456e-13</v>
      </c>
      <c r="O48">
        <f>$C$14*ReDiarioFert!M37</f>
        <v>0.0122344222</v>
      </c>
      <c r="S48">
        <f>((E48/100)*$G$57+(G48/100)*$G$58+(I48/100)*$G$59+(K48/100)*$G$60+(M48/100)*$G$61+(O48)*$G$62+(Q48*$G$63))</f>
        <v>219.02488668599915</v>
      </c>
    </row>
    <row r="49">
      <c r="B49">
        <v>32</v>
      </c>
      <c r="C49">
        <f>$I$13+B49</f>
        <v>39480</v>
      </c>
      <c r="E49">
        <f>IF($C$14*ReDiarioFert!C38&lt;=0,"0",$C$14*ReDiarioFert!C38)</f>
        <v>10.838710680529301</v>
      </c>
      <c r="G49">
        <f>$C$14*ReDiarioFert!E38</f>
        <v>1.858378260869565</v>
      </c>
      <c r="I49">
        <f>$C$14*ReDiarioFert!G38</f>
        <v>7.44744</v>
      </c>
      <c r="K49">
        <f>$C$14*ReDiarioFert!I38</f>
        <v>7.169578983398938</v>
      </c>
      <c r="M49">
        <f>$C$14*ReDiarioFert!K38</f>
        <v>5.320394535456e-13</v>
      </c>
      <c r="O49">
        <f>$C$14*ReDiarioFert!M38</f>
        <v>0.0122344222</v>
      </c>
      <c r="S49">
        <f>((E49/100)*$G$57+(G49/100)*$G$58+(I49/100)*$G$59+(K49/100)*$G$60+(M49/100)*$G$61+(O49)*$G$62+(Q49*$G$63))</f>
        <v>219.02488668599915</v>
      </c>
    </row>
    <row r="50">
      <c r="B50">
        <v>33</v>
      </c>
      <c r="C50">
        <f>$I$13+B50</f>
        <v>39481</v>
      </c>
      <c r="E50">
        <f>IF($C$14*ReDiarioFert!C39&lt;=0,"0",$C$14*ReDiarioFert!C39)</f>
        <v>10.838710680529301</v>
      </c>
      <c r="G50">
        <f>$C$14*ReDiarioFert!E39</f>
        <v>1.858378260869565</v>
      </c>
      <c r="I50">
        <f>$C$14*ReDiarioFert!G39</f>
        <v>7.44744</v>
      </c>
      <c r="K50">
        <f>$C$14*ReDiarioFert!I39</f>
        <v>7.169578983398938</v>
      </c>
      <c r="M50">
        <f>$C$14*ReDiarioFert!K39</f>
        <v>5.320394535456e-13</v>
      </c>
      <c r="O50">
        <f>$C$14*ReDiarioFert!M39</f>
        <v>0.0173322149</v>
      </c>
      <c r="S50">
        <f>((E50/100)*$G$57+(G50/100)*$G$58+(I50/100)*$G$59+(K50/100)*$G$60+(M50/100)*$G$61+(O50)*$G$62+(Q50*$G$63))</f>
        <v>219.02488668599915</v>
      </c>
    </row>
    <row r="51">
      <c r="B51">
        <v>34</v>
      </c>
      <c r="C51">
        <f>$I$13+B51</f>
        <v>39482</v>
      </c>
      <c r="E51">
        <f>IF($C$14*ReDiarioFert!C40&lt;=0,"0",$C$14*ReDiarioFert!C40)</f>
        <v>10.838710680529301</v>
      </c>
      <c r="G51">
        <f>$C$14*ReDiarioFert!E40</f>
        <v>1.858378260869565</v>
      </c>
      <c r="I51">
        <f>$C$14*ReDiarioFert!G40</f>
        <v>7.44744</v>
      </c>
      <c r="K51">
        <f>$C$14*ReDiarioFert!I40</f>
        <v>7.169578983398938</v>
      </c>
      <c r="M51">
        <f>$C$14*ReDiarioFert!K40</f>
        <v>5.320394535456e-13</v>
      </c>
      <c r="O51">
        <f>$C$14*ReDiarioFert!M40</f>
        <v>0.0173322149</v>
      </c>
      <c r="S51">
        <f>((E51/100)*$G$57+(G51/100)*$G$58+(I51/100)*$G$59+(K51/100)*$G$60+(M51/100)*$G$61+(O51)*$G$62+(Q51*$G$63))</f>
        <v>219.02488668599915</v>
      </c>
    </row>
    <row r="52">
      <c r="B52">
        <v>35</v>
      </c>
      <c r="C52">
        <f>$I$13+B52</f>
        <v>39483</v>
      </c>
      <c r="E52">
        <f>IF($C$14*ReDiarioFert!C41&lt;=0,"0",$C$14*ReDiarioFert!C41)</f>
        <v>10.838710680529301</v>
      </c>
      <c r="G52">
        <f>$C$14*ReDiarioFert!E41</f>
        <v>1.858378260869565</v>
      </c>
      <c r="I52">
        <f>$C$14*ReDiarioFert!G41</f>
        <v>7.44744</v>
      </c>
      <c r="K52">
        <f>$C$14*ReDiarioFert!I41</f>
        <v>7.169578983398938</v>
      </c>
      <c r="M52">
        <f>$C$14*ReDiarioFert!K41</f>
        <v>5.320394535456e-13</v>
      </c>
      <c r="O52">
        <f>$C$14*ReDiarioFert!M41</f>
        <v>0.0173322149</v>
      </c>
      <c r="S52">
        <f>((E52/100)*$G$57+(G52/100)*$G$58+(I52/100)*$G$59+(K52/100)*$G$60+(M52/100)*$G$61+(O52)*$G$62+(Q52*$G$63))</f>
        <v>219.02488668599915</v>
      </c>
    </row>
    <row r="53">
      <c r="C53" t="str">
        <v>Total</v>
      </c>
      <c r="E53">
        <f>SUM(E18:E52)</f>
        <v>379.3548738185253</v>
      </c>
      <c r="G53">
        <f>SUM(G18:G52)</f>
        <v>65.04323913043476</v>
      </c>
      <c r="I53">
        <f>SUM(I18:I52)</f>
        <v>260.6604</v>
      </c>
      <c r="K53">
        <f>SUM(K18:K52)</f>
        <v>250.93526441896276</v>
      </c>
      <c r="M53">
        <f>SUM(M18:M52)</f>
        <v>1.8621380874095994e-11</v>
      </c>
      <c r="O53">
        <f>SUM(O18:O52)</f>
        <v>0.35072097059999996</v>
      </c>
      <c r="Q53">
        <f>SUM(Q18:Q52)</f>
        <v>0</v>
      </c>
      <c r="S53" t="e">
        <f>SUM(S18:S52)</f>
        <v>#N/A</v>
      </c>
    </row>
    <row r="54">
      <c r="D54" t="str">
        <v>OJO cualquier cultivo que no se termine la cosecha en el ultimo día del calendario solo seguir repitiendo la ultima aplicación de fertilizante.</v>
      </c>
    </row>
    <row r="55" ht="39.75" customHeight="1">
      <c r="B55" t="str">
        <v>Producto</v>
      </c>
      <c r="F55" t="str">
        <v>Lbs/Ha</v>
      </c>
      <c r="G55" t="str">
        <v>Costo por qq</v>
      </c>
    </row>
    <row r="56" ht="24" customHeight="1">
      <c r="G56" t="str">
        <f>Main!$E$25</f>
        <v>Lempiras</v>
      </c>
    </row>
    <row r="57">
      <c r="B57" t="str">
        <f>Main!D42</f>
        <v>Urea</v>
      </c>
      <c r="F57">
        <f>E53/C14</f>
        <v>378.9758979206047</v>
      </c>
      <c r="G57">
        <f>Main!D43</f>
        <v>650</v>
      </c>
    </row>
    <row r="58">
      <c r="B58" t="str">
        <f>Main!D32</f>
        <v>DAP 18-46-0</v>
      </c>
      <c r="F58">
        <f>G53/C14</f>
        <v>64.9782608695652</v>
      </c>
      <c r="G58">
        <f>Main!D33</f>
        <v>1200</v>
      </c>
    </row>
    <row r="59">
      <c r="B59" t="str">
        <f>Main!D37</f>
        <v>Kcl Soluble</v>
      </c>
      <c r="F59">
        <f>I53/C14</f>
        <v>260.40000000000003</v>
      </c>
      <c r="G59">
        <f>Main!D38</f>
        <v>780</v>
      </c>
    </row>
    <row r="60">
      <c r="B60" t="str">
        <f>Main!D47</f>
        <v>Sulfato de Magnesio</v>
      </c>
      <c r="F60">
        <f>K53/C14</f>
        <v>250.68457983912367</v>
      </c>
      <c r="G60">
        <f>Main!D48</f>
        <v>951</v>
      </c>
    </row>
    <row r="61">
      <c r="B61" t="str">
        <f>Main!D52</f>
        <v>Sin Calcio</v>
      </c>
      <c r="F61">
        <f>M53/C14</f>
        <v>1.8602778095999997e-11</v>
      </c>
      <c r="G61">
        <f>Main!D53</f>
        <v>0</v>
      </c>
    </row>
    <row r="62">
      <c r="B62" t="str">
        <f>Main!D57</f>
        <v>Sin Boro</v>
      </c>
      <c r="F62">
        <f>O53/C14</f>
        <v>0.3503706</v>
      </c>
      <c r="G62">
        <f>Main!D58</f>
        <v>0</v>
      </c>
      <c r="I62" t="str">
        <v xml:space="preserve">Preparado y Autorizado Por </v>
      </c>
    </row>
    <row r="63" ht="18" customHeight="1">
      <c r="B63" t="str">
        <f>Main!D61</f>
        <v>Sin Melaza</v>
      </c>
      <c r="F63">
        <f>Q53/C14</f>
        <v>0</v>
      </c>
      <c r="G63">
        <f>Main!D62</f>
        <v>0</v>
      </c>
      <c r="I63" t="str">
        <v>MSc Ricardo D. Lardizábal</v>
      </c>
    </row>
    <row r="64">
      <c r="B64" t="str">
        <v>NOTA: El Nitrato de Calcio se debe de diluir en un barril aparte para inyectarse al sistema</v>
      </c>
    </row>
    <row r="66">
      <c r="B66" t="str">
        <v>Abreviaciones usadas</v>
      </c>
    </row>
    <row r="67">
      <c r="B67" t="str">
        <v>Mz.-Manzanas, Ha-Hectáreas, Lbs-Libras, Lts-Litros y DDT-Días después de Trasplante</v>
      </c>
    </row>
  </sheetData>
  <sheetProtection sheet="1"/>
  <mergeCells count="53">
    <mergeCell ref="A9:K9"/>
    <mergeCell ref="P9:S12"/>
    <mergeCell ref="P5:S7"/>
    <mergeCell ref="I11:M11"/>
    <mergeCell ref="I12:M12"/>
    <mergeCell ref="F11:H11"/>
    <mergeCell ref="C11:E11"/>
    <mergeCell ref="A11:B11"/>
    <mergeCell ref="A12:B12"/>
    <mergeCell ref="C12:E12"/>
    <mergeCell ref="P1:S4"/>
    <mergeCell ref="B60:E60"/>
    <mergeCell ref="F13:H13"/>
    <mergeCell ref="F14:H14"/>
    <mergeCell ref="C16:D16"/>
    <mergeCell ref="E16:F16"/>
    <mergeCell ref="G16:H16"/>
    <mergeCell ref="G59:H59"/>
    <mergeCell ref="G60:H60"/>
    <mergeCell ref="G55:H55"/>
    <mergeCell ref="B64:I65"/>
    <mergeCell ref="I63:Q63"/>
    <mergeCell ref="B66:D66"/>
    <mergeCell ref="G58:H58"/>
    <mergeCell ref="G56:H56"/>
    <mergeCell ref="G57:H57"/>
    <mergeCell ref="B59:E59"/>
    <mergeCell ref="B58:E58"/>
    <mergeCell ref="B57:E57"/>
    <mergeCell ref="B62:E62"/>
    <mergeCell ref="G63:H63"/>
    <mergeCell ref="B61:E61"/>
    <mergeCell ref="B63:E63"/>
    <mergeCell ref="G61:H61"/>
    <mergeCell ref="G62:H62"/>
    <mergeCell ref="B55:E55"/>
    <mergeCell ref="F12:H12"/>
    <mergeCell ref="C13:E13"/>
    <mergeCell ref="S16:S17"/>
    <mergeCell ref="Q16:R16"/>
    <mergeCell ref="K16:L16"/>
    <mergeCell ref="O16:P16"/>
    <mergeCell ref="M16:N16"/>
    <mergeCell ref="B67:S67"/>
    <mergeCell ref="A13:B13"/>
    <mergeCell ref="A14:B14"/>
    <mergeCell ref="I13:M13"/>
    <mergeCell ref="I14:M14"/>
    <mergeCell ref="I16:J16"/>
    <mergeCell ref="I62:Q62"/>
    <mergeCell ref="C14:E14"/>
    <mergeCell ref="A16:A17"/>
    <mergeCell ref="B16:B17"/>
  </mergeCells>
  <pageMargins left="0" right="0" top="0.2" bottom="0.56" header="0" footer="0.25"/>
  <ignoredErrors>
    <ignoredError numberStoredAsText="1" sqref="A1:Z68"/>
  </ignoredErrors>
  <legacyDrawing r:id="rId1"/>
</worksheet>
</file>

<file path=xl/worksheets/sheet3.xml><?xml version="1.0" encoding="utf-8"?>
<worksheet xmlns="http://schemas.openxmlformats.org/spreadsheetml/2006/main" xmlns:r="http://schemas.openxmlformats.org/officeDocument/2006/relationships">
  <dimension ref="A1:Z68"/>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Pasto de Corte</v>
      </c>
    </row>
    <row r="6" ht="26.25" customHeight="1"/>
    <row r="7" ht="26.25" customHeight="1"/>
    <row r="8" ht="8.4" customHeight="1"/>
    <row r="9" ht="26.25" customHeight="1">
      <c r="A9" t="str">
        <f>Main!$C$13</f>
        <v>"Fertilización Continua"</v>
      </c>
      <c r="P9" t="str">
        <f>Main!$G$21</f>
        <v>King Grass</v>
      </c>
    </row>
    <row r="10" ht="4.2" customHeight="1"/>
    <row r="11" ht="20.1" customHeight="1">
      <c r="A11" t="str">
        <v>Productor</v>
      </c>
      <c r="C11" t="str">
        <f>Main!E17</f>
        <v>IAGSA</v>
      </c>
      <c r="F11" t="str">
        <v>Parcela</v>
      </c>
      <c r="I11" t="str">
        <f>Main!E19</f>
        <v>Finca 8</v>
      </c>
    </row>
    <row r="12" ht="20.1" customHeight="1">
      <c r="A12" t="str">
        <v>Zona</v>
      </c>
      <c r="C12" t="str">
        <f>Main!E18</f>
        <v>Comayagua</v>
      </c>
      <c r="F12" t="str">
        <v>Técnico</v>
      </c>
      <c r="I12" t="str">
        <f>Main!E20</f>
        <v>Raca</v>
      </c>
    </row>
    <row r="13" ht="20.1" customHeight="1">
      <c r="A13" t="str">
        <v>Área Mz.</v>
      </c>
      <c r="C13">
        <f>Main!E22</f>
        <v>1.43</v>
      </c>
      <c r="F13" t="str">
        <v>Fecha:</v>
      </c>
      <c r="I13">
        <f>Main!E23</f>
        <v>39448</v>
      </c>
    </row>
    <row r="14" ht="20.1" customHeight="1">
      <c r="A14" t="str">
        <v>Área Ha.</v>
      </c>
      <c r="C14">
        <f>Main!I22</f>
        <v>1.001</v>
      </c>
      <c r="F14" t="str">
        <v>Fecha de Cosecha:</v>
      </c>
      <c r="I14">
        <f>I13+Main!E24</f>
        <v>39478</v>
      </c>
    </row>
    <row r="15" ht="19.5" customHeight="1"/>
    <row r="16" ht="28.5" customHeight="1">
      <c r="A16" t="str">
        <v>Semana</v>
      </c>
      <c r="B16" t="str">
        <v>DDT</v>
      </c>
      <c r="C16" t="str">
        <v>FECHA</v>
      </c>
      <c r="E16" t="str">
        <f>Main!$D$42</f>
        <v>Urea</v>
      </c>
      <c r="G16" t="str">
        <f>Main!$D$32</f>
        <v>DAP 18-46-0</v>
      </c>
      <c r="I16" t="str">
        <f>Main!$D$37</f>
        <v>Kcl Soluble</v>
      </c>
      <c r="K16" t="str">
        <f>Main!$D$47</f>
        <v>Sulfato de Magnesio</v>
      </c>
      <c r="M16" t="str">
        <f>Main!$D$52</f>
        <v>Sin Calcio</v>
      </c>
      <c r="O16" t="str">
        <f>Main!$D$57</f>
        <v>Sin Boro</v>
      </c>
      <c r="Q16" t="str">
        <f>Main!$D$61</f>
        <v>Sin 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f>Main!E52</f>
        <v>0</v>
      </c>
      <c r="N17" t="str">
        <v>Cambios</v>
      </c>
      <c r="O17">
        <f>Main!E57</f>
        <v>0</v>
      </c>
      <c r="P17" t="str">
        <v>Cambios</v>
      </c>
      <c r="Q17">
        <f>Main!$E$61</f>
        <v>0</v>
      </c>
      <c r="R17" t="str">
        <v>Cambios</v>
      </c>
    </row>
    <row r="18" ht="18.75" customHeight="1">
      <c r="A18">
        <v>1</v>
      </c>
      <c r="B18">
        <v>1</v>
      </c>
      <c r="C18">
        <f>$I$13+B18</f>
        <v>39449</v>
      </c>
      <c r="E18">
        <f>IF($C$14*ReDiarioFert!C7&lt;=0,"0",$C$14*ReDiarioFert!C7)</f>
        <v>10.838710680529301</v>
      </c>
      <c r="G18">
        <f>$C$14*ReDiarioFert!E7</f>
        <v>1.858378260869565</v>
      </c>
      <c r="I18">
        <f>$C$14*ReDiarioFert!G7</f>
        <v>7.44744</v>
      </c>
      <c r="K18">
        <f>$C$14*ReDiarioFert!I7</f>
        <v>7.169578983398938</v>
      </c>
      <c r="M18">
        <f>$C$14*ReDiarioFert!K7</f>
        <v>5.320394535456e-13</v>
      </c>
      <c r="O18">
        <f>$C$14*ReDiarioFert!M7</f>
        <v>0.005097692599999999</v>
      </c>
      <c r="Q18">
        <f>$C$14*Main!$D$63</f>
        <v>0</v>
      </c>
      <c r="S18">
        <f>((E18/100)*$G$57+(G18/100)*$G$58+(I18/100)*$G$59+(K18/100)*$G$60+(M18/100)*$G$61+(O18)*$G$62+(Q18*$G$63))</f>
        <v>219.02488668599915</v>
      </c>
    </row>
    <row r="19" ht="18.75" customHeight="1">
      <c r="B19">
        <v>2</v>
      </c>
      <c r="C19">
        <f>$I$13+B19</f>
        <v>39450</v>
      </c>
      <c r="E19">
        <f>IF($C$14*ReDiarioFert!C8&lt;=0,"0",$C$14*ReDiarioFert!C8)</f>
        <v>10.838710680529301</v>
      </c>
      <c r="G19">
        <f>$C$14*ReDiarioFert!E8</f>
        <v>1.858378260869565</v>
      </c>
      <c r="I19">
        <f>$C$14*ReDiarioFert!G8</f>
        <v>7.44744</v>
      </c>
      <c r="K19">
        <f>$C$14*ReDiarioFert!I8</f>
        <v>7.169578983398938</v>
      </c>
      <c r="M19">
        <f>$C$14*ReDiarioFert!K8</f>
        <v>5.320394535456e-13</v>
      </c>
      <c r="O19">
        <f>$C$14*ReDiarioFert!M8</f>
        <v>0.005097692599999999</v>
      </c>
      <c r="S19">
        <f>((E19/100)*$G$57+(G19/100)*$G$58+(I19/100)*$G$59+(K19/100)*$G$60+(M19/100)*$G$61+(O19)*$G$62+(Q19*$G$63))</f>
        <v>219.02488668599915</v>
      </c>
    </row>
    <row r="20" ht="18.75" customHeight="1">
      <c r="B20">
        <v>3</v>
      </c>
      <c r="C20">
        <f>$I$13+B20</f>
        <v>39451</v>
      </c>
      <c r="E20">
        <f>IF($C$14*ReDiarioFert!C9&lt;=0,"0",$C$14*ReDiarioFert!C9)</f>
        <v>10.838710680529301</v>
      </c>
      <c r="G20">
        <f>$C$14*ReDiarioFert!E9</f>
        <v>1.858378260869565</v>
      </c>
      <c r="I20">
        <f>$C$14*ReDiarioFert!G9</f>
        <v>7.44744</v>
      </c>
      <c r="K20">
        <f>$C$14*ReDiarioFert!I9</f>
        <v>7.169578983398938</v>
      </c>
      <c r="M20">
        <f>$C$14*ReDiarioFert!K9</f>
        <v>5.320394535456e-13</v>
      </c>
      <c r="O20">
        <f>$C$14*ReDiarioFert!M9</f>
        <v>0.005097692599999999</v>
      </c>
      <c r="S20">
        <f>((E20/100)*$G$57+(G20/100)*$G$58+(I20/100)*$G$59+(K20/100)*$G$60+(M20/100)*$G$61+(O20)*$G$62+(Q20*$G$63))</f>
        <v>219.02488668599915</v>
      </c>
    </row>
    <row r="21" ht="18.75" customHeight="1">
      <c r="B21">
        <v>4</v>
      </c>
      <c r="C21">
        <f>$I$13+B21</f>
        <v>39452</v>
      </c>
      <c r="E21">
        <f>IF($C$14*ReDiarioFert!C10&lt;=0,"0",$C$14*ReDiarioFert!C10)</f>
        <v>10.838710680529301</v>
      </c>
      <c r="G21">
        <f>$C$14*ReDiarioFert!E10</f>
        <v>1.858378260869565</v>
      </c>
      <c r="I21">
        <f>$C$14*ReDiarioFert!G10</f>
        <v>7.44744</v>
      </c>
      <c r="K21">
        <f>$C$14*ReDiarioFert!I10</f>
        <v>7.169578983398938</v>
      </c>
      <c r="M21">
        <f>$C$14*ReDiarioFert!K10</f>
        <v>5.320394535456e-13</v>
      </c>
      <c r="O21">
        <f>$C$14*ReDiarioFert!M10</f>
        <v>0.005097692599999999</v>
      </c>
      <c r="S21">
        <f>((E21/100)*$G$57+(G21/100)*$G$58+(I21/100)*$G$59+(K21/100)*$G$60+(M21/100)*$G$61+(O21)*$G$62+(Q21*$G$63))</f>
        <v>219.02488668599915</v>
      </c>
    </row>
    <row r="22" ht="18.75" customHeight="1">
      <c r="B22">
        <v>5</v>
      </c>
      <c r="C22">
        <f>$I$13+B22</f>
        <v>39453</v>
      </c>
      <c r="E22">
        <f>IF($C$14*ReDiarioFert!C11&lt;=0,"0",$C$14*ReDiarioFert!C11)</f>
        <v>10.838710680529301</v>
      </c>
      <c r="G22">
        <f>$C$14*ReDiarioFert!E11</f>
        <v>1.858378260869565</v>
      </c>
      <c r="I22">
        <f>$C$14*ReDiarioFert!G11</f>
        <v>7.44744</v>
      </c>
      <c r="K22">
        <f>$C$14*ReDiarioFert!I11</f>
        <v>7.169578983398938</v>
      </c>
      <c r="M22">
        <f>$C$14*ReDiarioFert!K11</f>
        <v>5.320394535456e-13</v>
      </c>
      <c r="O22">
        <f>$C$14*ReDiarioFert!M11</f>
        <v>0.005097692599999999</v>
      </c>
      <c r="S22">
        <f>((E22/100)*$G$57+(G22/100)*$G$58+(I22/100)*$G$59+(K22/100)*$G$60+(M22/100)*$G$61+(O22)*$G$62+(Q22*$G$63))</f>
        <v>219.02488668599915</v>
      </c>
    </row>
    <row r="23" ht="18.75" customHeight="1">
      <c r="B23">
        <v>6</v>
      </c>
      <c r="C23">
        <f>$I$13+B23</f>
        <v>39454</v>
      </c>
      <c r="E23">
        <f>IF($C$14*ReDiarioFert!C12&lt;=0,"0",$C$14*ReDiarioFert!C12)</f>
        <v>10.838710680529301</v>
      </c>
      <c r="G23">
        <f>$C$14*ReDiarioFert!E12</f>
        <v>1.858378260869565</v>
      </c>
      <c r="I23">
        <f>$C$14*ReDiarioFert!G12</f>
        <v>7.44744</v>
      </c>
      <c r="K23">
        <f>$C$14*ReDiarioFert!I12</f>
        <v>7.169578983398938</v>
      </c>
      <c r="M23">
        <f>$C$14*ReDiarioFert!K12</f>
        <v>5.320394535456e-13</v>
      </c>
      <c r="O23">
        <f>$C$14*ReDiarioFert!M12</f>
        <v>0.005097692599999999</v>
      </c>
      <c r="S23">
        <f>((E23/100)*$G$57+(G23/100)*$G$58+(I23/100)*$G$59+(K23/100)*$G$60+(M23/100)*$G$61+(O23)*$G$62+(Q23*$G$63))</f>
        <v>219.02488668599915</v>
      </c>
    </row>
    <row r="24" ht="18.75" customHeight="1">
      <c r="B24">
        <v>7</v>
      </c>
      <c r="C24">
        <f>$I$13+B24</f>
        <v>39455</v>
      </c>
      <c r="E24">
        <f>IF($C$14*ReDiarioFert!C13&lt;=0,"0",$C$14*ReDiarioFert!C13)</f>
        <v>10.838710680529301</v>
      </c>
      <c r="G24">
        <f>$C$14*ReDiarioFert!E13</f>
        <v>1.858378260869565</v>
      </c>
      <c r="I24">
        <f>$C$14*ReDiarioFert!G13</f>
        <v>7.44744</v>
      </c>
      <c r="K24">
        <f>$C$14*ReDiarioFert!I13</f>
        <v>7.169578983398938</v>
      </c>
      <c r="M24">
        <f>$C$14*ReDiarioFert!K13</f>
        <v>5.320394535456e-13</v>
      </c>
      <c r="O24">
        <f>$C$14*ReDiarioFert!M13</f>
        <v>0.005097692599999999</v>
      </c>
      <c r="S24">
        <f>((E24/100)*$G$57+(G24/100)*$G$58+(I24/100)*$G$59+(K24/100)*$G$60+(M24/100)*$G$61+(O24)*$G$62+(Q24*$G$63))</f>
        <v>219.02488668599915</v>
      </c>
    </row>
    <row r="25">
      <c r="A25">
        <v>2</v>
      </c>
      <c r="B25">
        <v>8</v>
      </c>
      <c r="C25">
        <f>$I$13+B25</f>
        <v>39456</v>
      </c>
      <c r="E25">
        <f>IF($C$14*ReDiarioFert!C14&lt;=0,"0",$C$14*ReDiarioFert!C14)</f>
        <v>10.838710680529301</v>
      </c>
      <c r="G25">
        <f>$C$14*ReDiarioFert!E14</f>
        <v>1.858378260869565</v>
      </c>
      <c r="I25">
        <f>$C$14*ReDiarioFert!G14</f>
        <v>7.44744</v>
      </c>
      <c r="K25">
        <f>$C$14*ReDiarioFert!I14</f>
        <v>7.169578983398938</v>
      </c>
      <c r="M25">
        <f>$C$14*ReDiarioFert!K14</f>
        <v>5.320394535456e-13</v>
      </c>
      <c r="O25">
        <f>$C$14*ReDiarioFert!M14</f>
        <v>0.005097692599999999</v>
      </c>
      <c r="Q25">
        <f>$C$14*Main!$D$63</f>
        <v>0</v>
      </c>
      <c r="S25">
        <f>((E25/100)*$G$57+(G25/100)*$G$58+(I25/100)*$G$59+(K25/100)*$G$60+(M25/100)*$G$61+(O25)*$G$62+(Q25*$G$63))</f>
        <v>219.02488668599915</v>
      </c>
    </row>
    <row r="26">
      <c r="B26">
        <v>9</v>
      </c>
      <c r="C26">
        <f>$I$13+B26</f>
        <v>39457</v>
      </c>
      <c r="E26">
        <f>IF($C$14*ReDiarioFert!C15&lt;=0,"0",$C$14*ReDiarioFert!C15)</f>
        <v>10.838710680529301</v>
      </c>
      <c r="G26">
        <f>$C$14*ReDiarioFert!E15</f>
        <v>1.858378260869565</v>
      </c>
      <c r="I26">
        <f>$C$14*ReDiarioFert!G15</f>
        <v>7.44744</v>
      </c>
      <c r="K26">
        <f>$C$14*ReDiarioFert!I15</f>
        <v>7.169578983398938</v>
      </c>
      <c r="M26">
        <f>$C$14*ReDiarioFert!K15</f>
        <v>5.320394535456e-13</v>
      </c>
      <c r="O26">
        <f>$C$14*ReDiarioFert!M15</f>
        <v>0.005097692599999999</v>
      </c>
      <c r="S26">
        <f>((E26/100)*$G$57+(G26/100)*$G$58+(I26/100)*$G$59+(K26/100)*$G$60+(M26/100)*$G$61+(O26)*$G$62+(Q26*$G$63))</f>
        <v>219.02488668599915</v>
      </c>
    </row>
    <row r="27">
      <c r="B27">
        <v>10</v>
      </c>
      <c r="C27">
        <f>$I$13+B27</f>
        <v>39458</v>
      </c>
      <c r="E27">
        <f>IF($C$14*ReDiarioFert!C16&lt;=0,"0",$C$14*ReDiarioFert!C16)</f>
        <v>10.838710680529301</v>
      </c>
      <c r="G27">
        <f>$C$14*ReDiarioFert!E16</f>
        <v>1.858378260869565</v>
      </c>
      <c r="I27">
        <f>$C$14*ReDiarioFert!G16</f>
        <v>7.44744</v>
      </c>
      <c r="K27">
        <f>$C$14*ReDiarioFert!I16</f>
        <v>7.169578983398938</v>
      </c>
      <c r="M27">
        <f>$C$14*ReDiarioFert!K16</f>
        <v>5.320394535456e-13</v>
      </c>
      <c r="O27">
        <f>$C$14*ReDiarioFert!M16</f>
        <v>0.005097692599999999</v>
      </c>
      <c r="S27">
        <f>((E27/100)*$G$57+(G27/100)*$G$58+(I27/100)*$G$59+(K27/100)*$G$60+(M27/100)*$G$61+(O27)*$G$62+(Q27*$G$63))</f>
        <v>219.02488668599915</v>
      </c>
    </row>
    <row r="28">
      <c r="B28">
        <v>11</v>
      </c>
      <c r="C28">
        <f>$I$13+B28</f>
        <v>39459</v>
      </c>
      <c r="E28">
        <f>IF($C$14*ReDiarioFert!C17&lt;=0,"0",$C$14*ReDiarioFert!C17)</f>
        <v>10.838710680529301</v>
      </c>
      <c r="G28">
        <f>$C$14*ReDiarioFert!E17</f>
        <v>1.858378260869565</v>
      </c>
      <c r="I28">
        <f>$C$14*ReDiarioFert!G17</f>
        <v>7.44744</v>
      </c>
      <c r="K28">
        <f>$C$14*ReDiarioFert!I17</f>
        <v>7.169578983398938</v>
      </c>
      <c r="M28">
        <f>$C$14*ReDiarioFert!K17</f>
        <v>5.320394535456e-13</v>
      </c>
      <c r="O28">
        <f>$C$14*ReDiarioFert!M17</f>
        <v>0.009175866699999998</v>
      </c>
      <c r="S28">
        <f>((E28/100)*$G$57+(G28/100)*$G$58+(I28/100)*$G$59+(K28/100)*$G$60+(M28/100)*$G$61+(O28)*$G$62+(Q28*$G$63))</f>
        <v>219.02488668599915</v>
      </c>
    </row>
    <row r="29">
      <c r="B29">
        <v>12</v>
      </c>
      <c r="C29">
        <f>$I$13+B29</f>
        <v>39460</v>
      </c>
      <c r="E29">
        <f>IF($C$14*ReDiarioFert!C18&lt;=0,"0",$C$14*ReDiarioFert!C18)</f>
        <v>10.838710680529301</v>
      </c>
      <c r="G29">
        <f>$C$14*ReDiarioFert!E18</f>
        <v>1.858378260869565</v>
      </c>
      <c r="I29">
        <f>$C$14*ReDiarioFert!G18</f>
        <v>7.44744</v>
      </c>
      <c r="K29">
        <f>$C$14*ReDiarioFert!I18</f>
        <v>7.169578983398938</v>
      </c>
      <c r="M29">
        <f>$C$14*ReDiarioFert!K18</f>
        <v>5.320394535456e-13</v>
      </c>
      <c r="O29">
        <f>$C$14*ReDiarioFert!M18</f>
        <v>0.009175866699999998</v>
      </c>
      <c r="S29">
        <f>((E29/100)*$G$57+(G29/100)*$G$58+(I29/100)*$G$59+(K29/100)*$G$60+(M29/100)*$G$61+(O29)*$G$62+(Q29*$G$63))</f>
        <v>219.02488668599915</v>
      </c>
    </row>
    <row r="30">
      <c r="B30">
        <v>13</v>
      </c>
      <c r="C30">
        <f>$I$13+B30</f>
        <v>39461</v>
      </c>
      <c r="E30">
        <f>IF($C$14*ReDiarioFert!C19&lt;=0,"0",$C$14*ReDiarioFert!C19)</f>
        <v>10.838710680529301</v>
      </c>
      <c r="G30">
        <f>$C$14*ReDiarioFert!E19</f>
        <v>1.858378260869565</v>
      </c>
      <c r="I30">
        <f>$C$14*ReDiarioFert!G19</f>
        <v>7.44744</v>
      </c>
      <c r="K30">
        <f>$C$14*ReDiarioFert!I19</f>
        <v>7.169578983398938</v>
      </c>
      <c r="M30">
        <f>$C$14*ReDiarioFert!K19</f>
        <v>5.320394535456e-13</v>
      </c>
      <c r="O30">
        <f>$C$14*ReDiarioFert!M19</f>
        <v>0.009175866699999998</v>
      </c>
      <c r="S30">
        <f>((E30/100)*$G$57+(G30/100)*$G$58+(I30/100)*$G$59+(K30/100)*$G$60+(M30/100)*$G$61+(O30)*$G$62+(Q30*$G$63))</f>
        <v>219.02488668599915</v>
      </c>
    </row>
    <row r="31">
      <c r="B31">
        <v>14</v>
      </c>
      <c r="C31">
        <f>$I$13+B31</f>
        <v>39462</v>
      </c>
      <c r="E31">
        <f>IF($C$14*ReDiarioFert!C20&lt;=0,"0",$C$14*ReDiarioFert!C20)</f>
        <v>10.838710680529301</v>
      </c>
      <c r="G31">
        <f>$C$14*ReDiarioFert!E20</f>
        <v>1.858378260869565</v>
      </c>
      <c r="I31">
        <f>$C$14*ReDiarioFert!G20</f>
        <v>7.44744</v>
      </c>
      <c r="K31">
        <f>$C$14*ReDiarioFert!I20</f>
        <v>7.169578983398938</v>
      </c>
      <c r="M31">
        <f>$C$14*ReDiarioFert!K20</f>
        <v>5.320394535456e-13</v>
      </c>
      <c r="O31">
        <f>$C$14*ReDiarioFert!M20</f>
        <v>0.009175866699999998</v>
      </c>
      <c r="S31">
        <f>((E31/100)*$G$57+(G31/100)*$G$58+(I31/100)*$G$59+(K31/100)*$G$60+(M31/100)*$G$61+(O31)*$G$62+(Q31*$G$63))</f>
        <v>219.02488668599915</v>
      </c>
    </row>
    <row r="32">
      <c r="A32">
        <v>3</v>
      </c>
      <c r="B32">
        <v>15</v>
      </c>
      <c r="C32">
        <f>$I$13+B32</f>
        <v>39463</v>
      </c>
      <c r="E32">
        <f>IF($C$14*ReDiarioFert!C21&lt;=0,"0",$C$14*ReDiarioFert!C21)</f>
        <v>10.838710680529301</v>
      </c>
      <c r="G32">
        <f>$C$14*ReDiarioFert!E21</f>
        <v>1.858378260869565</v>
      </c>
      <c r="I32">
        <f>$C$14*ReDiarioFert!G21</f>
        <v>7.44744</v>
      </c>
      <c r="K32">
        <f>$C$14*ReDiarioFert!I21</f>
        <v>7.169578983398938</v>
      </c>
      <c r="M32">
        <f>$C$14*ReDiarioFert!K21</f>
        <v>5.320394535456e-13</v>
      </c>
      <c r="O32">
        <f>$C$14*ReDiarioFert!M21</f>
        <v>0.009175866699999998</v>
      </c>
      <c r="Q32">
        <f>$C$14*Main!$D$63</f>
        <v>0</v>
      </c>
      <c r="S32">
        <f>((E32/100)*$G$57+(G32/100)*$G$58+(I32/100)*$G$59+(K32/100)*$G$60+(M32/100)*$G$61+(O32)*$G$62+(Q32*$G$63))</f>
        <v>219.02488668599915</v>
      </c>
    </row>
    <row r="33">
      <c r="B33">
        <v>16</v>
      </c>
      <c r="C33">
        <f>$I$13+B33</f>
        <v>39464</v>
      </c>
      <c r="E33">
        <f>IF($C$14*ReDiarioFert!C22&lt;=0,"0",$C$14*ReDiarioFert!C22)</f>
        <v>10.838710680529301</v>
      </c>
      <c r="G33">
        <f>$C$14*ReDiarioFert!E22</f>
        <v>1.858378260869565</v>
      </c>
      <c r="I33">
        <f>$C$14*ReDiarioFert!G22</f>
        <v>7.44744</v>
      </c>
      <c r="K33">
        <f>$C$14*ReDiarioFert!I22</f>
        <v>7.169578983398938</v>
      </c>
      <c r="M33">
        <f>$C$14*ReDiarioFert!K22</f>
        <v>5.320394535456e-13</v>
      </c>
      <c r="O33">
        <f>$C$14*ReDiarioFert!M22</f>
        <v>0.009175866699999998</v>
      </c>
      <c r="S33">
        <f>((E33/100)*$G$57+(G33/100)*$G$58+(I33/100)*$G$59+(K33/100)*$G$60+(M33/100)*$G$61+(O33)*$G$62+(Q33*$G$63))</f>
        <v>219.02488668599915</v>
      </c>
    </row>
    <row r="34">
      <c r="B34">
        <v>17</v>
      </c>
      <c r="C34">
        <f>$I$13+B34</f>
        <v>39465</v>
      </c>
      <c r="E34">
        <f>IF($C$14*ReDiarioFert!C23&lt;=0,"0",$C$14*ReDiarioFert!C23)</f>
        <v>10.838710680529301</v>
      </c>
      <c r="G34">
        <f>$C$14*ReDiarioFert!E23</f>
        <v>1.858378260869565</v>
      </c>
      <c r="I34">
        <f>$C$14*ReDiarioFert!G23</f>
        <v>7.44744</v>
      </c>
      <c r="K34">
        <f>$C$14*ReDiarioFert!I23</f>
        <v>7.169578983398938</v>
      </c>
      <c r="M34">
        <f>$C$14*ReDiarioFert!K23</f>
        <v>5.320394535456e-13</v>
      </c>
      <c r="O34">
        <f>$C$14*ReDiarioFert!M23</f>
        <v>0.009175866699999998</v>
      </c>
      <c r="S34">
        <f>((E34/100)*$G$57+(G34/100)*$G$58+(I34/100)*$G$59+(K34/100)*$G$60+(M34/100)*$G$61+(O34)*$G$62+(Q34*$G$63))</f>
        <v>219.02488668599915</v>
      </c>
    </row>
    <row r="35">
      <c r="B35">
        <v>18</v>
      </c>
      <c r="C35">
        <f>$I$13+B35</f>
        <v>39466</v>
      </c>
      <c r="E35">
        <f>IF($C$14*ReDiarioFert!C24&lt;=0,"0",$C$14*ReDiarioFert!C24)</f>
        <v>10.838710680529301</v>
      </c>
      <c r="G35">
        <f>$C$14*ReDiarioFert!E24</f>
        <v>1.858378260869565</v>
      </c>
      <c r="I35">
        <f>$C$14*ReDiarioFert!G24</f>
        <v>7.44744</v>
      </c>
      <c r="K35">
        <f>$C$14*ReDiarioFert!I24</f>
        <v>7.169578983398938</v>
      </c>
      <c r="M35">
        <f>$C$14*ReDiarioFert!K24</f>
        <v>5.320394535456e-13</v>
      </c>
      <c r="O35">
        <f>$C$14*ReDiarioFert!M24</f>
        <v>0.0122344222</v>
      </c>
      <c r="S35">
        <f>((E35/100)*$G$57+(G35/100)*$G$58+(I35/100)*$G$59+(K35/100)*$G$60+(M35/100)*$G$61+(O35)*$G$62+(Q35*$G$63))</f>
        <v>219.02488668599915</v>
      </c>
    </row>
    <row r="36">
      <c r="B36">
        <v>19</v>
      </c>
      <c r="C36">
        <f>$I$13+B36</f>
        <v>39467</v>
      </c>
      <c r="E36">
        <f>IF($C$14*ReDiarioFert!C25&lt;=0,"0",$C$14*ReDiarioFert!C25)</f>
        <v>10.838710680529301</v>
      </c>
      <c r="G36">
        <f>$C$14*ReDiarioFert!E25</f>
        <v>1.858378260869565</v>
      </c>
      <c r="I36">
        <f>$C$14*ReDiarioFert!G25</f>
        <v>7.44744</v>
      </c>
      <c r="K36">
        <f>$C$14*ReDiarioFert!I25</f>
        <v>7.169578983398938</v>
      </c>
      <c r="M36">
        <f>$C$14*ReDiarioFert!K25</f>
        <v>5.320394535456e-13</v>
      </c>
      <c r="O36">
        <f>$C$14*ReDiarioFert!M25</f>
        <v>0.0122344222</v>
      </c>
      <c r="S36">
        <f>((E36/100)*$G$57+(G36/100)*$G$58+(I36/100)*$G$59+(K36/100)*$G$60+(M36/100)*$G$61+(O36)*$G$62+(Q36*$G$63))</f>
        <v>219.02488668599915</v>
      </c>
    </row>
    <row r="37">
      <c r="B37">
        <v>20</v>
      </c>
      <c r="C37">
        <f>$I$13+B37</f>
        <v>39468</v>
      </c>
      <c r="E37">
        <f>IF($C$14*ReDiarioFert!C26&lt;=0,"0",$C$14*ReDiarioFert!C26)</f>
        <v>10.838710680529301</v>
      </c>
      <c r="G37">
        <f>$C$14*ReDiarioFert!E26</f>
        <v>1.858378260869565</v>
      </c>
      <c r="I37">
        <f>$C$14*ReDiarioFert!G26</f>
        <v>7.44744</v>
      </c>
      <c r="K37">
        <f>$C$14*ReDiarioFert!I26</f>
        <v>7.169578983398938</v>
      </c>
      <c r="M37">
        <f>$C$14*ReDiarioFert!K26</f>
        <v>5.320394535456e-13</v>
      </c>
      <c r="O37">
        <f>$C$14*ReDiarioFert!M26</f>
        <v>0.0122344222</v>
      </c>
      <c r="S37">
        <f>((E37/100)*$G$57+(G37/100)*$G$58+(I37/100)*$G$59+(K37/100)*$G$60+(M37/100)*$G$61+(O37)*$G$62+(Q37*$G$63))</f>
        <v>219.02488668599915</v>
      </c>
    </row>
    <row r="38">
      <c r="B38">
        <v>21</v>
      </c>
      <c r="C38">
        <f>$I$13+B38</f>
        <v>39469</v>
      </c>
      <c r="E38">
        <f>IF($C$14*ReDiarioFert!C27&lt;=0,"0",$C$14*ReDiarioFert!C27)</f>
        <v>10.838710680529301</v>
      </c>
      <c r="G38">
        <f>$C$14*ReDiarioFert!E27</f>
        <v>1.858378260869565</v>
      </c>
      <c r="I38">
        <f>$C$14*ReDiarioFert!G27</f>
        <v>7.44744</v>
      </c>
      <c r="K38">
        <f>$C$14*ReDiarioFert!I27</f>
        <v>7.169578983398938</v>
      </c>
      <c r="M38">
        <f>$C$14*ReDiarioFert!K27</f>
        <v>5.320394535456e-13</v>
      </c>
      <c r="O38">
        <f>$C$14*ReDiarioFert!M27</f>
        <v>0.0122344222</v>
      </c>
      <c r="S38">
        <f>((E38/100)*$G$57+(G38/100)*$G$58+(I38/100)*$G$59+(K38/100)*$G$60+(M38/100)*$G$61+(O38)*$G$62+(Q38*$G$63))</f>
        <v>219.02488668599915</v>
      </c>
    </row>
    <row r="39">
      <c r="A39">
        <v>4</v>
      </c>
      <c r="B39">
        <v>22</v>
      </c>
      <c r="C39">
        <f>$I$13+B39</f>
        <v>39470</v>
      </c>
      <c r="E39">
        <f>IF($C$14*ReDiarioFert!C28&lt;=0,"0",$C$14*ReDiarioFert!C28)</f>
        <v>10.838710680529301</v>
      </c>
      <c r="G39">
        <f>$C$14*ReDiarioFert!E28</f>
        <v>1.858378260869565</v>
      </c>
      <c r="I39">
        <f>$C$14*ReDiarioFert!G28</f>
        <v>7.44744</v>
      </c>
      <c r="K39">
        <f>$C$14*ReDiarioFert!I28</f>
        <v>7.169578983398938</v>
      </c>
      <c r="M39">
        <f>$C$14*ReDiarioFert!K28</f>
        <v>5.320394535456e-13</v>
      </c>
      <c r="O39">
        <f>$C$14*ReDiarioFert!M28</f>
        <v>0.0122344222</v>
      </c>
      <c r="Q39">
        <f>$C$14*Main!$D$63</f>
        <v>0</v>
      </c>
      <c r="S39">
        <f>((E39/100)*$G$57+(G39/100)*$G$58+(I39/100)*$G$59+(K39/100)*$G$60+(M39/100)*$G$61+(O39)*$G$62+(Q39*$G$63))</f>
        <v>219.02488668599915</v>
      </c>
    </row>
    <row r="40">
      <c r="B40">
        <v>23</v>
      </c>
      <c r="C40">
        <f>$I$13+B40</f>
        <v>39471</v>
      </c>
      <c r="E40">
        <f>IF($C$14*ReDiarioFert!C29&lt;=0,"0",$C$14*ReDiarioFert!C29)</f>
        <v>10.838710680529301</v>
      </c>
      <c r="G40">
        <f>$C$14*ReDiarioFert!E29</f>
        <v>1.858378260869565</v>
      </c>
      <c r="I40">
        <f>$C$14*ReDiarioFert!G29</f>
        <v>7.44744</v>
      </c>
      <c r="K40">
        <f>$C$14*ReDiarioFert!I29</f>
        <v>7.169578983398938</v>
      </c>
      <c r="M40">
        <f>$C$14*ReDiarioFert!K29</f>
        <v>5.320394535456e-13</v>
      </c>
      <c r="O40">
        <f>$C$14*ReDiarioFert!M29</f>
        <v>0.0122344222</v>
      </c>
      <c r="S40">
        <f>((E40/100)*$G$57+(G40/100)*$G$58+(I40/100)*$G$59+(K40/100)*$G$60+(M40/100)*$G$61+(O40)*$G$62+(Q40*$G$63))</f>
        <v>219.02488668599915</v>
      </c>
    </row>
    <row r="41">
      <c r="B41">
        <v>24</v>
      </c>
      <c r="C41">
        <f>$I$13+B41</f>
        <v>39472</v>
      </c>
      <c r="E41">
        <f>IF($C$14*ReDiarioFert!C30&lt;=0,"0",$C$14*ReDiarioFert!C30)</f>
        <v>10.838710680529301</v>
      </c>
      <c r="G41">
        <f>$C$14*ReDiarioFert!E30</f>
        <v>1.858378260869565</v>
      </c>
      <c r="I41">
        <f>$C$14*ReDiarioFert!G30</f>
        <v>7.44744</v>
      </c>
      <c r="K41">
        <f>$C$14*ReDiarioFert!I30</f>
        <v>7.169578983398938</v>
      </c>
      <c r="M41">
        <f>$C$14*ReDiarioFert!K30</f>
        <v>5.320394535456e-13</v>
      </c>
      <c r="O41">
        <f>$C$14*ReDiarioFert!M30</f>
        <v>0.0122344222</v>
      </c>
      <c r="S41">
        <f>((E41/100)*$G$57+(G41/100)*$G$58+(I41/100)*$G$59+(K41/100)*$G$60+(M41/100)*$G$61+(O41)*$G$62+(Q41*$G$63))</f>
        <v>219.02488668599915</v>
      </c>
    </row>
    <row r="42">
      <c r="B42">
        <v>25</v>
      </c>
      <c r="C42">
        <f>$I$13+B42</f>
        <v>39473</v>
      </c>
      <c r="E42">
        <f>IF($C$14*ReDiarioFert!C31&lt;=0,"0",$C$14*ReDiarioFert!C31)</f>
        <v>10.838710680529301</v>
      </c>
      <c r="G42">
        <f>$C$14*ReDiarioFert!E31</f>
        <v>1.858378260869565</v>
      </c>
      <c r="I42">
        <f>$C$14*ReDiarioFert!G31</f>
        <v>7.44744</v>
      </c>
      <c r="K42">
        <f>$C$14*ReDiarioFert!I31</f>
        <v>7.169578983398938</v>
      </c>
      <c r="M42">
        <f>$C$14*ReDiarioFert!K31</f>
        <v>5.320394535456e-13</v>
      </c>
      <c r="O42">
        <f>$C$14*ReDiarioFert!M31</f>
        <v>0.0122344222</v>
      </c>
      <c r="S42">
        <f>((E42/100)*$G$57+(G42/100)*$G$58+(I42/100)*$G$59+(K42/100)*$G$60+(M42/100)*$G$61+(O42)*$G$62+(Q42*$G$63))</f>
        <v>219.02488668599915</v>
      </c>
    </row>
    <row r="43">
      <c r="B43">
        <v>26</v>
      </c>
      <c r="C43">
        <f>$I$13+B43</f>
        <v>39474</v>
      </c>
      <c r="E43">
        <f>IF($C$14*ReDiarioFert!C32&lt;=0,"0",$C$14*ReDiarioFert!C32)</f>
        <v>10.838710680529301</v>
      </c>
      <c r="G43">
        <f>$C$14*ReDiarioFert!E32</f>
        <v>1.858378260869565</v>
      </c>
      <c r="I43">
        <f>$C$14*ReDiarioFert!G32</f>
        <v>7.44744</v>
      </c>
      <c r="K43">
        <f>$C$14*ReDiarioFert!I32</f>
        <v>7.169578983398938</v>
      </c>
      <c r="M43">
        <f>$C$14*ReDiarioFert!K32</f>
        <v>5.320394535456e-13</v>
      </c>
      <c r="O43">
        <f>$C$14*ReDiarioFert!M32</f>
        <v>0.0122344222</v>
      </c>
      <c r="S43">
        <f>((E43/100)*$G$57+(G43/100)*$G$58+(I43/100)*$G$59+(K43/100)*$G$60+(M43/100)*$G$61+(O43)*$G$62+(Q43*$G$63))</f>
        <v>219.02488668599915</v>
      </c>
    </row>
    <row r="44">
      <c r="B44">
        <v>27</v>
      </c>
      <c r="C44">
        <f>$I$13+B44</f>
        <v>39475</v>
      </c>
      <c r="E44">
        <f>IF($C$14*ReDiarioFert!C33&lt;=0,"0",$C$14*ReDiarioFert!C33)</f>
        <v>10.838710680529301</v>
      </c>
      <c r="G44">
        <f>$C$14*ReDiarioFert!E33</f>
        <v>1.858378260869565</v>
      </c>
      <c r="I44">
        <f>$C$14*ReDiarioFert!G33</f>
        <v>7.44744</v>
      </c>
      <c r="K44">
        <f>$C$14*ReDiarioFert!I33</f>
        <v>7.169578983398938</v>
      </c>
      <c r="M44">
        <f>$C$14*ReDiarioFert!K33</f>
        <v>5.320394535456e-13</v>
      </c>
      <c r="O44">
        <f>$C$14*ReDiarioFert!M33</f>
        <v>0.0122344222</v>
      </c>
      <c r="S44">
        <f>((E44/100)*$G$57+(G44/100)*$G$58+(I44/100)*$G$59+(K44/100)*$G$60+(M44/100)*$G$61+(O44)*$G$62+(Q44*$G$63))</f>
        <v>219.02488668599915</v>
      </c>
    </row>
    <row r="45">
      <c r="B45">
        <v>28</v>
      </c>
      <c r="C45">
        <f>$I$13+B45</f>
        <v>39476</v>
      </c>
      <c r="E45">
        <f>IF($C$14*ReDiarioFert!C34&lt;=0,"0",$C$14*ReDiarioFert!C34)</f>
        <v>10.838710680529301</v>
      </c>
      <c r="G45">
        <f>$C$14*ReDiarioFert!E34</f>
        <v>1.858378260869565</v>
      </c>
      <c r="I45">
        <f>$C$14*ReDiarioFert!G34</f>
        <v>7.44744</v>
      </c>
      <c r="K45">
        <f>$C$14*ReDiarioFert!I34</f>
        <v>7.169578983398938</v>
      </c>
      <c r="M45">
        <f>$C$14*ReDiarioFert!K34</f>
        <v>5.320394535456e-13</v>
      </c>
      <c r="O45">
        <f>$C$14*ReDiarioFert!M34</f>
        <v>0.0122344222</v>
      </c>
      <c r="S45">
        <f>((E45/100)*$G$57+(G45/100)*$G$58+(I45/100)*$G$59+(K45/100)*$G$60+(M45/100)*$G$61+(O45)*$G$62+(Q45*$G$63))</f>
        <v>219.02488668599915</v>
      </c>
    </row>
    <row r="46">
      <c r="A46">
        <v>5</v>
      </c>
      <c r="B46">
        <v>29</v>
      </c>
      <c r="C46">
        <f>$I$13+B46</f>
        <v>39477</v>
      </c>
      <c r="E46">
        <f>IF($C$14*ReDiarioFert!C35&lt;=0,"0",$C$14*ReDiarioFert!C35)</f>
        <v>10.838710680529301</v>
      </c>
      <c r="G46">
        <f>$C$14*ReDiarioFert!E35</f>
        <v>1.858378260869565</v>
      </c>
      <c r="I46">
        <f>$C$14*ReDiarioFert!G35</f>
        <v>7.44744</v>
      </c>
      <c r="K46">
        <f>$C$14*ReDiarioFert!I35</f>
        <v>7.169578983398938</v>
      </c>
      <c r="M46">
        <f>$C$14*ReDiarioFert!K35</f>
        <v>5.320394535456e-13</v>
      </c>
      <c r="O46">
        <f>$C$14*ReDiarioFert!M35</f>
        <v>0.0122344222</v>
      </c>
      <c r="Q46">
        <f>$C$14*Main!$D$63</f>
        <v>0</v>
      </c>
      <c r="S46">
        <f>((E46/100)*$G$57+(G46/100)*$G$58+(I46/100)*$G$59+(K46/100)*$G$60+(M46/100)*$G$61+(O46)*$G$62+(Q46*$G$63))</f>
        <v>219.02488668599915</v>
      </c>
    </row>
    <row r="47">
      <c r="B47">
        <v>30</v>
      </c>
      <c r="C47">
        <f>$I$13+B47</f>
        <v>39478</v>
      </c>
      <c r="E47">
        <f>IF($C$14*ReDiarioFert!C36&lt;=0,"0",$C$14*ReDiarioFert!C36)</f>
        <v>10.838710680529301</v>
      </c>
      <c r="G47">
        <f>$C$14*ReDiarioFert!E36</f>
        <v>1.858378260869565</v>
      </c>
      <c r="I47">
        <f>$C$14*ReDiarioFert!G36</f>
        <v>7.44744</v>
      </c>
      <c r="K47">
        <f>$C$14*ReDiarioFert!I36</f>
        <v>7.169578983398938</v>
      </c>
      <c r="M47">
        <f>$C$14*ReDiarioFert!K36</f>
        <v>5.320394535456e-13</v>
      </c>
      <c r="O47">
        <f>$C$14*ReDiarioFert!M36</f>
        <v>0.0122344222</v>
      </c>
      <c r="S47">
        <f>((E47/100)*$G$57+(G47/100)*$G$58+(I47/100)*$G$59+(K47/100)*$G$60+(M47/100)*$G$61+(O47)*$G$62+(Q47*$G$63))</f>
        <v>219.02488668599915</v>
      </c>
    </row>
    <row r="48">
      <c r="B48">
        <v>31</v>
      </c>
      <c r="C48">
        <f>$I$13+B48</f>
        <v>39479</v>
      </c>
      <c r="E48">
        <f>IF($C$14*ReDiarioFert!C37&lt;=0,"0",$C$14*ReDiarioFert!C37)</f>
        <v>10.838710680529301</v>
      </c>
      <c r="G48">
        <f>$C$14*ReDiarioFert!E37</f>
        <v>1.858378260869565</v>
      </c>
      <c r="I48">
        <f>$C$14*ReDiarioFert!G37</f>
        <v>7.44744</v>
      </c>
      <c r="K48">
        <f>$C$14*ReDiarioFert!I37</f>
        <v>7.169578983398938</v>
      </c>
      <c r="M48">
        <f>$C$14*ReDiarioFert!K37</f>
        <v>5.320394535456e-13</v>
      </c>
      <c r="O48">
        <f>$C$14*ReDiarioFert!M37</f>
        <v>0.0122344222</v>
      </c>
      <c r="S48">
        <f>((E48/100)*$G$57+(G48/100)*$G$58+(I48/100)*$G$59+(K48/100)*$G$60+(M48/100)*$G$61+(O48)*$G$62+(Q48*$G$63))</f>
        <v>219.02488668599915</v>
      </c>
    </row>
    <row r="49">
      <c r="B49">
        <v>32</v>
      </c>
      <c r="C49">
        <f>$I$13+B49</f>
        <v>39480</v>
      </c>
      <c r="E49">
        <f>IF($C$14*ReDiarioFert!C38&lt;=0,"0",$C$14*ReDiarioFert!C38)</f>
        <v>10.838710680529301</v>
      </c>
      <c r="G49">
        <f>$C$14*ReDiarioFert!E38</f>
        <v>1.858378260869565</v>
      </c>
      <c r="I49">
        <f>$C$14*ReDiarioFert!G38</f>
        <v>7.44744</v>
      </c>
      <c r="K49">
        <f>$C$14*ReDiarioFert!I38</f>
        <v>7.169578983398938</v>
      </c>
      <c r="M49">
        <f>$C$14*ReDiarioFert!K38</f>
        <v>5.320394535456e-13</v>
      </c>
      <c r="O49">
        <f>$C$14*ReDiarioFert!M38</f>
        <v>0.0122344222</v>
      </c>
      <c r="S49">
        <f>((E49/100)*$G$57+(G49/100)*$G$58+(I49/100)*$G$59+(K49/100)*$G$60+(M49/100)*$G$61+(O49)*$G$62+(Q49*$G$63))</f>
        <v>219.02488668599915</v>
      </c>
    </row>
    <row r="50">
      <c r="B50">
        <v>33</v>
      </c>
      <c r="C50">
        <f>$I$13+B50</f>
        <v>39481</v>
      </c>
      <c r="E50">
        <f>IF($C$14*ReDiarioFert!C39&lt;=0,"0",$C$14*ReDiarioFert!C39)</f>
        <v>10.838710680529301</v>
      </c>
      <c r="G50">
        <f>$C$14*ReDiarioFert!E39</f>
        <v>1.858378260869565</v>
      </c>
      <c r="I50">
        <f>$C$14*ReDiarioFert!G39</f>
        <v>7.44744</v>
      </c>
      <c r="K50">
        <f>$C$14*ReDiarioFert!I39</f>
        <v>7.169578983398938</v>
      </c>
      <c r="M50">
        <f>$C$14*ReDiarioFert!K39</f>
        <v>5.320394535456e-13</v>
      </c>
      <c r="O50">
        <f>$C$14*ReDiarioFert!M39</f>
        <v>0.0173322149</v>
      </c>
      <c r="S50">
        <f>((E50/100)*$G$57+(G50/100)*$G$58+(I50/100)*$G$59+(K50/100)*$G$60+(M50/100)*$G$61+(O50)*$G$62+(Q50*$G$63))</f>
        <v>219.02488668599915</v>
      </c>
    </row>
    <row r="51">
      <c r="B51">
        <v>34</v>
      </c>
      <c r="C51">
        <f>$I$13+B51</f>
        <v>39482</v>
      </c>
      <c r="E51">
        <f>IF($C$14*ReDiarioFert!C40&lt;=0,"0",$C$14*ReDiarioFert!C40)</f>
        <v>10.838710680529301</v>
      </c>
      <c r="G51">
        <f>$C$14*ReDiarioFert!E40</f>
        <v>1.858378260869565</v>
      </c>
      <c r="I51">
        <f>$C$14*ReDiarioFert!G40</f>
        <v>7.44744</v>
      </c>
      <c r="K51">
        <f>$C$14*ReDiarioFert!I40</f>
        <v>7.169578983398938</v>
      </c>
      <c r="M51">
        <f>$C$14*ReDiarioFert!K40</f>
        <v>5.320394535456e-13</v>
      </c>
      <c r="O51">
        <f>$C$14*ReDiarioFert!M40</f>
        <v>0.0173322149</v>
      </c>
      <c r="S51">
        <f>((E51/100)*$G$57+(G51/100)*$G$58+(I51/100)*$G$59+(K51/100)*$G$60+(M51/100)*$G$61+(O51)*$G$62+(Q51*$G$63))</f>
        <v>219.02488668599915</v>
      </c>
    </row>
    <row r="52">
      <c r="B52">
        <v>35</v>
      </c>
      <c r="C52">
        <f>$I$13+B52</f>
        <v>39483</v>
      </c>
      <c r="E52">
        <f>IF($C$14*ReDiarioFert!C41&lt;=0,"0",$C$14*ReDiarioFert!C41)</f>
        <v>10.838710680529301</v>
      </c>
      <c r="G52">
        <f>$C$14*ReDiarioFert!E41</f>
        <v>1.858378260869565</v>
      </c>
      <c r="I52">
        <f>$C$14*ReDiarioFert!G41</f>
        <v>7.44744</v>
      </c>
      <c r="K52">
        <f>$C$14*ReDiarioFert!I41</f>
        <v>7.169578983398938</v>
      </c>
      <c r="M52">
        <f>$C$14*ReDiarioFert!K41</f>
        <v>5.320394535456e-13</v>
      </c>
      <c r="O52">
        <f>$C$14*ReDiarioFert!M41</f>
        <v>0.0173322149</v>
      </c>
      <c r="S52">
        <f>((E52/100)*$G$57+(G52/100)*$G$58+(I52/100)*$G$59+(K52/100)*$G$60+(M52/100)*$G$61+(O52)*$G$62+(Q52*$G$63))</f>
        <v>219.02488668599915</v>
      </c>
    </row>
    <row r="53">
      <c r="C53" t="str">
        <v>Total</v>
      </c>
      <c r="E53">
        <f>SUM(E18:E52)</f>
        <v>379.3548738185253</v>
      </c>
      <c r="G53">
        <f>SUM(G18:G52)</f>
        <v>65.04323913043476</v>
      </c>
      <c r="I53">
        <f>SUM(I18:I52)</f>
        <v>260.6604</v>
      </c>
      <c r="K53">
        <f>SUM(K18:K52)</f>
        <v>250.93526441896276</v>
      </c>
      <c r="M53">
        <f>SUM(M18:M52)</f>
        <v>1.8621380874095994e-11</v>
      </c>
      <c r="O53">
        <f>SUM(O18:O52)</f>
        <v>0.35072097059999996</v>
      </c>
      <c r="Q53">
        <f>SUM(Q18:Q52)</f>
        <v>0</v>
      </c>
      <c r="S53">
        <f>SUM(S18:S52)</f>
        <v>7665.871034009973</v>
      </c>
    </row>
    <row r="54">
      <c r="D54" t="str">
        <v>OJO cualquier cultivo que no se termine la cosecha en el ultimo día del calendario solo seguir repitiendo la ultima aplicación de fertilizante.</v>
      </c>
    </row>
    <row r="55" ht="39.75" customHeight="1">
      <c r="B55" t="str">
        <v>Producto</v>
      </c>
      <c r="F55" t="str">
        <v>Lbs/Ha</v>
      </c>
      <c r="G55" t="str">
        <v>Costo por qq</v>
      </c>
    </row>
    <row r="56" ht="24" customHeight="1">
      <c r="G56" t="str">
        <f>Main!$E$25</f>
        <v>Lempiras</v>
      </c>
    </row>
    <row r="57">
      <c r="B57" t="str">
        <f>Main!D42</f>
        <v>Urea</v>
      </c>
      <c r="F57">
        <f>E53/C14</f>
        <v>378.9758979206047</v>
      </c>
      <c r="G57">
        <f>Main!D43</f>
        <v>650</v>
      </c>
    </row>
    <row r="58">
      <c r="B58" t="str">
        <f>Main!D32</f>
        <v>DAP 18-46-0</v>
      </c>
      <c r="F58">
        <f>G53/C14</f>
        <v>64.9782608695652</v>
      </c>
      <c r="G58">
        <f>Main!D33</f>
        <v>1200</v>
      </c>
    </row>
    <row r="59">
      <c r="B59" t="str">
        <f>Main!D37</f>
        <v>Kcl Soluble</v>
      </c>
      <c r="F59">
        <f>I53/C14</f>
        <v>260.40000000000003</v>
      </c>
      <c r="G59">
        <f>Main!D38</f>
        <v>780</v>
      </c>
    </row>
    <row r="60">
      <c r="B60" t="str">
        <f>Main!D47</f>
        <v>Sulfato de Magnesio</v>
      </c>
      <c r="F60">
        <f>K53/C14</f>
        <v>250.68457983912367</v>
      </c>
      <c r="G60">
        <f>Main!D48</f>
        <v>951</v>
      </c>
    </row>
    <row r="61">
      <c r="B61" t="str">
        <f>Main!D52</f>
        <v>Sin Calcio</v>
      </c>
      <c r="F61">
        <f>M53/C14</f>
        <v>1.8602778095999997e-11</v>
      </c>
      <c r="G61">
        <f>Main!D53</f>
        <v>0</v>
      </c>
    </row>
    <row r="62">
      <c r="B62" t="str">
        <f>Main!D57</f>
        <v>Sin Boro</v>
      </c>
      <c r="F62">
        <f>O53/C14</f>
        <v>0.3503706</v>
      </c>
      <c r="G62">
        <f>Main!D58</f>
        <v>0</v>
      </c>
      <c r="I62" t="str">
        <v xml:space="preserve">Preparado y Autorizado Por </v>
      </c>
    </row>
    <row r="63" ht="18" customHeight="1">
      <c r="B63" t="str">
        <f>Main!D61</f>
        <v>Sin Melaza</v>
      </c>
      <c r="F63">
        <f>Q53/C14</f>
        <v>0</v>
      </c>
      <c r="G63">
        <f>Main!D62</f>
        <v>0</v>
      </c>
      <c r="I63" t="str">
        <v>MSc Ricardo D. Lardizábal</v>
      </c>
    </row>
    <row r="64">
      <c r="B64" t="str">
        <v>NOTA: El Nitrato de Calcio se debe de diluir en un barril aparte para inyectarse al sistema</v>
      </c>
    </row>
    <row r="66">
      <c r="B66" t="str">
        <v>Abreviaciones usadas</v>
      </c>
    </row>
    <row r="67">
      <c r="B67" t="str">
        <v>Mz.-Manzanas, Ha-Hectáreas, Lbs-Libras, Lts-Litros y DDT-Días después de Trasplante</v>
      </c>
    </row>
  </sheetData>
  <sheetProtection sheet="1"/>
  <mergeCells count="53">
    <mergeCell ref="A13:B13"/>
    <mergeCell ref="A14:B14"/>
    <mergeCell ref="I13:M13"/>
    <mergeCell ref="I14:M14"/>
    <mergeCell ref="G58:H58"/>
    <mergeCell ref="G56:H56"/>
    <mergeCell ref="G57:H57"/>
    <mergeCell ref="C16:D16"/>
    <mergeCell ref="E16:F16"/>
    <mergeCell ref="G16:H16"/>
    <mergeCell ref="I62:Q62"/>
    <mergeCell ref="A12:B12"/>
    <mergeCell ref="C12:E12"/>
    <mergeCell ref="F12:H12"/>
    <mergeCell ref="C13:E13"/>
    <mergeCell ref="C14:E14"/>
    <mergeCell ref="A16:A17"/>
    <mergeCell ref="B62:E62"/>
    <mergeCell ref="F13:H13"/>
    <mergeCell ref="F14:H14"/>
    <mergeCell ref="B64:I65"/>
    <mergeCell ref="I63:Q63"/>
    <mergeCell ref="B66:D66"/>
    <mergeCell ref="B59:E59"/>
    <mergeCell ref="S16:S17"/>
    <mergeCell ref="Q16:R16"/>
    <mergeCell ref="K16:L16"/>
    <mergeCell ref="O16:P16"/>
    <mergeCell ref="M16:N16"/>
    <mergeCell ref="I16:J16"/>
    <mergeCell ref="G63:H63"/>
    <mergeCell ref="B61:E61"/>
    <mergeCell ref="B63:E63"/>
    <mergeCell ref="G61:H61"/>
    <mergeCell ref="G62:H62"/>
    <mergeCell ref="B60:E60"/>
    <mergeCell ref="G59:H59"/>
    <mergeCell ref="G60:H60"/>
    <mergeCell ref="G55:H55"/>
    <mergeCell ref="B55:E55"/>
    <mergeCell ref="B16:B17"/>
    <mergeCell ref="B57:E57"/>
    <mergeCell ref="B58:E58"/>
    <mergeCell ref="B67:S67"/>
    <mergeCell ref="A9:K9"/>
    <mergeCell ref="P9:S12"/>
    <mergeCell ref="P1:S3"/>
    <mergeCell ref="P5:S7"/>
    <mergeCell ref="I11:M11"/>
    <mergeCell ref="I12:M12"/>
    <mergeCell ref="F11:H11"/>
    <mergeCell ref="C11:E11"/>
    <mergeCell ref="A11:B11"/>
  </mergeCells>
  <pageMargins left="0" right="0" top="0.2" bottom="0.5" header="0" footer="0.25"/>
  <ignoredErrors>
    <ignoredError numberStoredAsText="1" sqref="A1:Z68"/>
  </ignoredErrors>
  <legacyDrawing r:id="rId1"/>
</worksheet>
</file>

<file path=xl/worksheets/sheet4.xml><?xml version="1.0" encoding="utf-8"?>
<worksheet xmlns="http://schemas.openxmlformats.org/spreadsheetml/2006/main" xmlns:r="http://schemas.openxmlformats.org/officeDocument/2006/relationships">
  <dimension ref="A1:V55"/>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Pasto de Corte</v>
      </c>
    </row>
    <row r="6" ht="29.25" customHeight="1"/>
    <row r="7" ht="16.95" customHeight="1"/>
    <row r="8" ht="21" customHeight="1">
      <c r="A8" t="str">
        <f>Main!$C$13</f>
        <v>"Fertilización Continua"</v>
      </c>
    </row>
    <row r="9" ht="20.1" customHeight="1">
      <c r="A9" t="str">
        <v>Productor</v>
      </c>
      <c r="C9" t="str">
        <f>Main!E17</f>
        <v>IAGSA</v>
      </c>
      <c r="F9" t="str">
        <v>Parcela</v>
      </c>
      <c r="I9" t="str">
        <f>Main!E19</f>
        <v>Finca 8</v>
      </c>
      <c r="P9" t="str">
        <f>Main!$G$21</f>
        <v>King Grass</v>
      </c>
    </row>
    <row r="10" ht="20.1" customHeight="1">
      <c r="A10" t="str">
        <v>Zona</v>
      </c>
      <c r="C10" t="str">
        <f>Main!E18</f>
        <v>Comayagua</v>
      </c>
      <c r="F10" t="str">
        <v>Técnico</v>
      </c>
      <c r="I10" t="str">
        <f>Main!E20</f>
        <v>Raca</v>
      </c>
    </row>
    <row r="11" ht="20.1" customHeight="1">
      <c r="A11" t="str">
        <v>Área Mz.</v>
      </c>
      <c r="C11">
        <f>Main!E22</f>
        <v>1.43</v>
      </c>
      <c r="F11" t="str">
        <v>Fecha:</v>
      </c>
      <c r="I11">
        <f>Main!E23</f>
        <v>39448</v>
      </c>
    </row>
    <row r="12" ht="20.1" customHeight="1">
      <c r="A12" t="str">
        <v>Área Ha.</v>
      </c>
      <c r="C12">
        <f>Main!I22</f>
        <v>1.001</v>
      </c>
      <c r="F12" t="str">
        <v>Fecha de Cosecha:</v>
      </c>
      <c r="I12">
        <f>I11+Main!E24</f>
        <v>39478</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$I$11+B16</f>
        <v>39449</v>
      </c>
      <c r="E16">
        <f>IF(($C$12*(ReDiarioFert!C7+ReDiarioFert!C8))&lt;=0,"0",($C$12*(ReDiarioFert!C7+ReDiarioFert!C8)))</f>
        <v>21.677421361058602</v>
      </c>
      <c r="G16">
        <f>$C$12*(ReDiarioFert!E7+ReDiarioFert!E8)</f>
        <v>3.71675652173913</v>
      </c>
      <c r="I16">
        <f>$C$12*(ReDiarioFert!G7+ReDiarioFert!G8)</f>
        <v>14.89488</v>
      </c>
      <c r="K16">
        <f>$C$12*(ReDiarioFert!I7+ReDiarioFert!I8)</f>
        <v>14.339157966797876</v>
      </c>
      <c r="M16">
        <f>$C$12*(ReDiarioFert!K7+ReDiarioFert!K8)</f>
        <v>1.0640789070912e-12</v>
      </c>
      <c r="O16">
        <f>$C$12*(ReDiarioFert!M7+ReDiarioFert!M8)</f>
        <v>0.010195385199999999</v>
      </c>
      <c r="Q16">
        <f>$C$12*Main!$D$63</f>
        <v>0</v>
      </c>
      <c r="S16">
        <f>((E16/100)*$G$35+(G16/100)*$G$36+(I16/100)*$G$37+(K16/100)*$G$38+(M16/100)*$G$39+(O16)*$G$40+(Q16*$G$41))</f>
        <v>438.0497733719983</v>
      </c>
    </row>
    <row r="17" ht="21" customHeight="1">
      <c r="B17">
        <v>3</v>
      </c>
      <c r="C17">
        <f>$I$11+B17</f>
        <v>39451</v>
      </c>
      <c r="D17" t="str">
        <f>Main!$H$86</f>
        <v>Rotación MetaZam y Bazam</v>
      </c>
      <c r="E17">
        <f>IF(($C$12*(ReDiarioFert!C9+ReDiarioFert!C10))&lt;=0,"0",($C$12*(ReDiarioFert!C9+ReDiarioFert!C10)))</f>
        <v>21.677421361058602</v>
      </c>
      <c r="G17">
        <f>$C$12*(ReDiarioFert!E9+ReDiarioFert!E10)</f>
        <v>3.71675652173913</v>
      </c>
      <c r="I17">
        <f>$C$12*(ReDiarioFert!G9+ReDiarioFert!G10)</f>
        <v>14.89488</v>
      </c>
      <c r="K17">
        <f>$C$12*(ReDiarioFert!I9+ReDiarioFert!I10)</f>
        <v>14.339157966797876</v>
      </c>
      <c r="M17">
        <f>$C$12*(ReDiarioFert!K9+ReDiarioFert!K10)</f>
        <v>1.0640789070912e-12</v>
      </c>
      <c r="O17">
        <f>$C$12*(ReDiarioFert!M9+ReDiarioFert!M10)</f>
        <v>0.010195385199999999</v>
      </c>
      <c r="R17" t="e">
        <f>Main!$K$86*Main!$I$22</f>
        <v>#N/A</v>
      </c>
      <c r="S17" t="e">
        <f>((E17/100)*$G$35+(G17/100)*$G$36+(I17/100)*$G$37+(K17/100)*$G$38+(M17/100)*$G$39+(O17)*$G$40+(Q17*$G$41)+(R17*Main!$J$86))</f>
        <v>#N/A</v>
      </c>
    </row>
    <row r="18" ht="18.75" customHeight="1">
      <c r="B18">
        <v>5</v>
      </c>
      <c r="C18">
        <f>$I$11+B18</f>
        <v>39453</v>
      </c>
      <c r="E18">
        <f>IF(($C$12*(ReDiarioFert!C11+ReDiarioFert!C12+ReDiarioFert!C13))&lt;=0,"0",($C$12*(ReDiarioFert!C11+ReDiarioFert!C12+ReDiarioFert!C13)))</f>
        <v>32.5161320415879</v>
      </c>
      <c r="G18">
        <f>$C$12*(ReDiarioFert!E11+ReDiarioFert!E12+ReDiarioFert!E13)</f>
        <v>5.5751347826086946</v>
      </c>
      <c r="I18">
        <f>$C$12*(ReDiarioFert!G11+ReDiarioFert!G12+ReDiarioFert!G13)</f>
        <v>22.34232</v>
      </c>
      <c r="K18">
        <f>$C$12*(ReDiarioFert!I11+ReDiarioFert!I12+ReDiarioFert!I13)</f>
        <v>21.508736950196816</v>
      </c>
      <c r="M18">
        <f>$C$12*(ReDiarioFert!K11+ReDiarioFert!K12+ReDiarioFert!K13)</f>
        <v>1.5961183606368e-12</v>
      </c>
      <c r="O18">
        <f>$C$12*(ReDiarioFert!M11+ReDiarioFert!M12+ReDiarioFert!M13)</f>
        <v>0.015293077799999999</v>
      </c>
      <c r="S18">
        <f>((E18/100)*$G$35+(G18/100)*$G$36+(I18/100)*$G$37+(K18/100)*$G$38+(M18/100)*$G$39+(O18)*$G$40+(Q18*$G$41))</f>
        <v>657.0746600579974</v>
      </c>
    </row>
    <row r="19">
      <c r="A19">
        <v>2</v>
      </c>
      <c r="B19">
        <f>B18+3</f>
        <v>8</v>
      </c>
      <c r="C19">
        <f>$I$11+B19</f>
        <v>39456</v>
      </c>
      <c r="E19">
        <f>IF(($C$12*(ReDiarioFert!C14+ReDiarioFert!C15))&lt;=0,"0",($C$12*(ReDiarioFert!C14+ReDiarioFert!C15)))</f>
        <v>21.677421361058602</v>
      </c>
      <c r="G19">
        <f>$C$12*(ReDiarioFert!E14+ReDiarioFert!E15)</f>
        <v>3.71675652173913</v>
      </c>
      <c r="I19">
        <f>$C$12*(ReDiarioFert!G14+ReDiarioFert!G15)</f>
        <v>14.89488</v>
      </c>
      <c r="K19">
        <f>$C$12*(ReDiarioFert!I14+ReDiarioFert!I15)</f>
        <v>14.339157966797876</v>
      </c>
      <c r="M19">
        <f>$C$12*(ReDiarioFert!K14+ReDiarioFert!K15)</f>
        <v>1.0640789070912e-12</v>
      </c>
      <c r="O19">
        <f>$C$12*(ReDiarioFert!M14+ReDiarioFert!M15)</f>
        <v>0.010195385199999999</v>
      </c>
      <c r="Q19">
        <f>$C$12*Main!$D$63</f>
        <v>0</v>
      </c>
      <c r="S19">
        <f>((E19/100)*$G$35+(G19/100)*$G$36+(I19/100)*$G$37+(K19/100)*$G$38+(M19/100)*$G$39+(O19)*$G$40+(Q19*$G$41))</f>
        <v>438.0497733719983</v>
      </c>
    </row>
    <row r="20" ht="21.600000000000005" customHeight="1">
      <c r="B20">
        <f>B19+2</f>
        <v>10</v>
      </c>
      <c r="C20">
        <f>$I$11+B20</f>
        <v>39458</v>
      </c>
      <c r="D20" t="str">
        <f>Main!$H$86</f>
        <v>Rotación MetaZam y Bazam</v>
      </c>
      <c r="E20">
        <f>IF(($C$12*(ReDiarioFert!C16+ReDiarioFert!C17))&lt;=0,"0",($C$12*(ReDiarioFert!C16+ReDiarioFert!C17)))</f>
        <v>21.677421361058602</v>
      </c>
      <c r="G20">
        <f>$C$12*(ReDiarioFert!E16+ReDiarioFert!E17)</f>
        <v>3.71675652173913</v>
      </c>
      <c r="I20">
        <f>$C$12*(ReDiarioFert!G16+ReDiarioFert!G17)</f>
        <v>14.89488</v>
      </c>
      <c r="K20">
        <f>$C$12*(ReDiarioFert!I16+ReDiarioFert!I17)</f>
        <v>14.339157966797876</v>
      </c>
      <c r="M20">
        <f>$C$12*(ReDiarioFert!K16+ReDiarioFert!K17)</f>
        <v>1.0640789070912e-12</v>
      </c>
      <c r="O20">
        <f>$C$12*(ReDiarioFert!M16+ReDiarioFert!M17)</f>
        <v>0.014273559299999997</v>
      </c>
      <c r="R20" t="e">
        <f>Main!$K$86*Main!$I$22</f>
        <v>#N/A</v>
      </c>
      <c r="S20" t="e">
        <f>((E20/100)*$G$35+(G20/100)*$G$36+(I20/100)*$G$37+(K20/100)*$G$38+(M20/100)*$G$39+(O20)*$G$40+(Q20*$G$41)+(R20*Main!$J$86))</f>
        <v>#N/A</v>
      </c>
    </row>
    <row r="21">
      <c r="B21">
        <f>B20+2</f>
        <v>12</v>
      </c>
      <c r="C21">
        <f>$I$11+B21</f>
        <v>39460</v>
      </c>
      <c r="E21">
        <f>IF(($C$12*(ReDiarioFert!C18+ReDiarioFert!C19+ReDiarioFert!C20))&lt;=0,"0",($C$12*(ReDiarioFert!C18+ReDiarioFert!C19+ReDiarioFert!C20)))</f>
        <v>32.5161320415879</v>
      </c>
      <c r="G21">
        <f>$C$12*(ReDiarioFert!E18+ReDiarioFert!E19+ReDiarioFert!E20)</f>
        <v>5.5751347826086946</v>
      </c>
      <c r="I21">
        <f>$C$12*(ReDiarioFert!G18+ReDiarioFert!G19+ReDiarioFert!G20)</f>
        <v>22.34232</v>
      </c>
      <c r="K21">
        <f>$C$12*(ReDiarioFert!I18+ReDiarioFert!I19+ReDiarioFert!I20)</f>
        <v>21.508736950196816</v>
      </c>
      <c r="M21">
        <f>$C$12*(ReDiarioFert!K18+ReDiarioFert!K19+ReDiarioFert!K20)</f>
        <v>1.5961183606368e-12</v>
      </c>
      <c r="O21">
        <f>$C$12*(ReDiarioFert!M18+ReDiarioFert!M19+ReDiarioFert!M20)</f>
        <v>0.027527600099999997</v>
      </c>
      <c r="S21">
        <f>((E21/100)*$G$35+(G21/100)*$G$36+(I21/100)*$G$37+(K21/100)*$G$38+(M21/100)*$G$39+(O21)*$G$40+(Q21*$G$41))</f>
        <v>657.0746600579974</v>
      </c>
    </row>
    <row r="22">
      <c r="A22">
        <v>3</v>
      </c>
      <c r="B22">
        <f>B21+3</f>
        <v>15</v>
      </c>
      <c r="C22">
        <f>$I$11+B22</f>
        <v>39463</v>
      </c>
      <c r="E22">
        <f>IF(($C$12*(ReDiarioFert!C21+ReDiarioFert!C22))&lt;=0,"0",($C$12*(ReDiarioFert!C21+ReDiarioFert!C22)))</f>
        <v>21.677421361058602</v>
      </c>
      <c r="G22">
        <f>$C$12*(ReDiarioFert!E21+ReDiarioFert!E22)</f>
        <v>3.71675652173913</v>
      </c>
      <c r="I22">
        <f>$C$12*(ReDiarioFert!G21+ReDiarioFert!G22)</f>
        <v>14.89488</v>
      </c>
      <c r="K22">
        <f>$C$12*(ReDiarioFert!I21+ReDiarioFert!I22)</f>
        <v>14.339157966797876</v>
      </c>
      <c r="M22">
        <f>$C$12*(ReDiarioFert!K21+ReDiarioFert!K22)</f>
        <v>1.0640789070912e-12</v>
      </c>
      <c r="O22">
        <f>$C$12*(ReDiarioFert!M21+ReDiarioFert!M22)</f>
        <v>0.018351733399999997</v>
      </c>
      <c r="Q22">
        <f>$C$12*Main!$D$63</f>
        <v>0</v>
      </c>
      <c r="S22">
        <f>((E22/100)*$G$35+(G22/100)*$G$36+(I22/100)*$G$37+(K22/100)*$G$38+(M22/100)*$G$39+(O22)*$G$40+(Q22*$G$41))</f>
        <v>438.0497733719983</v>
      </c>
    </row>
    <row r="23" ht="21.600000000000005" customHeight="1">
      <c r="B23">
        <f>B22+2</f>
        <v>17</v>
      </c>
      <c r="C23">
        <f>$I$11+B23</f>
        <v>39465</v>
      </c>
      <c r="D23" t="str">
        <f>Main!$H$85</f>
        <v>TricoZam</v>
      </c>
      <c r="E23">
        <f>IF(($C$12*(ReDiarioFert!C23+ReDiarioFert!C24))&lt;=0,"0",($C$12*(ReDiarioFert!C23+ReDiarioFert!C24)))</f>
        <v>21.677421361058602</v>
      </c>
      <c r="G23">
        <f>$C$12*(ReDiarioFert!E23+ReDiarioFert!E24)</f>
        <v>3.71675652173913</v>
      </c>
      <c r="I23">
        <f>$C$12*(ReDiarioFert!G23+ReDiarioFert!G24)</f>
        <v>14.89488</v>
      </c>
      <c r="K23">
        <f>$C$12*(ReDiarioFert!I23+ReDiarioFert!I24)</f>
        <v>14.339157966797876</v>
      </c>
      <c r="M23">
        <f>$C$12*(ReDiarioFert!K23+ReDiarioFert!K24)</f>
        <v>1.0640789070912e-12</v>
      </c>
      <c r="O23">
        <f>$C$12*(ReDiarioFert!M23+ReDiarioFert!M24)</f>
        <v>0.0214102889</v>
      </c>
      <c r="R23">
        <f>Main!$K$85*Main!$I$22</f>
        <v>1.001</v>
      </c>
      <c r="S23">
        <f>((E23/100)*$G$35+(G23/100)*$G$36+(I23/100)*$G$37+(K23/100)*$G$38+(M23/100)*$G$39+(O23)*$G$40+(Q23*$G$41)+(R23*Main!$J$85))</f>
        <v>818.4297733719982</v>
      </c>
    </row>
    <row r="24">
      <c r="B24">
        <f>B23+2</f>
        <v>19</v>
      </c>
      <c r="C24">
        <f>$I$11+B24</f>
        <v>39467</v>
      </c>
      <c r="E24">
        <f>IF(($C$12*(ReDiarioFert!C25+ReDiarioFert!C26+ReDiarioFert!C27))&lt;=0,"0",($C$12*(ReDiarioFert!C25+ReDiarioFert!C26+ReDiarioFert!C27)))</f>
        <v>32.5161320415879</v>
      </c>
      <c r="G24">
        <f>$C$12*(ReDiarioFert!E25+ReDiarioFert!E26+ReDiarioFert!E27)</f>
        <v>5.5751347826086946</v>
      </c>
      <c r="I24">
        <f>$C$12*(ReDiarioFert!G25+ReDiarioFert!G26+ReDiarioFert!G27)</f>
        <v>22.34232</v>
      </c>
      <c r="K24">
        <f>$C$12*(ReDiarioFert!I25+ReDiarioFert!I26+ReDiarioFert!I27)</f>
        <v>21.508736950196816</v>
      </c>
      <c r="M24">
        <f>$C$12*(ReDiarioFert!K25+ReDiarioFert!K26+ReDiarioFert!K27)</f>
        <v>1.5961183606368e-12</v>
      </c>
      <c r="O24">
        <f>$C$12*(ReDiarioFert!M25+ReDiarioFert!M26+ReDiarioFert!M27)</f>
        <v>0.0367032666</v>
      </c>
      <c r="S24">
        <f>((E24/100)*$G$35+(G24/100)*$G$36+(I24/100)*$G$37+(K24/100)*$G$38+(M24/100)*$G$39+(O24)*$G$40+(Q24*$G$41))</f>
        <v>657.0746600579974</v>
      </c>
    </row>
    <row r="25">
      <c r="A25">
        <v>4</v>
      </c>
      <c r="B25">
        <f>B24+3</f>
        <v>22</v>
      </c>
      <c r="C25">
        <f>$I$11+B25</f>
        <v>39470</v>
      </c>
      <c r="E25">
        <f>IF(($C$12*(ReDiarioFert!C28+ReDiarioFert!C29))&lt;=0,"0",($C$12*(ReDiarioFert!C28+ReDiarioFert!C29)))</f>
        <v>21.677421361058602</v>
      </c>
      <c r="G25">
        <f>$C$12*(ReDiarioFert!E28+ReDiarioFert!E29)</f>
        <v>3.71675652173913</v>
      </c>
      <c r="I25">
        <f>$C$12*(ReDiarioFert!G28+ReDiarioFert!G29)</f>
        <v>14.89488</v>
      </c>
      <c r="K25">
        <f>$C$12*(ReDiarioFert!I28+ReDiarioFert!I29)</f>
        <v>14.339157966797876</v>
      </c>
      <c r="M25">
        <f>$C$12*(ReDiarioFert!K28+ReDiarioFert!K29)</f>
        <v>1.0640789070912e-12</v>
      </c>
      <c r="O25">
        <f>$C$12*(ReDiarioFert!M28+ReDiarioFert!M29)</f>
        <v>0.0244688444</v>
      </c>
      <c r="Q25">
        <f>$C$12*Main!$D$63</f>
        <v>0</v>
      </c>
      <c r="S25">
        <f>((E25/100)*$G$35+(G25/100)*$G$36+(I25/100)*$G$37+(K25/100)*$G$38+(M25/100)*$G$39+(O25)*$G$40+(Q25*$G$41))</f>
        <v>438.0497733719983</v>
      </c>
    </row>
    <row r="26">
      <c r="B26">
        <f>B25+2</f>
        <v>24</v>
      </c>
      <c r="C26">
        <f>$I$11+B26</f>
        <v>39472</v>
      </c>
      <c r="E26">
        <f>IF(($C$12*(ReDiarioFert!C30+ReDiarioFert!C31))&lt;=0,"0",($C$12*(ReDiarioFert!C30+ReDiarioFert!C31)))</f>
        <v>21.677421361058602</v>
      </c>
      <c r="G26">
        <f>$C$12*(ReDiarioFert!E30+ReDiarioFert!E31)</f>
        <v>3.71675652173913</v>
      </c>
      <c r="I26">
        <f>$C$12*(ReDiarioFert!G30+ReDiarioFert!G31)</f>
        <v>14.89488</v>
      </c>
      <c r="K26">
        <f>$C$12*(ReDiarioFert!I30+ReDiarioFert!I31)</f>
        <v>14.339157966797876</v>
      </c>
      <c r="M26">
        <f>$C$12*(ReDiarioFert!K30+ReDiarioFert!K31)</f>
        <v>1.0640789070912e-12</v>
      </c>
      <c r="O26">
        <f>$C$12*(ReDiarioFert!M30+ReDiarioFert!M31)</f>
        <v>0.0244688444</v>
      </c>
      <c r="S26">
        <f>((E26/100)*$G$35+(G26/100)*$G$36+(I26/100)*$G$37+(K26/100)*$G$38+(M26/100)*$G$39+(O26)*$G$40+(Q26*$G$41))</f>
        <v>438.0497733719983</v>
      </c>
    </row>
    <row r="27">
      <c r="B27">
        <f>B26+2</f>
        <v>26</v>
      </c>
      <c r="C27">
        <f>$I$11+B27</f>
        <v>39474</v>
      </c>
      <c r="E27">
        <f>IF(($C$12*(ReDiarioFert!C32+ReDiarioFert!C33+ReDiarioFert!C34))&lt;=0,"0",($C$12*(ReDiarioFert!C32+ReDiarioFert!C33+ReDiarioFert!C34)))</f>
        <v>32.5161320415879</v>
      </c>
      <c r="G27">
        <f>$C$12*(ReDiarioFert!E32+ReDiarioFert!E33+ReDiarioFert!E34)</f>
        <v>5.5751347826086946</v>
      </c>
      <c r="I27">
        <f>$C$12*(ReDiarioFert!G32+ReDiarioFert!G33+ReDiarioFert!G34)</f>
        <v>22.34232</v>
      </c>
      <c r="K27">
        <f>$C$12*(ReDiarioFert!I32+ReDiarioFert!I33+ReDiarioFert!I34)</f>
        <v>21.508736950196816</v>
      </c>
      <c r="M27">
        <f>$C$12*(ReDiarioFert!K32+ReDiarioFert!K33+ReDiarioFert!K34)</f>
        <v>1.5961183606368e-12</v>
      </c>
      <c r="O27">
        <f>$C$12*(ReDiarioFert!M32+ReDiarioFert!M33+ReDiarioFert!M34)</f>
        <v>0.0367032666</v>
      </c>
      <c r="S27">
        <f>((E27/100)*$G$35+(G27/100)*$G$36+(I27/100)*$G$37+(K27/100)*$G$38+(M27/100)*$G$39+(O27)*$G$40+(Q27*$G$41))</f>
        <v>657.0746600579974</v>
      </c>
    </row>
    <row r="28">
      <c r="A28">
        <v>5</v>
      </c>
      <c r="B28">
        <f>B27+3</f>
        <v>29</v>
      </c>
      <c r="C28">
        <f>$I$11+B28</f>
        <v>39477</v>
      </c>
      <c r="E28">
        <f>IF(($C$12*(ReDiarioFert!C35+ReDiarioFert!C36))&lt;=0,"0",($C$12*(ReDiarioFert!C35+ReDiarioFert!C36)))</f>
        <v>21.677421361058602</v>
      </c>
      <c r="G28">
        <f>$C$12*(ReDiarioFert!E35+ReDiarioFert!E36)</f>
        <v>3.71675652173913</v>
      </c>
      <c r="I28">
        <f>$C$12*(ReDiarioFert!G35+ReDiarioFert!G36)</f>
        <v>14.89488</v>
      </c>
      <c r="K28">
        <f>$C$12*(ReDiarioFert!I35+ReDiarioFert!I36)</f>
        <v>14.339157966797876</v>
      </c>
      <c r="M28">
        <f>$C$12*(ReDiarioFert!K35+ReDiarioFert!K36)</f>
        <v>1.0640789070912e-12</v>
      </c>
      <c r="O28">
        <f>$C$12*(ReDiarioFert!M35+ReDiarioFert!M36)</f>
        <v>0.0244688444</v>
      </c>
      <c r="Q28">
        <f>$C$12*Main!$D$63</f>
        <v>0</v>
      </c>
      <c r="S28">
        <f>((E28/100)*$G$35+(G28/100)*$G$36+(I28/100)*$G$37+(K28/100)*$G$38+(M28/100)*$G$39+(O28)*$G$40+(Q28*$G$41))</f>
        <v>438.0497733719983</v>
      </c>
    </row>
    <row r="29">
      <c r="B29">
        <f>B28+2</f>
        <v>31</v>
      </c>
      <c r="C29">
        <f>$I$11+B29</f>
        <v>39479</v>
      </c>
      <c r="E29">
        <f>IF(($C$12*(ReDiarioFert!C37+ReDiarioFert!C38))&lt;=0,"0",($C$12*(ReDiarioFert!C37+ReDiarioFert!C38)))</f>
        <v>21.677421361058602</v>
      </c>
      <c r="G29">
        <f>$C$12*(ReDiarioFert!E37+ReDiarioFert!E38)</f>
        <v>3.71675652173913</v>
      </c>
      <c r="I29">
        <f>$C$12*(ReDiarioFert!G37+ReDiarioFert!G38)</f>
        <v>14.89488</v>
      </c>
      <c r="K29">
        <f>$C$12*(ReDiarioFert!I37+ReDiarioFert!I38)</f>
        <v>14.339157966797876</v>
      </c>
      <c r="M29">
        <f>$C$12*(ReDiarioFert!K37+ReDiarioFert!K38)</f>
        <v>1.0640789070912e-12</v>
      </c>
      <c r="O29">
        <f>$C$12*(ReDiarioFert!M37+ReDiarioFert!M38)</f>
        <v>0.0244688444</v>
      </c>
      <c r="S29">
        <f>((E29/100)*$G$35+(G29/100)*$G$36+(I29/100)*$G$37+(K29/100)*$G$38+(M29/100)*$G$39+(O29)*$G$40+(Q29*$G$41))</f>
        <v>438.0497733719983</v>
      </c>
    </row>
    <row r="30">
      <c r="B30">
        <f>B29+2</f>
        <v>33</v>
      </c>
      <c r="C30">
        <f>$I$11+B30</f>
        <v>39481</v>
      </c>
      <c r="E30">
        <f>IF(($C$12*(ReDiarioFert!C39+ReDiarioFert!C40+ReDiarioFert!C41))&lt;=0,"0",($C$12*(ReDiarioFert!C39+ReDiarioFert!C40+ReDiarioFert!C41)))</f>
        <v>32.5161320415879</v>
      </c>
      <c r="G30">
        <f>$C$12*(ReDiarioFert!E39+ReDiarioFert!E40+ReDiarioFert!E41)</f>
        <v>5.5751347826086946</v>
      </c>
      <c r="I30">
        <f>$C$12*(ReDiarioFert!G39+ReDiarioFert!G40+ReDiarioFert!G41)</f>
        <v>22.34232</v>
      </c>
      <c r="K30">
        <f>$C$12*(ReDiarioFert!I39+ReDiarioFert!I40+ReDiarioFert!I41)</f>
        <v>21.508736950196816</v>
      </c>
      <c r="M30">
        <f>$C$12*(ReDiarioFert!K39+ReDiarioFert!K40+ReDiarioFert!K41)</f>
        <v>1.5961183606368e-12</v>
      </c>
      <c r="O30">
        <f>$C$12*(ReDiarioFert!M39+ReDiarioFert!M40+ReDiarioFert!M41)</f>
        <v>0.0519966447</v>
      </c>
      <c r="S30">
        <f>((E30/100)*$G$35+(G30/100)*$G$36+(I30/100)*$G$37+(K30/100)*$G$38+(M30/100)*$G$39+(O30)*$G$40+(Q30*$G$41))</f>
        <v>657.0746600579974</v>
      </c>
    </row>
    <row r="31">
      <c r="C31" t="str">
        <v>Total</v>
      </c>
      <c r="E31">
        <f>SUM(E16:E30)</f>
        <v>379.3548738185255</v>
      </c>
      <c r="G31">
        <f>SUM(G16:G30)</f>
        <v>65.04323913043476</v>
      </c>
      <c r="I31">
        <f>SUM(I16:I30)</f>
        <v>260.6604</v>
      </c>
      <c r="K31">
        <f>SUM(K16:K30)</f>
        <v>250.9352644189628</v>
      </c>
      <c r="M31">
        <f>SUM(M16:M30)</f>
        <v>1.8621380874095994e-11</v>
      </c>
      <c r="O31">
        <f>SUM(O16:O30)</f>
        <v>0.3507209706</v>
      </c>
      <c r="Q31">
        <f>SUM(Q16:Q30)</f>
        <v>0</v>
      </c>
      <c r="S31" t="e">
        <f>SUM(S16:S30)</f>
        <v>#N/A</v>
      </c>
    </row>
    <row r="32">
      <c r="D32" t="str">
        <v>OJO cualquier cultivo que no se termine la cosecha en el ultimo día del calendario solo seguir repitiendo la ultima aplicación de fertilizante.</v>
      </c>
    </row>
    <row r="33" ht="39.75" customHeight="1">
      <c r="B33" t="str">
        <v>Producto</v>
      </c>
      <c r="F33" t="str">
        <v>Lbs/Ha</v>
      </c>
      <c r="G33" t="str">
        <v>Costo por qq</v>
      </c>
    </row>
    <row r="34" ht="24" customHeight="1">
      <c r="G34" t="str">
        <f>Main!$E$25</f>
        <v>Lempiras</v>
      </c>
    </row>
    <row r="35">
      <c r="B35" t="str">
        <f>Main!D42</f>
        <v>Urea</v>
      </c>
      <c r="F35">
        <f>E31/C12</f>
        <v>378.97589792060495</v>
      </c>
      <c r="G35">
        <f>Main!D43</f>
        <v>650</v>
      </c>
    </row>
    <row r="36">
      <c r="B36" t="str">
        <f>Main!D32</f>
        <v>DAP 18-46-0</v>
      </c>
      <c r="F36">
        <f>G31/C12</f>
        <v>64.9782608695652</v>
      </c>
      <c r="G36">
        <f>Main!D33</f>
        <v>1200</v>
      </c>
    </row>
    <row r="37">
      <c r="B37" t="str">
        <f>Main!D37</f>
        <v>Kcl Soluble</v>
      </c>
      <c r="F37">
        <f>I31/C12</f>
        <v>260.40000000000003</v>
      </c>
      <c r="G37">
        <f>Main!D38</f>
        <v>780</v>
      </c>
    </row>
    <row r="38">
      <c r="B38" t="str">
        <f>Main!D47</f>
        <v>Sulfato de Magnesio</v>
      </c>
      <c r="F38">
        <f>K31/C12</f>
        <v>250.6845798391237</v>
      </c>
      <c r="G38">
        <f>Main!D48</f>
        <v>951</v>
      </c>
    </row>
    <row r="39">
      <c r="B39" t="str">
        <f>Main!D52</f>
        <v>Sin Calcio</v>
      </c>
      <c r="F39">
        <f>M31/C12</f>
        <v>1.8602778095999997e-11</v>
      </c>
      <c r="G39">
        <f>Main!D53</f>
        <v>0</v>
      </c>
    </row>
    <row r="40">
      <c r="B40" t="str">
        <f>Main!D57</f>
        <v>Sin Boro</v>
      </c>
      <c r="F40">
        <f>O31/C12</f>
        <v>0.35037060000000003</v>
      </c>
      <c r="G40">
        <f>Main!D58</f>
        <v>0</v>
      </c>
      <c r="I40" t="str">
        <v xml:space="preserve">Preparado y Autorizado Por </v>
      </c>
    </row>
    <row r="41" ht="18" customHeight="1">
      <c r="B41" t="str">
        <f>Main!D61</f>
        <v>Sin Melaza</v>
      </c>
      <c r="F41">
        <f>Q31/C12</f>
        <v>0</v>
      </c>
      <c r="G41">
        <f>Main!D62</f>
        <v>0</v>
      </c>
      <c r="I41" t="str">
        <v>MSc Ricardo D. Lardizábal</v>
      </c>
    </row>
    <row r="42" ht="17.4" customHeight="1">
      <c r="B42" t="str">
        <v>NOTA: El Nitrato de Calcio se debe de diluir en un barril aparte para inyectarse al sistema</v>
      </c>
    </row>
    <row r="45">
      <c r="B45" t="str">
        <v>Abreviaciones usadas</v>
      </c>
    </row>
    <row r="46">
      <c r="B46" t="str">
        <v>Mz.-Manzanas, Ha-Hectáreas, Lbs-Libras, Lts-Litros y DDT-Días después de Trasplante</v>
      </c>
    </row>
  </sheetData>
  <sheetProtection sheet="1"/>
  <mergeCells count="53">
    <mergeCell ref="B46:S46"/>
    <mergeCell ref="I40:Q40"/>
    <mergeCell ref="B41:E41"/>
    <mergeCell ref="G41:H41"/>
    <mergeCell ref="I41:Q41"/>
    <mergeCell ref="B42:I43"/>
    <mergeCell ref="B45:C45"/>
    <mergeCell ref="B38:E38"/>
    <mergeCell ref="G38:H38"/>
    <mergeCell ref="B39:E39"/>
    <mergeCell ref="G39:H39"/>
    <mergeCell ref="B40:E40"/>
    <mergeCell ref="G40:H40"/>
    <mergeCell ref="G34:H34"/>
    <mergeCell ref="B35:E35"/>
    <mergeCell ref="G35:H35"/>
    <mergeCell ref="B36:E36"/>
    <mergeCell ref="G36:H36"/>
    <mergeCell ref="B37:E37"/>
    <mergeCell ref="G37:H37"/>
    <mergeCell ref="K14:L14"/>
    <mergeCell ref="M14:N14"/>
    <mergeCell ref="O14:P14"/>
    <mergeCell ref="Q14:R14"/>
    <mergeCell ref="S14:S15"/>
    <mergeCell ref="B33:E33"/>
    <mergeCell ref="G33:H33"/>
    <mergeCell ref="A12:B12"/>
    <mergeCell ref="C12:E12"/>
    <mergeCell ref="F12:H12"/>
    <mergeCell ref="I12:M12"/>
    <mergeCell ref="A14:A15"/>
    <mergeCell ref="B14:B15"/>
    <mergeCell ref="C14:D14"/>
    <mergeCell ref="E14:F14"/>
    <mergeCell ref="G14:H14"/>
    <mergeCell ref="I14:J14"/>
    <mergeCell ref="F10:H10"/>
    <mergeCell ref="I10:M10"/>
    <mergeCell ref="A11:B11"/>
    <mergeCell ref="C11:E11"/>
    <mergeCell ref="F11:H11"/>
    <mergeCell ref="I11:M11"/>
    <mergeCell ref="P2:S3"/>
    <mergeCell ref="P5:S7"/>
    <mergeCell ref="A8:M8"/>
    <mergeCell ref="A9:B9"/>
    <mergeCell ref="C9:E9"/>
    <mergeCell ref="F9:H9"/>
    <mergeCell ref="I9:M9"/>
    <mergeCell ref="P9:S12"/>
    <mergeCell ref="A10:B10"/>
    <mergeCell ref="C10:E10"/>
  </mergeCells>
  <pageMargins left="0.25" right="0.25" top="0.32" bottom="0.44" header="0.27" footer="0.25"/>
  <ignoredErrors>
    <ignoredError numberStoredAsText="1" sqref="A1:V55"/>
  </ignoredErrors>
  <legacyDrawing r:id="rId1"/>
</worksheet>
</file>

<file path=xl/worksheets/sheet5.xml><?xml version="1.0" encoding="utf-8"?>
<worksheet xmlns="http://schemas.openxmlformats.org/spreadsheetml/2006/main" xmlns:r="http://schemas.openxmlformats.org/officeDocument/2006/relationships">
  <dimension ref="A1:V55"/>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Pasto de Corte</v>
      </c>
    </row>
    <row r="6" ht="29.25" customHeight="1"/>
    <row r="7" ht="16.95" customHeight="1"/>
    <row r="8" ht="21" customHeight="1">
      <c r="A8" t="str">
        <f>Main!$C$13</f>
        <v>"Fertilización Continua"</v>
      </c>
    </row>
    <row r="9" ht="20.1" customHeight="1">
      <c r="A9" t="str">
        <v>Productor</v>
      </c>
      <c r="C9" t="str">
        <f>Main!E17</f>
        <v>IAGSA</v>
      </c>
      <c r="F9" t="str">
        <v>Parcela</v>
      </c>
      <c r="I9" t="str">
        <f>Main!E19</f>
        <v>Finca 8</v>
      </c>
      <c r="P9" t="str">
        <f>Main!$G$21</f>
        <v>King Grass</v>
      </c>
    </row>
    <row r="10" ht="20.1" customHeight="1">
      <c r="A10" t="str">
        <v>Zona</v>
      </c>
      <c r="C10" t="str">
        <f>Main!E18</f>
        <v>Comayagua</v>
      </c>
      <c r="F10" t="str">
        <v>Técnico</v>
      </c>
      <c r="I10" t="str">
        <f>Main!E20</f>
        <v>Raca</v>
      </c>
    </row>
    <row r="11" ht="20.1" customHeight="1">
      <c r="A11" t="str">
        <v>Área Mz.</v>
      </c>
      <c r="C11">
        <f>Main!E22</f>
        <v>1.43</v>
      </c>
      <c r="F11" t="str">
        <v>Fecha:</v>
      </c>
      <c r="I11">
        <f>Main!E23</f>
        <v>39448</v>
      </c>
    </row>
    <row r="12" ht="20.1" customHeight="1">
      <c r="A12" t="str">
        <v>Área Ha.</v>
      </c>
      <c r="C12">
        <f>Main!I22</f>
        <v>1.001</v>
      </c>
      <c r="F12" t="str">
        <v>Fecha de Cosecha:</v>
      </c>
      <c r="I12">
        <f>I11+Main!E24</f>
        <v>39478</v>
      </c>
    </row>
    <row r="13" ht="19.5" customHeight="1"/>
    <row r="14" ht="27.60000000000000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$I$11+B16</f>
        <v>39449</v>
      </c>
      <c r="E16">
        <f>IF(($C$12*(ReDiarioFert!C7+ReDiarioFert!C8))&lt;=0,"0",($C$12*(ReDiarioFert!C7+ReDiarioFert!C8)))</f>
        <v>21.677421361058602</v>
      </c>
      <c r="G16">
        <f>$C$12*(ReDiarioFert!E7+ReDiarioFert!E8)</f>
        <v>3.71675652173913</v>
      </c>
      <c r="I16">
        <f>$C$12*(ReDiarioFert!G7+ReDiarioFert!G8)</f>
        <v>14.89488</v>
      </c>
      <c r="K16">
        <f>$C$12*(ReDiarioFert!I7+ReDiarioFert!I8)</f>
        <v>14.339157966797876</v>
      </c>
      <c r="M16">
        <f>$C$12*(ReDiarioFert!K7+ReDiarioFert!K8)</f>
        <v>1.0640789070912e-12</v>
      </c>
      <c r="O16">
        <f>$C$12*(ReDiarioFert!M7+ReDiarioFert!M8)</f>
        <v>0.010195385199999999</v>
      </c>
      <c r="Q16">
        <f>$C$12*Main!$D$63</f>
        <v>0</v>
      </c>
      <c r="S16">
        <f>((E16/100)*$G$35+(G16/100)*$G$36+(I16/100)*$G$37+(K16/100)*$G$38+(M16/100)*$G$39+(O16)*$G$40+(Q16*$G$41))</f>
        <v>438.0497733719983</v>
      </c>
    </row>
    <row r="17" ht="18.6" customHeight="1">
      <c r="B17">
        <v>3</v>
      </c>
      <c r="C17">
        <f>$I$11+B17</f>
        <v>39451</v>
      </c>
      <c r="E17">
        <f>IF(($C$12*(ReDiarioFert!C9+ReDiarioFert!C10))&lt;=0,"0",($C$12*(ReDiarioFert!C9+ReDiarioFert!C10)))</f>
        <v>21.677421361058602</v>
      </c>
      <c r="G17">
        <f>$C$12*(ReDiarioFert!E9+ReDiarioFert!E10)</f>
        <v>3.71675652173913</v>
      </c>
      <c r="I17">
        <f>$C$12*(ReDiarioFert!G9+ReDiarioFert!G10)</f>
        <v>14.89488</v>
      </c>
      <c r="K17">
        <f>$C$12*(ReDiarioFert!I9+ReDiarioFert!I10)</f>
        <v>14.339157966797876</v>
      </c>
      <c r="M17">
        <f>$C$12*(ReDiarioFert!K9+ReDiarioFert!K10)</f>
        <v>1.0640789070912e-12</v>
      </c>
      <c r="O17">
        <f>$C$12*(ReDiarioFert!M9+ReDiarioFert!M10)</f>
        <v>0.010195385199999999</v>
      </c>
      <c r="S17">
        <f>((E17/100)*$G$35+(G17/100)*$G$36+(I17/100)*$G$37+(K17/100)*$G$38+(M17/100)*$G$39+(O17)*$G$40+(Q17*$G$41))</f>
        <v>438.0497733719983</v>
      </c>
    </row>
    <row r="18" ht="18.75" customHeight="1">
      <c r="B18">
        <v>5</v>
      </c>
      <c r="C18">
        <f>$I$11+B18</f>
        <v>39453</v>
      </c>
      <c r="E18">
        <f>IF(($C$12*(ReDiarioFert!C11+ReDiarioFert!C12+ReDiarioFert!C13))&lt;=0,"0",($C$12*(ReDiarioFert!C11+ReDiarioFert!C12+ReDiarioFert!C13)))</f>
        <v>32.5161320415879</v>
      </c>
      <c r="G18">
        <f>$C$12*(ReDiarioFert!E11+ReDiarioFert!E12+ReDiarioFert!E13)</f>
        <v>5.5751347826086946</v>
      </c>
      <c r="I18">
        <f>$C$12*(ReDiarioFert!G11+ReDiarioFert!G12+ReDiarioFert!G13)</f>
        <v>22.34232</v>
      </c>
      <c r="K18">
        <f>$C$12*(ReDiarioFert!I11+ReDiarioFert!I12+ReDiarioFert!I13)</f>
        <v>21.508736950196816</v>
      </c>
      <c r="M18">
        <f>$C$12*(ReDiarioFert!K11+ReDiarioFert!K12+ReDiarioFert!K13)</f>
        <v>1.5961183606368e-12</v>
      </c>
      <c r="O18">
        <f>$C$12*(ReDiarioFert!M11+ReDiarioFert!M12+ReDiarioFert!M13)</f>
        <v>0.015293077799999999</v>
      </c>
      <c r="S18">
        <f>((E18/100)*$G$35+(G18/100)*$G$36+(I18/100)*$G$37+(K18/100)*$G$38+(M18/100)*$G$39+(O18)*$G$40+(Q18*$G$41))</f>
        <v>657.0746600579974</v>
      </c>
    </row>
    <row r="19">
      <c r="A19">
        <v>2</v>
      </c>
      <c r="B19">
        <f>B18+3</f>
        <v>8</v>
      </c>
      <c r="C19">
        <f>$I$11+B19</f>
        <v>39456</v>
      </c>
      <c r="E19">
        <f>IF(($C$12*(ReDiarioFert!C14+ReDiarioFert!C15))&lt;=0,"0",($C$12*(ReDiarioFert!C14+ReDiarioFert!C15)))</f>
        <v>21.677421361058602</v>
      </c>
      <c r="G19">
        <f>$C$12*(ReDiarioFert!E14+ReDiarioFert!E15)</f>
        <v>3.71675652173913</v>
      </c>
      <c r="I19">
        <f>$C$12*(ReDiarioFert!G14+ReDiarioFert!G15)</f>
        <v>14.89488</v>
      </c>
      <c r="K19">
        <f>$C$12*(ReDiarioFert!I14+ReDiarioFert!I15)</f>
        <v>14.339157966797876</v>
      </c>
      <c r="M19">
        <f>$C$12*(ReDiarioFert!K14+ReDiarioFert!K15)</f>
        <v>1.0640789070912e-12</v>
      </c>
      <c r="O19">
        <f>$C$12*(ReDiarioFert!M14+ReDiarioFert!M15)</f>
        <v>0.010195385199999999</v>
      </c>
      <c r="Q19">
        <f>$C$12*Main!$D$63</f>
        <v>0</v>
      </c>
      <c r="S19">
        <f>((E19/100)*$G$35+(G19/100)*$G$36+(I19/100)*$G$37+(K19/100)*$G$38+(M19/100)*$G$39+(O19)*$G$40+(Q19*$G$41))</f>
        <v>438.0497733719983</v>
      </c>
    </row>
    <row r="20">
      <c r="B20">
        <f>B19+2</f>
        <v>10</v>
      </c>
      <c r="C20">
        <f>$I$11+B20</f>
        <v>39458</v>
      </c>
      <c r="E20">
        <f>IF(($C$12*(ReDiarioFert!C16+ReDiarioFert!C17))&lt;=0,"0",($C$12*(ReDiarioFert!C16+ReDiarioFert!C17)))</f>
        <v>21.677421361058602</v>
      </c>
      <c r="G20">
        <f>$C$12*(ReDiarioFert!E16+ReDiarioFert!E17)</f>
        <v>3.71675652173913</v>
      </c>
      <c r="I20">
        <f>$C$12*(ReDiarioFert!G16+ReDiarioFert!G17)</f>
        <v>14.89488</v>
      </c>
      <c r="K20">
        <f>$C$12*(ReDiarioFert!I16+ReDiarioFert!I17)</f>
        <v>14.339157966797876</v>
      </c>
      <c r="M20">
        <f>$C$12*(ReDiarioFert!K16+ReDiarioFert!K17)</f>
        <v>1.0640789070912e-12</v>
      </c>
      <c r="O20">
        <f>$C$12*(ReDiarioFert!M16+ReDiarioFert!M17)</f>
        <v>0.014273559299999997</v>
      </c>
      <c r="S20">
        <f>((E20/100)*$G$35+(G20/100)*$G$36+(I20/100)*$G$37+(K20/100)*$G$38+(M20/100)*$G$39+(O20)*$G$40+(Q20*$G$41))</f>
        <v>438.0497733719983</v>
      </c>
    </row>
    <row r="21">
      <c r="B21">
        <f>B20+2</f>
        <v>12</v>
      </c>
      <c r="C21">
        <f>$I$11+B21</f>
        <v>39460</v>
      </c>
      <c r="E21">
        <f>IF(($C$12*(ReDiarioFert!C18+ReDiarioFert!C19+ReDiarioFert!C20))&lt;=0,"0",($C$12*(ReDiarioFert!C18+ReDiarioFert!C19+ReDiarioFert!C20)))</f>
        <v>32.5161320415879</v>
      </c>
      <c r="G21">
        <f>$C$12*(ReDiarioFert!E18+ReDiarioFert!E19+ReDiarioFert!E20)</f>
        <v>5.5751347826086946</v>
      </c>
      <c r="I21">
        <f>$C$12*(ReDiarioFert!G18+ReDiarioFert!G19+ReDiarioFert!G20)</f>
        <v>22.34232</v>
      </c>
      <c r="K21">
        <f>$C$12*(ReDiarioFert!I18+ReDiarioFert!I19+ReDiarioFert!I20)</f>
        <v>21.508736950196816</v>
      </c>
      <c r="M21">
        <f>$C$12*(ReDiarioFert!K18+ReDiarioFert!K19+ReDiarioFert!K20)</f>
        <v>1.5961183606368e-12</v>
      </c>
      <c r="O21">
        <f>$C$12*(ReDiarioFert!M18+ReDiarioFert!M19+ReDiarioFert!M20)</f>
        <v>0.027527600099999997</v>
      </c>
      <c r="S21">
        <f>((E21/100)*$G$35+(G21/100)*$G$36+(I21/100)*$G$37+(K21/100)*$G$38+(M21/100)*$G$39+(O21)*$G$40+(Q21*$G$41))</f>
        <v>657.0746600579974</v>
      </c>
    </row>
    <row r="22">
      <c r="A22">
        <v>3</v>
      </c>
      <c r="B22">
        <f>B21+3</f>
        <v>15</v>
      </c>
      <c r="C22">
        <f>$I$11+B22</f>
        <v>39463</v>
      </c>
      <c r="E22">
        <f>IF(($C$12*(ReDiarioFert!C21+ReDiarioFert!C22))&lt;=0,"0",($C$12*(ReDiarioFert!C21+ReDiarioFert!C22)))</f>
        <v>21.677421361058602</v>
      </c>
      <c r="G22">
        <f>$C$12*(ReDiarioFert!E21+ReDiarioFert!E22)</f>
        <v>3.71675652173913</v>
      </c>
      <c r="I22">
        <f>$C$12*(ReDiarioFert!G21+ReDiarioFert!G22)</f>
        <v>14.89488</v>
      </c>
      <c r="K22">
        <f>$C$12*(ReDiarioFert!I21+ReDiarioFert!I22)</f>
        <v>14.339157966797876</v>
      </c>
      <c r="M22">
        <f>$C$12*(ReDiarioFert!K21+ReDiarioFert!K22)</f>
        <v>1.0640789070912e-12</v>
      </c>
      <c r="O22">
        <f>$C$12*(ReDiarioFert!M21+ReDiarioFert!M22)</f>
        <v>0.018351733399999997</v>
      </c>
      <c r="Q22">
        <f>$C$12*Main!$D$63</f>
        <v>0</v>
      </c>
      <c r="S22">
        <f>((E22/100)*$G$35+(G22/100)*$G$36+(I22/100)*$G$37+(K22/100)*$G$38+(M22/100)*$G$39+(O22)*$G$40+(Q22*$G$41))</f>
        <v>438.0497733719983</v>
      </c>
    </row>
    <row r="23">
      <c r="B23">
        <f>B22+2</f>
        <v>17</v>
      </c>
      <c r="C23">
        <f>$I$11+B23</f>
        <v>39465</v>
      </c>
      <c r="E23">
        <f>IF(($C$12*(ReDiarioFert!C23+ReDiarioFert!C24))&lt;=0,"0",($C$12*(ReDiarioFert!C23+ReDiarioFert!C24)))</f>
        <v>21.677421361058602</v>
      </c>
      <c r="G23">
        <f>$C$12*(ReDiarioFert!E23+ReDiarioFert!E24)</f>
        <v>3.71675652173913</v>
      </c>
      <c r="I23">
        <f>$C$12*(ReDiarioFert!G23+ReDiarioFert!G24)</f>
        <v>14.89488</v>
      </c>
      <c r="K23">
        <f>$C$12*(ReDiarioFert!I23+ReDiarioFert!I24)</f>
        <v>14.339157966797876</v>
      </c>
      <c r="M23">
        <f>$C$12*(ReDiarioFert!K23+ReDiarioFert!K24)</f>
        <v>1.0640789070912e-12</v>
      </c>
      <c r="O23">
        <f>$C$12*(ReDiarioFert!M23+ReDiarioFert!M24)</f>
        <v>0.0214102889</v>
      </c>
      <c r="S23">
        <f>((E23/100)*$G$35+(G23/100)*$G$36+(I23/100)*$G$37+(K23/100)*$G$38+(M23/100)*$G$39+(O23)*$G$40+(Q23*$G$41))</f>
        <v>438.0497733719983</v>
      </c>
    </row>
    <row r="24">
      <c r="B24">
        <f>B23+2</f>
        <v>19</v>
      </c>
      <c r="C24">
        <f>$I$11+B24</f>
        <v>39467</v>
      </c>
      <c r="E24">
        <f>IF(($C$12*(ReDiarioFert!C25+ReDiarioFert!C26+ReDiarioFert!C27))&lt;=0,"0",($C$12*(ReDiarioFert!C25+ReDiarioFert!C26+ReDiarioFert!C27)))</f>
        <v>32.5161320415879</v>
      </c>
      <c r="G24">
        <f>$C$12*(ReDiarioFert!E25+ReDiarioFert!E26+ReDiarioFert!E27)</f>
        <v>5.5751347826086946</v>
      </c>
      <c r="I24">
        <f>$C$12*(ReDiarioFert!G25+ReDiarioFert!G26+ReDiarioFert!G27)</f>
        <v>22.34232</v>
      </c>
      <c r="K24">
        <f>$C$12*(ReDiarioFert!I25+ReDiarioFert!I26+ReDiarioFert!I27)</f>
        <v>21.508736950196816</v>
      </c>
      <c r="M24">
        <f>$C$12*(ReDiarioFert!K25+ReDiarioFert!K26+ReDiarioFert!K27)</f>
        <v>1.5961183606368e-12</v>
      </c>
      <c r="O24">
        <f>$C$12*(ReDiarioFert!M25+ReDiarioFert!M26+ReDiarioFert!M27)</f>
        <v>0.0367032666</v>
      </c>
      <c r="S24">
        <f>((E24/100)*$G$35+(G24/100)*$G$36+(I24/100)*$G$37+(K24/100)*$G$38+(M24/100)*$G$39+(O24)*$G$40+(Q24*$G$41))</f>
        <v>657.0746600579974</v>
      </c>
    </row>
    <row r="25">
      <c r="A25">
        <v>4</v>
      </c>
      <c r="B25">
        <f>B24+3</f>
        <v>22</v>
      </c>
      <c r="C25">
        <f>$I$11+B25</f>
        <v>39470</v>
      </c>
      <c r="E25">
        <f>IF(($C$12*(ReDiarioFert!C28+ReDiarioFert!C29))&lt;=0,"0",($C$12*(ReDiarioFert!C28+ReDiarioFert!C29)))</f>
        <v>21.677421361058602</v>
      </c>
      <c r="G25">
        <f>$C$12*(ReDiarioFert!E28+ReDiarioFert!E29)</f>
        <v>3.71675652173913</v>
      </c>
      <c r="I25">
        <f>$C$12*(ReDiarioFert!G28+ReDiarioFert!G29)</f>
        <v>14.89488</v>
      </c>
      <c r="K25">
        <f>$C$12*(ReDiarioFert!I28+ReDiarioFert!I29)</f>
        <v>14.339157966797876</v>
      </c>
      <c r="M25">
        <f>$C$12*(ReDiarioFert!K28+ReDiarioFert!K29)</f>
        <v>1.0640789070912e-12</v>
      </c>
      <c r="O25">
        <f>$C$12*(ReDiarioFert!M28+ReDiarioFert!M29)</f>
        <v>0.0244688444</v>
      </c>
      <c r="Q25">
        <f>$C$12*Main!$D$63</f>
        <v>0</v>
      </c>
      <c r="S25">
        <f>((E25/100)*$G$35+(G25/100)*$G$36+(I25/100)*$G$37+(K25/100)*$G$38+(M25/100)*$G$39+(O25)*$G$40+(Q25*$G$41))</f>
        <v>438.0497733719983</v>
      </c>
    </row>
    <row r="26">
      <c r="B26">
        <f>B25+2</f>
        <v>24</v>
      </c>
      <c r="C26">
        <f>$I$11+B26</f>
        <v>39472</v>
      </c>
      <c r="E26">
        <f>IF(($C$12*(ReDiarioFert!C30+ReDiarioFert!C31))&lt;=0,"0",($C$12*(ReDiarioFert!C30+ReDiarioFert!C31)))</f>
        <v>21.677421361058602</v>
      </c>
      <c r="G26">
        <f>$C$12*(ReDiarioFert!E30+ReDiarioFert!E31)</f>
        <v>3.71675652173913</v>
      </c>
      <c r="I26">
        <f>$C$12*(ReDiarioFert!G30+ReDiarioFert!G31)</f>
        <v>14.89488</v>
      </c>
      <c r="K26">
        <f>$C$12*(ReDiarioFert!I30+ReDiarioFert!I31)</f>
        <v>14.339157966797876</v>
      </c>
      <c r="M26">
        <f>$C$12*(ReDiarioFert!K30+ReDiarioFert!K31)</f>
        <v>1.0640789070912e-12</v>
      </c>
      <c r="O26">
        <f>$C$12*(ReDiarioFert!M30+ReDiarioFert!M31)</f>
        <v>0.0244688444</v>
      </c>
      <c r="S26">
        <f>((E26/100)*$G$35+(G26/100)*$G$36+(I26/100)*$G$37+(K26/100)*$G$38+(M26/100)*$G$39+(O26)*$G$40+(Q26*$G$41))</f>
        <v>438.0497733719983</v>
      </c>
    </row>
    <row r="27">
      <c r="B27">
        <f>B26+2</f>
        <v>26</v>
      </c>
      <c r="C27">
        <f>$I$11+B27</f>
        <v>39474</v>
      </c>
      <c r="E27">
        <f>IF(($C$12*(ReDiarioFert!C32+ReDiarioFert!C33+ReDiarioFert!C34))&lt;=0,"0",($C$12*(ReDiarioFert!C32+ReDiarioFert!C33+ReDiarioFert!C34)))</f>
        <v>32.5161320415879</v>
      </c>
      <c r="G27">
        <f>$C$12*(ReDiarioFert!E32+ReDiarioFert!E33+ReDiarioFert!E34)</f>
        <v>5.5751347826086946</v>
      </c>
      <c r="I27">
        <f>$C$12*(ReDiarioFert!G32+ReDiarioFert!G33+ReDiarioFert!G34)</f>
        <v>22.34232</v>
      </c>
      <c r="K27">
        <f>$C$12*(ReDiarioFert!I32+ReDiarioFert!I33+ReDiarioFert!I34)</f>
        <v>21.508736950196816</v>
      </c>
      <c r="M27">
        <f>$C$12*(ReDiarioFert!K32+ReDiarioFert!K33+ReDiarioFert!K34)</f>
        <v>1.5961183606368e-12</v>
      </c>
      <c r="O27">
        <f>$C$12*(ReDiarioFert!M32+ReDiarioFert!M33+ReDiarioFert!M34)</f>
        <v>0.0367032666</v>
      </c>
      <c r="S27">
        <f>((E27/100)*$G$35+(G27/100)*$G$36+(I27/100)*$G$37+(K27/100)*$G$38+(M27/100)*$G$39+(O27)*$G$40+(Q27*$G$41))</f>
        <v>657.0746600579974</v>
      </c>
    </row>
    <row r="28">
      <c r="A28">
        <v>5</v>
      </c>
      <c r="B28">
        <f>B27+3</f>
        <v>29</v>
      </c>
      <c r="C28">
        <f>$I$11+B28</f>
        <v>39477</v>
      </c>
      <c r="E28">
        <f>IF(($C$12*(ReDiarioFert!C35+ReDiarioFert!C36))&lt;=0,"0",($C$12*(ReDiarioFert!C35+ReDiarioFert!C36)))</f>
        <v>21.677421361058602</v>
      </c>
      <c r="G28">
        <f>$C$12*(ReDiarioFert!E35+ReDiarioFert!E36)</f>
        <v>3.71675652173913</v>
      </c>
      <c r="I28">
        <f>$C$12*(ReDiarioFert!G35+ReDiarioFert!G36)</f>
        <v>14.89488</v>
      </c>
      <c r="K28">
        <f>$C$12*(ReDiarioFert!I35+ReDiarioFert!I36)</f>
        <v>14.339157966797876</v>
      </c>
      <c r="M28">
        <f>$C$12*(ReDiarioFert!K35+ReDiarioFert!K36)</f>
        <v>1.0640789070912e-12</v>
      </c>
      <c r="O28">
        <f>$C$12*(ReDiarioFert!M35+ReDiarioFert!M36)</f>
        <v>0.0244688444</v>
      </c>
      <c r="Q28">
        <f>$C$12*Main!$D$63</f>
        <v>0</v>
      </c>
      <c r="S28">
        <f>((E28/100)*$G$35+(G28/100)*$G$36+(I28/100)*$G$37+(K28/100)*$G$38+(M28/100)*$G$39+(O28)*$G$40+(Q28*$G$41))</f>
        <v>438.0497733719983</v>
      </c>
    </row>
    <row r="29">
      <c r="B29">
        <f>B28+2</f>
        <v>31</v>
      </c>
      <c r="C29">
        <f>$I$11+B29</f>
        <v>39479</v>
      </c>
      <c r="E29">
        <f>IF(($C$12*(ReDiarioFert!C37+ReDiarioFert!C38))&lt;=0,"0",($C$12*(ReDiarioFert!C37+ReDiarioFert!C38)))</f>
        <v>21.677421361058602</v>
      </c>
      <c r="G29">
        <f>$C$12*(ReDiarioFert!E37+ReDiarioFert!E38)</f>
        <v>3.71675652173913</v>
      </c>
      <c r="I29">
        <f>$C$12*(ReDiarioFert!G37+ReDiarioFert!G38)</f>
        <v>14.89488</v>
      </c>
      <c r="K29">
        <f>$C$12*(ReDiarioFert!I37+ReDiarioFert!I38)</f>
        <v>14.339157966797876</v>
      </c>
      <c r="M29">
        <f>$C$12*(ReDiarioFert!K37+ReDiarioFert!K38)</f>
        <v>1.0640789070912e-12</v>
      </c>
      <c r="O29">
        <f>$C$12*(ReDiarioFert!M37+ReDiarioFert!M38)</f>
        <v>0.0244688444</v>
      </c>
      <c r="S29">
        <f>((E29/100)*$G$35+(G29/100)*$G$36+(I29/100)*$G$37+(K29/100)*$G$38+(M29/100)*$G$39+(O29)*$G$40+(Q29*$G$41))</f>
        <v>438.0497733719983</v>
      </c>
    </row>
    <row r="30">
      <c r="B30">
        <f>B29+2</f>
        <v>33</v>
      </c>
      <c r="C30">
        <f>$I$11+B30</f>
        <v>39481</v>
      </c>
      <c r="E30">
        <f>IF(($C$12*(ReDiarioFert!C39+ReDiarioFert!C40+ReDiarioFert!C41))&lt;=0,"0",($C$12*(ReDiarioFert!C39+ReDiarioFert!C40+ReDiarioFert!C41)))</f>
        <v>32.5161320415879</v>
      </c>
      <c r="G30">
        <f>$C$12*(ReDiarioFert!E39+ReDiarioFert!E40+ReDiarioFert!E41)</f>
        <v>5.5751347826086946</v>
      </c>
      <c r="I30">
        <f>$C$12*(ReDiarioFert!G39+ReDiarioFert!G40+ReDiarioFert!G41)</f>
        <v>22.34232</v>
      </c>
      <c r="K30">
        <f>$C$12*(ReDiarioFert!I39+ReDiarioFert!I40+ReDiarioFert!I41)</f>
        <v>21.508736950196816</v>
      </c>
      <c r="M30">
        <f>$C$12*(ReDiarioFert!K39+ReDiarioFert!K40+ReDiarioFert!K41)</f>
        <v>1.5961183606368e-12</v>
      </c>
      <c r="O30">
        <f>$C$12*(ReDiarioFert!M39+ReDiarioFert!M40+ReDiarioFert!M41)</f>
        <v>0.0519966447</v>
      </c>
      <c r="S30">
        <f>((E30/100)*$G$35+(G30/100)*$G$36+(I30/100)*$G$37+(K30/100)*$G$38+(M30/100)*$G$39+(O30)*$G$40+(Q30*$G$41))</f>
        <v>657.0746600579974</v>
      </c>
    </row>
    <row r="31">
      <c r="C31" t="str">
        <v>Total</v>
      </c>
      <c r="E31">
        <f>SUM(E16:E30)</f>
        <v>379.3548738185255</v>
      </c>
      <c r="G31">
        <f>SUM(G16:G30)</f>
        <v>65.04323913043476</v>
      </c>
      <c r="I31">
        <f>SUM(I16:I30)</f>
        <v>260.6604</v>
      </c>
      <c r="K31">
        <f>SUM(K16:K30)</f>
        <v>250.9352644189628</v>
      </c>
      <c r="M31">
        <f>SUM(M16:M30)</f>
        <v>1.8621380874095994e-11</v>
      </c>
      <c r="O31">
        <f>SUM(O16:O30)</f>
        <v>0.3507209706</v>
      </c>
      <c r="Q31">
        <f>SUM(Q16:Q30)</f>
        <v>0</v>
      </c>
      <c r="S31">
        <f>SUM(S16:S30)</f>
        <v>7665.871034009972</v>
      </c>
    </row>
    <row r="32">
      <c r="D32" t="str">
        <v>OJO cualquier cultivo que no se termine la cosecha en el ultimo día del calendario solo seguir repitiendo la ultima aplicación de fertilizante.</v>
      </c>
    </row>
    <row r="33" ht="39.75" customHeight="1">
      <c r="B33" t="str">
        <v>Producto</v>
      </c>
      <c r="F33" t="str">
        <v>Lbs/Ha</v>
      </c>
      <c r="G33" t="str">
        <v>Costo por qq</v>
      </c>
    </row>
    <row r="34" ht="24" customHeight="1">
      <c r="G34" t="str">
        <f>Main!$E$25</f>
        <v>Lempiras</v>
      </c>
    </row>
    <row r="35">
      <c r="B35" t="str">
        <f>Main!D42</f>
        <v>Urea</v>
      </c>
      <c r="F35">
        <f>E31/C12</f>
        <v>378.97589792060495</v>
      </c>
      <c r="G35">
        <f>Main!D43</f>
        <v>650</v>
      </c>
    </row>
    <row r="36">
      <c r="B36" t="str">
        <f>Main!D32</f>
        <v>DAP 18-46-0</v>
      </c>
      <c r="F36">
        <f>G31/C12</f>
        <v>64.9782608695652</v>
      </c>
      <c r="G36">
        <f>Main!D33</f>
        <v>1200</v>
      </c>
    </row>
    <row r="37">
      <c r="B37" t="str">
        <f>Main!D37</f>
        <v>Kcl Soluble</v>
      </c>
      <c r="F37">
        <f>I31/C12</f>
        <v>260.40000000000003</v>
      </c>
      <c r="G37">
        <f>Main!D38</f>
        <v>780</v>
      </c>
    </row>
    <row r="38">
      <c r="B38" t="str">
        <f>Main!D47</f>
        <v>Sulfato de Magnesio</v>
      </c>
      <c r="F38">
        <f>K31/C12</f>
        <v>250.6845798391237</v>
      </c>
      <c r="G38">
        <f>Main!D48</f>
        <v>951</v>
      </c>
    </row>
    <row r="39">
      <c r="B39" t="str">
        <f>Main!D52</f>
        <v>Sin Calcio</v>
      </c>
      <c r="F39">
        <f>M31/C12</f>
        <v>1.8602778095999997e-11</v>
      </c>
      <c r="G39">
        <f>Main!D53</f>
        <v>0</v>
      </c>
    </row>
    <row r="40">
      <c r="B40" t="str">
        <f>Main!D57</f>
        <v>Sin Boro</v>
      </c>
      <c r="F40">
        <f>O31/C12</f>
        <v>0.35037060000000003</v>
      </c>
      <c r="G40">
        <f>Main!D58</f>
        <v>0</v>
      </c>
      <c r="I40" t="str">
        <v xml:space="preserve">Preparado y Autorizado Por </v>
      </c>
    </row>
    <row r="41" ht="18" customHeight="1">
      <c r="B41" t="str">
        <f>Main!D61</f>
        <v>Sin Melaza</v>
      </c>
      <c r="F41">
        <f>Q31/C12</f>
        <v>0</v>
      </c>
      <c r="G41">
        <f>Main!D62</f>
        <v>0</v>
      </c>
      <c r="I41" t="str">
        <v>MSc Ricardo D. Lardizábal</v>
      </c>
    </row>
    <row r="42" ht="17.4" customHeight="1">
      <c r="B42" t="str">
        <v>NOTA: El Nitrato de Calcio se debe de diluir en un barril aparte para inyectarse al sistema</v>
      </c>
    </row>
    <row r="45">
      <c r="B45" t="str">
        <v>Abreviaciones usadas</v>
      </c>
    </row>
    <row r="46">
      <c r="B46" t="str">
        <v>Mz.-Manzanas, Ha-Hectáreas, Lbs-Libras, Lts-Litros y DDT-Días después de Trasplante</v>
      </c>
    </row>
  </sheetData>
  <sheetProtection sheet="1"/>
  <mergeCells count="53">
    <mergeCell ref="G40:H40"/>
    <mergeCell ref="I41:Q41"/>
    <mergeCell ref="I9:M9"/>
    <mergeCell ref="I10:M10"/>
    <mergeCell ref="I11:M11"/>
    <mergeCell ref="I12:M12"/>
    <mergeCell ref="I40:Q40"/>
    <mergeCell ref="G41:H41"/>
    <mergeCell ref="F12:H12"/>
    <mergeCell ref="G14:H14"/>
    <mergeCell ref="G35:H35"/>
    <mergeCell ref="G36:H36"/>
    <mergeCell ref="I14:J14"/>
    <mergeCell ref="K14:L14"/>
    <mergeCell ref="G33:H33"/>
    <mergeCell ref="G34:H34"/>
    <mergeCell ref="B14:B15"/>
    <mergeCell ref="C14:D14"/>
    <mergeCell ref="E14:F14"/>
    <mergeCell ref="S14:S15"/>
    <mergeCell ref="M14:N14"/>
    <mergeCell ref="Q14:R14"/>
    <mergeCell ref="O14:P14"/>
    <mergeCell ref="A10:B10"/>
    <mergeCell ref="C10:E10"/>
    <mergeCell ref="C11:E11"/>
    <mergeCell ref="A11:B11"/>
    <mergeCell ref="B38:E38"/>
    <mergeCell ref="B33:E33"/>
    <mergeCell ref="B35:E35"/>
    <mergeCell ref="B36:E36"/>
    <mergeCell ref="B37:E37"/>
    <mergeCell ref="A14:A15"/>
    <mergeCell ref="B39:E39"/>
    <mergeCell ref="B42:I43"/>
    <mergeCell ref="B40:E40"/>
    <mergeCell ref="F9:H9"/>
    <mergeCell ref="G39:H39"/>
    <mergeCell ref="A12:B12"/>
    <mergeCell ref="C12:E12"/>
    <mergeCell ref="G38:H38"/>
    <mergeCell ref="A9:B9"/>
    <mergeCell ref="G37:H37"/>
    <mergeCell ref="B46:S46"/>
    <mergeCell ref="P2:S3"/>
    <mergeCell ref="A8:M8"/>
    <mergeCell ref="P5:S7"/>
    <mergeCell ref="P9:S12"/>
    <mergeCell ref="F10:H10"/>
    <mergeCell ref="F11:H11"/>
    <mergeCell ref="C9:E9"/>
    <mergeCell ref="B45:C45"/>
    <mergeCell ref="B41:E41"/>
  </mergeCells>
  <pageMargins left="0.25" right="0.25" top="0.32" bottom="0.45" header="0.27" footer="0.25"/>
  <ignoredErrors>
    <ignoredError numberStoredAsText="1" sqref="A1:V55"/>
  </ignoredErrors>
  <legacyDrawing r:id="rId1"/>
</worksheet>
</file>

<file path=xl/worksheets/sheet6.xml><?xml version="1.0" encoding="utf-8"?>
<worksheet xmlns="http://schemas.openxmlformats.org/spreadsheetml/2006/main" xmlns:r="http://schemas.openxmlformats.org/officeDocument/2006/relationships">
  <dimension ref="A1:V50"/>
  <sheetViews>
    <sheetView workbookViewId="0" rightToLeft="0"/>
  </sheetViews>
  <sheetData>
    <row r="1" ht="56.4" customHeight="1"/>
    <row r="2" ht="32.7" customHeight="1">
      <c r="P2" t="str">
        <v>Calendario de Fertilización para Goteo 2 Veces Por Semana</v>
      </c>
    </row>
    <row r="3" ht="32.7" customHeight="1"/>
    <row r="5">
      <c r="P5" t="str">
        <f>Main!$E$21</f>
        <v>Pasto de Corte</v>
      </c>
    </row>
    <row r="6" ht="29.25" customHeight="1"/>
    <row r="7" ht="26.25" customHeight="1"/>
    <row r="8" ht="25.95" customHeight="1">
      <c r="A8" t="str">
        <f>Main!$C$13</f>
        <v>"Fertilización Continua"</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3</v>
      </c>
      <c r="C16">
        <f>$J$11+B16</f>
        <v>39451</v>
      </c>
      <c r="E16">
        <f>IF(((SUM(ReDiarioFert!C7:C13)/2)*$C$12)&lt;=0,"0",(((SUM(ReDiarioFert!C7:C13)/2)*$C$12)))</f>
        <v>37.93548738185256</v>
      </c>
      <c r="G16">
        <f>IF(((SUM(ReDiarioFert!E7:E13)/2)*$C$12)&lt;=0,"0",(((SUM(ReDiarioFert!E7:E13)/2)*$C$12)))</f>
        <v>6.504323913043477</v>
      </c>
      <c r="I16">
        <f>IF(((SUM(ReDiarioFert!G7:G13)/2)*$C$12)&lt;=0,"0",(((SUM(ReDiarioFert!G7:G13)/2)*$C$12)))</f>
        <v>26.066039999999997</v>
      </c>
      <c r="K16">
        <f>IF(((SUM(ReDiarioFert!I7:I13)/2)*$C$12)&lt;=0,"0",(((SUM(ReDiarioFert!I7:I13)/2)*$C$12)))</f>
        <v>25.093526441896284</v>
      </c>
      <c r="M16">
        <f>IF(((SUM(ReDiarioFert!K7:K13)/2)*$C$12)&lt;=0,"0",(((SUM(ReDiarioFert!K7:K13)/2)*$C$12)))</f>
        <v>1.8621380874096e-12</v>
      </c>
      <c r="O16">
        <f>IF(((SUM(ReDiarioFert!M7:M13)/2)*$C$12)&lt;=0,"0",(((SUM(ReDiarioFert!M7:M13)/2)*$C$12)))</f>
        <v>0.017841924099999996</v>
      </c>
      <c r="Q16">
        <f>$C$12*Main!$D$63</f>
        <v>0</v>
      </c>
      <c r="S16">
        <f>((E16/100)*$G$30+(G16/100)*$G$31+(I16/100)*$G$32+(K16/100)*$G$33+(M16/100)*$G$34+(O16)*$G$35+(Q16*$G$36))</f>
        <v>766.587103400997</v>
      </c>
    </row>
    <row r="17" ht="30" customHeight="1">
      <c r="B17">
        <v>7</v>
      </c>
      <c r="C17">
        <f>$J$11+B17</f>
        <v>39455</v>
      </c>
      <c r="D17" t="str">
        <f>Main!$H$86</f>
        <v>Rotación MetaZam y Bazam</v>
      </c>
      <c r="E17">
        <f>E16</f>
        <v>37.93548738185256</v>
      </c>
      <c r="G17">
        <f>G16</f>
        <v>6.504323913043477</v>
      </c>
      <c r="I17">
        <f>I16</f>
        <v>26.066039999999997</v>
      </c>
      <c r="K17">
        <f>K16</f>
        <v>25.093526441896284</v>
      </c>
      <c r="M17">
        <f>M16</f>
        <v>1.8621380874096e-12</v>
      </c>
      <c r="O17">
        <f>O16</f>
        <v>0.017841924099999996</v>
      </c>
      <c r="R17" t="e">
        <f>Main!$K$86*Main!$I$22</f>
        <v>#N/A</v>
      </c>
      <c r="S17" t="e">
        <f>((E17/100)*$G$30+(G17/100)*$G$31+(I17/100)*$G$32+(K17/100)*$G$33+(M17/100)*$G$34+(O17)*$G$35+(Q17*$G$36)+(R17*Main!$J$86))</f>
        <v>#N/A</v>
      </c>
    </row>
    <row r="18">
      <c r="A18">
        <v>2</v>
      </c>
      <c r="B18">
        <f>B17+3</f>
        <v>10</v>
      </c>
      <c r="C18">
        <f>$J$11+B18</f>
        <v>39458</v>
      </c>
      <c r="E18">
        <f>IF(((SUM(ReDiarioFert!C14:C20)/2)*$C$12)&lt;=0,"0",(((SUM(ReDiarioFert!C14:C20)/2)*$C$12)))</f>
        <v>37.93548738185256</v>
      </c>
      <c r="G18">
        <f>IF(((SUM(ReDiarioFert!E14:E20)/2)*$C$12)&lt;=0,"0",(((SUM(ReDiarioFert!E14:E20)/2)*$C$12)))</f>
        <v>6.504323913043477</v>
      </c>
      <c r="I18">
        <f>IF(((SUM(ReDiarioFert!G14:G20)/2)*$C$12)&lt;=0,"0",(((SUM(ReDiarioFert!G14:G20)/2)*$C$12)))</f>
        <v>26.066039999999997</v>
      </c>
      <c r="K18">
        <f>IF(((SUM(ReDiarioFert!I14:I20)/2)*$C$12)&lt;=0,"0",(((SUM(ReDiarioFert!I14:I20)/2)*$C$12)))</f>
        <v>25.093526441896284</v>
      </c>
      <c r="M18">
        <f>IF(((SUM(ReDiarioFert!K14:K20)/2)*$C$12)&lt;=0,"0",(((SUM(ReDiarioFert!K14:K20)/2)*$C$12)))</f>
        <v>1.8621380874096e-12</v>
      </c>
      <c r="O18">
        <f>IF(((SUM(ReDiarioFert!M14:M20)/2)*$C$12)&lt;=0,"0",(((SUM(ReDiarioFert!M14:M20)/2)*$C$12)))</f>
        <v>0.025998272299999996</v>
      </c>
      <c r="Q18">
        <f>$C$12*Main!$D$63</f>
        <v>0</v>
      </c>
      <c r="S18">
        <f>((E18/100)*$G$30+(G18/100)*$G$31+(I18/100)*$G$32+(K18/100)*$G$33+(M18/100)*$G$34+(O18)*$G$35+(Q18*$G$36))</f>
        <v>766.587103400997</v>
      </c>
    </row>
    <row r="19" ht="30" customHeight="1">
      <c r="B19">
        <f>B18+4</f>
        <v>14</v>
      </c>
      <c r="C19">
        <f>$J$11+B19</f>
        <v>39462</v>
      </c>
      <c r="D19" t="str">
        <f>Main!$H$86</f>
        <v>Rotación MetaZam y Bazam</v>
      </c>
      <c r="E19">
        <f>E18</f>
        <v>37.93548738185256</v>
      </c>
      <c r="G19">
        <f>G18</f>
        <v>6.504323913043477</v>
      </c>
      <c r="I19">
        <f>I18</f>
        <v>26.066039999999997</v>
      </c>
      <c r="K19">
        <f>K18</f>
        <v>25.093526441896284</v>
      </c>
      <c r="M19">
        <f>M18</f>
        <v>1.8621380874096e-12</v>
      </c>
      <c r="O19">
        <f>O18</f>
        <v>0.025998272299999996</v>
      </c>
      <c r="R19" t="e">
        <f>Main!$K$86*Main!$I$22</f>
        <v>#N/A</v>
      </c>
      <c r="S19" t="e">
        <f>((E19/100)*$G$30+(G19/100)*$G$31+(I19/100)*$G$32+(K19/100)*$G$33+(M19/100)*$G$34+(O19)*$G$35+(Q19*$G$36)+(R19*Main!$J$86))</f>
        <v>#N/A</v>
      </c>
    </row>
    <row r="20">
      <c r="A20">
        <v>3</v>
      </c>
      <c r="B20">
        <f>B19+3</f>
        <v>17</v>
      </c>
      <c r="C20">
        <f>$J$11+B20</f>
        <v>39465</v>
      </c>
      <c r="E20">
        <f>IF(((SUM(ReDiarioFert!C21:C27)/2)*$C$12)&lt;=0,"0",(((SUM(ReDiarioFert!C21:C27)/2)*$C$12)))</f>
        <v>37.93548738185256</v>
      </c>
      <c r="G20">
        <f>IF(((SUM(ReDiarioFert!E21:E27)/2)*$C$12)&lt;=0,"0",(((SUM(ReDiarioFert!E21:E27)/2)*$C$12)))</f>
        <v>6.504323913043477</v>
      </c>
      <c r="I20">
        <f>IF(((SUM(ReDiarioFert!G21:G27)/2)*$C$12)&lt;=0,"0",(((SUM(ReDiarioFert!G21:G27)/2)*$C$12)))</f>
        <v>26.066039999999997</v>
      </c>
      <c r="K20">
        <f>IF(((SUM(ReDiarioFert!I21:I27)/2)*$C$12)&lt;=0,"0",(((SUM(ReDiarioFert!I21:I27)/2)*$C$12)))</f>
        <v>25.093526441896284</v>
      </c>
      <c r="M20">
        <f>IF(((SUM(ReDiarioFert!K21:K27)/2)*$C$12)&lt;=0,"0",(((SUM(ReDiarioFert!K21:K27)/2)*$C$12)))</f>
        <v>1.8621380874096e-12</v>
      </c>
      <c r="O20">
        <f>IF(((SUM(ReDiarioFert!M21:M27)/2)*$C$12)&lt;=0,"0",(((SUM(ReDiarioFert!M21:M27)/2)*$C$12)))</f>
        <v>0.03823264445</v>
      </c>
      <c r="Q20">
        <f>$C$12*Main!$D$63</f>
        <v>0</v>
      </c>
      <c r="S20">
        <f>((E20/100)*$G$30+(G20/100)*$G$31+(I20/100)*$G$32+(K20/100)*$G$33+(M20/100)*$G$34+(O20)*$G$35+(Q20*$G$36))</f>
        <v>766.587103400997</v>
      </c>
    </row>
    <row r="21">
      <c r="B21">
        <f>B20+4</f>
        <v>21</v>
      </c>
      <c r="C21">
        <f>$J$11+B21</f>
        <v>39469</v>
      </c>
      <c r="D21" t="str">
        <f>Main!$H$85</f>
        <v>TricoZam</v>
      </c>
      <c r="E21">
        <f>E20</f>
        <v>37.93548738185256</v>
      </c>
      <c r="G21">
        <f>G20</f>
        <v>6.504323913043477</v>
      </c>
      <c r="I21">
        <f>I20</f>
        <v>26.066039999999997</v>
      </c>
      <c r="K21">
        <f>K20</f>
        <v>25.093526441896284</v>
      </c>
      <c r="M21">
        <f>M20</f>
        <v>1.8621380874096e-12</v>
      </c>
      <c r="O21">
        <f>O20</f>
        <v>0.03823264445</v>
      </c>
      <c r="R21">
        <f>Main!$K$85*Main!$I$22</f>
        <v>1.001</v>
      </c>
      <c r="S21">
        <f>((E21/100)*$G$30+(G21/100)*$G$31+(I21/100)*$G$32+(K21/100)*$G$33+(M21/100)*$G$34+(O21)*$G$35+(Q21*$G$36)+(R21*Main!$J$85))</f>
        <v>1146.9671034009968</v>
      </c>
    </row>
    <row r="22">
      <c r="A22">
        <v>4</v>
      </c>
      <c r="B22">
        <f>B21+3</f>
        <v>24</v>
      </c>
      <c r="C22">
        <f>$J$11+B22</f>
        <v>39472</v>
      </c>
      <c r="E22">
        <f>IF(((SUM(ReDiarioFert!C28:C34)/2)*$C$12)&lt;=0,"0",(((SUM(ReDiarioFert!C28:C34)/2)*$C$12)))</f>
        <v>37.93548738185256</v>
      </c>
      <c r="G22">
        <f>IF(((SUM(ReDiarioFert!E28:E34)/2)*$C$12)&lt;=0,"0",(((SUM(ReDiarioFert!E28:E34)/2)*$C$12)))</f>
        <v>6.504323913043477</v>
      </c>
      <c r="I22">
        <f>IF(((SUM(ReDiarioFert!G28:G34)/2)*$C$12)&lt;=0,"0",(((SUM(ReDiarioFert!G28:G34)/2)*$C$12)))</f>
        <v>26.066039999999997</v>
      </c>
      <c r="K22">
        <f>IF(((SUM(ReDiarioFert!I28:I34)/2)*$C$12)&lt;=0,"0",(((SUM(ReDiarioFert!I28:I34)/2)*$C$12)))</f>
        <v>25.093526441896284</v>
      </c>
      <c r="M22">
        <f>IF(((SUM(ReDiarioFert!K28:K34)/2)*$C$12)&lt;=0,"0",(((SUM(ReDiarioFert!K28:K34)/2)*$C$12)))</f>
        <v>1.8621380874096e-12</v>
      </c>
      <c r="O22">
        <f>IF(((SUM(ReDiarioFert!M28:M34)/2)*$C$12)&lt;=0,"0",(((SUM(ReDiarioFert!M28:M34)/2)*$C$12)))</f>
        <v>0.0428204777</v>
      </c>
      <c r="Q22">
        <f>$C$12*Main!$D$63</f>
        <v>0</v>
      </c>
      <c r="S22">
        <f>((E22/100)*$G$30+(G22/100)*$G$31+(I22/100)*$G$32+(K22/100)*$G$33+(M22/100)*$G$34+(O22)*$G$35+(Q22*$G$36))</f>
        <v>766.587103400997</v>
      </c>
    </row>
    <row r="23">
      <c r="B23">
        <f>B22+4</f>
        <v>28</v>
      </c>
      <c r="C23">
        <f>$J$11+B23</f>
        <v>39476</v>
      </c>
      <c r="E23">
        <f>E22</f>
        <v>37.93548738185256</v>
      </c>
      <c r="G23">
        <f>G22</f>
        <v>6.504323913043477</v>
      </c>
      <c r="I23">
        <f>I22</f>
        <v>26.066039999999997</v>
      </c>
      <c r="K23">
        <f>K22</f>
        <v>25.093526441896284</v>
      </c>
      <c r="M23">
        <f>M22</f>
        <v>1.8621380874096e-12</v>
      </c>
      <c r="O23">
        <f>O22</f>
        <v>0.0428204777</v>
      </c>
      <c r="S23">
        <f>((E23/100)*$G$30+(G23/100)*$G$31+(I23/100)*$G$32+(K23/100)*$G$33+(M23/100)*$G$34+(O23)*$G$35+(Q23*$G$36))</f>
        <v>766.587103400997</v>
      </c>
    </row>
    <row r="24">
      <c r="A24">
        <v>5</v>
      </c>
      <c r="B24">
        <f>B23+3</f>
        <v>31</v>
      </c>
      <c r="C24">
        <f>$J$11+B24</f>
        <v>39479</v>
      </c>
      <c r="E24">
        <f>IF(((SUM(ReDiarioFert!C35:C41)/2)*$C$12)&lt;=0,"0",(((SUM(ReDiarioFert!C35:C41)/2)*$C$12)))</f>
        <v>37.93548738185256</v>
      </c>
      <c r="G24">
        <f>IF(((SUM(ReDiarioFert!E35:E41)/2)*$C$12)&lt;=0,"0",(((SUM(ReDiarioFert!E35:E41)/2)*$C$12)))</f>
        <v>6.504323913043477</v>
      </c>
      <c r="I24">
        <f>IF(((SUM(ReDiarioFert!G35:G41)/2)*$C$12)&lt;=0,"0",(((SUM(ReDiarioFert!G35:G41)/2)*$C$12)))</f>
        <v>26.066039999999997</v>
      </c>
      <c r="K24">
        <f>IF(((SUM(ReDiarioFert!I35:I41)/2)*$C$12)&lt;=0,"0",(((SUM(ReDiarioFert!I35:I41)/2)*$C$12)))</f>
        <v>25.093526441896284</v>
      </c>
      <c r="M24">
        <f>IF(((SUM(ReDiarioFert!K35:K41)/2)*$C$12)&lt;=0,"0",(((SUM(ReDiarioFert!K35:K41)/2)*$C$12)))</f>
        <v>1.8621380874096e-12</v>
      </c>
      <c r="O24">
        <f>IF(((SUM(ReDiarioFert!M35:M41)/2)*$C$12)&lt;=0,"0",(((SUM(ReDiarioFert!M35:M41)/2)*$C$12)))</f>
        <v>0.05046716674999999</v>
      </c>
      <c r="Q24">
        <f>$C$12*Main!$D$63</f>
        <v>0</v>
      </c>
      <c r="S24">
        <f>((E24/100)*$G$30+(G24/100)*$G$31+(I24/100)*$G$32+(K24/100)*$G$33+(M24/100)*$G$34+(O24)*$G$35+(Q24*$G$36))</f>
        <v>766.587103400997</v>
      </c>
    </row>
    <row r="25">
      <c r="B25">
        <f>B24+4</f>
        <v>35</v>
      </c>
      <c r="C25">
        <f>$J$11+B25</f>
        <v>39483</v>
      </c>
      <c r="E25">
        <f>E24</f>
        <v>37.93548738185256</v>
      </c>
      <c r="G25">
        <f>G24</f>
        <v>6.504323913043477</v>
      </c>
      <c r="I25">
        <f>I24</f>
        <v>26.066039999999997</v>
      </c>
      <c r="K25">
        <f>K24</f>
        <v>25.093526441896284</v>
      </c>
      <c r="M25">
        <f>M24</f>
        <v>1.8621380874096e-12</v>
      </c>
      <c r="O25">
        <f>O24</f>
        <v>0.05046716674999999</v>
      </c>
      <c r="S25">
        <f>((E25/100)*$G$30+(G25/100)*$G$31+(I25/100)*$G$32+(K25/100)*$G$33+(M25/100)*$G$34+(O25)*$G$35+(Q25*$G$36))</f>
        <v>766.587103400997</v>
      </c>
    </row>
    <row r="26">
      <c r="C26" t="str">
        <v>Total</v>
      </c>
      <c r="E26">
        <f>SUM(E16:E25)</f>
        <v>379.3548738185256</v>
      </c>
      <c r="G26">
        <f>SUM(G16:G25)</f>
        <v>65.04323913043477</v>
      </c>
      <c r="I26">
        <f>SUM(I16:I25)</f>
        <v>260.6603999999999</v>
      </c>
      <c r="K26">
        <f>SUM(K16:K25)</f>
        <v>250.9352644189628</v>
      </c>
      <c r="M26">
        <f>SUM(M16:M25)</f>
        <v>1.8621380874096004e-11</v>
      </c>
      <c r="O26">
        <f>SUM(O16:O25)</f>
        <v>0.3507209706</v>
      </c>
      <c r="Q26">
        <f>SUM(Q16:Q25)</f>
        <v>0</v>
      </c>
      <c r="S26" t="e">
        <f>SUM(S16:S25)</f>
        <v>#N/A</v>
      </c>
    </row>
    <row r="27">
      <c r="D27" t="str">
        <v>OJO cualquier cultivo que no se termine la cosecha en el ultimo día del calendario solo seguir repitiendo la ultima aplicación de fertilizante.</v>
      </c>
    </row>
    <row r="28" ht="39.75" customHeight="1">
      <c r="B28" t="str">
        <v>Producto</v>
      </c>
      <c r="F28" t="str">
        <v>Lbs/Ha</v>
      </c>
      <c r="G28" t="str">
        <v>Costo por qq</v>
      </c>
    </row>
    <row r="29" ht="24" customHeight="1">
      <c r="G29" t="str">
        <f>Main!$E$25</f>
        <v>Lempiras</v>
      </c>
    </row>
    <row r="30">
      <c r="B30" t="str">
        <f>Main!D42</f>
        <v>Urea</v>
      </c>
      <c r="F30">
        <f>E26/C12</f>
        <v>378.97589792060506</v>
      </c>
      <c r="G30">
        <f>Main!D43</f>
        <v>650</v>
      </c>
    </row>
    <row r="31">
      <c r="B31" t="str">
        <f>Main!D32</f>
        <v>DAP 18-46-0</v>
      </c>
      <c r="F31">
        <f>G26/C12</f>
        <v>64.97826086956522</v>
      </c>
      <c r="G31">
        <f>Main!D33</f>
        <v>1200</v>
      </c>
    </row>
    <row r="32">
      <c r="B32" t="str">
        <f>Main!D37</f>
        <v>Kcl Soluble</v>
      </c>
      <c r="F32">
        <f>I26/C12</f>
        <v>260.4</v>
      </c>
      <c r="G32">
        <f>Main!D38</f>
        <v>780</v>
      </c>
    </row>
    <row r="33">
      <c r="B33" t="str">
        <f>Main!D47</f>
        <v>Sulfato de Magnesio</v>
      </c>
      <c r="F33">
        <f>K26/C12</f>
        <v>250.6845798391237</v>
      </c>
      <c r="G33">
        <f>Main!D48</f>
        <v>951</v>
      </c>
    </row>
    <row r="34">
      <c r="B34" t="str">
        <f>Main!D52</f>
        <v>Sin Calcio</v>
      </c>
      <c r="F34">
        <f>M26/C12</f>
        <v>1.8602778096000007e-11</v>
      </c>
      <c r="G34">
        <f>Main!D53</f>
        <v>0</v>
      </c>
    </row>
    <row r="35">
      <c r="B35" t="str">
        <f>Main!D57</f>
        <v>Sin Boro</v>
      </c>
      <c r="F35">
        <f>O26/C12</f>
        <v>0.35037060000000003</v>
      </c>
      <c r="G35">
        <f>Main!D58</f>
        <v>0</v>
      </c>
      <c r="I35" t="str">
        <v xml:space="preserve">Preparado y Autorizado Por </v>
      </c>
    </row>
    <row r="36" ht="18" customHeight="1">
      <c r="B36" t="str">
        <f>Main!D61</f>
        <v>Sin Melaza</v>
      </c>
      <c r="F36">
        <f>Q26/C12</f>
        <v>0</v>
      </c>
      <c r="G36">
        <f>Main!D62</f>
        <v>0</v>
      </c>
      <c r="I36" t="str">
        <v>MSc Ricardo D. Lardizábal</v>
      </c>
    </row>
    <row r="37" ht="17.4" customHeight="1">
      <c r="B37" t="str">
        <v>NOTA: El Nitrato de Calcio se debe de diluir en un barril aparte para inyectarse al sistema</v>
      </c>
    </row>
    <row r="40">
      <c r="B40" t="str">
        <v>Abreviaciones usadas</v>
      </c>
    </row>
    <row r="41">
      <c r="B41"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34:E34"/>
    <mergeCell ref="B33:E33"/>
    <mergeCell ref="I36:Q36"/>
    <mergeCell ref="B35:E35"/>
    <mergeCell ref="G36:H36"/>
    <mergeCell ref="G35:H35"/>
    <mergeCell ref="G33:H33"/>
    <mergeCell ref="G34:H34"/>
    <mergeCell ref="I35:Q35"/>
    <mergeCell ref="B41:S41"/>
    <mergeCell ref="E14:F14"/>
    <mergeCell ref="B40:C40"/>
    <mergeCell ref="B36:E36"/>
    <mergeCell ref="B28:E28"/>
    <mergeCell ref="B30:E30"/>
    <mergeCell ref="B31:E31"/>
    <mergeCell ref="B32:E32"/>
    <mergeCell ref="C14:D14"/>
    <mergeCell ref="B37:I38"/>
    <mergeCell ref="C11:F11"/>
    <mergeCell ref="C12:F12"/>
    <mergeCell ref="G11:I11"/>
    <mergeCell ref="G12:I12"/>
    <mergeCell ref="A14:A15"/>
    <mergeCell ref="B14:B15"/>
    <mergeCell ref="A11:B11"/>
    <mergeCell ref="A12:B12"/>
    <mergeCell ref="G32:H32"/>
    <mergeCell ref="S14:S15"/>
    <mergeCell ref="O14:P14"/>
    <mergeCell ref="Q14:R14"/>
    <mergeCell ref="G14:H14"/>
    <mergeCell ref="I14:J14"/>
    <mergeCell ref="K14:L14"/>
    <mergeCell ref="M14:N14"/>
    <mergeCell ref="G28:H28"/>
    <mergeCell ref="G29:H29"/>
    <mergeCell ref="G30:H30"/>
    <mergeCell ref="G31:H31"/>
    <mergeCell ref="J9:N9"/>
    <mergeCell ref="J10:N10"/>
    <mergeCell ref="J11:N11"/>
    <mergeCell ref="J12:N12"/>
  </mergeCells>
  <pageMargins left="0.25" right="0.25" top="0.48" bottom="0.8" header="0.25" footer="0.25"/>
  <ignoredErrors>
    <ignoredError numberStoredAsText="1" sqref="A1:V50"/>
  </ignoredErrors>
  <legacyDrawing r:id="rId1"/>
</worksheet>
</file>

<file path=xl/worksheets/sheet7.xml><?xml version="1.0" encoding="utf-8"?>
<worksheet xmlns="http://schemas.openxmlformats.org/spreadsheetml/2006/main" xmlns:r="http://schemas.openxmlformats.org/officeDocument/2006/relationships">
  <dimension ref="A1:V50"/>
  <sheetViews>
    <sheetView workbookViewId="0" rightToLeft="0"/>
  </sheetViews>
  <sheetData>
    <row r="1" ht="32.7" customHeight="1"/>
    <row r="2" ht="32.7" customHeight="1">
      <c r="P2" t="str">
        <v>Calendario de Fertilización para Goteo 2 Veces Por Semana</v>
      </c>
    </row>
    <row r="3" ht="32.7" customHeight="1"/>
    <row r="5">
      <c r="P5" t="str">
        <f>Main!$E$21</f>
        <v>Pasto de Corte</v>
      </c>
    </row>
    <row r="6" ht="29.25" customHeight="1"/>
    <row r="7" ht="26.25" customHeight="1"/>
    <row r="8" ht="25.95" customHeight="1">
      <c r="A8" t="str">
        <f>Main!$C$13</f>
        <v>"Fertilización Continua"</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8.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3</v>
      </c>
      <c r="C16">
        <f>$J$11+B16</f>
        <v>39451</v>
      </c>
      <c r="E16">
        <f>IF(((SUM(ReDiarioFert!C7:C13)/2)*$C$12)&lt;=0,"0",(((SUM(ReDiarioFert!C7:C13)/2)*$C$12)))</f>
        <v>37.93548738185256</v>
      </c>
      <c r="G16">
        <f>IF(((SUM(ReDiarioFert!E7:E13)/2)*$C$12)&lt;=0,"0",(((SUM(ReDiarioFert!E7:E13)/2)*$C$12)))</f>
        <v>6.504323913043477</v>
      </c>
      <c r="I16">
        <f>IF(((SUM(ReDiarioFert!G7:G13)/2)*$C$12)&lt;=0,"0",(((SUM(ReDiarioFert!G7:G13)/2)*$C$12)))</f>
        <v>26.066039999999997</v>
      </c>
      <c r="K16">
        <f>IF(((SUM(ReDiarioFert!I7:I13)/2)*$C$12)&lt;=0,"0",(((SUM(ReDiarioFert!I7:I13)/2)*$C$12)))</f>
        <v>25.093526441896284</v>
      </c>
      <c r="M16">
        <f>IF(((SUM(ReDiarioFert!K7:K13)/2)*$C$12)&lt;=0,"0",(((SUM(ReDiarioFert!K7:K13)/2)*$C$12)))</f>
        <v>1.8621380874096e-12</v>
      </c>
      <c r="O16">
        <f>IF(((SUM(ReDiarioFert!M7:M13)/2)*$C$12)&lt;=0,"0",(((SUM(ReDiarioFert!M7:M13)/2)*$C$12)))</f>
        <v>0.017841924099999996</v>
      </c>
      <c r="Q16">
        <f>$C$12*Main!$D$63</f>
        <v>0</v>
      </c>
      <c r="S16">
        <f>((E16/100)*$G$30+(G16/100)*$G$31+(I16/100)*$G$32+(K16/100)*$G$33+(M16/100)*$G$34+(O16)*$G$35+(Q16*$G$36))</f>
        <v>766.587103400997</v>
      </c>
    </row>
    <row r="17" ht="18.75" customHeight="1">
      <c r="B17">
        <v>7</v>
      </c>
      <c r="C17">
        <f>$J$11+B17</f>
        <v>39455</v>
      </c>
      <c r="E17">
        <f>E16</f>
        <v>37.93548738185256</v>
      </c>
      <c r="G17">
        <f>G16</f>
        <v>6.504323913043477</v>
      </c>
      <c r="I17">
        <f>I16</f>
        <v>26.066039999999997</v>
      </c>
      <c r="K17">
        <f>K16</f>
        <v>25.093526441896284</v>
      </c>
      <c r="M17">
        <f>M16</f>
        <v>1.8621380874096e-12</v>
      </c>
      <c r="O17">
        <f>O16</f>
        <v>0.017841924099999996</v>
      </c>
      <c r="S17">
        <f>((E17/100)*$G$30+(G17/100)*$G$31+(I17/100)*$G$32+(K17/100)*$G$33+(M17/100)*$G$34+(O17)*$G$35+(Q17*$G$36))</f>
        <v>766.587103400997</v>
      </c>
    </row>
    <row r="18">
      <c r="A18">
        <v>2</v>
      </c>
      <c r="B18">
        <f>B17+3</f>
        <v>10</v>
      </c>
      <c r="C18">
        <f>$J$11+B18</f>
        <v>39458</v>
      </c>
      <c r="E18">
        <f>IF(((SUM(ReDiarioFert!C14:C20)/2)*$C$12)&lt;=0,"0",(((SUM(ReDiarioFert!C14:C20)/2)*$C$12)))</f>
        <v>37.93548738185256</v>
      </c>
      <c r="G18">
        <f>IF(((SUM(ReDiarioFert!E14:E20)/2)*$C$12)&lt;=0,"0",(((SUM(ReDiarioFert!E14:E20)/2)*$C$12)))</f>
        <v>6.504323913043477</v>
      </c>
      <c r="I18">
        <f>IF(((SUM(ReDiarioFert!G14:G20)/2)*$C$12)&lt;=0,"0",(((SUM(ReDiarioFert!G14:G20)/2)*$C$12)))</f>
        <v>26.066039999999997</v>
      </c>
      <c r="K18">
        <f>IF(((SUM(ReDiarioFert!I14:I20)/2)*$C$12)&lt;=0,"0",(((SUM(ReDiarioFert!I14:I20)/2)*$C$12)))</f>
        <v>25.093526441896284</v>
      </c>
      <c r="M18">
        <f>IF(((SUM(ReDiarioFert!K14:K20)/2)*$C$12)&lt;=0,"0",(((SUM(ReDiarioFert!K14:K20)/2)*$C$12)))</f>
        <v>1.8621380874096e-12</v>
      </c>
      <c r="O18">
        <f>IF(((SUM(ReDiarioFert!M14:M20)/2)*$C$12)&lt;=0,"0",(((SUM(ReDiarioFert!M14:M20)/2)*$C$12)))</f>
        <v>0.025998272299999996</v>
      </c>
      <c r="Q18">
        <f>$C$12*Main!$D$63</f>
        <v>0</v>
      </c>
      <c r="S18">
        <f>((E18/100)*$G$30+(G18/100)*$G$31+(I18/100)*$G$32+(K18/100)*$G$33+(M18/100)*$G$34+(O18)*$G$35+(Q18*$G$36))</f>
        <v>766.587103400997</v>
      </c>
    </row>
    <row r="19">
      <c r="B19">
        <f>B18+4</f>
        <v>14</v>
      </c>
      <c r="C19">
        <f>$J$11+B19</f>
        <v>39462</v>
      </c>
      <c r="E19">
        <f>E18</f>
        <v>37.93548738185256</v>
      </c>
      <c r="G19">
        <f>G18</f>
        <v>6.504323913043477</v>
      </c>
      <c r="I19">
        <f>I18</f>
        <v>26.066039999999997</v>
      </c>
      <c r="K19">
        <f>K18</f>
        <v>25.093526441896284</v>
      </c>
      <c r="M19">
        <f>M18</f>
        <v>1.8621380874096e-12</v>
      </c>
      <c r="O19">
        <f>O18</f>
        <v>0.025998272299999996</v>
      </c>
      <c r="S19">
        <f>((E19/100)*$G$30+(G19/100)*$G$31+(I19/100)*$G$32+(K19/100)*$G$33+(M19/100)*$G$34+(O19)*$G$35+(Q19*$G$36))</f>
        <v>766.587103400997</v>
      </c>
    </row>
    <row r="20">
      <c r="A20">
        <v>3</v>
      </c>
      <c r="B20">
        <f>B19+3</f>
        <v>17</v>
      </c>
      <c r="C20">
        <f>$J$11+B20</f>
        <v>39465</v>
      </c>
      <c r="E20">
        <f>IF(((SUM(ReDiarioFert!C21:C27)/2)*$C$12)&lt;=0,"0",(((SUM(ReDiarioFert!C21:C27)/2)*$C$12)))</f>
        <v>37.93548738185256</v>
      </c>
      <c r="G20">
        <f>IF(((SUM(ReDiarioFert!E21:E27)/2)*$C$12)&lt;=0,"0",(((SUM(ReDiarioFert!E21:E27)/2)*$C$12)))</f>
        <v>6.504323913043477</v>
      </c>
      <c r="I20">
        <f>IF(((SUM(ReDiarioFert!G21:G27)/2)*$C$12)&lt;=0,"0",(((SUM(ReDiarioFert!G21:G27)/2)*$C$12)))</f>
        <v>26.066039999999997</v>
      </c>
      <c r="K20">
        <f>IF(((SUM(ReDiarioFert!I21:I27)/2)*$C$12)&lt;=0,"0",(((SUM(ReDiarioFert!I21:I27)/2)*$C$12)))</f>
        <v>25.093526441896284</v>
      </c>
      <c r="M20">
        <f>IF(((SUM(ReDiarioFert!K21:K27)/2)*$C$12)&lt;=0,"0",(((SUM(ReDiarioFert!K21:K27)/2)*$C$12)))</f>
        <v>1.8621380874096e-12</v>
      </c>
      <c r="O20">
        <f>IF(((SUM(ReDiarioFert!M21:M27)/2)*$C$12)&lt;=0,"0",(((SUM(ReDiarioFert!M21:M27)/2)*$C$12)))</f>
        <v>0.03823264445</v>
      </c>
      <c r="Q20">
        <f>$C$12*Main!$D$63</f>
        <v>0</v>
      </c>
      <c r="S20">
        <f>((E20/100)*$G$30+(G20/100)*$G$31+(I20/100)*$G$32+(K20/100)*$G$33+(M20/100)*$G$34+(O20)*$G$35+(Q20*$G$36))</f>
        <v>766.587103400997</v>
      </c>
    </row>
    <row r="21">
      <c r="B21">
        <f>B20+4</f>
        <v>21</v>
      </c>
      <c r="C21">
        <f>$J$11+B21</f>
        <v>39469</v>
      </c>
      <c r="E21">
        <f>E20</f>
        <v>37.93548738185256</v>
      </c>
      <c r="G21">
        <f>G20</f>
        <v>6.504323913043477</v>
      </c>
      <c r="I21">
        <f>I20</f>
        <v>26.066039999999997</v>
      </c>
      <c r="K21">
        <f>K20</f>
        <v>25.093526441896284</v>
      </c>
      <c r="M21">
        <f>M20</f>
        <v>1.8621380874096e-12</v>
      </c>
      <c r="O21">
        <f>O20</f>
        <v>0.03823264445</v>
      </c>
      <c r="S21">
        <f>((E21/100)*$G$30+(G21/100)*$G$31+(I21/100)*$G$32+(K21/100)*$G$33+(M21/100)*$G$34+(O21)*$G$35+(Q21*$G$36))</f>
        <v>766.587103400997</v>
      </c>
    </row>
    <row r="22">
      <c r="A22">
        <v>4</v>
      </c>
      <c r="B22">
        <f>B21+3</f>
        <v>24</v>
      </c>
      <c r="C22">
        <f>$J$11+B22</f>
        <v>39472</v>
      </c>
      <c r="E22">
        <f>IF(((SUM(ReDiarioFert!C28:C34)/2)*$C$12)&lt;=0,"0",(((SUM(ReDiarioFert!C28:C34)/2)*$C$12)))</f>
        <v>37.93548738185256</v>
      </c>
      <c r="G22">
        <f>IF(((SUM(ReDiarioFert!E28:E34)/2)*$C$12)&lt;=0,"0",(((SUM(ReDiarioFert!E28:E34)/2)*$C$12)))</f>
        <v>6.504323913043477</v>
      </c>
      <c r="I22">
        <f>IF(((SUM(ReDiarioFert!G28:G34)/2)*$C$12)&lt;=0,"0",(((SUM(ReDiarioFert!G28:G34)/2)*$C$12)))</f>
        <v>26.066039999999997</v>
      </c>
      <c r="K22">
        <f>IF(((SUM(ReDiarioFert!I28:I34)/2)*$C$12)&lt;=0,"0",(((SUM(ReDiarioFert!I28:I34)/2)*$C$12)))</f>
        <v>25.093526441896284</v>
      </c>
      <c r="M22">
        <f>IF(((SUM(ReDiarioFert!K28:K34)/2)*$C$12)&lt;=0,"0",(((SUM(ReDiarioFert!K28:K34)/2)*$C$12)))</f>
        <v>1.8621380874096e-12</v>
      </c>
      <c r="O22">
        <f>IF(((SUM(ReDiarioFert!M28:M34)/2)*$C$12)&lt;=0,"0",(((SUM(ReDiarioFert!M28:M34)/2)*$C$12)))</f>
        <v>0.0428204777</v>
      </c>
      <c r="Q22">
        <f>$C$12*Main!$D$63</f>
        <v>0</v>
      </c>
      <c r="S22">
        <f>((E22/100)*$G$30+(G22/100)*$G$31+(I22/100)*$G$32+(K22/100)*$G$33+(M22/100)*$G$34+(O22)*$G$35+(Q22*$G$36))</f>
        <v>766.587103400997</v>
      </c>
    </row>
    <row r="23">
      <c r="B23">
        <f>B22+4</f>
        <v>28</v>
      </c>
      <c r="C23">
        <f>$J$11+B23</f>
        <v>39476</v>
      </c>
      <c r="E23">
        <f>E22</f>
        <v>37.93548738185256</v>
      </c>
      <c r="G23">
        <f>G22</f>
        <v>6.504323913043477</v>
      </c>
      <c r="I23">
        <f>I22</f>
        <v>26.066039999999997</v>
      </c>
      <c r="K23">
        <f>K22</f>
        <v>25.093526441896284</v>
      </c>
      <c r="M23">
        <f>M22</f>
        <v>1.8621380874096e-12</v>
      </c>
      <c r="O23">
        <f>O22</f>
        <v>0.0428204777</v>
      </c>
      <c r="S23">
        <f>((E23/100)*$G$30+(G23/100)*$G$31+(I23/100)*$G$32+(K23/100)*$G$33+(M23/100)*$G$34+(O23)*$G$35+(Q23*$G$36))</f>
        <v>766.587103400997</v>
      </c>
    </row>
    <row r="24">
      <c r="A24">
        <v>5</v>
      </c>
      <c r="B24">
        <f>B23+3</f>
        <v>31</v>
      </c>
      <c r="C24">
        <f>$J$11+B24</f>
        <v>39479</v>
      </c>
      <c r="E24">
        <f>IF(((SUM(ReDiarioFert!C35:C41)/2)*$C$12)&lt;=0,"0",(((SUM(ReDiarioFert!C35:C41)/2)*$C$12)))</f>
        <v>37.93548738185256</v>
      </c>
      <c r="G24">
        <f>IF(((SUM(ReDiarioFert!E35:E41)/2)*$C$12)&lt;=0,"0",(((SUM(ReDiarioFert!E35:E41)/2)*$C$12)))</f>
        <v>6.504323913043477</v>
      </c>
      <c r="I24">
        <f>IF(((SUM(ReDiarioFert!G35:G41)/2)*$C$12)&lt;=0,"0",(((SUM(ReDiarioFert!G35:G41)/2)*$C$12)))</f>
        <v>26.066039999999997</v>
      </c>
      <c r="K24">
        <f>IF(((SUM(ReDiarioFert!I35:I41)/2)*$C$12)&lt;=0,"0",(((SUM(ReDiarioFert!I35:I41)/2)*$C$12)))</f>
        <v>25.093526441896284</v>
      </c>
      <c r="M24">
        <f>IF(((SUM(ReDiarioFert!K35:K41)/2)*$C$12)&lt;=0,"0",(((SUM(ReDiarioFert!K35:K41)/2)*$C$12)))</f>
        <v>1.8621380874096e-12</v>
      </c>
      <c r="O24">
        <f>IF(((SUM(ReDiarioFert!M35:M41)/2)*$C$12)&lt;=0,"0",(((SUM(ReDiarioFert!M35:M41)/2)*$C$12)))</f>
        <v>0.05046716674999999</v>
      </c>
      <c r="Q24">
        <f>$C$12*Main!$D$63</f>
        <v>0</v>
      </c>
      <c r="S24">
        <f>((E24/100)*$G$30+(G24/100)*$G$31+(I24/100)*$G$32+(K24/100)*$G$33+(M24/100)*$G$34+(O24)*$G$35+(Q24*$G$36))</f>
        <v>766.587103400997</v>
      </c>
    </row>
    <row r="25">
      <c r="B25">
        <f>B24+4</f>
        <v>35</v>
      </c>
      <c r="C25">
        <f>$J$11+B25</f>
        <v>39483</v>
      </c>
      <c r="E25">
        <f>E24</f>
        <v>37.93548738185256</v>
      </c>
      <c r="G25">
        <f>G24</f>
        <v>6.504323913043477</v>
      </c>
      <c r="I25">
        <f>I24</f>
        <v>26.066039999999997</v>
      </c>
      <c r="K25">
        <f>K24</f>
        <v>25.093526441896284</v>
      </c>
      <c r="M25">
        <f>M24</f>
        <v>1.8621380874096e-12</v>
      </c>
      <c r="O25">
        <f>O24</f>
        <v>0.05046716674999999</v>
      </c>
      <c r="S25">
        <f>((E25/100)*$G$30+(G25/100)*$G$31+(I25/100)*$G$32+(K25/100)*$G$33+(M25/100)*$G$34+(O25)*$G$35+(Q25*$G$36))</f>
        <v>766.587103400997</v>
      </c>
    </row>
    <row r="26">
      <c r="C26" t="str">
        <v>Total</v>
      </c>
      <c r="E26">
        <f>SUM(E16:E25)</f>
        <v>379.3548738185256</v>
      </c>
      <c r="G26">
        <f>SUM(G16:G25)</f>
        <v>65.04323913043477</v>
      </c>
      <c r="I26">
        <f>SUM(I16:I25)</f>
        <v>260.6603999999999</v>
      </c>
      <c r="K26">
        <f>SUM(K16:K25)</f>
        <v>250.9352644189628</v>
      </c>
      <c r="M26">
        <f>SUM(M16:M25)</f>
        <v>1.8621380874096004e-11</v>
      </c>
      <c r="O26">
        <f>SUM(O16:O25)</f>
        <v>0.3507209706</v>
      </c>
      <c r="Q26">
        <f>SUM(Q16:Q25)</f>
        <v>0</v>
      </c>
      <c r="S26">
        <f>SUM(S16:S25)</f>
        <v>7665.87103400997</v>
      </c>
    </row>
    <row r="27">
      <c r="D27" t="str">
        <v>OJO cualquier cultivo que no se termine la cosecha en el ultimo día del calendario solo seguir repitiendo la ultima aplicación de fertilizante.</v>
      </c>
    </row>
    <row r="28" ht="39.75" customHeight="1">
      <c r="B28" t="str">
        <v>Producto</v>
      </c>
      <c r="F28" t="str">
        <v>Lbs/Ha</v>
      </c>
      <c r="G28" t="str">
        <v>Costo por qq</v>
      </c>
    </row>
    <row r="29" ht="24" customHeight="1">
      <c r="G29" t="str">
        <f>Main!$E$25</f>
        <v>Lempiras</v>
      </c>
    </row>
    <row r="30">
      <c r="B30" t="str">
        <f>Main!D42</f>
        <v>Urea</v>
      </c>
      <c r="F30">
        <f>E26/C12</f>
        <v>378.97589792060506</v>
      </c>
      <c r="G30">
        <f>Main!D43</f>
        <v>650</v>
      </c>
    </row>
    <row r="31">
      <c r="B31" t="str">
        <f>Main!D32</f>
        <v>DAP 18-46-0</v>
      </c>
      <c r="F31">
        <f>G26/C12</f>
        <v>64.97826086956522</v>
      </c>
      <c r="G31">
        <f>Main!D33</f>
        <v>1200</v>
      </c>
    </row>
    <row r="32">
      <c r="B32" t="str">
        <f>Main!D37</f>
        <v>Kcl Soluble</v>
      </c>
      <c r="F32">
        <f>I26/C12</f>
        <v>260.4</v>
      </c>
      <c r="G32">
        <f>Main!D38</f>
        <v>780</v>
      </c>
    </row>
    <row r="33">
      <c r="B33" t="str">
        <f>Main!D47</f>
        <v>Sulfato de Magnesio</v>
      </c>
      <c r="F33">
        <f>K26/C12</f>
        <v>250.6845798391237</v>
      </c>
      <c r="G33">
        <f>Main!D48</f>
        <v>951</v>
      </c>
    </row>
    <row r="34">
      <c r="B34" t="str">
        <f>Main!D52</f>
        <v>Sin Calcio</v>
      </c>
      <c r="F34">
        <f>M26/C12</f>
        <v>1.8602778096000007e-11</v>
      </c>
      <c r="G34">
        <f>Main!D53</f>
        <v>0</v>
      </c>
    </row>
    <row r="35">
      <c r="B35" t="str">
        <f>Main!D57</f>
        <v>Sin Boro</v>
      </c>
      <c r="F35">
        <f>O26/C12</f>
        <v>0.35037060000000003</v>
      </c>
      <c r="G35">
        <f>Main!D58</f>
        <v>0</v>
      </c>
      <c r="I35" t="str">
        <v xml:space="preserve">Preparado y Autorizado Por </v>
      </c>
    </row>
    <row r="36" ht="18" customHeight="1">
      <c r="B36" t="str">
        <f>Main!D61</f>
        <v>Sin Melaza</v>
      </c>
      <c r="F36">
        <f>Q26/C12</f>
        <v>0</v>
      </c>
      <c r="G36">
        <f>Main!D62</f>
        <v>0</v>
      </c>
      <c r="I36" t="str">
        <v>MSc Ricardo D. Lardizábal</v>
      </c>
    </row>
    <row r="37" ht="17.4" customHeight="1">
      <c r="B37" t="str">
        <v>NOTA: El Nitrato de Calcio se debe de diluir en un barril aparte para inyectarse al sistema</v>
      </c>
    </row>
    <row r="40">
      <c r="B40" t="str">
        <v>Abreviaciones usadas</v>
      </c>
    </row>
    <row r="41">
      <c r="B41" t="str">
        <v>Mz.-Manzanas, Ha-Hectáreas, Lbs-Libras, Lts-Litros y DDT-Días después de Trasplante</v>
      </c>
    </row>
  </sheetData>
  <sheetProtection sheet="1"/>
  <mergeCells count="53">
    <mergeCell ref="G31:H31"/>
    <mergeCell ref="J9:N9"/>
    <mergeCell ref="J10:N10"/>
    <mergeCell ref="J11:N11"/>
    <mergeCell ref="J12:N12"/>
    <mergeCell ref="G11:I11"/>
    <mergeCell ref="G12:I12"/>
    <mergeCell ref="G32:H32"/>
    <mergeCell ref="S14:S15"/>
    <mergeCell ref="O14:P14"/>
    <mergeCell ref="Q14:R14"/>
    <mergeCell ref="G14:H14"/>
    <mergeCell ref="I14:J14"/>
    <mergeCell ref="K14:L14"/>
    <mergeCell ref="M14:N14"/>
    <mergeCell ref="G29:H29"/>
    <mergeCell ref="G30:H30"/>
    <mergeCell ref="A14:A15"/>
    <mergeCell ref="B14:B15"/>
    <mergeCell ref="A11:B11"/>
    <mergeCell ref="A12:B12"/>
    <mergeCell ref="C11:F11"/>
    <mergeCell ref="C12:F12"/>
    <mergeCell ref="B41:S41"/>
    <mergeCell ref="E14:F14"/>
    <mergeCell ref="B40:C40"/>
    <mergeCell ref="B36:E36"/>
    <mergeCell ref="B28:E28"/>
    <mergeCell ref="B30:E30"/>
    <mergeCell ref="B31:E31"/>
    <mergeCell ref="B32:E32"/>
    <mergeCell ref="C14:D14"/>
    <mergeCell ref="G28:H28"/>
    <mergeCell ref="B37:I38"/>
    <mergeCell ref="B34:E34"/>
    <mergeCell ref="B33:E33"/>
    <mergeCell ref="I36:Q36"/>
    <mergeCell ref="B35:E35"/>
    <mergeCell ref="G36:H36"/>
    <mergeCell ref="G35:H35"/>
    <mergeCell ref="G33:H33"/>
    <mergeCell ref="G34:H34"/>
    <mergeCell ref="I35:Q35"/>
    <mergeCell ref="P9:S12"/>
    <mergeCell ref="P5:S7"/>
    <mergeCell ref="A8:N8"/>
    <mergeCell ref="P2:S3"/>
    <mergeCell ref="A10:B10"/>
    <mergeCell ref="G9:I9"/>
    <mergeCell ref="G10:I10"/>
    <mergeCell ref="A9:B9"/>
    <mergeCell ref="C9:F9"/>
    <mergeCell ref="C10:F10"/>
  </mergeCells>
  <pageMargins left="0.25" right="0.25" top="0.35" bottom="0.52" header="0.25" footer="0.25"/>
  <ignoredErrors>
    <ignoredError numberStoredAsText="1" sqref="A1:V50"/>
  </ignoredErrors>
  <legacyDrawing r:id="rId1"/>
</worksheet>
</file>

<file path=xl/worksheets/sheet8.xml><?xml version="1.0" encoding="utf-8"?>
<worksheet xmlns="http://schemas.openxmlformats.org/spreadsheetml/2006/main" xmlns:r="http://schemas.openxmlformats.org/officeDocument/2006/relationships">
  <dimension ref="A1:V43"/>
  <sheetViews>
    <sheetView workbookViewId="0" rightToLeft="0"/>
  </sheetViews>
  <sheetData>
    <row r="1" ht="32.7" customHeight="1"/>
    <row r="2" ht="32.7" customHeight="1">
      <c r="P2" t="str">
        <v>Calendario de Fertilización para Goteo 1 Vez Por Semana</v>
      </c>
    </row>
    <row r="3" ht="32.7" customHeight="1"/>
    <row r="5">
      <c r="P5" t="str">
        <f>Main!$E$21</f>
        <v>Pasto de Corte</v>
      </c>
    </row>
    <row r="6" ht="29.25" customHeight="1"/>
    <row r="7" ht="26.25" customHeight="1"/>
    <row r="8" ht="27.600000000000005" customHeight="1">
      <c r="A8" t="str">
        <f>Main!$C$13</f>
        <v>"Fertilización Continua"</v>
      </c>
    </row>
    <row r="9" ht="20.1" customHeight="1">
      <c r="A9" t="str">
        <v>Productor</v>
      </c>
      <c r="C9" t="str">
        <f>Main!E17</f>
        <v>IAGSA</v>
      </c>
      <c r="G9" t="str">
        <v>Parcela</v>
      </c>
      <c r="J9" t="str">
        <f>Main!E19</f>
        <v>Finca 8</v>
      </c>
      <c r="P9" t="str">
        <f>Main!$G$21</f>
        <v>King Grass</v>
      </c>
    </row>
    <row r="10" ht="20.1" customHeight="1">
      <c r="A10" t="str">
        <v>Zona</v>
      </c>
      <c r="C10" t="str">
        <f>Main!E18</f>
        <v>Comayagua</v>
      </c>
      <c r="G10" t="str">
        <v>Técnico</v>
      </c>
      <c r="J10" t="str">
        <f>Main!E20</f>
        <v>Raca</v>
      </c>
    </row>
    <row r="11" ht="20.1" customHeight="1">
      <c r="A11" t="str">
        <v>Área Mz.</v>
      </c>
      <c r="C11">
        <f>Main!E22</f>
        <v>1.43</v>
      </c>
      <c r="G11" t="str">
        <v>Fecha:</v>
      </c>
      <c r="J11">
        <f>Main!E23</f>
        <v>39448</v>
      </c>
    </row>
    <row r="12" ht="20.1" customHeight="1">
      <c r="A12" t="str">
        <v>Área Ha.</v>
      </c>
      <c r="C12">
        <f>Main!I22</f>
        <v>1.001</v>
      </c>
      <c r="G12" t="str">
        <v>Fecha de Cosecha:</v>
      </c>
      <c r="J12">
        <f>J11+Main!E24</f>
        <v>39478</v>
      </c>
    </row>
    <row r="13" ht="19.5" customHeight="1"/>
    <row r="14" ht="26.39999999999999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ht="18.75" customHeight="1">
      <c r="A16">
        <v>1</v>
      </c>
      <c r="B16">
        <v>1</v>
      </c>
      <c r="C16">
        <f>$J$11+B16</f>
        <v>39449</v>
      </c>
      <c r="E16">
        <f>IF((SUM(ReDiarioFert!C7:C13)*$C$12)&lt;=0,"0",((SUM(ReDiarioFert!C7:C13)*$C$12)))</f>
        <v>75.87097476370512</v>
      </c>
      <c r="G16">
        <f>IF((SUM(ReDiarioFert!E7:E13)*$C$12)&lt;=0,"0",((SUM(ReDiarioFert!E7:E13)*$C$12)))</f>
        <v>13.008647826086953</v>
      </c>
      <c r="I16">
        <f>IF((SUM(ReDiarioFert!G7:G13)*$C$12)&lt;=0,"0",((SUM(ReDiarioFert!G7:G13)*$C$12)))</f>
        <v>52.132079999999995</v>
      </c>
      <c r="K16">
        <f>IF((SUM(ReDiarioFert!I7:I13)*$C$12)&lt;=0,"0",((SUM(ReDiarioFert!I7:I13)*$C$12)))</f>
        <v>50.18705288379257</v>
      </c>
      <c r="M16">
        <f>IF((SUM(ReDiarioFert!K7:K13)*$C$12)&lt;=0,"0",((SUM(ReDiarioFert!K7:K13)*$C$12)))</f>
        <v>3.7242761748192e-12</v>
      </c>
      <c r="O16">
        <f>IF((SUM(ReDiarioFert!M7:M13)*$C$12)&lt;=0,"0",((SUM(ReDiarioFert!M7:M13)*$C$12)))</f>
        <v>0.03568384819999999</v>
      </c>
      <c r="Q16">
        <f>$C$12*Main!$D$63</f>
        <v>0</v>
      </c>
      <c r="S16">
        <f>((E16/100)*$G$25+(G16/100)*$G$26+(I16/100)*$G$27+(K16/100)*$G$28+(M16/100)*$G$29+(O16)*$G$30+(Q16*$G$31))</f>
        <v>1533.174206801994</v>
      </c>
    </row>
    <row r="17">
      <c r="A17">
        <v>2</v>
      </c>
      <c r="B17">
        <v>8</v>
      </c>
      <c r="C17">
        <f>$J$11+B17</f>
        <v>39456</v>
      </c>
      <c r="E17">
        <f>IF((SUM(ReDiarioFert!C14:C20)*$C$12)&lt;=0,"0",((SUM(ReDiarioFert!C14:C20)*$C$12)))</f>
        <v>75.87097476370512</v>
      </c>
      <c r="G17">
        <f>IF((SUM(ReDiarioFert!E14:E20)*$C$12)&lt;=0,"0",((SUM(ReDiarioFert!E14:E20)*$C$12)))</f>
        <v>13.008647826086953</v>
      </c>
      <c r="I17">
        <f>IF((SUM(ReDiarioFert!G14:G20)*$C$12)&lt;=0,"0",((SUM(ReDiarioFert!G14:G20)*$C$12)))</f>
        <v>52.132079999999995</v>
      </c>
      <c r="K17">
        <f>IF((SUM(ReDiarioFert!I14:I20)*$C$12)&lt;=0,"0",((SUM(ReDiarioFert!I14:I20)*$C$12)))</f>
        <v>50.18705288379257</v>
      </c>
      <c r="M17">
        <f>IF((SUM(ReDiarioFert!K14:K20)*$C$12)&lt;=0,"0",((SUM(ReDiarioFert!K14:K20)*$C$12)))</f>
        <v>3.7242761748192e-12</v>
      </c>
      <c r="O17">
        <f>IF((SUM(ReDiarioFert!M14:M20)*$C$12)&lt;=0,"0",((SUM(ReDiarioFert!M14:M20)*$C$12)))</f>
        <v>0.05199654459999999</v>
      </c>
      <c r="Q17">
        <f>$C$12*Main!$D$63</f>
        <v>0</v>
      </c>
      <c r="S17">
        <f>((E17/100)*$G$25+(G17/100)*$G$26+(I17/100)*$G$27+(K17/100)*$G$28+(M17/100)*$G$29+(O17)*$G$30+(Q17*$G$31))</f>
        <v>1533.174206801994</v>
      </c>
    </row>
    <row r="18">
      <c r="A18">
        <v>3</v>
      </c>
      <c r="B18">
        <v>15</v>
      </c>
      <c r="C18">
        <f>$J$11+B18</f>
        <v>39463</v>
      </c>
      <c r="E18">
        <f>IF((SUM(ReDiarioFert!C21:C27)*$C$12)&lt;=0,"0",((SUM(ReDiarioFert!C21:C27)*$C$12)))</f>
        <v>75.87097476370512</v>
      </c>
      <c r="G18">
        <f>IF((SUM(ReDiarioFert!E21:E27)*$C$12)&lt;=0,"0",((SUM(ReDiarioFert!E21:E27)*$C$12)))</f>
        <v>13.008647826086953</v>
      </c>
      <c r="I18">
        <f>IF((SUM(ReDiarioFert!G21:G27)*$C$12)&lt;=0,"0",((SUM(ReDiarioFert!G21:G27)*$C$12)))</f>
        <v>52.132079999999995</v>
      </c>
      <c r="K18">
        <f>IF((SUM(ReDiarioFert!I21:I27)*$C$12)&lt;=0,"0",((SUM(ReDiarioFert!I21:I27)*$C$12)))</f>
        <v>50.18705288379257</v>
      </c>
      <c r="M18">
        <f>IF((SUM(ReDiarioFert!K21:K27)*$C$12)&lt;=0,"0",((SUM(ReDiarioFert!K21:K27)*$C$12)))</f>
        <v>3.7242761748192e-12</v>
      </c>
      <c r="O18">
        <f>IF((SUM(ReDiarioFert!M21:M27)*$C$12)&lt;=0,"0",((SUM(ReDiarioFert!M21:M27)*$C$12)))</f>
        <v>0.0764652889</v>
      </c>
      <c r="Q18">
        <f>$C$12*Main!$D$63</f>
        <v>0</v>
      </c>
      <c r="S18">
        <f>((E18/100)*$G$25+(G18/100)*$G$26+(I18/100)*$G$27+(K18/100)*$G$28+(M18/100)*$G$29+(O18)*$G$30+(Q18*$G$31))</f>
        <v>1533.174206801994</v>
      </c>
    </row>
    <row r="19">
      <c r="A19">
        <v>4</v>
      </c>
      <c r="B19">
        <v>22</v>
      </c>
      <c r="C19">
        <f>$J$11+B19</f>
        <v>39470</v>
      </c>
      <c r="E19">
        <f>IF((SUM(ReDiarioFert!C28:C34)*$C$12)&lt;=0,"0",((SUM(ReDiarioFert!C28:C34)*$C$12)))</f>
        <v>75.87097476370512</v>
      </c>
      <c r="G19">
        <f>IF((SUM(ReDiarioFert!E28:E34)*$C$12)&lt;=0,"0",((SUM(ReDiarioFert!E28:E34)*$C$12)))</f>
        <v>13.008647826086953</v>
      </c>
      <c r="I19">
        <f>IF((SUM(ReDiarioFert!G28:G34)*$C$12)&lt;=0,"0",((SUM(ReDiarioFert!G28:G34)*$C$12)))</f>
        <v>52.132079999999995</v>
      </c>
      <c r="K19">
        <f>IF((SUM(ReDiarioFert!I28:I34)*$C$12)&lt;=0,"0",((SUM(ReDiarioFert!I28:I34)*$C$12)))</f>
        <v>50.18705288379257</v>
      </c>
      <c r="M19">
        <f>IF((SUM(ReDiarioFert!K28:K34)*$C$12)&lt;=0,"0",((SUM(ReDiarioFert!K28:K34)*$C$12)))</f>
        <v>3.7242761748192e-12</v>
      </c>
      <c r="O19">
        <f>IF((SUM(ReDiarioFert!M28:M34)*$C$12)&lt;=0,"0",((SUM(ReDiarioFert!M28:M34)*$C$12)))</f>
        <v>0.0856409554</v>
      </c>
      <c r="Q19">
        <f>$C$12*Main!$D$63</f>
        <v>0</v>
      </c>
      <c r="S19">
        <f>((E19/100)*$G$25+(G19/100)*$G$26+(I19/100)*$G$27+(K19/100)*$G$28+(M19/100)*$G$29+(O19)*$G$30+(Q19*$G$31))</f>
        <v>1533.174206801994</v>
      </c>
    </row>
    <row r="20">
      <c r="A20">
        <v>5</v>
      </c>
      <c r="B20">
        <v>29</v>
      </c>
      <c r="C20">
        <f>$J$11+B20</f>
        <v>39477</v>
      </c>
      <c r="E20">
        <f>IF((SUM(ReDiarioFert!C35:C41)*$C$12)&lt;=0,"0",((SUM(ReDiarioFert!C35:C41)*$C$12)))</f>
        <v>75.87097476370512</v>
      </c>
      <c r="G20">
        <f>IF((SUM(ReDiarioFert!E35:E41)*$C$12)&lt;=0,"0",((SUM(ReDiarioFert!E35:E41)*$C$12)))</f>
        <v>13.008647826086953</v>
      </c>
      <c r="I20">
        <f>IF((SUM(ReDiarioFert!G35:G41)*$C$12)&lt;=0,"0",((SUM(ReDiarioFert!G35:G41)*$C$12)))</f>
        <v>52.132079999999995</v>
      </c>
      <c r="K20">
        <f>IF((SUM(ReDiarioFert!I35:I41)*$C$12)&lt;=0,"0",((SUM(ReDiarioFert!I35:I41)*$C$12)))</f>
        <v>50.18705288379257</v>
      </c>
      <c r="M20">
        <f>IF((SUM(ReDiarioFert!K35:K41)*$C$12)&lt;=0,"0",((SUM(ReDiarioFert!K35:K41)*$C$12)))</f>
        <v>3.7242761748192e-12</v>
      </c>
      <c r="O20">
        <f>IF((SUM(ReDiarioFert!M35:M41)*$C$12)&lt;=0,"0",((SUM(ReDiarioFert!M35:M41)*$C$12)))</f>
        <v>0.10093433349999999</v>
      </c>
      <c r="Q20">
        <f>$C$12*Main!$D$63</f>
        <v>0</v>
      </c>
      <c r="S20">
        <f>((E20/100)*$G$25+(G20/100)*$G$26+(I20/100)*$G$27+(K20/100)*$G$28+(M20/100)*$G$29+(O20)*$G$30+(Q20*$G$31))</f>
        <v>1533.174206801994</v>
      </c>
    </row>
    <row r="21">
      <c r="C21" t="str">
        <v>Total</v>
      </c>
      <c r="E21">
        <f>SUM(E16:E20)</f>
        <v>379.3548738185256</v>
      </c>
      <c r="G21">
        <f>SUM(G16:G20)</f>
        <v>65.04323913043477</v>
      </c>
      <c r="I21">
        <f>SUM(I16:I20)</f>
        <v>260.6604</v>
      </c>
      <c r="K21">
        <f>SUM(K16:K20)</f>
        <v>250.93526441896284</v>
      </c>
      <c r="M21">
        <f>SUM(M16:M20)</f>
        <v>1.8621380874096e-11</v>
      </c>
      <c r="O21">
        <f>SUM(O16:O20)</f>
        <v>0.35072097059999996</v>
      </c>
      <c r="Q21">
        <f>SUM(Q16:Q20)</f>
        <v>0</v>
      </c>
      <c r="S21">
        <f>SUM(S16:S20)</f>
        <v>7665.87103400997</v>
      </c>
    </row>
    <row r="22">
      <c r="D22" t="str">
        <v>OJO cualquier cultivo que no se termine la cosecha en el ultimo día del calendario solo seguir repitiendo la ultima aplicación de fertilizante.</v>
      </c>
    </row>
    <row r="23" ht="39.75" customHeight="1">
      <c r="B23" t="str">
        <v>Producto</v>
      </c>
      <c r="F23" t="str">
        <v>Lbs/Ha</v>
      </c>
      <c r="G23" t="str">
        <v>Costo por qq</v>
      </c>
    </row>
    <row r="24" ht="24" customHeight="1">
      <c r="G24" t="str">
        <f>Main!$E$25</f>
        <v>Lempiras</v>
      </c>
    </row>
    <row r="25">
      <c r="B25" t="str">
        <f>Main!D42</f>
        <v>Urea</v>
      </c>
      <c r="F25">
        <f>E21/C12</f>
        <v>378.97589792060506</v>
      </c>
      <c r="G25">
        <f>Main!D43</f>
        <v>650</v>
      </c>
    </row>
    <row r="26">
      <c r="B26" t="str">
        <f>Main!D32</f>
        <v>DAP 18-46-0</v>
      </c>
      <c r="F26">
        <f>G21/C12</f>
        <v>64.97826086956522</v>
      </c>
      <c r="G26">
        <f>Main!D33</f>
        <v>1200</v>
      </c>
    </row>
    <row r="27">
      <c r="B27" t="str">
        <f>Main!D37</f>
        <v>Kcl Soluble</v>
      </c>
      <c r="F27">
        <f>I21/C12</f>
        <v>260.40000000000003</v>
      </c>
      <c r="G27">
        <f>Main!D38</f>
        <v>780</v>
      </c>
    </row>
    <row r="28">
      <c r="B28" t="str">
        <f>Main!D47</f>
        <v>Sulfato de Magnesio</v>
      </c>
      <c r="F28">
        <f>K21/C12</f>
        <v>250.68457983912376</v>
      </c>
      <c r="G28">
        <f>Main!D48</f>
        <v>951</v>
      </c>
    </row>
    <row r="29">
      <c r="B29" t="str">
        <f>Main!D52</f>
        <v>Sin Calcio</v>
      </c>
      <c r="F29">
        <f>M21/C12</f>
        <v>1.8602778096000003e-11</v>
      </c>
      <c r="G29">
        <f>Main!D53</f>
        <v>0</v>
      </c>
    </row>
    <row r="30">
      <c r="B30" t="str">
        <f>Main!D57</f>
        <v>Sin Boro</v>
      </c>
      <c r="F30">
        <f>O21/C12</f>
        <v>0.3503706</v>
      </c>
      <c r="G30">
        <f>Main!D58</f>
        <v>0</v>
      </c>
      <c r="I30" t="str">
        <v xml:space="preserve">Preparado y Autorizado Por </v>
      </c>
    </row>
    <row r="31" ht="18" customHeight="1">
      <c r="B31" t="str">
        <f>Main!D61</f>
        <v>Sin Melaza</v>
      </c>
      <c r="F31">
        <f>Q21/C12</f>
        <v>0</v>
      </c>
      <c r="G31">
        <f>Main!D62</f>
        <v>0</v>
      </c>
      <c r="I31" t="str">
        <v>MSc Ricardo D. Lardizábal</v>
      </c>
    </row>
    <row r="32" ht="17.4" customHeight="1">
      <c r="B32" t="str">
        <v>NOTA: El Nitrato de Calcio se debe de diluir en un barril aparte para inyectarse al sistema</v>
      </c>
    </row>
    <row r="34">
      <c r="B34" t="str">
        <v>Abreviaciones usadas</v>
      </c>
    </row>
    <row r="35">
      <c r="B35" t="str">
        <v>Mz.-Manzanas, Ha-Hectáreas, Lbs-Libras, Lts-Litros y DDT-Días después de Trasplante</v>
      </c>
    </row>
  </sheetData>
  <sheetProtection sheet="1"/>
  <mergeCells count="55">
    <mergeCell ref="I30:Q30"/>
    <mergeCell ref="I31:Q31"/>
    <mergeCell ref="G12:I12"/>
    <mergeCell ref="J12:M12"/>
    <mergeCell ref="I28:Q28"/>
    <mergeCell ref="I27:Q27"/>
    <mergeCell ref="G27:H27"/>
    <mergeCell ref="G28:H28"/>
    <mergeCell ref="G26:H26"/>
    <mergeCell ref="G14:H14"/>
    <mergeCell ref="B28:E28"/>
    <mergeCell ref="B23:E23"/>
    <mergeCell ref="B25:E25"/>
    <mergeCell ref="G23:H23"/>
    <mergeCell ref="G24:H24"/>
    <mergeCell ref="B30:E30"/>
    <mergeCell ref="G29:H29"/>
    <mergeCell ref="G30:H30"/>
    <mergeCell ref="G25:H25"/>
    <mergeCell ref="S14:S15"/>
    <mergeCell ref="M14:N14"/>
    <mergeCell ref="O14:P14"/>
    <mergeCell ref="Q14:R14"/>
    <mergeCell ref="C12:F12"/>
    <mergeCell ref="E14:F14"/>
    <mergeCell ref="I14:J14"/>
    <mergeCell ref="J9:M9"/>
    <mergeCell ref="A14:A15"/>
    <mergeCell ref="B14:B15"/>
    <mergeCell ref="A10:B10"/>
    <mergeCell ref="A12:B12"/>
    <mergeCell ref="A11:B11"/>
    <mergeCell ref="K14:L14"/>
    <mergeCell ref="C14:D14"/>
    <mergeCell ref="C9:F9"/>
    <mergeCell ref="B34:C34"/>
    <mergeCell ref="B26:E26"/>
    <mergeCell ref="B27:E27"/>
    <mergeCell ref="P9:S12"/>
    <mergeCell ref="G11:I11"/>
    <mergeCell ref="J10:M10"/>
    <mergeCell ref="B31:E31"/>
    <mergeCell ref="B29:E29"/>
    <mergeCell ref="B32:I33"/>
    <mergeCell ref="G31:H31"/>
    <mergeCell ref="B35:S35"/>
    <mergeCell ref="P5:S7"/>
    <mergeCell ref="P2:S3"/>
    <mergeCell ref="A8:M8"/>
    <mergeCell ref="C11:F11"/>
    <mergeCell ref="C10:F10"/>
    <mergeCell ref="G10:I10"/>
    <mergeCell ref="A9:B9"/>
    <mergeCell ref="G9:I9"/>
    <mergeCell ref="J11:M11"/>
  </mergeCells>
  <pageMargins left="0.35" right="0.25" top="0.32" bottom="0.53" header="0.17" footer="0.16"/>
  <ignoredErrors>
    <ignoredError numberStoredAsText="1" sqref="A1:V43"/>
  </ignoredErrors>
  <legacyDrawing r:id="rId1"/>
</worksheet>
</file>

<file path=xl/worksheets/sheet9.xml><?xml version="1.0" encoding="utf-8"?>
<worksheet xmlns="http://schemas.openxmlformats.org/spreadsheetml/2006/main" xmlns:r="http://schemas.openxmlformats.org/officeDocument/2006/relationships">
  <dimension ref="A1:T34"/>
  <sheetViews>
    <sheetView workbookViewId="0" rightToLeft="0"/>
  </sheetViews>
  <sheetData>
    <row r="1" ht="32.7" customHeight="1"/>
    <row r="2" ht="32.7" customHeight="1">
      <c r="P2" t="str">
        <v>Calendario de Fertilización Cada 14 Días o a Mano</v>
      </c>
    </row>
    <row r="3" ht="32.4" customHeight="1"/>
    <row r="5">
      <c r="P5" t="str">
        <f>Main!$E$21</f>
        <v>Pasto de Corte</v>
      </c>
    </row>
    <row r="6" ht="31.2" customHeight="1"/>
    <row r="7" ht="27" customHeight="1"/>
    <row r="8" ht="28.95" customHeight="1">
      <c r="A8" t="str">
        <f>Main!$C$13</f>
        <v>"Fertilización Continua"</v>
      </c>
    </row>
    <row r="9" ht="19.95" customHeight="1">
      <c r="A9" t="str">
        <v>Productor</v>
      </c>
      <c r="C9" t="str">
        <f>'1 Por Sem'!C9</f>
        <v>IAGSA</v>
      </c>
      <c r="F9" t="str">
        <v>Parcela</v>
      </c>
      <c r="I9" t="str">
        <f>'1 Por Sem'!J9</f>
        <v>Finca 8</v>
      </c>
      <c r="P9" t="str">
        <f>Main!$G$21</f>
        <v>King Grass</v>
      </c>
    </row>
    <row r="10" ht="19.95" customHeight="1">
      <c r="A10" t="str">
        <v>Zona</v>
      </c>
      <c r="C10" t="str">
        <f>'1 Por Sem'!C10</f>
        <v>Comayagua</v>
      </c>
      <c r="F10" t="str">
        <v>Técnico</v>
      </c>
      <c r="I10" t="str">
        <f>'1 Por Sem'!J10</f>
        <v>Raca</v>
      </c>
    </row>
    <row r="11" ht="19.95" customHeight="1">
      <c r="A11" t="str">
        <v>Área Mz.</v>
      </c>
      <c r="C11">
        <f>'1 Por Sem'!C11</f>
        <v>1.43</v>
      </c>
      <c r="F11" t="str">
        <v>Fecha</v>
      </c>
      <c r="I11">
        <f>'1 Por Sem'!J11</f>
        <v>39448</v>
      </c>
    </row>
    <row r="12" ht="19.95" customHeight="1">
      <c r="A12" t="str">
        <v>Área Ha.</v>
      </c>
      <c r="C12">
        <f>Main!I22</f>
        <v>1.001</v>
      </c>
      <c r="F12" t="str">
        <v>Fecha  de Cosecha</v>
      </c>
      <c r="I12">
        <f>'1 Por Sem'!J12</f>
        <v>39478</v>
      </c>
    </row>
    <row r="14" ht="28.95" customHeight="1">
      <c r="A14" t="str">
        <v>Semana</v>
      </c>
      <c r="B14" t="str">
        <v>DDT</v>
      </c>
      <c r="C14" t="str">
        <v>FECHA</v>
      </c>
      <c r="E14" t="str">
        <f>Main!$D$42</f>
        <v>Urea</v>
      </c>
      <c r="G14" t="str">
        <f>Main!$D$32</f>
        <v>DAP 18-46-0</v>
      </c>
      <c r="I14" t="str">
        <f>Main!$D$37</f>
        <v>Kcl Soluble</v>
      </c>
      <c r="K14" t="str">
        <f>Main!$D$47</f>
        <v>Sulfato de Magnesio</v>
      </c>
      <c r="M14" t="str">
        <f>Main!$D$52</f>
        <v>Sin Calcio</v>
      </c>
      <c r="O14" t="str">
        <f>Main!$D$57</f>
        <v>Sin Boro</v>
      </c>
      <c r="Q14" t="str">
        <f>Main!$D$61</f>
        <v>Sin 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f>Main!E52</f>
        <v>0</v>
      </c>
      <c r="N15" t="str">
        <v>Cambios</v>
      </c>
      <c r="O15">
        <f>Main!E57</f>
        <v>0</v>
      </c>
      <c r="P15" t="str">
        <v>Cambios</v>
      </c>
      <c r="Q15">
        <f>Main!$E$61</f>
        <v>0</v>
      </c>
      <c r="R15" t="str">
        <v>Cambios</v>
      </c>
    </row>
    <row r="16">
      <c r="A16">
        <v>2</v>
      </c>
      <c r="B16">
        <v>1</v>
      </c>
      <c r="C16">
        <f>$I$11+B16</f>
        <v>39449</v>
      </c>
      <c r="E16">
        <f>IF((SUM(ReDiarioFert!C7:C20)*$C$12)&lt;=0,"0",((SUM(ReDiarioFert!C7:C20)*$C$12)))</f>
        <v>151.74194952741027</v>
      </c>
      <c r="G16">
        <f>IF((SUM(ReDiarioFert!E7:E20)*$C$12)&lt;=0,"0",((SUM(ReDiarioFert!E7:E20)*$C$12)))</f>
        <v>26.017295652173914</v>
      </c>
      <c r="I16">
        <f>IF((SUM(ReDiarioFert!G7:G20)*$C$12)&lt;=0,"0",((SUM(ReDiarioFert!G7:G20)*$C$12)))</f>
        <v>104.26415999999998</v>
      </c>
      <c r="K16">
        <f>IF((SUM(ReDiarioFert!I7:I20)*$C$12)&lt;=0,"0",((SUM(ReDiarioFert!I7:I20)*$C$12)))</f>
        <v>100.37410576758514</v>
      </c>
      <c r="M16">
        <f>IF((SUM(ReDiarioFert!K7:K20)*$C$12)&lt;=0,"0",((SUM(ReDiarioFert!K7:K20)*$C$12)))</f>
        <v>7.4485523496384e-12</v>
      </c>
      <c r="O16">
        <f>IF((SUM(ReDiarioFert!M7:M20)*$C$12)&lt;=0,"0",((SUM(ReDiarioFert!M7:M20)*$C$12)))</f>
        <v>0.08768039279999999</v>
      </c>
      <c r="Q16">
        <f>$C$12*Main!$D$63</f>
        <v>0</v>
      </c>
      <c r="S16">
        <f>((E16/100)*$F$23+(G16/100)*$F$24+(I16/100)*$F$25+(K16/100)*$F$26+(M16/100)*$F$27+(O16)*$F$28+(Q16*$F$29))</f>
        <v>3066.3484136039883</v>
      </c>
    </row>
    <row r="17">
      <c r="A17">
        <v>4</v>
      </c>
      <c r="B17">
        <v>15</v>
      </c>
      <c r="C17">
        <f>$I$11+B17</f>
        <v>39463</v>
      </c>
      <c r="E17">
        <f>IF((SUM(ReDiarioFert!C21:C34)*$C$12)&lt;=0,"0",((SUM(ReDiarioFert!C21:C34)*$C$12)))</f>
        <v>151.74194952741027</v>
      </c>
      <c r="G17">
        <f>IF((SUM(ReDiarioFert!E21:E34)*$C$12)&lt;=0,"0",((SUM(ReDiarioFert!E21:E34)*$C$12)))</f>
        <v>26.017295652173914</v>
      </c>
      <c r="I17">
        <f>IF((SUM(ReDiarioFert!G21:G34)*$C$12)&lt;=0,"0",((SUM(ReDiarioFert!G21:G34)*$C$12)))</f>
        <v>104.26415999999998</v>
      </c>
      <c r="K17">
        <f>IF((SUM(ReDiarioFert!I21:I34)*$C$12)&lt;=0,"0",((SUM(ReDiarioFert!I21:I34)*$C$12)))</f>
        <v>100.37410576758514</v>
      </c>
      <c r="M17">
        <f>IF((SUM(ReDiarioFert!K21:K34)*$C$12)&lt;=0,"0",((SUM(ReDiarioFert!K21:K34)*$C$12)))</f>
        <v>7.4485523496384e-12</v>
      </c>
      <c r="O17">
        <f>IF((SUM(ReDiarioFert!M21:M34)*$C$12)&lt;=0,"0",((SUM(ReDiarioFert!M21:M34)*$C$12)))</f>
        <v>0.16210624429999998</v>
      </c>
      <c r="Q17">
        <f>$C$12*Main!$D$63</f>
        <v>0</v>
      </c>
      <c r="S17">
        <f>((E17/100)*$F$23+(G17/100)*$F$24+(I17/100)*$F$25+(K17/100)*$F$26+(M17/100)*$F$27+(O17)*$F$28+(Q17*$F$29))</f>
        <v>3066.3484136039883</v>
      </c>
    </row>
    <row r="18">
      <c r="A18">
        <v>6</v>
      </c>
      <c r="B18">
        <v>29</v>
      </c>
      <c r="C18">
        <f>$I$11+B18</f>
        <v>39477</v>
      </c>
      <c r="E18">
        <f>IF((SUM(ReDiarioFert!C35:C41)*$C$12)&lt;=0,"0",((SUM(ReDiarioFert!C35:C41)*$C$12)))</f>
        <v>75.87097476370512</v>
      </c>
      <c r="G18">
        <f>IF((SUM(ReDiarioFert!E35:E41)*$C$12)&lt;=0,"0",((SUM(ReDiarioFert!E35:E41)*$C$12)))</f>
        <v>13.008647826086953</v>
      </c>
      <c r="I18">
        <f>IF((SUM(ReDiarioFert!G35:G41)*$C$12)&lt;=0,"0",((SUM(ReDiarioFert!G35:G41)*$C$12)))</f>
        <v>52.132079999999995</v>
      </c>
      <c r="K18">
        <f>IF((SUM(ReDiarioFert!I35:I41)*$C$12)&lt;=0,"0",((SUM(ReDiarioFert!I35:I41)*$C$12)))</f>
        <v>50.18705288379257</v>
      </c>
      <c r="M18">
        <f>IF((SUM(ReDiarioFert!K35:K41)*$C$12)&lt;=0,"0",((SUM(ReDiarioFert!K35:K41)*$C$12)))</f>
        <v>3.7242761748192e-12</v>
      </c>
      <c r="O18">
        <f>IF((SUM(ReDiarioFert!M35:M41)*$C$12)&lt;=0,"0",((SUM(ReDiarioFert!M35:M41)*$C$12)))</f>
        <v>0.10093433349999999</v>
      </c>
      <c r="Q18">
        <f>$C$12*Main!$D$63</f>
        <v>0</v>
      </c>
      <c r="S18">
        <f>((E18/100)*$F$23+(G18/100)*$F$24+(I18/100)*$F$25+(K18/100)*$F$26+(M18/100)*$F$27+(O18)*$F$28+(Q18*$F$29))</f>
        <v>1533.174206801994</v>
      </c>
    </row>
    <row r="19">
      <c r="C19" t="str">
        <v>Total</v>
      </c>
      <c r="E19">
        <f>SUM(E16:E18)</f>
        <v>379.3548738185257</v>
      </c>
      <c r="G19">
        <f>SUM(G16:G18)</f>
        <v>65.04323913043478</v>
      </c>
      <c r="I19">
        <f>SUM(I16:I18)</f>
        <v>260.6603999999999</v>
      </c>
      <c r="K19">
        <f>SUM(K16:K18)</f>
        <v>250.93526441896284</v>
      </c>
      <c r="M19">
        <f>SUM(M16:M18)</f>
        <v>1.8621380874096e-11</v>
      </c>
      <c r="O19">
        <f>SUM(O16:O18)</f>
        <v>0.35072097059999996</v>
      </c>
      <c r="Q19">
        <f>SUM(Q16:Q18)</f>
        <v>0</v>
      </c>
      <c r="S19">
        <f>SUM(S16:S18)</f>
        <v>7665.871034009971</v>
      </c>
    </row>
    <row r="20">
      <c r="D20" t="str">
        <v>OJO cualquier cultivo que no se termine la cosecha en el ultimo día del calendario solo seguir repitiendo la ultima aplicación de fertilizante.</v>
      </c>
    </row>
    <row r="21" ht="33.75" customHeight="1">
      <c r="B21" t="str">
        <v>Producto</v>
      </c>
      <c r="E21" t="str">
        <v>Lbs/Ha</v>
      </c>
      <c r="F21" t="str">
        <v>Costo por qq</v>
      </c>
    </row>
    <row r="22" ht="24" customHeight="1">
      <c r="F22" t="str">
        <f>Main!$E$25</f>
        <v>Lempiras</v>
      </c>
    </row>
    <row r="23">
      <c r="B23" t="str">
        <f>Main!D42</f>
        <v>Urea</v>
      </c>
      <c r="E23">
        <f>E19/$C$12</f>
        <v>378.9758979206051</v>
      </c>
      <c r="F23">
        <f>Main!D43</f>
        <v>650</v>
      </c>
    </row>
    <row r="24">
      <c r="B24" t="str">
        <f>Main!D32</f>
        <v>DAP 18-46-0</v>
      </c>
      <c r="E24">
        <f>G19/$C$12</f>
        <v>64.97826086956523</v>
      </c>
      <c r="F24">
        <f>Main!D33</f>
        <v>1200</v>
      </c>
    </row>
    <row r="25">
      <c r="B25" t="str">
        <f>Main!D37</f>
        <v>Kcl Soluble</v>
      </c>
      <c r="E25">
        <f>I19/$C$12</f>
        <v>260.4</v>
      </c>
      <c r="F25">
        <f>Main!D38</f>
        <v>780</v>
      </c>
    </row>
    <row r="26">
      <c r="B26" t="str">
        <f>Main!D47</f>
        <v>Sulfato de Magnesio</v>
      </c>
      <c r="E26">
        <f>K19/$C$12</f>
        <v>250.68457983912376</v>
      </c>
      <c r="F26">
        <f>Main!D48</f>
        <v>951</v>
      </c>
    </row>
    <row r="27">
      <c r="B27" t="str">
        <f>Main!D52</f>
        <v>Sin Calcio</v>
      </c>
      <c r="E27">
        <f>M19/$C$12</f>
        <v>1.8602778096000003e-11</v>
      </c>
      <c r="F27">
        <f>Main!D53</f>
        <v>0</v>
      </c>
    </row>
    <row r="28">
      <c r="B28" t="str">
        <f>Main!D57</f>
        <v>Sin Boro</v>
      </c>
      <c r="E28">
        <f>O19/$C$12</f>
        <v>0.3503706</v>
      </c>
      <c r="F28">
        <f>Main!D58</f>
        <v>0</v>
      </c>
      <c r="I28" t="str">
        <v xml:space="preserve">Preparado y Autorizado Por </v>
      </c>
    </row>
    <row r="29">
      <c r="B29" t="str">
        <f>Main!D61</f>
        <v>Sin Melaza</v>
      </c>
      <c r="E29">
        <f>Q19/$C$12</f>
        <v>0</v>
      </c>
      <c r="F29">
        <f>Main!D62</f>
        <v>0</v>
      </c>
      <c r="I29" t="str">
        <v>MSc Ricardo D. Lardizábal</v>
      </c>
    </row>
    <row r="30">
      <c r="B30" t="str">
        <v>NOTA: El Nitrato de Calcio se debe de diluir en un barril aparte para inyectarse al sistema</v>
      </c>
    </row>
    <row r="31" ht="18.6" customHeight="1"/>
    <row r="33">
      <c r="B33" t="str">
        <v>Abreviaciones usadas</v>
      </c>
    </row>
    <row r="34">
      <c r="B34" t="str">
        <v>Mz.-Manzanas, Ha-Hectáreas, Lbs-Libras, Lts-Litros y DDT-Días después de Trasplante</v>
      </c>
    </row>
  </sheetData>
  <sheetProtection sheet="1"/>
  <mergeCells count="52">
    <mergeCell ref="A10:B10"/>
    <mergeCell ref="C11:E11"/>
    <mergeCell ref="C10:E10"/>
    <mergeCell ref="A14:A15"/>
    <mergeCell ref="C14:D14"/>
    <mergeCell ref="E14:F14"/>
    <mergeCell ref="F10:H10"/>
    <mergeCell ref="F12:H12"/>
    <mergeCell ref="A12:B12"/>
    <mergeCell ref="A11:B11"/>
    <mergeCell ref="F25:G25"/>
    <mergeCell ref="C12:E12"/>
    <mergeCell ref="B21:D21"/>
    <mergeCell ref="B24:D24"/>
    <mergeCell ref="B25:D25"/>
    <mergeCell ref="B26:D26"/>
    <mergeCell ref="I11:M11"/>
    <mergeCell ref="I12:M12"/>
    <mergeCell ref="I14:J14"/>
    <mergeCell ref="K14:L14"/>
    <mergeCell ref="M14:N14"/>
    <mergeCell ref="F11:H11"/>
    <mergeCell ref="B29:D29"/>
    <mergeCell ref="F26:G26"/>
    <mergeCell ref="S14:S15"/>
    <mergeCell ref="Q14:R14"/>
    <mergeCell ref="O14:P14"/>
    <mergeCell ref="G14:H14"/>
    <mergeCell ref="F27:G27"/>
    <mergeCell ref="F28:G28"/>
    <mergeCell ref="F29:G29"/>
    <mergeCell ref="F24:G24"/>
    <mergeCell ref="C9:E9"/>
    <mergeCell ref="F9:H9"/>
    <mergeCell ref="B34:Q34"/>
    <mergeCell ref="B33:C33"/>
    <mergeCell ref="B30:I31"/>
    <mergeCell ref="F22:G22"/>
    <mergeCell ref="F23:G23"/>
    <mergeCell ref="B23:D23"/>
    <mergeCell ref="B27:D27"/>
    <mergeCell ref="B28:D28"/>
    <mergeCell ref="I9:M9"/>
    <mergeCell ref="I10:M10"/>
    <mergeCell ref="B14:B15"/>
    <mergeCell ref="F21:G21"/>
    <mergeCell ref="P5:S7"/>
    <mergeCell ref="P2:S3"/>
    <mergeCell ref="A8:M8"/>
    <mergeCell ref="P9:S12"/>
    <mergeCell ref="A7:K7"/>
    <mergeCell ref="A9:B9"/>
  </mergeCells>
  <pageMargins left="0.81" right="0.47" top="0.26" bottom="0.37" header="0.18" footer="0.16"/>
  <ignoredErrors>
    <ignoredError numberStoredAsText="1" sqref="A1:T34"/>
  </ignoredErrors>
  <legacyDrawing r:id="rId1"/>
</worksheet>
</file>

<file path=xl/worksheets/sheet10.xml><?xml version="1.0" encoding="utf-8"?>
<worksheet xmlns="http://schemas.openxmlformats.org/spreadsheetml/2006/main" xmlns:r="http://schemas.openxmlformats.org/officeDocument/2006/relationships">
  <dimension ref="A1:Q43"/>
  <sheetViews>
    <sheetView workbookViewId="0" rightToLeft="0"/>
  </sheetViews>
  <sheetData>
    <row r="1">
      <c r="A1" t="str">
        <v>Requerimientos Diario para:</v>
      </c>
      <c r="E1" t="str">
        <f>Main!E21</f>
        <v>Pasto de Corte</v>
      </c>
    </row>
    <row r="4" ht="30" customHeight="1">
      <c r="A4" t="str">
        <v>Semana</v>
      </c>
      <c r="B4" t="str">
        <v>N</v>
      </c>
      <c r="C4" t="str">
        <f>Main!D42</f>
        <v>Urea</v>
      </c>
      <c r="D4" t="str">
        <v>P2O5</v>
      </c>
      <c r="E4" t="str">
        <f>Main!D32</f>
        <v>DAP 18-46-0</v>
      </c>
      <c r="F4" t="str">
        <v>K2O</v>
      </c>
      <c r="G4" t="str">
        <f>Main!D37</f>
        <v>Kcl Soluble</v>
      </c>
      <c r="H4" t="str">
        <v>MgO</v>
      </c>
      <c r="I4" t="str">
        <f>Main!D47</f>
        <v>Sulfato de Magnesio</v>
      </c>
      <c r="J4" t="str">
        <v>Ca</v>
      </c>
      <c r="K4" t="str">
        <f>Main!D52</f>
        <v>Sin Calcio</v>
      </c>
      <c r="L4" t="str">
        <v>B</v>
      </c>
      <c r="M4" t="str">
        <f>Main!D57</f>
        <v>Sin Boro</v>
      </c>
    </row>
    <row r="5" ht="17.25" customHeight="1">
      <c r="A5" t="str">
        <v>Porcentaje de Elemento</v>
      </c>
      <c r="C5">
        <f>Main!E41</f>
        <v>46</v>
      </c>
      <c r="E5">
        <f>Main!F31</f>
        <v>46</v>
      </c>
      <c r="G5">
        <f>Main!G36</f>
        <v>60</v>
      </c>
      <c r="I5">
        <f>Main!I46</f>
        <v>16</v>
      </c>
      <c r="K5">
        <f>Main!H51</f>
        <v>1000000</v>
      </c>
      <c r="M5">
        <f>Main!K56</f>
        <v>100000</v>
      </c>
    </row>
    <row r="6">
      <c r="C6">
        <f>Main!E41/100</f>
        <v>0.46</v>
      </c>
      <c r="E6">
        <f>(Main!F31/100)/Main!F72</f>
        <v>0.46</v>
      </c>
      <c r="G6">
        <f>(Main!G36/100)/Main!F73</f>
        <v>0.6</v>
      </c>
      <c r="I6">
        <f>(I5/100)/Main!F74</f>
        <v>0.16</v>
      </c>
      <c r="K6">
        <f>(K5/100)/Main!F75</f>
        <v>10000</v>
      </c>
      <c r="M6">
        <f>M5/100</f>
        <v>1000</v>
      </c>
    </row>
    <row r="7">
      <c r="A7">
        <v>1</v>
      </c>
      <c r="B7">
        <f>'Req. Diario'!D6</f>
        <v>5.315</v>
      </c>
      <c r="C7">
        <f>(B7-((E7*(Main!$E$31/100))+(G7*(Main!$E$36/100))+(I7*(Main!$E$46/100))+(K7*(Main!$E$51/100))))/$C$6</f>
        <v>10.82788279773157</v>
      </c>
      <c r="D7">
        <f>'Req. Diario'!E6</f>
        <v>0.854</v>
      </c>
      <c r="E7">
        <f>(D7-((C7*(Main!$F$41/100))+(G7*(Main!$F$36/100))+(I7*(Main!$F$46/100))+(K7*(Main!$F$51/100))))/$E$6</f>
        <v>1.8565217391304347</v>
      </c>
      <c r="F7">
        <f>'Req. Diario'!F6</f>
        <v>4.464</v>
      </c>
      <c r="G7">
        <f>(F7-((C7*(Main!$G$41/100))+(E7*(Main!$G$31/100))+(I7*(Main!$G$46/100))+(K7*(Main!$G$51/100))))/$G$6</f>
        <v>7.440000000000001</v>
      </c>
      <c r="H7">
        <f>'Req. Diario'!G6</f>
        <v>1.145986650693137</v>
      </c>
      <c r="I7">
        <f>H7/$I$6</f>
        <v>7.162416566832107</v>
      </c>
      <c r="J7">
        <f>'Req. Diario'!H6</f>
        <v>5.315079456000001e-9</v>
      </c>
      <c r="K7">
        <f>J7/$K$6</f>
        <v>5.315079456000001e-13</v>
      </c>
      <c r="L7">
        <f>'Req. Diario'!I6</f>
        <v>5.0926</v>
      </c>
      <c r="M7">
        <f>L7/$M$6</f>
        <v>0.0050926</v>
      </c>
    </row>
    <row r="8">
      <c r="B8">
        <f>'Req. Diario'!D7</f>
        <v>5.315</v>
      </c>
      <c r="C8">
        <f>(B8-((E8*(Main!$E$31/100))+(G8*(Main!$E$36/100))+(I8*(Main!$E$46/100))+(K8*(Main!$E$51/100))))/$C$6</f>
        <v>10.82788279773157</v>
      </c>
      <c r="D8">
        <f>'Req. Diario'!E7</f>
        <v>0.854</v>
      </c>
      <c r="E8">
        <f>(D8-((C8*(Main!$F$41/100))+(G8*(Main!$F$36/100))+(I8*(Main!$F$46/100))+(K8*(Main!$F$51/100))))/$E$6</f>
        <v>1.8565217391304347</v>
      </c>
      <c r="F8">
        <f>'Req. Diario'!F7</f>
        <v>4.464</v>
      </c>
      <c r="G8">
        <f>(F8-((C8*(Main!$G$41/100))+(E8*(Main!$G$31/100))+(I8*(Main!$G$46/100))+(K8*(Main!$G$51/100))))/$G$6</f>
        <v>7.440000000000001</v>
      </c>
      <c r="H8">
        <f>'Req. Diario'!G7</f>
        <v>1.145986650693137</v>
      </c>
      <c r="I8">
        <f>H8/$I$6</f>
        <v>7.162416566832107</v>
      </c>
      <c r="J8">
        <f>'Req. Diario'!H7</f>
        <v>5.315079456000001e-9</v>
      </c>
      <c r="K8">
        <f>J8/$K$6</f>
        <v>5.315079456000001e-13</v>
      </c>
      <c r="L8">
        <f>'Req. Diario'!I7</f>
        <v>5.0926</v>
      </c>
      <c r="M8">
        <f>L8/$M$6</f>
        <v>0.0050926</v>
      </c>
    </row>
    <row r="9">
      <c r="B9">
        <f>'Req. Diario'!D8</f>
        <v>5.315</v>
      </c>
      <c r="C9">
        <f>(B9-((E9*(Main!$E$31/100))+(G9*(Main!$E$36/100))+(I9*(Main!$E$46/100))+(K9*(Main!$E$51/100))))/$C$6</f>
        <v>10.82788279773157</v>
      </c>
      <c r="D9">
        <f>'Req. Diario'!E8</f>
        <v>0.854</v>
      </c>
      <c r="E9">
        <f>(D9-((C9*(Main!$F$41/100))+(G9*(Main!$F$36/100))+(I9*(Main!$F$46/100))+(K9*(Main!$F$51/100))))/$E$6</f>
        <v>1.8565217391304347</v>
      </c>
      <c r="F9">
        <f>'Req. Diario'!F8</f>
        <v>4.464</v>
      </c>
      <c r="G9">
        <f>(F9-((C9*(Main!$G$41/100))+(E9*(Main!$G$31/100))+(I9*(Main!$G$46/100))+(K9*(Main!$G$51/100))))/$G$6</f>
        <v>7.440000000000001</v>
      </c>
      <c r="H9">
        <f>'Req. Diario'!G8</f>
        <v>1.145986650693137</v>
      </c>
      <c r="I9">
        <f>H9/$I$6</f>
        <v>7.162416566832107</v>
      </c>
      <c r="J9">
        <f>'Req. Diario'!H8</f>
        <v>5.315079456000001e-9</v>
      </c>
      <c r="K9">
        <f>J9/$K$6</f>
        <v>5.315079456000001e-13</v>
      </c>
      <c r="L9">
        <f>'Req. Diario'!I8</f>
        <v>5.0926</v>
      </c>
      <c r="M9">
        <f>L9/$M$6</f>
        <v>0.0050926</v>
      </c>
    </row>
    <row r="10">
      <c r="B10">
        <f>'Req. Diario'!D9</f>
        <v>5.315</v>
      </c>
      <c r="C10">
        <f>(B10-((E10*(Main!$E$31/100))+(G10*(Main!$E$36/100))+(I10*(Main!$E$46/100))+(K10*(Main!$E$51/100))))/$C$6</f>
        <v>10.82788279773157</v>
      </c>
      <c r="D10">
        <f>'Req. Diario'!E9</f>
        <v>0.854</v>
      </c>
      <c r="E10">
        <f>(D10-((C10*(Main!$F$41/100))+(G10*(Main!$F$36/100))+(I10*(Main!$F$46/100))+(K10*(Main!$F$51/100))))/$E$6</f>
        <v>1.8565217391304347</v>
      </c>
      <c r="F10">
        <f>'Req. Diario'!F9</f>
        <v>4.464</v>
      </c>
      <c r="G10">
        <f>(F10-((C10*(Main!$G$41/100))+(E10*(Main!$G$31/100))+(I10*(Main!$G$46/100))+(K10*(Main!$G$51/100))))/$G$6</f>
        <v>7.440000000000001</v>
      </c>
      <c r="H10">
        <f>'Req. Diario'!G9</f>
        <v>1.145986650693137</v>
      </c>
      <c r="I10">
        <f>H10/$I$6</f>
        <v>7.162416566832107</v>
      </c>
      <c r="J10">
        <f>'Req. Diario'!H9</f>
        <v>5.315079456000001e-9</v>
      </c>
      <c r="K10">
        <f>J10/$K$6</f>
        <v>5.315079456000001e-13</v>
      </c>
      <c r="L10">
        <f>'Req. Diario'!I9</f>
        <v>5.0926</v>
      </c>
      <c r="M10">
        <f>L10/$M$6</f>
        <v>0.0050926</v>
      </c>
    </row>
    <row r="11">
      <c r="B11">
        <f>'Req. Diario'!D10</f>
        <v>5.315</v>
      </c>
      <c r="C11">
        <f>(B11-((E11*(Main!$E$31/100))+(G11*(Main!$E$36/100))+(I11*(Main!$E$46/100))+(K11*(Main!$E$51/100))))/$C$6</f>
        <v>10.82788279773157</v>
      </c>
      <c r="D11">
        <f>'Req. Diario'!E10</f>
        <v>0.854</v>
      </c>
      <c r="E11">
        <f>(D11-((C11*(Main!$F$41/100))+(G11*(Main!$F$36/100))+(I11*(Main!$F$46/100))+(K11*(Main!$F$51/100))))/$E$6</f>
        <v>1.8565217391304347</v>
      </c>
      <c r="F11">
        <f>'Req. Diario'!F10</f>
        <v>4.464</v>
      </c>
      <c r="G11">
        <f>(F11-((C11*(Main!$G$41/100))+(E11*(Main!$G$31/100))+(I11*(Main!$G$46/100))+(K11*(Main!$G$51/100))))/$G$6</f>
        <v>7.440000000000001</v>
      </c>
      <c r="H11">
        <f>'Req. Diario'!G10</f>
        <v>1.145986650693137</v>
      </c>
      <c r="I11">
        <f>H11/$I$6</f>
        <v>7.162416566832107</v>
      </c>
      <c r="J11">
        <f>'Req. Diario'!H10</f>
        <v>5.315079456000001e-9</v>
      </c>
      <c r="K11">
        <f>J11/$K$6</f>
        <v>5.315079456000001e-13</v>
      </c>
      <c r="L11">
        <f>'Req. Diario'!I10</f>
        <v>5.0926</v>
      </c>
      <c r="M11">
        <f>L11/$M$6</f>
        <v>0.0050926</v>
      </c>
    </row>
    <row r="12">
      <c r="B12">
        <f>'Req. Diario'!D11</f>
        <v>5.315</v>
      </c>
      <c r="C12">
        <f>(B12-((E12*(Main!$E$31/100))+(G12*(Main!$E$36/100))+(I12*(Main!$E$46/100))+(K12*(Main!$E$51/100))))/$C$6</f>
        <v>10.82788279773157</v>
      </c>
      <c r="D12">
        <f>'Req. Diario'!E11</f>
        <v>0.854</v>
      </c>
      <c r="E12">
        <f>(D12-((C12*(Main!$F$41/100))+(G12*(Main!$F$36/100))+(I12*(Main!$F$46/100))+(K12*(Main!$F$51/100))))/$E$6</f>
        <v>1.8565217391304347</v>
      </c>
      <c r="F12">
        <f>'Req. Diario'!F11</f>
        <v>4.464</v>
      </c>
      <c r="G12">
        <f>(F12-((C12*(Main!$G$41/100))+(E12*(Main!$G$31/100))+(I12*(Main!$G$46/100))+(K12*(Main!$G$51/100))))/$G$6</f>
        <v>7.440000000000001</v>
      </c>
      <c r="H12">
        <f>'Req. Diario'!G11</f>
        <v>1.145986650693137</v>
      </c>
      <c r="I12">
        <f>H12/$I$6</f>
        <v>7.162416566832107</v>
      </c>
      <c r="J12">
        <f>'Req. Diario'!H11</f>
        <v>5.315079456000001e-9</v>
      </c>
      <c r="K12">
        <f>J12/$K$6</f>
        <v>5.315079456000001e-13</v>
      </c>
      <c r="L12">
        <f>'Req. Diario'!I11</f>
        <v>5.0926</v>
      </c>
      <c r="M12">
        <f>L12/$M$6</f>
        <v>0.0050926</v>
      </c>
    </row>
    <row r="13">
      <c r="B13">
        <f>'Req. Diario'!D12</f>
        <v>5.315</v>
      </c>
      <c r="C13">
        <f>(B13-((E13*(Main!$E$31/100))+(G13*(Main!$E$36/100))+(I13*(Main!$E$46/100))+(K13*(Main!$E$51/100))))/$C$6</f>
        <v>10.82788279773157</v>
      </c>
      <c r="D13">
        <f>'Req. Diario'!E12</f>
        <v>0.854</v>
      </c>
      <c r="E13">
        <f>(D13-((C13*(Main!$F$41/100))+(G13*(Main!$F$36/100))+(I13*(Main!$F$46/100))+(K13*(Main!$F$51/100))))/$E$6</f>
        <v>1.8565217391304347</v>
      </c>
      <c r="F13">
        <f>'Req. Diario'!F12</f>
        <v>4.464</v>
      </c>
      <c r="G13">
        <f>(F13-((C13*(Main!$G$41/100))+(E13*(Main!$G$31/100))+(I13*(Main!$G$46/100))+(K13*(Main!$G$51/100))))/$G$6</f>
        <v>7.440000000000001</v>
      </c>
      <c r="H13">
        <f>'Req. Diario'!G12</f>
        <v>1.145986650693137</v>
      </c>
      <c r="I13">
        <f>H13/$I$6</f>
        <v>7.162416566832107</v>
      </c>
      <c r="J13">
        <f>'Req. Diario'!H12</f>
        <v>5.315079456000001e-9</v>
      </c>
      <c r="K13">
        <f>J13/$K$6</f>
        <v>5.315079456000001e-13</v>
      </c>
      <c r="L13">
        <f>'Req. Diario'!I12</f>
        <v>5.0926</v>
      </c>
      <c r="M13">
        <f>L13/$M$6</f>
        <v>0.0050926</v>
      </c>
    </row>
    <row r="14">
      <c r="A14">
        <v>2</v>
      </c>
      <c r="B14">
        <f>'Req. Diario'!D13</f>
        <v>5.315</v>
      </c>
      <c r="C14">
        <f>(B14-((E14*(Main!$E$31/100))+(G14*(Main!$E$36/100))+(I14*(Main!$E$46/100))+(K14*(Main!$E$51/100))))/$C$6</f>
        <v>10.82788279773157</v>
      </c>
      <c r="D14">
        <f>'Req. Diario'!E13</f>
        <v>0.854</v>
      </c>
      <c r="E14">
        <f>(D14-((C14*(Main!$F$41/100))+(G14*(Main!$F$36/100))+(I14*(Main!$F$46/100))+(K14*(Main!$F$51/100))))/$E$6</f>
        <v>1.8565217391304347</v>
      </c>
      <c r="F14">
        <f>'Req. Diario'!F13</f>
        <v>4.464</v>
      </c>
      <c r="G14">
        <f>(F14-((C14*(Main!$G$41/100))+(E14*(Main!$G$31/100))+(I14*(Main!$G$46/100))+(K14*(Main!$G$51/100))))/$G$6</f>
        <v>7.440000000000001</v>
      </c>
      <c r="H14">
        <f>'Req. Diario'!G13</f>
        <v>1.145986650693137</v>
      </c>
      <c r="I14">
        <f>H14/$I$6</f>
        <v>7.162416566832107</v>
      </c>
      <c r="J14">
        <f>'Req. Diario'!H13</f>
        <v>5.315079456000001e-9</v>
      </c>
      <c r="K14">
        <f>J14/$K$6</f>
        <v>5.315079456000001e-13</v>
      </c>
      <c r="L14">
        <f>'Req. Diario'!I13</f>
        <v>5.0926</v>
      </c>
      <c r="M14">
        <f>L14/$M$6</f>
        <v>0.0050926</v>
      </c>
    </row>
    <row r="15">
      <c r="B15">
        <f>'Req. Diario'!D14</f>
        <v>5.315</v>
      </c>
      <c r="C15">
        <f>(B15-((E15*(Main!$E$31/100))+(G15*(Main!$E$36/100))+(I15*(Main!$E$46/100))+(K15*(Main!$E$51/100))))/$C$6</f>
        <v>10.82788279773157</v>
      </c>
      <c r="D15">
        <f>'Req. Diario'!E14</f>
        <v>0.854</v>
      </c>
      <c r="E15">
        <f>(D15-((C15*(Main!$F$41/100))+(G15*(Main!$F$36/100))+(I15*(Main!$F$46/100))+(K15*(Main!$F$51/100))))/$E$6</f>
        <v>1.8565217391304347</v>
      </c>
      <c r="F15">
        <f>'Req. Diario'!F14</f>
        <v>4.464</v>
      </c>
      <c r="G15">
        <f>(F15-((C15*(Main!$G$41/100))+(E15*(Main!$G$31/100))+(I15*(Main!$G$46/100))+(K15*(Main!$G$51/100))))/$G$6</f>
        <v>7.440000000000001</v>
      </c>
      <c r="H15">
        <f>'Req. Diario'!G14</f>
        <v>1.145986650693137</v>
      </c>
      <c r="I15">
        <f>H15/$I$6</f>
        <v>7.162416566832107</v>
      </c>
      <c r="J15">
        <f>'Req. Diario'!H14</f>
        <v>5.315079456000001e-9</v>
      </c>
      <c r="K15">
        <f>J15/$K$6</f>
        <v>5.315079456000001e-13</v>
      </c>
      <c r="L15">
        <f>'Req. Diario'!I14</f>
        <v>5.0926</v>
      </c>
      <c r="M15">
        <f>L15/$M$6</f>
        <v>0.0050926</v>
      </c>
    </row>
    <row r="16">
      <c r="B16">
        <f>'Req. Diario'!D15</f>
        <v>5.315</v>
      </c>
      <c r="C16">
        <f>(B16-((E16*(Main!$E$31/100))+(G16*(Main!$E$36/100))+(I16*(Main!$E$46/100))+(K16*(Main!$E$51/100))))/$C$6</f>
        <v>10.82788279773157</v>
      </c>
      <c r="D16">
        <f>'Req. Diario'!E15</f>
        <v>0.854</v>
      </c>
      <c r="E16">
        <f>(D16-((C16*(Main!$F$41/100))+(G16*(Main!$F$36/100))+(I16*(Main!$F$46/100))+(K16*(Main!$F$51/100))))/$E$6</f>
        <v>1.8565217391304347</v>
      </c>
      <c r="F16">
        <f>'Req. Diario'!F15</f>
        <v>4.464</v>
      </c>
      <c r="G16">
        <f>(F16-((C16*(Main!$G$41/100))+(E16*(Main!$G$31/100))+(I16*(Main!$G$46/100))+(K16*(Main!$G$51/100))))/$G$6</f>
        <v>7.440000000000001</v>
      </c>
      <c r="H16">
        <f>'Req. Diario'!G15</f>
        <v>1.145986650693137</v>
      </c>
      <c r="I16">
        <f>H16/$I$6</f>
        <v>7.162416566832107</v>
      </c>
      <c r="J16">
        <f>'Req. Diario'!H15</f>
        <v>5.315079456000001e-9</v>
      </c>
      <c r="K16">
        <f>J16/$K$6</f>
        <v>5.315079456000001e-13</v>
      </c>
      <c r="L16">
        <f>'Req. Diario'!I15</f>
        <v>5.0926</v>
      </c>
      <c r="M16">
        <f>L16/$M$6</f>
        <v>0.0050926</v>
      </c>
    </row>
    <row r="17">
      <c r="B17">
        <f>'Req. Diario'!D16</f>
        <v>5.315</v>
      </c>
      <c r="C17">
        <f>(B17-((E17*(Main!$E$31/100))+(G17*(Main!$E$36/100))+(I17*(Main!$E$46/100))+(K17*(Main!$E$51/100))))/$C$6</f>
        <v>10.82788279773157</v>
      </c>
      <c r="D17">
        <f>'Req. Diario'!E16</f>
        <v>0.854</v>
      </c>
      <c r="E17">
        <f>(D17-((C17*(Main!$F$41/100))+(G17*(Main!$F$36/100))+(I17*(Main!$F$46/100))+(K17*(Main!$F$51/100))))/$E$6</f>
        <v>1.8565217391304347</v>
      </c>
      <c r="F17">
        <f>'Req. Diario'!F16</f>
        <v>4.464</v>
      </c>
      <c r="G17">
        <f>(F17-((C17*(Main!$G$41/100))+(E17*(Main!$G$31/100))+(I17*(Main!$G$46/100))+(K17*(Main!$G$51/100))))/$G$6</f>
        <v>7.440000000000001</v>
      </c>
      <c r="H17">
        <f>'Req. Diario'!G16</f>
        <v>1.145986650693137</v>
      </c>
      <c r="I17">
        <f>H17/$I$6</f>
        <v>7.162416566832107</v>
      </c>
      <c r="J17">
        <f>'Req. Diario'!H16</f>
        <v>5.315079456000001e-9</v>
      </c>
      <c r="K17">
        <f>J17/$K$6</f>
        <v>5.315079456000001e-13</v>
      </c>
      <c r="L17">
        <f>'Req. Diario'!I16</f>
        <v>9.1667</v>
      </c>
      <c r="M17">
        <f>L17/$M$6</f>
        <v>0.0091667</v>
      </c>
    </row>
    <row r="18">
      <c r="B18">
        <f>'Req. Diario'!D17</f>
        <v>5.315</v>
      </c>
      <c r="C18">
        <f>(B18-((E18*(Main!$E$31/100))+(G18*(Main!$E$36/100))+(I18*(Main!$E$46/100))+(K18*(Main!$E$51/100))))/$C$6</f>
        <v>10.82788279773157</v>
      </c>
      <c r="D18">
        <f>'Req. Diario'!E17</f>
        <v>0.854</v>
      </c>
      <c r="E18">
        <f>(D18-((C18*(Main!$F$41/100))+(G18*(Main!$F$36/100))+(I18*(Main!$F$46/100))+(K18*(Main!$F$51/100))))/$E$6</f>
        <v>1.8565217391304347</v>
      </c>
      <c r="F18">
        <f>'Req. Diario'!F17</f>
        <v>4.464</v>
      </c>
      <c r="G18">
        <f>(F18-((C18*(Main!$G$41/100))+(E18*(Main!$G$31/100))+(I18*(Main!$G$46/100))+(K18*(Main!$G$51/100))))/$G$6</f>
        <v>7.440000000000001</v>
      </c>
      <c r="H18">
        <f>'Req. Diario'!G17</f>
        <v>1.145986650693137</v>
      </c>
      <c r="I18">
        <f>H18/$I$6</f>
        <v>7.162416566832107</v>
      </c>
      <c r="J18">
        <f>'Req. Diario'!H17</f>
        <v>5.315079456000001e-9</v>
      </c>
      <c r="K18">
        <f>J18/$K$6</f>
        <v>5.315079456000001e-13</v>
      </c>
      <c r="L18">
        <f>'Req. Diario'!I17</f>
        <v>9.1667</v>
      </c>
      <c r="M18">
        <f>L18/$M$6</f>
        <v>0.0091667</v>
      </c>
    </row>
    <row r="19">
      <c r="B19">
        <f>'Req. Diario'!D18</f>
        <v>5.315</v>
      </c>
      <c r="C19">
        <f>(B19-((E19*(Main!$E$31/100))+(G19*(Main!$E$36/100))+(I19*(Main!$E$46/100))+(K19*(Main!$E$51/100))))/$C$6</f>
        <v>10.82788279773157</v>
      </c>
      <c r="D19">
        <f>'Req. Diario'!E18</f>
        <v>0.854</v>
      </c>
      <c r="E19">
        <f>(D19-((C19*(Main!$F$41/100))+(G19*(Main!$F$36/100))+(I19*(Main!$F$46/100))+(K19*(Main!$F$51/100))))/$E$6</f>
        <v>1.8565217391304347</v>
      </c>
      <c r="F19">
        <f>'Req. Diario'!F18</f>
        <v>4.464</v>
      </c>
      <c r="G19">
        <f>(F19-((C19*(Main!$G$41/100))+(E19*(Main!$G$31/100))+(I19*(Main!$G$46/100))+(K19*(Main!$G$51/100))))/$G$6</f>
        <v>7.440000000000001</v>
      </c>
      <c r="H19">
        <f>'Req. Diario'!G18</f>
        <v>1.145986650693137</v>
      </c>
      <c r="I19">
        <f>H19/$I$6</f>
        <v>7.162416566832107</v>
      </c>
      <c r="J19">
        <f>'Req. Diario'!H18</f>
        <v>5.315079456000001e-9</v>
      </c>
      <c r="K19">
        <f>J19/$K$6</f>
        <v>5.315079456000001e-13</v>
      </c>
      <c r="L19">
        <f>'Req. Diario'!I18</f>
        <v>9.1667</v>
      </c>
      <c r="M19">
        <f>L19/$M$6</f>
        <v>0.0091667</v>
      </c>
    </row>
    <row r="20">
      <c r="B20">
        <f>'Req. Diario'!D19</f>
        <v>5.315</v>
      </c>
      <c r="C20">
        <f>(B20-((E20*(Main!$E$31/100))+(G20*(Main!$E$36/100))+(I20*(Main!$E$46/100))+(K20*(Main!$E$51/100))))/$C$6</f>
        <v>10.82788279773157</v>
      </c>
      <c r="D20">
        <f>'Req. Diario'!E19</f>
        <v>0.854</v>
      </c>
      <c r="E20">
        <f>(D20-((C20*(Main!$F$41/100))+(G20*(Main!$F$36/100))+(I20*(Main!$F$46/100))+(K20*(Main!$F$51/100))))/$E$6</f>
        <v>1.8565217391304347</v>
      </c>
      <c r="F20">
        <f>'Req. Diario'!F19</f>
        <v>4.464</v>
      </c>
      <c r="G20">
        <f>(F20-((C20*(Main!$G$41/100))+(E20*(Main!$G$31/100))+(I20*(Main!$G$46/100))+(K20*(Main!$G$51/100))))/$G$6</f>
        <v>7.440000000000001</v>
      </c>
      <c r="H20">
        <f>'Req. Diario'!G19</f>
        <v>1.145986650693137</v>
      </c>
      <c r="I20">
        <f>H20/$I$6</f>
        <v>7.162416566832107</v>
      </c>
      <c r="J20">
        <f>'Req. Diario'!H19</f>
        <v>5.315079456000001e-9</v>
      </c>
      <c r="K20">
        <f>J20/$K$6</f>
        <v>5.315079456000001e-13</v>
      </c>
      <c r="L20">
        <f>'Req. Diario'!I19</f>
        <v>9.1667</v>
      </c>
      <c r="M20">
        <f>L20/$M$6</f>
        <v>0.0091667</v>
      </c>
    </row>
    <row r="21">
      <c r="A21">
        <v>3</v>
      </c>
      <c r="B21">
        <f>'Req. Diario'!D20</f>
        <v>5.315</v>
      </c>
      <c r="C21">
        <f>(B21-((E21*(Main!$E$31/100))+(G21*(Main!$E$36/100))+(I21*(Main!$E$46/100))+(K21*(Main!$E$51/100))))/$C$6</f>
        <v>10.82788279773157</v>
      </c>
      <c r="D21">
        <f>'Req. Diario'!E20</f>
        <v>0.854</v>
      </c>
      <c r="E21">
        <f>(D21-((C21*(Main!$F$41/100))+(G21*(Main!$F$36/100))+(I21*(Main!$F$46/100))+(K21*(Main!$F$51/100))))/$E$6</f>
        <v>1.8565217391304347</v>
      </c>
      <c r="F21">
        <f>'Req. Diario'!F20</f>
        <v>4.464</v>
      </c>
      <c r="G21">
        <f>(F21-((C21*(Main!$G$41/100))+(E21*(Main!$G$31/100))+(I21*(Main!$G$46/100))+(K21*(Main!$G$51/100))))/$G$6</f>
        <v>7.440000000000001</v>
      </c>
      <c r="H21">
        <f>'Req. Diario'!G20</f>
        <v>1.145986650693137</v>
      </c>
      <c r="I21">
        <f>H21/$I$6</f>
        <v>7.162416566832107</v>
      </c>
      <c r="J21">
        <f>'Req. Diario'!H20</f>
        <v>5.315079456000001e-9</v>
      </c>
      <c r="K21">
        <f>J21/$K$6</f>
        <v>5.315079456000001e-13</v>
      </c>
      <c r="L21">
        <f>'Req. Diario'!I20</f>
        <v>9.1667</v>
      </c>
      <c r="M21">
        <f>L21/$M$6</f>
        <v>0.0091667</v>
      </c>
    </row>
    <row r="22">
      <c r="B22">
        <f>'Req. Diario'!D21</f>
        <v>5.315</v>
      </c>
      <c r="C22">
        <f>(B22-((E22*(Main!$E$31/100))+(G22*(Main!$E$36/100))+(I22*(Main!$E$46/100))+(K22*(Main!$E$51/100))))/$C$6</f>
        <v>10.82788279773157</v>
      </c>
      <c r="D22">
        <f>'Req. Diario'!E21</f>
        <v>0.854</v>
      </c>
      <c r="E22">
        <f>(D22-((C22*(Main!$F$41/100))+(G22*(Main!$F$36/100))+(I22*(Main!$F$46/100))+(K22*(Main!$F$51/100))))/$E$6</f>
        <v>1.8565217391304347</v>
      </c>
      <c r="F22">
        <f>'Req. Diario'!F21</f>
        <v>4.464</v>
      </c>
      <c r="G22">
        <f>(F22-((C22*(Main!$G$41/100))+(E22*(Main!$G$31/100))+(I22*(Main!$G$46/100))+(K22*(Main!$G$51/100))))/$G$6</f>
        <v>7.440000000000001</v>
      </c>
      <c r="H22">
        <f>'Req. Diario'!G21</f>
        <v>1.145986650693137</v>
      </c>
      <c r="I22">
        <f>H22/$I$6</f>
        <v>7.162416566832107</v>
      </c>
      <c r="J22">
        <f>'Req. Diario'!H21</f>
        <v>5.315079456000001e-9</v>
      </c>
      <c r="K22">
        <f>J22/$K$6</f>
        <v>5.315079456000001e-13</v>
      </c>
      <c r="L22">
        <f>'Req. Diario'!I21</f>
        <v>9.1667</v>
      </c>
      <c r="M22">
        <f>L22/$M$6</f>
        <v>0.0091667</v>
      </c>
    </row>
    <row r="23">
      <c r="B23">
        <f>'Req. Diario'!D22</f>
        <v>5.315</v>
      </c>
      <c r="C23">
        <f>(B23-((E23*(Main!$E$31/100))+(G23*(Main!$E$36/100))+(I23*(Main!$E$46/100))+(K23*(Main!$E$51/100))))/$C$6</f>
        <v>10.82788279773157</v>
      </c>
      <c r="D23">
        <f>'Req. Diario'!E22</f>
        <v>0.854</v>
      </c>
      <c r="E23">
        <f>(D23-((C23*(Main!$F$41/100))+(G23*(Main!$F$36/100))+(I23*(Main!$F$46/100))+(K23*(Main!$F$51/100))))/$E$6</f>
        <v>1.8565217391304347</v>
      </c>
      <c r="F23">
        <f>'Req. Diario'!F22</f>
        <v>4.464</v>
      </c>
      <c r="G23">
        <f>(F23-((C23*(Main!$G$41/100))+(E23*(Main!$G$31/100))+(I23*(Main!$G$46/100))+(K23*(Main!$G$51/100))))/$G$6</f>
        <v>7.440000000000001</v>
      </c>
      <c r="H23">
        <f>'Req. Diario'!G22</f>
        <v>1.145986650693137</v>
      </c>
      <c r="I23">
        <f>H23/$I$6</f>
        <v>7.162416566832107</v>
      </c>
      <c r="J23">
        <f>'Req. Diario'!H22</f>
        <v>5.315079456000001e-9</v>
      </c>
      <c r="K23">
        <f>J23/$K$6</f>
        <v>5.315079456000001e-13</v>
      </c>
      <c r="L23">
        <f>'Req. Diario'!I22</f>
        <v>9.1667</v>
      </c>
      <c r="M23">
        <f>L23/$M$6</f>
        <v>0.0091667</v>
      </c>
    </row>
    <row r="24">
      <c r="B24">
        <f>'Req. Diario'!D23</f>
        <v>5.315</v>
      </c>
      <c r="C24">
        <f>(B24-((E24*(Main!$E$31/100))+(G24*(Main!$E$36/100))+(I24*(Main!$E$46/100))+(K24*(Main!$E$51/100))))/$C$6</f>
        <v>10.82788279773157</v>
      </c>
      <c r="D24">
        <f>'Req. Diario'!E23</f>
        <v>0.854</v>
      </c>
      <c r="E24">
        <f>(D24-((C24*(Main!$F$41/100))+(G24*(Main!$F$36/100))+(I24*(Main!$F$46/100))+(K24*(Main!$F$51/100))))/$E$6</f>
        <v>1.8565217391304347</v>
      </c>
      <c r="F24">
        <f>'Req. Diario'!F23</f>
        <v>4.464</v>
      </c>
      <c r="G24">
        <f>(F24-((C24*(Main!$G$41/100))+(E24*(Main!$G$31/100))+(I24*(Main!$G$46/100))+(K24*(Main!$G$51/100))))/$G$6</f>
        <v>7.440000000000001</v>
      </c>
      <c r="H24">
        <f>'Req. Diario'!G23</f>
        <v>1.145986650693137</v>
      </c>
      <c r="I24">
        <f>H24/$I$6</f>
        <v>7.162416566832107</v>
      </c>
      <c r="J24">
        <f>'Req. Diario'!H23</f>
        <v>5.315079456000001e-9</v>
      </c>
      <c r="K24">
        <f>J24/$K$6</f>
        <v>5.315079456000001e-13</v>
      </c>
      <c r="L24">
        <f>'Req. Diario'!I23</f>
        <v>12.2222</v>
      </c>
      <c r="M24">
        <f>L24/$M$6</f>
        <v>0.0122222</v>
      </c>
    </row>
    <row r="25">
      <c r="B25">
        <f>'Req. Diario'!D24</f>
        <v>5.315</v>
      </c>
      <c r="C25">
        <f>(B25-((E25*(Main!$E$31/100))+(G25*(Main!$E$36/100))+(I25*(Main!$E$46/100))+(K25*(Main!$E$51/100))))/$C$6</f>
        <v>10.82788279773157</v>
      </c>
      <c r="D25">
        <f>'Req. Diario'!E24</f>
        <v>0.854</v>
      </c>
      <c r="E25">
        <f>(D25-((C25*(Main!$F$41/100))+(G25*(Main!$F$36/100))+(I25*(Main!$F$46/100))+(K25*(Main!$F$51/100))))/$E$6</f>
        <v>1.8565217391304347</v>
      </c>
      <c r="F25">
        <f>'Req. Diario'!F24</f>
        <v>4.464</v>
      </c>
      <c r="G25">
        <f>(F25-((C25*(Main!$G$41/100))+(E25*(Main!$G$31/100))+(I25*(Main!$G$46/100))+(K25*(Main!$G$51/100))))/$G$6</f>
        <v>7.440000000000001</v>
      </c>
      <c r="H25">
        <f>'Req. Diario'!G24</f>
        <v>1.145986650693137</v>
      </c>
      <c r="I25">
        <f>H25/$I$6</f>
        <v>7.162416566832107</v>
      </c>
      <c r="J25">
        <f>'Req. Diario'!H24</f>
        <v>5.315079456000001e-9</v>
      </c>
      <c r="K25">
        <f>J25/$K$6</f>
        <v>5.315079456000001e-13</v>
      </c>
      <c r="L25">
        <f>'Req. Diario'!I24</f>
        <v>12.2222</v>
      </c>
      <c r="M25">
        <f>L25/$M$6</f>
        <v>0.0122222</v>
      </c>
    </row>
    <row r="26">
      <c r="B26">
        <f>'Req. Diario'!D25</f>
        <v>5.315</v>
      </c>
      <c r="C26">
        <f>(B26-((E26*(Main!$E$31/100))+(G26*(Main!$E$36/100))+(I26*(Main!$E$46/100))+(K26*(Main!$E$51/100))))/$C$6</f>
        <v>10.82788279773157</v>
      </c>
      <c r="D26">
        <f>'Req. Diario'!E25</f>
        <v>0.854</v>
      </c>
      <c r="E26">
        <f>(D26-((C26*(Main!$F$41/100))+(G26*(Main!$F$36/100))+(I26*(Main!$F$46/100))+(K26*(Main!$F$51/100))))/$E$6</f>
        <v>1.8565217391304347</v>
      </c>
      <c r="F26">
        <f>'Req. Diario'!F25</f>
        <v>4.464</v>
      </c>
      <c r="G26">
        <f>(F26-((C26*(Main!$G$41/100))+(E26*(Main!$G$31/100))+(I26*(Main!$G$46/100))+(K26*(Main!$G$51/100))))/$G$6</f>
        <v>7.440000000000001</v>
      </c>
      <c r="H26">
        <f>'Req. Diario'!G25</f>
        <v>1.145986650693137</v>
      </c>
      <c r="I26">
        <f>H26/$I$6</f>
        <v>7.162416566832107</v>
      </c>
      <c r="J26">
        <f>'Req. Diario'!H25</f>
        <v>5.315079456000001e-9</v>
      </c>
      <c r="K26">
        <f>J26/$K$6</f>
        <v>5.315079456000001e-13</v>
      </c>
      <c r="L26">
        <f>'Req. Diario'!I25</f>
        <v>12.2222</v>
      </c>
      <c r="M26">
        <f>L26/$M$6</f>
        <v>0.0122222</v>
      </c>
    </row>
    <row r="27">
      <c r="B27">
        <f>'Req. Diario'!D26</f>
        <v>5.315</v>
      </c>
      <c r="C27">
        <f>(B27-((E27*(Main!$E$31/100))+(G27*(Main!$E$36/100))+(I27*(Main!$E$46/100))+(K27*(Main!$E$51/100))))/$C$6</f>
        <v>10.82788279773157</v>
      </c>
      <c r="D27">
        <f>'Req. Diario'!E26</f>
        <v>0.854</v>
      </c>
      <c r="E27">
        <f>(D27-((C27*(Main!$F$41/100))+(G27*(Main!$F$36/100))+(I27*(Main!$F$46/100))+(K27*(Main!$F$51/100))))/$E$6</f>
        <v>1.8565217391304347</v>
      </c>
      <c r="F27">
        <f>'Req. Diario'!F26</f>
        <v>4.464</v>
      </c>
      <c r="G27">
        <f>(F27-((C27*(Main!$G$41/100))+(E27*(Main!$G$31/100))+(I27*(Main!$G$46/100))+(K27*(Main!$G$51/100))))/$G$6</f>
        <v>7.440000000000001</v>
      </c>
      <c r="H27">
        <f>'Req. Diario'!G26</f>
        <v>1.145986650693137</v>
      </c>
      <c r="I27">
        <f>H27/$I$6</f>
        <v>7.162416566832107</v>
      </c>
      <c r="J27">
        <f>'Req. Diario'!H26</f>
        <v>5.315079456000001e-9</v>
      </c>
      <c r="K27">
        <f>J27/$K$6</f>
        <v>5.315079456000001e-13</v>
      </c>
      <c r="L27">
        <f>'Req. Diario'!I26</f>
        <v>12.2222</v>
      </c>
      <c r="M27">
        <f>L27/$M$6</f>
        <v>0.0122222</v>
      </c>
    </row>
    <row r="28">
      <c r="A28">
        <v>4</v>
      </c>
      <c r="B28">
        <f>'Req. Diario'!D27</f>
        <v>5.315</v>
      </c>
      <c r="C28">
        <f>(B28-((E28*(Main!$E$31/100))+(G28*(Main!$E$36/100))+(I28*(Main!$E$46/100))+(K28*(Main!$E$51/100))))/$C$6</f>
        <v>10.82788279773157</v>
      </c>
      <c r="D28">
        <f>'Req. Diario'!E27</f>
        <v>0.854</v>
      </c>
      <c r="E28">
        <f>(D28-((C28*(Main!$F$41/100))+(G28*(Main!$F$36/100))+(I28*(Main!$F$46/100))+(K28*(Main!$F$51/100))))/$E$6</f>
        <v>1.8565217391304347</v>
      </c>
      <c r="F28">
        <f>'Req. Diario'!F27</f>
        <v>4.464</v>
      </c>
      <c r="G28">
        <f>(F28-((C28*(Main!$G$41/100))+(E28*(Main!$G$31/100))+(I28*(Main!$G$46/100))+(K28*(Main!$G$51/100))))/$G$6</f>
        <v>7.440000000000001</v>
      </c>
      <c r="H28">
        <f>'Req. Diario'!G27</f>
        <v>1.145986650693137</v>
      </c>
      <c r="I28">
        <f>H28/$I$6</f>
        <v>7.162416566832107</v>
      </c>
      <c r="J28">
        <f>'Req. Diario'!H27</f>
        <v>5.315079456000001e-9</v>
      </c>
      <c r="K28">
        <f>J28/$K$6</f>
        <v>5.315079456000001e-13</v>
      </c>
      <c r="L28">
        <f>'Req. Diario'!I27</f>
        <v>12.2222</v>
      </c>
      <c r="M28">
        <f>L28/$M$6</f>
        <v>0.0122222</v>
      </c>
    </row>
    <row r="29">
      <c r="B29">
        <f>'Req. Diario'!D28</f>
        <v>5.315</v>
      </c>
      <c r="C29">
        <f>(B29-((E29*(Main!$E$31/100))+(G29*(Main!$E$36/100))+(I29*(Main!$E$46/100))+(K29*(Main!$E$51/100))))/$C$6</f>
        <v>10.82788279773157</v>
      </c>
      <c r="D29">
        <f>'Req. Diario'!E28</f>
        <v>0.854</v>
      </c>
      <c r="E29">
        <f>(D29-((C29*(Main!$F$41/100))+(G29*(Main!$F$36/100))+(I29*(Main!$F$46/100))+(K29*(Main!$F$51/100))))/$E$6</f>
        <v>1.8565217391304347</v>
      </c>
      <c r="F29">
        <f>'Req. Diario'!F28</f>
        <v>4.464</v>
      </c>
      <c r="G29">
        <f>(F29-((C29*(Main!$G$41/100))+(E29*(Main!$G$31/100))+(I29*(Main!$G$46/100))+(K29*(Main!$G$51/100))))/$G$6</f>
        <v>7.440000000000001</v>
      </c>
      <c r="H29">
        <f>'Req. Diario'!G28</f>
        <v>1.145986650693137</v>
      </c>
      <c r="I29">
        <f>H29/$I$6</f>
        <v>7.162416566832107</v>
      </c>
      <c r="J29">
        <f>'Req. Diario'!H28</f>
        <v>5.315079456000001e-9</v>
      </c>
      <c r="K29">
        <f>J29/$K$6</f>
        <v>5.315079456000001e-13</v>
      </c>
      <c r="L29">
        <f>'Req. Diario'!I28</f>
        <v>12.2222</v>
      </c>
      <c r="M29">
        <f>L29/$M$6</f>
        <v>0.0122222</v>
      </c>
    </row>
    <row r="30">
      <c r="B30">
        <f>'Req. Diario'!D29</f>
        <v>5.315</v>
      </c>
      <c r="C30">
        <f>(B30-((E30*(Main!$E$31/100))+(G30*(Main!$E$36/100))+(I30*(Main!$E$46/100))+(K30*(Main!$E$51/100))))/$C$6</f>
        <v>10.82788279773157</v>
      </c>
      <c r="D30">
        <f>'Req. Diario'!E29</f>
        <v>0.854</v>
      </c>
      <c r="E30">
        <f>(D30-((C30*(Main!$F$41/100))+(G30*(Main!$F$36/100))+(I30*(Main!$F$46/100))+(K30*(Main!$F$51/100))))/$E$6</f>
        <v>1.8565217391304347</v>
      </c>
      <c r="F30">
        <f>'Req. Diario'!F29</f>
        <v>4.464</v>
      </c>
      <c r="G30">
        <f>(F30-((C30*(Main!$G$41/100))+(E30*(Main!$G$31/100))+(I30*(Main!$G$46/100))+(K30*(Main!$G$51/100))))/$G$6</f>
        <v>7.440000000000001</v>
      </c>
      <c r="H30">
        <f>'Req. Diario'!G29</f>
        <v>1.145986650693137</v>
      </c>
      <c r="I30">
        <f>H30/$I$6</f>
        <v>7.162416566832107</v>
      </c>
      <c r="J30">
        <f>'Req. Diario'!H29</f>
        <v>5.315079456000001e-9</v>
      </c>
      <c r="K30">
        <f>J30/$K$6</f>
        <v>5.315079456000001e-13</v>
      </c>
      <c r="L30">
        <f>'Req. Diario'!I29</f>
        <v>12.2222</v>
      </c>
      <c r="M30">
        <f>L30/$M$6</f>
        <v>0.0122222</v>
      </c>
    </row>
    <row r="31">
      <c r="B31">
        <f>'Req. Diario'!D30</f>
        <v>5.315</v>
      </c>
      <c r="C31">
        <f>(B31-((E31*(Main!$E$31/100))+(G31*(Main!$E$36/100))+(I31*(Main!$E$46/100))+(K31*(Main!$E$51/100))))/$C$6</f>
        <v>10.82788279773157</v>
      </c>
      <c r="D31">
        <f>'Req. Diario'!E30</f>
        <v>0.854</v>
      </c>
      <c r="E31">
        <f>(D31-((C31*(Main!$F$41/100))+(G31*(Main!$F$36/100))+(I31*(Main!$F$46/100))+(K31*(Main!$F$51/100))))/$E$6</f>
        <v>1.8565217391304347</v>
      </c>
      <c r="F31">
        <f>'Req. Diario'!F30</f>
        <v>4.464</v>
      </c>
      <c r="G31">
        <f>(F31-((C31*(Main!$G$41/100))+(E31*(Main!$G$31/100))+(I31*(Main!$G$46/100))+(K31*(Main!$G$51/100))))/$G$6</f>
        <v>7.440000000000001</v>
      </c>
      <c r="H31">
        <f>'Req. Diario'!G30</f>
        <v>1.145986650693137</v>
      </c>
      <c r="I31">
        <f>H31/$I$6</f>
        <v>7.162416566832107</v>
      </c>
      <c r="J31">
        <f>'Req. Diario'!H30</f>
        <v>5.315079456000001e-9</v>
      </c>
      <c r="K31">
        <f>J31/$K$6</f>
        <v>5.315079456000001e-13</v>
      </c>
      <c r="L31">
        <f>'Req. Diario'!I30</f>
        <v>12.2222</v>
      </c>
      <c r="M31">
        <f>L31/$M$6</f>
        <v>0.0122222</v>
      </c>
    </row>
    <row r="32">
      <c r="B32">
        <f>'Req. Diario'!D31</f>
        <v>5.315</v>
      </c>
      <c r="C32">
        <f>(B32-((E32*(Main!$E$31/100))+(G32*(Main!$E$36/100))+(I32*(Main!$E$46/100))+(K32*(Main!$E$51/100))))/$C$6</f>
        <v>10.82788279773157</v>
      </c>
      <c r="D32">
        <f>'Req. Diario'!E31</f>
        <v>0.854</v>
      </c>
      <c r="E32">
        <f>(D32-((C32*(Main!$F$41/100))+(G32*(Main!$F$36/100))+(I32*(Main!$F$46/100))+(K32*(Main!$F$51/100))))/$E$6</f>
        <v>1.8565217391304347</v>
      </c>
      <c r="F32">
        <f>'Req. Diario'!F31</f>
        <v>4.464</v>
      </c>
      <c r="G32">
        <f>(F32-((C32*(Main!$G$41/100))+(E32*(Main!$G$31/100))+(I32*(Main!$G$46/100))+(K32*(Main!$G$51/100))))/$G$6</f>
        <v>7.440000000000001</v>
      </c>
      <c r="H32">
        <f>'Req. Diario'!G31</f>
        <v>1.145986650693137</v>
      </c>
      <c r="I32">
        <f>H32/$I$6</f>
        <v>7.162416566832107</v>
      </c>
      <c r="J32">
        <f>'Req. Diario'!H31</f>
        <v>5.315079456000001e-9</v>
      </c>
      <c r="K32">
        <f>J32/$K$6</f>
        <v>5.315079456000001e-13</v>
      </c>
      <c r="L32">
        <f>'Req. Diario'!I31</f>
        <v>12.2222</v>
      </c>
      <c r="M32">
        <f>L32/$M$6</f>
        <v>0.0122222</v>
      </c>
    </row>
    <row r="33">
      <c r="B33">
        <f>'Req. Diario'!D32</f>
        <v>5.315</v>
      </c>
      <c r="C33">
        <f>(B33-((E33*(Main!$E$31/100))+(G33*(Main!$E$36/100))+(I33*(Main!$E$46/100))+(K33*(Main!$E$51/100))))/$C$6</f>
        <v>10.82788279773157</v>
      </c>
      <c r="D33">
        <f>'Req. Diario'!E32</f>
        <v>0.854</v>
      </c>
      <c r="E33">
        <f>(D33-((C33*(Main!$F$41/100))+(G33*(Main!$F$36/100))+(I33*(Main!$F$46/100))+(K33*(Main!$F$51/100))))/$E$6</f>
        <v>1.8565217391304347</v>
      </c>
      <c r="F33">
        <f>'Req. Diario'!F32</f>
        <v>4.464</v>
      </c>
      <c r="G33">
        <f>(F33-((C33*(Main!$G$41/100))+(E33*(Main!$G$31/100))+(I33*(Main!$G$46/100))+(K33*(Main!$G$51/100))))/$G$6</f>
        <v>7.440000000000001</v>
      </c>
      <c r="H33">
        <f>'Req. Diario'!G32</f>
        <v>1.145986650693137</v>
      </c>
      <c r="I33">
        <f>H33/$I$6</f>
        <v>7.162416566832107</v>
      </c>
      <c r="J33">
        <f>'Req. Diario'!H32</f>
        <v>5.315079456000001e-9</v>
      </c>
      <c r="K33">
        <f>J33/$K$6</f>
        <v>5.315079456000001e-13</v>
      </c>
      <c r="L33">
        <f>'Req. Diario'!I32</f>
        <v>12.2222</v>
      </c>
      <c r="M33">
        <f>L33/$M$6</f>
        <v>0.0122222</v>
      </c>
    </row>
    <row r="34">
      <c r="B34">
        <f>'Req. Diario'!D33</f>
        <v>5.315</v>
      </c>
      <c r="C34">
        <f>(B34-((E34*(Main!$E$31/100))+(G34*(Main!$E$36/100))+(I34*(Main!$E$46/100))+(K34*(Main!$E$51/100))))/$C$6</f>
        <v>10.82788279773157</v>
      </c>
      <c r="D34">
        <f>'Req. Diario'!E33</f>
        <v>0.854</v>
      </c>
      <c r="E34">
        <f>(D34-((C34*(Main!$F$41/100))+(G34*(Main!$F$36/100))+(I34*(Main!$F$46/100))+(K34*(Main!$F$51/100))))/$E$6</f>
        <v>1.8565217391304347</v>
      </c>
      <c r="F34">
        <f>'Req. Diario'!F33</f>
        <v>4.464</v>
      </c>
      <c r="G34">
        <f>(F34-((C34*(Main!$G$41/100))+(E34*(Main!$G$31/100))+(I34*(Main!$G$46/100))+(K34*(Main!$G$51/100))))/$G$6</f>
        <v>7.440000000000001</v>
      </c>
      <c r="H34">
        <f>'Req. Diario'!G33</f>
        <v>1.145986650693137</v>
      </c>
      <c r="I34">
        <f>H34/$I$6</f>
        <v>7.162416566832107</v>
      </c>
      <c r="J34">
        <f>'Req. Diario'!H33</f>
        <v>5.315079456000001e-9</v>
      </c>
      <c r="K34">
        <f>J34/$K$6</f>
        <v>5.315079456000001e-13</v>
      </c>
      <c r="L34">
        <f>'Req. Diario'!I33</f>
        <v>12.2222</v>
      </c>
      <c r="M34">
        <f>L34/$M$6</f>
        <v>0.0122222</v>
      </c>
    </row>
    <row r="35">
      <c r="A35">
        <v>5</v>
      </c>
      <c r="B35">
        <f>'Req. Diario'!D34</f>
        <v>5.315</v>
      </c>
      <c r="C35">
        <f>(B35-((E35*(Main!$E$31/100))+(G35*(Main!$E$36/100))+(I35*(Main!$E$46/100))+(K35*(Main!$E$51/100))))/$C$6</f>
        <v>10.82788279773157</v>
      </c>
      <c r="D35">
        <f>'Req. Diario'!E34</f>
        <v>0.854</v>
      </c>
      <c r="E35">
        <f>(D35-((C35*(Main!$F$41/100))+(G35*(Main!$F$36/100))+(I35*(Main!$F$46/100))+(K35*(Main!$F$51/100))))/$E$6</f>
        <v>1.8565217391304347</v>
      </c>
      <c r="F35">
        <f>'Req. Diario'!F34</f>
        <v>4.464</v>
      </c>
      <c r="G35">
        <f>(F35-((C35*(Main!$G$41/100))+(E35*(Main!$G$31/100))+(I35*(Main!$G$46/100))+(K35*(Main!$G$51/100))))/$G$6</f>
        <v>7.440000000000001</v>
      </c>
      <c r="H35">
        <f>'Req. Diario'!G34</f>
        <v>1.145986650693137</v>
      </c>
      <c r="I35">
        <f>H35/$I$6</f>
        <v>7.162416566832107</v>
      </c>
      <c r="J35">
        <f>'Req. Diario'!H34</f>
        <v>5.315079456000001e-9</v>
      </c>
      <c r="K35">
        <f>J35/$K$6</f>
        <v>5.315079456000001e-13</v>
      </c>
      <c r="L35">
        <f>'Req. Diario'!I34</f>
        <v>12.2222</v>
      </c>
      <c r="M35">
        <f>L35/$M$6</f>
        <v>0.0122222</v>
      </c>
    </row>
    <row r="36">
      <c r="B36">
        <f>'Req. Diario'!D35</f>
        <v>5.315</v>
      </c>
      <c r="C36">
        <f>(B36-((E36*(Main!$E$31/100))+(G36*(Main!$E$36/100))+(I36*(Main!$E$46/100))+(K36*(Main!$E$51/100))))/$C$6</f>
        <v>10.82788279773157</v>
      </c>
      <c r="D36">
        <f>'Req. Diario'!E35</f>
        <v>0.854</v>
      </c>
      <c r="E36">
        <f>(D36-((C36*(Main!$F$41/100))+(G36*(Main!$F$36/100))+(I36*(Main!$F$46/100))+(K36*(Main!$F$51/100))))/$E$6</f>
        <v>1.8565217391304347</v>
      </c>
      <c r="F36">
        <f>'Req. Diario'!F35</f>
        <v>4.464</v>
      </c>
      <c r="G36">
        <f>(F36-((C36*(Main!$G$41/100))+(E36*(Main!$G$31/100))+(I36*(Main!$G$46/100))+(K36*(Main!$G$51/100))))/$G$6</f>
        <v>7.440000000000001</v>
      </c>
      <c r="H36">
        <f>'Req. Diario'!G35</f>
        <v>1.145986650693137</v>
      </c>
      <c r="I36">
        <f>H36/$I$6</f>
        <v>7.162416566832107</v>
      </c>
      <c r="J36">
        <f>'Req. Diario'!H35</f>
        <v>5.315079456000001e-9</v>
      </c>
      <c r="K36">
        <f>J36/$K$6</f>
        <v>5.315079456000001e-13</v>
      </c>
      <c r="L36">
        <f>'Req. Diario'!I35</f>
        <v>12.2222</v>
      </c>
      <c r="M36">
        <f>L36/$M$6</f>
        <v>0.0122222</v>
      </c>
    </row>
    <row r="37">
      <c r="B37">
        <f>'Req. Diario'!D36</f>
        <v>5.315</v>
      </c>
      <c r="C37">
        <f>(B37-((E37*(Main!$E$31/100))+(G37*(Main!$E$36/100))+(I37*(Main!$E$46/100))+(K37*(Main!$E$51/100))))/$C$6</f>
        <v>10.82788279773157</v>
      </c>
      <c r="D37">
        <f>'Req. Diario'!E36</f>
        <v>0.854</v>
      </c>
      <c r="E37">
        <f>(D37-((C37*(Main!$F$41/100))+(G37*(Main!$F$36/100))+(I37*(Main!$F$46/100))+(K37*(Main!$F$51/100))))/$E$6</f>
        <v>1.8565217391304347</v>
      </c>
      <c r="F37">
        <f>'Req. Diario'!F36</f>
        <v>4.464</v>
      </c>
      <c r="G37">
        <f>(F37-((C37*(Main!$G$41/100))+(E37*(Main!$G$31/100))+(I37*(Main!$G$46/100))+(K37*(Main!$G$51/100))))/$G$6</f>
        <v>7.440000000000001</v>
      </c>
      <c r="H37">
        <f>'Req. Diario'!G36</f>
        <v>1.145986650693137</v>
      </c>
      <c r="I37">
        <f>H37/$I$6</f>
        <v>7.162416566832107</v>
      </c>
      <c r="J37">
        <f>'Req. Diario'!H36</f>
        <v>5.315079456000001e-9</v>
      </c>
      <c r="K37">
        <f>J37/$K$6</f>
        <v>5.315079456000001e-13</v>
      </c>
      <c r="L37">
        <f>'Req. Diario'!I36</f>
        <v>12.2222</v>
      </c>
      <c r="M37">
        <f>L37/$M$6</f>
        <v>0.0122222</v>
      </c>
    </row>
    <row r="38">
      <c r="B38">
        <f>'Req. Diario'!D37</f>
        <v>5.315</v>
      </c>
      <c r="C38">
        <f>(B38-((E38*(Main!$E$31/100))+(G38*(Main!$E$36/100))+(I38*(Main!$E$46/100))+(K38*(Main!$E$51/100))))/$C$6</f>
        <v>10.82788279773157</v>
      </c>
      <c r="D38">
        <f>'Req. Diario'!E37</f>
        <v>0.854</v>
      </c>
      <c r="E38">
        <f>(D38-((C38*(Main!$F$41/100))+(G38*(Main!$F$36/100))+(I38*(Main!$F$46/100))+(K38*(Main!$F$51/100))))/$E$6</f>
        <v>1.8565217391304347</v>
      </c>
      <c r="F38">
        <f>'Req. Diario'!F37</f>
        <v>4.464</v>
      </c>
      <c r="G38">
        <f>(F38-((C38*(Main!$G$41/100))+(E38*(Main!$G$31/100))+(I38*(Main!$G$46/100))+(K38*(Main!$G$51/100))))/$G$6</f>
        <v>7.440000000000001</v>
      </c>
      <c r="H38">
        <f>'Req. Diario'!G37</f>
        <v>1.145986650693137</v>
      </c>
      <c r="I38">
        <f>H38/$I$6</f>
        <v>7.162416566832107</v>
      </c>
      <c r="J38">
        <f>'Req. Diario'!H37</f>
        <v>5.315079456000001e-9</v>
      </c>
      <c r="K38">
        <f>J38/$K$6</f>
        <v>5.315079456000001e-13</v>
      </c>
      <c r="L38">
        <f>'Req. Diario'!I37</f>
        <v>12.2222</v>
      </c>
      <c r="M38">
        <f>L38/$M$6</f>
        <v>0.0122222</v>
      </c>
    </row>
    <row r="39">
      <c r="B39">
        <f>'Req. Diario'!D38</f>
        <v>5.315</v>
      </c>
      <c r="C39">
        <f>(B39-((E39*(Main!$E$31/100))+(G39*(Main!$E$36/100))+(I39*(Main!$E$46/100))+(K39*(Main!$E$51/100))))/$C$6</f>
        <v>10.82788279773157</v>
      </c>
      <c r="D39">
        <f>'Req. Diario'!E38</f>
        <v>0.854</v>
      </c>
      <c r="E39">
        <f>(D39-((C39*(Main!$F$41/100))+(G39*(Main!$F$36/100))+(I39*(Main!$F$46/100))+(K39*(Main!$F$51/100))))/$E$6</f>
        <v>1.8565217391304347</v>
      </c>
      <c r="F39">
        <f>'Req. Diario'!F38</f>
        <v>4.464</v>
      </c>
      <c r="G39">
        <f>(F39-((C39*(Main!$G$41/100))+(E39*(Main!$G$31/100))+(I39*(Main!$G$46/100))+(K39*(Main!$G$51/100))))/$G$6</f>
        <v>7.440000000000001</v>
      </c>
      <c r="H39">
        <f>'Req. Diario'!G38</f>
        <v>1.145986650693137</v>
      </c>
      <c r="I39">
        <f>H39/$I$6</f>
        <v>7.162416566832107</v>
      </c>
      <c r="J39">
        <f>'Req. Diario'!H38</f>
        <v>5.315079456000001e-9</v>
      </c>
      <c r="K39">
        <f>J39/$K$6</f>
        <v>5.315079456000001e-13</v>
      </c>
      <c r="L39">
        <f>'Req. Diario'!I38</f>
        <v>17.3149</v>
      </c>
      <c r="M39">
        <f>L39/$M$6</f>
        <v>0.0173149</v>
      </c>
    </row>
    <row r="40">
      <c r="B40">
        <f>'Req. Diario'!D39</f>
        <v>5.315</v>
      </c>
      <c r="C40">
        <f>(B40-((E40*(Main!$E$31/100))+(G40*(Main!$E$36/100))+(I40*(Main!$E$46/100))+(K40*(Main!$E$51/100))))/$C$6</f>
        <v>10.82788279773157</v>
      </c>
      <c r="D40">
        <f>'Req. Diario'!E39</f>
        <v>0.854</v>
      </c>
      <c r="E40">
        <f>(D40-((C40*(Main!$F$41/100))+(G40*(Main!$F$36/100))+(I40*(Main!$F$46/100))+(K40*(Main!$F$51/100))))/$E$6</f>
        <v>1.8565217391304347</v>
      </c>
      <c r="F40">
        <f>'Req. Diario'!F39</f>
        <v>4.464</v>
      </c>
      <c r="G40">
        <f>(F40-((C40*(Main!$G$41/100))+(E40*(Main!$G$31/100))+(I40*(Main!$G$46/100))+(K40*(Main!$G$51/100))))/$G$6</f>
        <v>7.440000000000001</v>
      </c>
      <c r="H40">
        <f>'Req. Diario'!G39</f>
        <v>1.145986650693137</v>
      </c>
      <c r="I40">
        <f>H40/$I$6</f>
        <v>7.162416566832107</v>
      </c>
      <c r="J40">
        <f>'Req. Diario'!H39</f>
        <v>5.315079456000001e-9</v>
      </c>
      <c r="K40">
        <f>J40/$K$6</f>
        <v>5.315079456000001e-13</v>
      </c>
      <c r="L40">
        <f>'Req. Diario'!I39</f>
        <v>17.3149</v>
      </c>
      <c r="M40">
        <f>L40/$M$6</f>
        <v>0.0173149</v>
      </c>
    </row>
    <row r="41">
      <c r="B41">
        <f>'Req. Diario'!D40</f>
        <v>5.315</v>
      </c>
      <c r="C41">
        <f>(B41-((E41*(Main!$E$31/100))+(G41*(Main!$E$36/100))+(I41*(Main!$E$46/100))+(K41*(Main!$E$51/100))))/$C$6</f>
        <v>10.82788279773157</v>
      </c>
      <c r="D41">
        <f>'Req. Diario'!E40</f>
        <v>0.854</v>
      </c>
      <c r="E41">
        <f>(D41-((C41*(Main!$F$41/100))+(G41*(Main!$F$36/100))+(I41*(Main!$F$46/100))+(K41*(Main!$F$51/100))))/$E$6</f>
        <v>1.8565217391304347</v>
      </c>
      <c r="F41">
        <f>'Req. Diario'!F40</f>
        <v>4.464</v>
      </c>
      <c r="G41">
        <f>(F41-((C41*(Main!$G$41/100))+(E41*(Main!$G$31/100))+(I41*(Main!$G$46/100))+(K41*(Main!$G$51/100))))/$G$6</f>
        <v>7.440000000000001</v>
      </c>
      <c r="H41">
        <f>'Req. Diario'!G40</f>
        <v>1.145986650693137</v>
      </c>
      <c r="I41">
        <f>H41/$I$6</f>
        <v>7.162416566832107</v>
      </c>
      <c r="J41">
        <f>'Req. Diario'!H40</f>
        <v>5.315079456000001e-9</v>
      </c>
      <c r="K41">
        <f>J41/$K$6</f>
        <v>5.315079456000001e-13</v>
      </c>
      <c r="L41">
        <f>'Req. Diario'!I40</f>
        <v>17.3149</v>
      </c>
      <c r="M41">
        <f>L41/$M$6</f>
        <v>0.0173149</v>
      </c>
    </row>
    <row r="43">
      <c r="B43">
        <f>SUM(B6:B41)</f>
        <v>186.02499999999995</v>
      </c>
      <c r="C43">
        <f>SUM(C6:C41)</f>
        <v>379.43589792060476</v>
      </c>
      <c r="D43">
        <f>SUM(D6:D41)</f>
        <v>29.88999999999998</v>
      </c>
      <c r="E43">
        <f>SUM(E6:E41)</f>
        <v>65.43826086956524</v>
      </c>
      <c r="F43">
        <f>SUM(F6:F41)</f>
        <v>156.23999999999998</v>
      </c>
      <c r="G43">
        <f>SUM(G6:G41)</f>
        <v>260.99999999999994</v>
      </c>
      <c r="H43">
        <f>SUM(H6:H41)</f>
        <v>40.10953277425979</v>
      </c>
      <c r="I43">
        <f>SUM(I6:I41)</f>
        <v>250.84457983912398</v>
      </c>
      <c r="J43">
        <f>SUM(J6:J41)</f>
        <v>1.860277809599999e-7</v>
      </c>
      <c r="K43">
        <f>SUM(K6:K41)</f>
        <v>10000</v>
      </c>
      <c r="L43">
        <f>SUM(L6:L41)</f>
        <v>350.3705999999999</v>
      </c>
      <c r="M43">
        <f>SUM(M6:M41)</f>
        <v>1000.3503706000002</v>
      </c>
    </row>
  </sheetData>
  <sheetProtection sheet="1"/>
  <mergeCells count="1">
    <mergeCell ref="E1:J1"/>
  </mergeCells>
  <pageMargins left="0.42" right="0.75" top="0.44" bottom="0.39" header="0.25" footer="0.25"/>
  <ignoredErrors>
    <ignoredError numberStoredAsText="1" sqref="A1:Q43"/>
  </ignoredErrors>
</worksheet>
</file>

<file path=xl/worksheets/sheet11.xml><?xml version="1.0" encoding="utf-8"?>
<worksheet xmlns="http://schemas.openxmlformats.org/spreadsheetml/2006/main" xmlns:r="http://schemas.openxmlformats.org/officeDocument/2006/relationships">
  <dimension ref="A1:T42"/>
  <sheetViews>
    <sheetView workbookViewId="0" rightToLeft="0"/>
  </sheetViews>
  <sheetData>
    <row r="1">
      <c r="A1" t="str">
        <v>Requerimientos Diarios para:</v>
      </c>
      <c r="H1" t="str">
        <f>Main!E21</f>
        <v>Pasto de Corte</v>
      </c>
    </row>
    <row r="2">
      <c r="A2" t="str">
        <v>Esta tabla es de libras por hectárea por Día</v>
      </c>
    </row>
    <row r="3" ht="15.6" customHeight="1">
      <c r="A3" t="str">
        <f>Main!C13</f>
        <v>"Fertilización Continua"</v>
      </c>
    </row>
    <row r="4" ht="43.95000000000001" customHeight="1">
      <c r="A4" t="str">
        <v>Fase</v>
      </c>
      <c r="B4" t="str">
        <v>Día Después Siembra</v>
      </c>
      <c r="C4" t="str">
        <v>Semana</v>
      </c>
      <c r="D4" t="str">
        <v>N</v>
      </c>
      <c r="E4" t="str">
        <v>P2O5</v>
      </c>
      <c r="F4" t="str">
        <v>K20</v>
      </c>
      <c r="G4" t="str">
        <v>MgO</v>
      </c>
      <c r="H4" t="str">
        <v>CaO</v>
      </c>
      <c r="I4" t="str">
        <v>B Gramos/Ha</v>
      </c>
      <c r="J4" t="str">
        <v>Relación N:K N/(K2O/3.36)</v>
      </c>
      <c r="K4" t="str">
        <v xml:space="preserve">Relación Ca:Mg (1:0.5) (CaO/1.39)/MgO </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0.3</v>
      </c>
      <c r="L5">
        <v>1e-9</v>
      </c>
    </row>
    <row r="6">
      <c r="B6">
        <v>1</v>
      </c>
      <c r="C6">
        <v>1</v>
      </c>
      <c r="D6">
        <v>5.315</v>
      </c>
      <c r="E6">
        <v>0.854</v>
      </c>
      <c r="F6">
        <v>4.464</v>
      </c>
      <c r="G6">
        <f>(F6/1.1686)*$K$5</f>
        <v>1.145986650693137</v>
      </c>
      <c r="H6">
        <f>(F6*1.190654)*$L$5</f>
        <v>5.315079456000001e-9</v>
      </c>
      <c r="I6">
        <v>5.0926</v>
      </c>
      <c r="J6">
        <f>D6/(F6/3.362524)</f>
        <v>4.003542800179211</v>
      </c>
      <c r="K6">
        <f>G6/(F6/1.1686)</f>
        <v>0.3</v>
      </c>
      <c r="L6">
        <f>(H6/1.190654)/F6</f>
        <v>1e-9</v>
      </c>
    </row>
    <row r="7">
      <c r="B7">
        <v>2</v>
      </c>
      <c r="C7">
        <v>1</v>
      </c>
      <c r="D7">
        <v>5.315</v>
      </c>
      <c r="E7">
        <v>0.854</v>
      </c>
      <c r="F7">
        <v>4.464</v>
      </c>
      <c r="G7">
        <f>(F7/1.1686)*$K$5</f>
        <v>1.145986650693137</v>
      </c>
      <c r="H7">
        <f>(F7*1.190654)*$L$5</f>
        <v>5.315079456000001e-9</v>
      </c>
      <c r="I7">
        <v>5.0926</v>
      </c>
      <c r="J7">
        <f>D7/(F7/3.362524)</f>
        <v>4.003542800179211</v>
      </c>
      <c r="K7">
        <f>G7/(F7/1.1686)</f>
        <v>0.3</v>
      </c>
      <c r="L7">
        <f>(H7/1.190654)/F7</f>
        <v>1e-9</v>
      </c>
    </row>
    <row r="8">
      <c r="B8">
        <v>3</v>
      </c>
      <c r="C8">
        <v>1</v>
      </c>
      <c r="D8">
        <v>5.315</v>
      </c>
      <c r="E8">
        <v>0.854</v>
      </c>
      <c r="F8">
        <v>4.464</v>
      </c>
      <c r="G8">
        <f>(F8/1.1686)*$K$5</f>
        <v>1.145986650693137</v>
      </c>
      <c r="H8">
        <f>(F8*1.190654)*$L$5</f>
        <v>5.315079456000001e-9</v>
      </c>
      <c r="I8">
        <v>5.0926</v>
      </c>
      <c r="J8">
        <f>D8/(F8/3.362524)</f>
        <v>4.003542800179211</v>
      </c>
      <c r="K8">
        <f>G8/(F8/1.1686)</f>
        <v>0.3</v>
      </c>
      <c r="L8">
        <f>(H8/1.190654)/F8</f>
        <v>1e-9</v>
      </c>
    </row>
    <row r="9">
      <c r="B9">
        <v>4</v>
      </c>
      <c r="C9">
        <v>1</v>
      </c>
      <c r="D9">
        <v>5.315</v>
      </c>
      <c r="E9">
        <v>0.854</v>
      </c>
      <c r="F9">
        <v>4.464</v>
      </c>
      <c r="G9">
        <f>(F9/1.1686)*$K$5</f>
        <v>1.145986650693137</v>
      </c>
      <c r="H9">
        <f>(F9*1.190654)*$L$5</f>
        <v>5.315079456000001e-9</v>
      </c>
      <c r="I9">
        <v>5.0926</v>
      </c>
      <c r="J9">
        <f>D9/(F9/3.362524)</f>
        <v>4.003542800179211</v>
      </c>
      <c r="K9">
        <f>G9/(F9/1.1686)</f>
        <v>0.3</v>
      </c>
      <c r="L9">
        <f>(H9/1.190654)/F9</f>
        <v>1e-9</v>
      </c>
    </row>
    <row r="10">
      <c r="B10">
        <v>5</v>
      </c>
      <c r="C10">
        <v>1</v>
      </c>
      <c r="D10">
        <v>5.315</v>
      </c>
      <c r="E10">
        <v>0.854</v>
      </c>
      <c r="F10">
        <v>4.464</v>
      </c>
      <c r="G10">
        <f>(F10/1.1686)*$K$5</f>
        <v>1.145986650693137</v>
      </c>
      <c r="H10">
        <f>(F10*1.190654)*$L$5</f>
        <v>5.315079456000001e-9</v>
      </c>
      <c r="I10">
        <v>5.0926</v>
      </c>
      <c r="J10">
        <f>D10/(F10/3.362524)</f>
        <v>4.003542800179211</v>
      </c>
      <c r="K10">
        <f>G10/(F10/1.1686)</f>
        <v>0.3</v>
      </c>
      <c r="L10">
        <f>(H10/1.190654)/F10</f>
        <v>1e-9</v>
      </c>
    </row>
    <row r="11">
      <c r="B11">
        <v>6</v>
      </c>
      <c r="C11">
        <v>1</v>
      </c>
      <c r="D11">
        <v>5.315</v>
      </c>
      <c r="E11">
        <v>0.854</v>
      </c>
      <c r="F11">
        <v>4.464</v>
      </c>
      <c r="G11">
        <f>(F11/1.1686)*$K$5</f>
        <v>1.145986650693137</v>
      </c>
      <c r="H11">
        <f>(F11*1.190654)*$L$5</f>
        <v>5.315079456000001e-9</v>
      </c>
      <c r="I11">
        <v>5.0926</v>
      </c>
      <c r="J11">
        <f>D11/(F11/3.362524)</f>
        <v>4.003542800179211</v>
      </c>
      <c r="K11">
        <f>G11/(F11/1.1686)</f>
        <v>0.3</v>
      </c>
      <c r="L11">
        <f>(H11/1.190654)/F11</f>
        <v>1e-9</v>
      </c>
    </row>
    <row r="12">
      <c r="B12">
        <v>7</v>
      </c>
      <c r="C12">
        <v>1</v>
      </c>
      <c r="D12">
        <v>5.315</v>
      </c>
      <c r="E12">
        <v>0.854</v>
      </c>
      <c r="F12">
        <v>4.464</v>
      </c>
      <c r="G12">
        <f>(F12/1.1686)*$K$5</f>
        <v>1.145986650693137</v>
      </c>
      <c r="H12">
        <f>(F12*1.190654)*$L$5</f>
        <v>5.315079456000001e-9</v>
      </c>
      <c r="I12">
        <v>5.0926</v>
      </c>
      <c r="J12">
        <f>D12/(F12/3.362524)</f>
        <v>4.003542800179211</v>
      </c>
      <c r="K12">
        <f>G12/(F12/1.1686)</f>
        <v>0.3</v>
      </c>
      <c r="L12">
        <f>(H12/1.190654)/F12</f>
        <v>1e-9</v>
      </c>
    </row>
    <row r="13">
      <c r="B13">
        <v>8</v>
      </c>
      <c r="C13">
        <v>2</v>
      </c>
      <c r="D13">
        <v>5.315</v>
      </c>
      <c r="E13">
        <v>0.854</v>
      </c>
      <c r="F13">
        <v>4.464</v>
      </c>
      <c r="G13">
        <f>(F13/1.1686)*$K$5</f>
        <v>1.145986650693137</v>
      </c>
      <c r="H13">
        <f>(F13*1.190654)*$L$5</f>
        <v>5.315079456000001e-9</v>
      </c>
      <c r="I13">
        <v>5.0926</v>
      </c>
      <c r="J13">
        <f>D13/(F13/3.362524)</f>
        <v>4.003542800179211</v>
      </c>
      <c r="K13">
        <f>G13/(F13/1.1686)</f>
        <v>0.3</v>
      </c>
      <c r="L13">
        <f>(H13/1.190654)/F13</f>
        <v>1e-9</v>
      </c>
    </row>
    <row r="14">
      <c r="B14">
        <v>9</v>
      </c>
      <c r="C14">
        <v>2</v>
      </c>
      <c r="D14">
        <v>5.315</v>
      </c>
      <c r="E14">
        <v>0.854</v>
      </c>
      <c r="F14">
        <v>4.464</v>
      </c>
      <c r="G14">
        <f>(F14/1.1686)*$K$5</f>
        <v>1.145986650693137</v>
      </c>
      <c r="H14">
        <f>(F14*1.190654)*$L$5</f>
        <v>5.315079456000001e-9</v>
      </c>
      <c r="I14">
        <v>5.0926</v>
      </c>
      <c r="J14">
        <f>D14/(F14/3.362524)</f>
        <v>4.003542800179211</v>
      </c>
      <c r="K14">
        <f>G14/(F14/1.1686)</f>
        <v>0.3</v>
      </c>
      <c r="L14">
        <f>(H14/1.190654)/F14</f>
        <v>1e-9</v>
      </c>
    </row>
    <row r="15">
      <c r="B15">
        <v>10</v>
      </c>
      <c r="C15">
        <v>2</v>
      </c>
      <c r="D15">
        <v>5.315</v>
      </c>
      <c r="E15">
        <v>0.854</v>
      </c>
      <c r="F15">
        <v>4.464</v>
      </c>
      <c r="G15">
        <f>(F15/1.1686)*$K$5</f>
        <v>1.145986650693137</v>
      </c>
      <c r="H15">
        <f>(F15*1.190654)*$L$5</f>
        <v>5.315079456000001e-9</v>
      </c>
      <c r="I15">
        <v>5.0926</v>
      </c>
      <c r="J15">
        <f>D15/(F15/3.362524)</f>
        <v>4.003542800179211</v>
      </c>
      <c r="K15">
        <f>G15/(F15/1.1686)</f>
        <v>0.3</v>
      </c>
      <c r="L15">
        <f>(H15/1.190654)/F15</f>
        <v>1e-9</v>
      </c>
    </row>
    <row r="16">
      <c r="B16">
        <v>11</v>
      </c>
      <c r="C16">
        <v>2</v>
      </c>
      <c r="D16">
        <v>5.315</v>
      </c>
      <c r="E16">
        <v>0.854</v>
      </c>
      <c r="F16">
        <v>4.464</v>
      </c>
      <c r="G16">
        <f>(F16/1.1686)*$K$5</f>
        <v>1.145986650693137</v>
      </c>
      <c r="H16">
        <f>(F16*1.190654)*$L$5</f>
        <v>5.315079456000001e-9</v>
      </c>
      <c r="I16">
        <v>9.1667</v>
      </c>
      <c r="J16">
        <f>D16/(F16/3.362524)</f>
        <v>4.003542800179211</v>
      </c>
      <c r="K16">
        <f>G16/(F16/1.1686)</f>
        <v>0.3</v>
      </c>
      <c r="L16">
        <f>(H16/1.190654)/F16</f>
        <v>1e-9</v>
      </c>
    </row>
    <row r="17">
      <c r="B17">
        <v>12</v>
      </c>
      <c r="C17">
        <v>2</v>
      </c>
      <c r="D17">
        <v>5.315</v>
      </c>
      <c r="E17">
        <v>0.854</v>
      </c>
      <c r="F17">
        <v>4.464</v>
      </c>
      <c r="G17">
        <f>(F17/1.1686)*$K$5</f>
        <v>1.145986650693137</v>
      </c>
      <c r="H17">
        <f>(F17*1.190654)*$L$5</f>
        <v>5.315079456000001e-9</v>
      </c>
      <c r="I17">
        <v>9.1667</v>
      </c>
      <c r="J17">
        <f>D17/(F17/3.362524)</f>
        <v>4.003542800179211</v>
      </c>
      <c r="K17">
        <f>G17/(F17/1.1686)</f>
        <v>0.3</v>
      </c>
      <c r="L17">
        <f>(H17/1.190654)/F17</f>
        <v>1e-9</v>
      </c>
    </row>
    <row r="18">
      <c r="B18">
        <v>13</v>
      </c>
      <c r="C18">
        <v>2</v>
      </c>
      <c r="D18">
        <v>5.315</v>
      </c>
      <c r="E18">
        <v>0.854</v>
      </c>
      <c r="F18">
        <v>4.464</v>
      </c>
      <c r="G18">
        <f>(F18/1.1686)*$K$5</f>
        <v>1.145986650693137</v>
      </c>
      <c r="H18">
        <f>(F18*1.190654)*$L$5</f>
        <v>5.315079456000001e-9</v>
      </c>
      <c r="I18">
        <v>9.1667</v>
      </c>
      <c r="J18">
        <f>D18/(F18/3.362524)</f>
        <v>4.003542800179211</v>
      </c>
      <c r="K18">
        <f>G18/(F18/1.1686)</f>
        <v>0.3</v>
      </c>
      <c r="L18">
        <f>(H18/1.190654)/F18</f>
        <v>1e-9</v>
      </c>
    </row>
    <row r="19">
      <c r="B19">
        <v>14</v>
      </c>
      <c r="C19">
        <v>2</v>
      </c>
      <c r="D19">
        <v>5.315</v>
      </c>
      <c r="E19">
        <v>0.854</v>
      </c>
      <c r="F19">
        <v>4.464</v>
      </c>
      <c r="G19">
        <f>(F19/1.1686)*$K$5</f>
        <v>1.145986650693137</v>
      </c>
      <c r="H19">
        <f>(F19*1.190654)*$L$5</f>
        <v>5.315079456000001e-9</v>
      </c>
      <c r="I19">
        <v>9.1667</v>
      </c>
      <c r="J19">
        <f>D19/(F19/3.362524)</f>
        <v>4.003542800179211</v>
      </c>
      <c r="K19">
        <f>G19/(F19/1.1686)</f>
        <v>0.3</v>
      </c>
      <c r="L19">
        <f>(H19/1.190654)/F19</f>
        <v>1e-9</v>
      </c>
    </row>
    <row r="20">
      <c r="B20">
        <v>15</v>
      </c>
      <c r="C20">
        <v>3</v>
      </c>
      <c r="D20">
        <v>5.315</v>
      </c>
      <c r="E20">
        <v>0.854</v>
      </c>
      <c r="F20">
        <v>4.464</v>
      </c>
      <c r="G20">
        <f>(F20/1.1686)*$K$5</f>
        <v>1.145986650693137</v>
      </c>
      <c r="H20">
        <f>(F20*1.190654)*$L$5</f>
        <v>5.315079456000001e-9</v>
      </c>
      <c r="I20">
        <v>9.1667</v>
      </c>
      <c r="J20">
        <f>D20/(F20/3.362524)</f>
        <v>4.003542800179211</v>
      </c>
      <c r="K20">
        <f>G20/(F20/1.1686)</f>
        <v>0.3</v>
      </c>
      <c r="L20">
        <f>(H20/1.190654)/F20</f>
        <v>1e-9</v>
      </c>
    </row>
    <row r="21">
      <c r="B21">
        <v>16</v>
      </c>
      <c r="C21">
        <v>3</v>
      </c>
      <c r="D21">
        <v>5.315</v>
      </c>
      <c r="E21">
        <v>0.854</v>
      </c>
      <c r="F21">
        <v>4.464</v>
      </c>
      <c r="G21">
        <f>(F21/1.1686)*$K$5</f>
        <v>1.145986650693137</v>
      </c>
      <c r="H21">
        <f>(F21*1.190654)*$L$5</f>
        <v>5.315079456000001e-9</v>
      </c>
      <c r="I21">
        <v>9.1667</v>
      </c>
      <c r="J21">
        <f>D21/(F21/3.362524)</f>
        <v>4.003542800179211</v>
      </c>
      <c r="K21">
        <f>G21/(F21/1.1686)</f>
        <v>0.3</v>
      </c>
      <c r="L21">
        <f>(H21/1.190654)/F21</f>
        <v>1e-9</v>
      </c>
    </row>
    <row r="22">
      <c r="B22">
        <v>17</v>
      </c>
      <c r="C22">
        <v>3</v>
      </c>
      <c r="D22">
        <v>5.315</v>
      </c>
      <c r="E22">
        <v>0.854</v>
      </c>
      <c r="F22">
        <v>4.464</v>
      </c>
      <c r="G22">
        <f>(F22/1.1686)*$K$5</f>
        <v>1.145986650693137</v>
      </c>
      <c r="H22">
        <f>(F22*1.190654)*$L$5</f>
        <v>5.315079456000001e-9</v>
      </c>
      <c r="I22">
        <v>9.1667</v>
      </c>
      <c r="J22">
        <f>D22/(F22/3.362524)</f>
        <v>4.003542800179211</v>
      </c>
      <c r="K22">
        <f>G22/(F22/1.1686)</f>
        <v>0.3</v>
      </c>
      <c r="L22">
        <f>(H22/1.190654)/F22</f>
        <v>1e-9</v>
      </c>
    </row>
    <row r="23">
      <c r="B23">
        <v>18</v>
      </c>
      <c r="C23">
        <v>3</v>
      </c>
      <c r="D23">
        <v>5.315</v>
      </c>
      <c r="E23">
        <v>0.854</v>
      </c>
      <c r="F23">
        <v>4.464</v>
      </c>
      <c r="G23">
        <f>(F23/1.1686)*$K$5</f>
        <v>1.145986650693137</v>
      </c>
      <c r="H23">
        <f>(F23*1.190654)*$L$5</f>
        <v>5.315079456000001e-9</v>
      </c>
      <c r="I23">
        <v>12.2222</v>
      </c>
      <c r="J23">
        <f>D23/(F23/3.362524)</f>
        <v>4.003542800179211</v>
      </c>
      <c r="K23">
        <f>G23/(F23/1.1686)</f>
        <v>0.3</v>
      </c>
      <c r="L23">
        <f>(H23/1.190654)/F23</f>
        <v>1e-9</v>
      </c>
    </row>
    <row r="24">
      <c r="B24">
        <v>19</v>
      </c>
      <c r="C24">
        <v>3</v>
      </c>
      <c r="D24">
        <v>5.315</v>
      </c>
      <c r="E24">
        <v>0.854</v>
      </c>
      <c r="F24">
        <v>4.464</v>
      </c>
      <c r="G24">
        <f>(F24/1.1686)*$K$5</f>
        <v>1.145986650693137</v>
      </c>
      <c r="H24">
        <f>(F24*1.190654)*$L$5</f>
        <v>5.315079456000001e-9</v>
      </c>
      <c r="I24">
        <v>12.2222</v>
      </c>
      <c r="J24">
        <f>D24/(F24/3.362524)</f>
        <v>4.003542800179211</v>
      </c>
      <c r="K24">
        <f>G24/(F24/1.1686)</f>
        <v>0.3</v>
      </c>
      <c r="L24">
        <f>(H24/1.190654)/F24</f>
        <v>1e-9</v>
      </c>
    </row>
    <row r="25">
      <c r="B25">
        <v>20</v>
      </c>
      <c r="C25">
        <v>3</v>
      </c>
      <c r="D25">
        <v>5.315</v>
      </c>
      <c r="E25">
        <v>0.854</v>
      </c>
      <c r="F25">
        <v>4.464</v>
      </c>
      <c r="G25">
        <f>(F25/1.1686)*$K$5</f>
        <v>1.145986650693137</v>
      </c>
      <c r="H25">
        <f>(F25*1.190654)*$L$5</f>
        <v>5.315079456000001e-9</v>
      </c>
      <c r="I25">
        <v>12.2222</v>
      </c>
      <c r="J25">
        <f>D25/(F25/3.362524)</f>
        <v>4.003542800179211</v>
      </c>
      <c r="K25">
        <f>G25/(F25/1.1686)</f>
        <v>0.3</v>
      </c>
      <c r="L25">
        <f>(H25/1.190654)/F25</f>
        <v>1e-9</v>
      </c>
    </row>
    <row r="26">
      <c r="B26">
        <v>21</v>
      </c>
      <c r="C26">
        <v>3</v>
      </c>
      <c r="D26">
        <v>5.315</v>
      </c>
      <c r="E26">
        <v>0.854</v>
      </c>
      <c r="F26">
        <v>4.464</v>
      </c>
      <c r="G26">
        <f>(F26/1.1686)*$K$5</f>
        <v>1.145986650693137</v>
      </c>
      <c r="H26">
        <f>(F26*1.190654)*$L$5</f>
        <v>5.315079456000001e-9</v>
      </c>
      <c r="I26">
        <v>12.2222</v>
      </c>
      <c r="J26">
        <f>D26/(F26/3.362524)</f>
        <v>4.003542800179211</v>
      </c>
      <c r="K26">
        <f>G26/(F26/1.1686)</f>
        <v>0.3</v>
      </c>
      <c r="L26">
        <f>(H26/1.190654)/F26</f>
        <v>1e-9</v>
      </c>
    </row>
    <row r="27">
      <c r="B27">
        <v>22</v>
      </c>
      <c r="C27">
        <v>4</v>
      </c>
      <c r="D27">
        <v>5.315</v>
      </c>
      <c r="E27">
        <v>0.854</v>
      </c>
      <c r="F27">
        <v>4.464</v>
      </c>
      <c r="G27">
        <f>(F27/1.1686)*$K$5</f>
        <v>1.145986650693137</v>
      </c>
      <c r="H27">
        <f>(F27*1.190654)*$L$5</f>
        <v>5.315079456000001e-9</v>
      </c>
      <c r="I27">
        <v>12.2222</v>
      </c>
      <c r="J27">
        <f>D27/(F27/3.362524)</f>
        <v>4.003542800179211</v>
      </c>
      <c r="K27">
        <f>G27/(F27/1.1686)</f>
        <v>0.3</v>
      </c>
      <c r="L27">
        <f>(H27/1.190654)/F27</f>
        <v>1e-9</v>
      </c>
    </row>
    <row r="28">
      <c r="B28">
        <v>23</v>
      </c>
      <c r="C28">
        <v>4</v>
      </c>
      <c r="D28">
        <v>5.315</v>
      </c>
      <c r="E28">
        <v>0.854</v>
      </c>
      <c r="F28">
        <v>4.464</v>
      </c>
      <c r="G28">
        <f>(F28/1.1686)*$K$5</f>
        <v>1.145986650693137</v>
      </c>
      <c r="H28">
        <f>(F28*1.190654)*$L$5</f>
        <v>5.315079456000001e-9</v>
      </c>
      <c r="I28">
        <v>12.2222</v>
      </c>
      <c r="J28">
        <f>D28/(F28/3.362524)</f>
        <v>4.003542800179211</v>
      </c>
      <c r="K28">
        <f>G28/(F28/1.1686)</f>
        <v>0.3</v>
      </c>
      <c r="L28">
        <f>(H28/1.190654)/F28</f>
        <v>1e-9</v>
      </c>
    </row>
    <row r="29">
      <c r="B29">
        <v>24</v>
      </c>
      <c r="C29">
        <v>4</v>
      </c>
      <c r="D29">
        <v>5.315</v>
      </c>
      <c r="E29">
        <v>0.854</v>
      </c>
      <c r="F29">
        <v>4.464</v>
      </c>
      <c r="G29">
        <f>(F29/1.1686)*$K$5</f>
        <v>1.145986650693137</v>
      </c>
      <c r="H29">
        <f>(F29*1.190654)*$L$5</f>
        <v>5.315079456000001e-9</v>
      </c>
      <c r="I29">
        <v>12.2222</v>
      </c>
      <c r="J29">
        <f>D29/(F29/3.362524)</f>
        <v>4.003542800179211</v>
      </c>
      <c r="K29">
        <f>G29/(F29/1.1686)</f>
        <v>0.3</v>
      </c>
      <c r="L29">
        <f>(H29/1.190654)/F29</f>
        <v>1e-9</v>
      </c>
    </row>
    <row r="30">
      <c r="B30">
        <v>25</v>
      </c>
      <c r="C30">
        <v>4</v>
      </c>
      <c r="D30">
        <v>5.315</v>
      </c>
      <c r="E30">
        <v>0.854</v>
      </c>
      <c r="F30">
        <v>4.464</v>
      </c>
      <c r="G30">
        <f>(F30/1.1686)*$K$5</f>
        <v>1.145986650693137</v>
      </c>
      <c r="H30">
        <f>(F30*1.190654)*$L$5</f>
        <v>5.315079456000001e-9</v>
      </c>
      <c r="I30">
        <v>12.2222</v>
      </c>
      <c r="J30">
        <f>D30/(F30/3.362524)</f>
        <v>4.003542800179211</v>
      </c>
      <c r="K30">
        <f>G30/(F30/1.1686)</f>
        <v>0.3</v>
      </c>
      <c r="L30">
        <f>(H30/1.190654)/F30</f>
        <v>1e-9</v>
      </c>
    </row>
    <row r="31">
      <c r="B31">
        <v>26</v>
      </c>
      <c r="C31">
        <v>4</v>
      </c>
      <c r="D31">
        <v>5.315</v>
      </c>
      <c r="E31">
        <v>0.854</v>
      </c>
      <c r="F31">
        <v>4.464</v>
      </c>
      <c r="G31">
        <f>(F31/1.1686)*$K$5</f>
        <v>1.145986650693137</v>
      </c>
      <c r="H31">
        <f>(F31*1.190654)*$L$5</f>
        <v>5.315079456000001e-9</v>
      </c>
      <c r="I31">
        <v>12.2222</v>
      </c>
      <c r="J31">
        <f>D31/(F31/3.362524)</f>
        <v>4.003542800179211</v>
      </c>
      <c r="K31">
        <f>G31/(F31/1.1686)</f>
        <v>0.3</v>
      </c>
      <c r="L31">
        <f>(H31/1.190654)/F31</f>
        <v>1e-9</v>
      </c>
    </row>
    <row r="32">
      <c r="B32">
        <v>27</v>
      </c>
      <c r="C32">
        <v>4</v>
      </c>
      <c r="D32">
        <v>5.315</v>
      </c>
      <c r="E32">
        <v>0.854</v>
      </c>
      <c r="F32">
        <v>4.464</v>
      </c>
      <c r="G32">
        <f>(F32/1.1686)*$K$5</f>
        <v>1.145986650693137</v>
      </c>
      <c r="H32">
        <f>(F32*1.190654)*$L$5</f>
        <v>5.315079456000001e-9</v>
      </c>
      <c r="I32">
        <v>12.2222</v>
      </c>
      <c r="J32">
        <f>D32/(F32/3.362524)</f>
        <v>4.003542800179211</v>
      </c>
      <c r="K32">
        <f>G32/(F32/1.1686)</f>
        <v>0.3</v>
      </c>
      <c r="L32">
        <f>(H32/1.190654)/F32</f>
        <v>1e-9</v>
      </c>
    </row>
    <row r="33">
      <c r="B33">
        <v>28</v>
      </c>
      <c r="C33">
        <v>4</v>
      </c>
      <c r="D33">
        <v>5.315</v>
      </c>
      <c r="E33">
        <v>0.854</v>
      </c>
      <c r="F33">
        <v>4.464</v>
      </c>
      <c r="G33">
        <f>(F33/1.1686)*$K$5</f>
        <v>1.145986650693137</v>
      </c>
      <c r="H33">
        <f>(F33*1.190654)*$L$5</f>
        <v>5.315079456000001e-9</v>
      </c>
      <c r="I33">
        <v>12.2222</v>
      </c>
      <c r="J33">
        <f>D33/(F33/3.362524)</f>
        <v>4.003542800179211</v>
      </c>
      <c r="K33">
        <f>G33/(F33/1.1686)</f>
        <v>0.3</v>
      </c>
      <c r="L33">
        <f>(H33/1.190654)/F33</f>
        <v>1e-9</v>
      </c>
    </row>
    <row r="34">
      <c r="B34">
        <v>29</v>
      </c>
      <c r="C34">
        <v>5</v>
      </c>
      <c r="D34">
        <v>5.315</v>
      </c>
      <c r="E34">
        <v>0.854</v>
      </c>
      <c r="F34">
        <v>4.464</v>
      </c>
      <c r="G34">
        <f>(F34/1.1686)*$K$5</f>
        <v>1.145986650693137</v>
      </c>
      <c r="H34">
        <f>(F34*1.190654)*$L$5</f>
        <v>5.315079456000001e-9</v>
      </c>
      <c r="I34">
        <v>12.2222</v>
      </c>
      <c r="J34">
        <f>D34/(F34/3.362524)</f>
        <v>4.003542800179211</v>
      </c>
      <c r="K34">
        <f>G34/(F34/1.1686)</f>
        <v>0.3</v>
      </c>
      <c r="L34">
        <f>(H34/1.190654)/F34</f>
        <v>1e-9</v>
      </c>
    </row>
    <row r="35">
      <c r="B35">
        <v>30</v>
      </c>
      <c r="C35">
        <v>5</v>
      </c>
      <c r="D35">
        <v>5.315</v>
      </c>
      <c r="E35">
        <v>0.854</v>
      </c>
      <c r="F35">
        <v>4.464</v>
      </c>
      <c r="G35">
        <f>(F35/1.1686)*$K$5</f>
        <v>1.145986650693137</v>
      </c>
      <c r="H35">
        <f>(F35*1.190654)*$L$5</f>
        <v>5.315079456000001e-9</v>
      </c>
      <c r="I35">
        <v>12.2222</v>
      </c>
      <c r="J35">
        <f>D35/(F35/3.362524)</f>
        <v>4.003542800179211</v>
      </c>
      <c r="K35">
        <f>G35/(F35/1.1686)</f>
        <v>0.3</v>
      </c>
      <c r="L35">
        <f>(H35/1.190654)/F35</f>
        <v>1e-9</v>
      </c>
    </row>
    <row r="36">
      <c r="B36">
        <v>31</v>
      </c>
      <c r="C36">
        <v>5</v>
      </c>
      <c r="D36">
        <v>5.315</v>
      </c>
      <c r="E36">
        <v>0.854</v>
      </c>
      <c r="F36">
        <v>4.464</v>
      </c>
      <c r="G36">
        <f>(F36/1.1686)*$K$5</f>
        <v>1.145986650693137</v>
      </c>
      <c r="H36">
        <f>(F36*1.190654)*$L$5</f>
        <v>5.315079456000001e-9</v>
      </c>
      <c r="I36">
        <v>12.2222</v>
      </c>
      <c r="J36">
        <f>D36/(F36/3.362524)</f>
        <v>4.003542800179211</v>
      </c>
      <c r="K36">
        <f>G36/(F36/1.1686)</f>
        <v>0.3</v>
      </c>
      <c r="L36">
        <f>(H36/1.190654)/F36</f>
        <v>1e-9</v>
      </c>
    </row>
    <row r="37">
      <c r="B37">
        <v>32</v>
      </c>
      <c r="C37">
        <v>5</v>
      </c>
      <c r="D37">
        <v>5.315</v>
      </c>
      <c r="E37">
        <v>0.854</v>
      </c>
      <c r="F37">
        <v>4.464</v>
      </c>
      <c r="G37">
        <f>(F37/1.1686)*$K$5</f>
        <v>1.145986650693137</v>
      </c>
      <c r="H37">
        <f>(F37*1.190654)*$L$5</f>
        <v>5.315079456000001e-9</v>
      </c>
      <c r="I37">
        <v>12.2222</v>
      </c>
      <c r="J37">
        <f>D37/(F37/3.362524)</f>
        <v>4.003542800179211</v>
      </c>
      <c r="K37">
        <f>G37/(F37/1.1686)</f>
        <v>0.3</v>
      </c>
      <c r="L37">
        <f>(H37/1.190654)/F37</f>
        <v>1e-9</v>
      </c>
    </row>
    <row r="38">
      <c r="B38">
        <v>33</v>
      </c>
      <c r="C38">
        <v>5</v>
      </c>
      <c r="D38">
        <v>5.315</v>
      </c>
      <c r="E38">
        <v>0.854</v>
      </c>
      <c r="F38">
        <v>4.464</v>
      </c>
      <c r="G38">
        <f>(F38/1.1686)*$K$5</f>
        <v>1.145986650693137</v>
      </c>
      <c r="H38">
        <f>(F38*1.190654)*$L$5</f>
        <v>5.315079456000001e-9</v>
      </c>
      <c r="I38">
        <v>17.3149</v>
      </c>
      <c r="J38">
        <f>D38/(F38/3.362524)</f>
        <v>4.003542800179211</v>
      </c>
      <c r="K38">
        <f>G38/(F38/1.1686)</f>
        <v>0.3</v>
      </c>
      <c r="L38">
        <f>(H38/1.190654)/F38</f>
        <v>1e-9</v>
      </c>
    </row>
    <row r="39">
      <c r="B39">
        <v>34</v>
      </c>
      <c r="C39">
        <v>5</v>
      </c>
      <c r="D39">
        <v>5.315</v>
      </c>
      <c r="E39">
        <v>0.854</v>
      </c>
      <c r="F39">
        <v>4.464</v>
      </c>
      <c r="G39">
        <f>(F39/1.1686)*$K$5</f>
        <v>1.145986650693137</v>
      </c>
      <c r="H39">
        <f>(F39*1.190654)*$L$5</f>
        <v>5.315079456000001e-9</v>
      </c>
      <c r="I39">
        <v>17.3149</v>
      </c>
      <c r="J39">
        <f>D39/(F39/3.362524)</f>
        <v>4.003542800179211</v>
      </c>
      <c r="K39">
        <f>G39/(F39/1.1686)</f>
        <v>0.3</v>
      </c>
      <c r="L39">
        <f>(H39/1.190654)/F39</f>
        <v>1e-9</v>
      </c>
    </row>
    <row r="40">
      <c r="B40">
        <v>35</v>
      </c>
      <c r="C40">
        <v>5</v>
      </c>
      <c r="D40">
        <v>5.315</v>
      </c>
      <c r="E40">
        <v>0.854</v>
      </c>
      <c r="F40">
        <v>4.464</v>
      </c>
      <c r="G40">
        <f>(F40/1.1686)*$K$5</f>
        <v>1.145986650693137</v>
      </c>
      <c r="H40">
        <f>(F40*1.190654)*$L$5</f>
        <v>5.315079456000001e-9</v>
      </c>
      <c r="I40">
        <v>17.3149</v>
      </c>
      <c r="J40">
        <f>D40/(F40/3.362524)</f>
        <v>4.003542800179211</v>
      </c>
      <c r="K40">
        <f>G40/(F40/1.1686)</f>
        <v>0.3</v>
      </c>
      <c r="L40">
        <f>(H40/1.190654)/F40</f>
        <v>1e-9</v>
      </c>
    </row>
    <row r="41">
      <c r="D41">
        <f>SUM(D6:D40)</f>
        <v>186.02499999999995</v>
      </c>
      <c r="E41">
        <f>SUM(E6:E40)</f>
        <v>29.88999999999998</v>
      </c>
      <c r="F41">
        <f>SUM(F6:F40)</f>
        <v>156.23999999999998</v>
      </c>
      <c r="G41">
        <f>SUM(G6:G40)</f>
        <v>40.10953277425979</v>
      </c>
      <c r="H41">
        <f>SUM(H6:H40)</f>
        <v>1.860277809599999e-7</v>
      </c>
      <c r="I41">
        <f>SUM(I6:I40)</f>
        <v>350.3705999999999</v>
      </c>
    </row>
    <row r="42">
      <c r="D42">
        <f>SUM(D6:D35)</f>
        <v>159.44999999999996</v>
      </c>
      <c r="E42">
        <f>SUM(E6:E35)</f>
        <v>25.619999999999983</v>
      </c>
      <c r="F42">
        <f>SUM(F6:F35)</f>
        <v>133.92</v>
      </c>
      <c r="G42">
        <f>SUM(G6:G35)</f>
        <v>34.379599520794095</v>
      </c>
    </row>
  </sheetData>
  <sheetProtection sheet="1"/>
  <mergeCells count="4">
    <mergeCell ref="A2:M2"/>
    <mergeCell ref="A3:M3"/>
    <mergeCell ref="H1:M1"/>
    <mergeCell ref="A5:C5"/>
  </mergeCells>
  <pageMargins left="0.75" right="0.75" top="1" bottom="1" header="0.5" footer="0.5"/>
  <ignoredErrors>
    <ignoredError numberStoredAsText="1" sqref="A1:T42"/>
  </ignoredErrors>
  <legacyDrawing r:id="rId1"/>
</worksheet>
</file>

<file path=xl/worksheets/sheet12.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t="str">
        <v>Sin Melaza</v>
      </c>
      <c r="B54">
        <v>0</v>
      </c>
      <c r="C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Dosis</v>
      </c>
    </row>
    <row r="101">
      <c r="A101" t="str">
        <v>MetaZam</v>
      </c>
      <c r="B101">
        <v>1</v>
      </c>
      <c r="C101">
        <v>380</v>
      </c>
      <c r="D101" t="str">
        <v>Dosis</v>
      </c>
    </row>
    <row r="102">
      <c r="A102" t="str">
        <v>Rotacion MetaZam y Bazam</v>
      </c>
      <c r="B102">
        <v>1</v>
      </c>
      <c r="C102">
        <v>380</v>
      </c>
      <c r="D102" t="str">
        <v>Dosis</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12</vt:i4>
      </vt:variant>
    </vt:vector>
  </HeadingPairs>
  <TitlesOfParts>
    <vt:vector size="12" baseType="lpstr">
      <vt:lpstr>Main</vt:lpstr>
      <vt:lpstr>Cal-Diario con Preventivos</vt:lpstr>
      <vt:lpstr>Cal-Diario</vt:lpstr>
      <vt:lpstr>3 Por Sem con Preventivos</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2008-09-19T02:12:22Z</dcterms:modified>
  <cp:lastModifiedBy>Ricardo Lardizabal</cp:lastModifiedBy>
  <cp:lastPrinted>2008-09-19T01:00:25Z</cp:lastPrinted>
  <dc:creator>Ricardo Lardizabal</dc:creator>
  <dc:subject>Chile Jalapeno</dc:subject>
  <dc:title>Fertilization Programs</dc:title>
</cp:coreProperties>
</file>