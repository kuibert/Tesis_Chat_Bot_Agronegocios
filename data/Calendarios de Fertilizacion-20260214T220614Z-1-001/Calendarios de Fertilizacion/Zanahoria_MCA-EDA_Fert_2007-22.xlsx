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Sem'!$A$1:$S$50</definedName>
    <definedName name="_xlnm.Print_Area" localSheetId="7">'14 Dias'!$A$1:$T$42</definedName>
    <definedName name="_xlnm.Print_Area" localSheetId="5">'2 Por Sem'!$A$1:$S$69</definedName>
    <definedName name="_xlnm.Print_Area" localSheetId="4">'2 Por Sem con Preventivos'!$A$1:$S$69</definedName>
    <definedName name="_xlnm.Print_Area" localSheetId="3">'3 Por Sem'!$A$1:$S$87</definedName>
    <definedName name="_xlnm.Print_Area" localSheetId="2">'Cal-Diario'!$A$1:$S$160</definedName>
    <definedName name="_xlnm.Print_Area" localSheetId="1">'Cal-Diario con Preventivos'!$A$1:$S$160</definedName>
    <definedName name="_xlnm.Print_Area" localSheetId="0">Main!$A$1:$M$109</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LFINTRAC4</author>
    <author>RACA</author>
  </authors>
  <commentList>
    <comment ref="E21" authorId="0">
      <text>
        <t>Nombre de Cultivo</t>
      </text>
    </comment>
    <comment ref="G21" authorId="0">
      <text>
        <t>Variedad</t>
      </text>
    </comment>
    <comment ref="E23" authorId="1">
      <text>
        <t xml:space="preserve">Mes/Día/Año
</t>
      </text>
    </comment>
    <comment ref="E25" authorId="2">
      <text>
        <t xml:space="preserve">RACA:
Tienen que cambiar manualmente este dato de moneda local</t>
      </text>
    </comment>
    <comment ref="D32" authorId="2">
      <text>
        <t xml:space="preserve">RACA:
En esta ventana cambiar por el fertilizante que deseamos usar. La ultima Pagina de fertilizantes tiene para actualizar el precio de su zona y agregar los que no estén en el listado</t>
      </text>
    </comment>
    <comment ref="D37" authorId="2">
      <text>
        <t xml:space="preserve">RACA:
En esta ventana cambiar por el fertilizante que deseamos usar. La ultima Pagina de fertilizantes tiene para actualizar el precio de su zona y agregar los que no estén en el listado</t>
      </text>
    </comment>
    <comment ref="D42" authorId="2">
      <text>
        <t xml:space="preserve">RACA:
En esta ventana cambiar por el fertilizante que deseamos usar. La ultima Pagina de fertilizantes tiene para actualizar el precio de su zona y agregar los que no estén en el listado</t>
      </text>
    </comment>
    <comment ref="D47" authorId="2">
      <text>
        <t xml:space="preserve">RACA:
En esta ventana cambiar por el fertilizante que deseamos usar. La ultima Pagina de fertilizantes tiene para actualizar el precio de su zona y agregar los que no estén en el listado</t>
      </text>
    </comment>
    <comment ref="D52" authorId="2">
      <text>
        <t xml:space="preserve">RACA:
En esta ventana cambiar por el fertilizante que deseamos usar. La ultima Pagina de fertilizantes tiene para actualizar el precio de su zona y agregar los que no estén en el listado</t>
      </text>
    </comment>
    <comment ref="D57" authorId="2">
      <text>
        <t xml:space="preserve">RACA:
En esta ventana cambiar por el fertilizante que deseamos usar. La ultima Pagina de fertilizantes tiene para actualizar el precio de su zona y agregar los que no estén en el listado</t>
      </text>
    </comment>
    <comment ref="D61" authorId="2">
      <text>
        <t xml:space="preserve">RACA:
En esta ventana cambiar por el fertilizante que deseamos usar. La ultima Pagina de fertilizantes tiene para actualizar el precio de su zona y agregar los que no estén en el listado</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RACA</author>
  </authors>
  <commentList>
    <comment ref="J4" authorId="0">
      <text>
        <t xml:space="preserve">RACA:
La relación de Nitrógeno-Potasio es la relación mas importante ya que es la que controla el tipo de crecimiento y la dureza de la planta a situaciones adversas. Revise la relación ideal de cada cultivo ya que son específicos.
Cultivo                                         Relación N:K
Apio Veg       2.2 a 1.8
Apio Prod      1.7 a 1.4
Brócoli, Coliflor y Repollo Veg   2.8 a 2.3
Brócoli, Coliflor y Repollo Prod  1.9 a 1.5
Camote Veg Hasta 28 DDS                    3.0 a 2.6
Camote Veg de 29 DDS Hasta 70 DDS    2.0 a 1.6
Camote Prod de 71 DDS Hasta Cosecha  1.5 a 1.1
Cebolla veg Hasta 65 DDS             2.7 a 2.2
Cebolla Prod de 66 hasta cosecha  1.8 a 1.4
Chile veg       3.1 a 2.7
Chile Prod     2.4 a 1.9
Chive     2.0 a 1.7
Clavel      2.1 a 1.7
Crisantemo veg                       2.3 a 2.0
Crisantemo salida Botón floral  1.6 a 1.9
Forestales vivero    3.8 a 4.5
Fresa Veg                   2.2 a 1.9
Fresa Fruta mediana    1.8 a 1.6
Gerbera     2.4 a 2.0
Gingers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Tomate Proceso 46 a 65 DDT   1.9 a 1.7
Tomate Proceso 66 a 80 DDT   1.6 a 1.4
Tomate Proceso 81 DDT hasta final  1.5 a 1.3
Tomate Mesa 0 a 45 DDT            2.4 a 2.0
Tomate Mesa 46 a 65 DDT          1.9 a 1.7
Tomate Mesa 66 a 80 DDT          1.6 a 1.4
Tomate Mesa 81 DDT hasta final  1.7 a 1.5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0">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0">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t>
      </text>
    </comment>
    <comment ref="C6" authorId="0">
      <text>
        <t xml:space="preserve">RACA:
Actualizar precio de acuerdo a su zona.
Cuando es liquido ponga el precio de 46 litros de producto.</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t>
      </text>
    </comment>
    <comment ref="C10" authorId="0">
      <text>
        <t xml:space="preserve">RACA:
Actualizar precio de acuerdo a su zona.
Cuando es liquido ponga el precio de 46 litros de producto.</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t>
      </text>
    </comment>
    <comment ref="C25" authorId="0">
      <text>
        <t xml:space="preserve">RACA:
Actualizar precio de acuerdo a su zona.
Cuando es liquido ponga el precio de 46 litros de producto.</t>
      </text>
    </comment>
    <comment ref="C26" authorId="0">
      <text>
        <t xml:space="preserve">RACA:
Actualizar precio de acuerdo a su zona.
Cuando es liquido ponga el precio de 46 litros de producto.</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producto._x0000_&gt;_x0000_É_x0003__x0019__x0000_i_x0000__x0000__x0000__x0000__x0000_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producto._x0000_&gt;_x0000_É_x0003__x0019__x0000_i_x0000__x0000__x0000__x0000__x0000_
_x0000_</t>
      </text>
    </comment>
    <comment ref="C32" authorId="0">
      <text>
        <t xml:space="preserve">RACA:
Actualizar precio de acuerdo a su zona.
Cuando es liquido ponga el precio de 46 litros de producto._x0000_&gt;_x0000_É_x0003__x0019__x0000_i_x0000__x0000__x0000__x0000__x0000_
_x0000_</t>
      </text>
    </comment>
    <comment ref="C33" authorId="0">
      <text>
        <t xml:space="preserve">RACA:
Actualizar precio de acuerdo a su zona.
Cuando es liquido ponga el precio de 46 litros de producto._x0000_&gt;_x0000_É_x0003__x0019__x0000_i_x0000__x0000__x0000__x0000__x0000_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producto._x0000_&gt;_x0000_É_x0003__x0019__x0000_i_x0000__x0000__x0000__x0000__x0000_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producto._x0000_&gt;_x0000_É_x0003__x0019__x0000_i_x0000__x0000__x0000__x0000__x0000_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producto._x0000_&gt;_x0000_É_x0003__x0019__x0000_i_x0000__x0000__x0000__x0000__x0000_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producto._x0000_&gt;_x0000_É_x0003__x0019__x0000_i_x0000__x0000__x0000__x0000__x0000_
_x0000_</t>
      </text>
    </comment>
    <comment ref="C39" authorId="0">
      <text>
        <t xml:space="preserve">RACA:
Actualizar precio de acuerdo a su zona.
Cuando es liquido ponga el precio de 46 litros de producto._x0000_&gt;_x0000_É_x0003__x0019__x0000_i_x0000__x0000__x0000__x0000__x0000_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producto._x0000_&gt;_x0000_É_x0003__x0019__x0000_i_x0000__x0000__x0000__x0000__x0000_
_x0000_</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Cuando es liquido ponga el precio de 46 litros de producto._x0000_&gt;_x0000_É_x0003__x0019__x0000_i_x0000__x0000__x0000__x0000__x0000_
_x0000_</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Cuando es liquido ponga el precio de 46 litros de producto._x0000_&gt;_x0000_É_x0003__x0019__x0000_i_x0000__x0000__x0000__x0000__x0000_
_x0000_</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Cuando es liquido ponga el precio de 46 litros de producto._x0000_&gt;_x0000_É_x0003__x0019__x0000_i_x0000__x0000__x0000__x0000__x0000_
_x0000_</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Cuando es liquido ponga el precio de 46 litros de producto._x0000_&gt;_x0000_É_x0003__x0019__x0000_i_x0000__x0000__x0000__x0000__x0000_
_x0000_</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Cuando es liquido ponga el precio de 46 litros de producto._x0000_&gt;_x0000_É_x0003__x0019__x0000_i_x0000__x0000__x0000__x0000__x0000_
_x0000_</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Cuando es liquido ponga el precio de 46 litros de producto.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S114"/>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22.95" customHeight="1">
      <c r="C13" t="str">
        <v>"Sin Fertilización Base"Para mas de 75,000 Lbs por Hectarea</v>
      </c>
    </row>
    <row r="14" ht="21" customHeight="1">
      <c r="C14" t="str">
        <v>SEGUIR LOS 4 PASOS EN ESTA PAGINA EN LAS ÁREAS GRISES</v>
      </c>
    </row>
    <row r="15">
      <c r="C15" t="str">
        <v>Paso 1. Completar los datos básicos</v>
      </c>
    </row>
    <row r="17" ht="18" customHeight="1">
      <c r="C17" t="str">
        <v>Nombre de Productor:</v>
      </c>
      <c r="E17" t="str">
        <v>Pancho Pérez</v>
      </c>
    </row>
    <row r="18" ht="18" customHeight="1">
      <c r="C18" t="str">
        <v>Zona:</v>
      </c>
      <c r="E18" t="str">
        <v>La Flecha</v>
      </c>
    </row>
    <row r="19" ht="18" customHeight="1">
      <c r="C19" t="str">
        <v>Parcela #:</v>
      </c>
      <c r="E19" t="str">
        <v>La Frondosa</v>
      </c>
    </row>
    <row r="20" ht="18" customHeight="1">
      <c r="C20" t="str">
        <v>Nombre del Técnico:</v>
      </c>
      <c r="E20" t="str">
        <v>Luís Torres</v>
      </c>
    </row>
    <row r="21" ht="33" customHeight="1">
      <c r="C21" t="str">
        <v xml:space="preserve">Nombre del Cultivo / Variedad </v>
      </c>
      <c r="E21" t="str">
        <v>Zanahoria</v>
      </c>
      <c r="G21" t="str">
        <v>Bangor</v>
      </c>
    </row>
    <row r="22" ht="18" customHeight="1">
      <c r="C22" t="str">
        <v>Área en Manzanas</v>
      </c>
      <c r="E22">
        <v>1.43</v>
      </c>
      <c r="F22" t="str">
        <v>Área en Hectáreas</v>
      </c>
      <c r="I22">
        <f>E22*0.7</f>
        <v>1.001</v>
      </c>
    </row>
    <row r="23" ht="18" customHeight="1">
      <c r="C23" t="str">
        <v>Fecha de Siembra:</v>
      </c>
      <c r="E23">
        <v>39239</v>
      </c>
    </row>
    <row r="24">
      <c r="C24" t="str">
        <v>Cosecha - Días DDT:</v>
      </c>
      <c r="E24">
        <v>120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0-52-34,</v>
      </c>
      <c r="E31">
        <f>IF(+$D$32&lt;&gt;0,VLOOKUP(+$D$32,Fertilizante1,4,FALSE),"")</f>
        <v>0</v>
      </c>
      <c r="F31">
        <f>IF(+$D$32&lt;&gt;0,VLOOKUP(+$D$32,Fertilizante1,5,FALSE),"")</f>
        <v>52</v>
      </c>
      <c r="G31">
        <f>IF(+$D$32&lt;&gt;0,VLOOKUP(+$D$32,Fertilizante1,6,FALSE),"")</f>
        <v>34</v>
      </c>
    </row>
    <row r="32">
      <c r="C32" t="str">
        <v>Nombre:</v>
      </c>
      <c r="D32" t="str">
        <v>FofatoMonoPotasico</v>
      </c>
      <c r="E32" t="str">
        <f>VLOOKUP(D32,Fertilizante2,11,FALSE)</f>
        <v>Lbs</v>
      </c>
    </row>
    <row r="33" ht="20.25" customHeight="1">
      <c r="C33" t="str">
        <f>E25</f>
        <v>Lempiras</v>
      </c>
      <c r="D33">
        <f>IF(+D32&lt;&gt;0,VLOOKUP(+D32,Fertilizante1,3,FALSE),"")</f>
        <v>1169</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410</v>
      </c>
    </row>
    <row r="40">
      <c r="C40" t="str">
        <v>Nitrógeno</v>
      </c>
      <c r="E40" t="str">
        <v>N</v>
      </c>
      <c r="F40" t="str">
        <v>P2O5</v>
      </c>
      <c r="G40" t="str">
        <v>K2O</v>
      </c>
      <c r="H40" t="str">
        <v>Este cuadro es para el fertilizante usado como fuente de nitrógeno</v>
      </c>
    </row>
    <row r="41">
      <c r="C41" t="str">
        <v>Formula:</v>
      </c>
      <c r="D41" t="str">
        <f>IF(+$D$42&lt;&gt;0,VLOOKUP(+$D$42,Fertilizante1,2,FALSE),"")</f>
        <v>33.5-0-0</v>
      </c>
      <c r="E41">
        <f>IF(+$D$42&lt;&gt;0,VLOOKUP(+$D$42,Fertilizante1,4,FALSE),"")</f>
        <v>33.5</v>
      </c>
      <c r="F41">
        <f>IF(+$D$42&lt;&gt;0,VLOOKUP(+$D$42,Fertilizante1,5,FALSE),"")</f>
        <v>0</v>
      </c>
      <c r="G41">
        <f>IF(+$D$42&lt;&gt;0,VLOOKUP(+$D$42,Fertilizante1,6,FALSE),"")</f>
        <v>0</v>
      </c>
    </row>
    <row r="42">
      <c r="C42" t="str">
        <v>Nombre:</v>
      </c>
      <c r="D42" t="str">
        <v>Nitrato de Amonio</v>
      </c>
      <c r="E42" t="str">
        <f>VLOOKUP(D42,Fertilizante2,11,FALSE)</f>
        <v>Lbs</v>
      </c>
    </row>
    <row r="43" ht="21" customHeight="1">
      <c r="C43" t="str">
        <f>E25</f>
        <v>Lempiras</v>
      </c>
      <c r="D43">
        <f>IF(+$D$42&lt;&gt;0,VLOOKUP(+$D$42,Fertilizante1,3,FALSE),"")</f>
        <v>320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425</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445</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0.0316</v>
      </c>
    </row>
    <row r="60">
      <c r="C60" t="str">
        <v>Materia Organica</v>
      </c>
    </row>
    <row r="61" ht="13.199999999999998" customHeight="1">
      <c r="C61" t="str">
        <v>Nombre:</v>
      </c>
      <c r="D61" t="str">
        <v>Melaza</v>
      </c>
      <c r="E61" t="str">
        <f>Fertilizantes!D50</f>
        <v>Lts</v>
      </c>
    </row>
    <row r="62" ht="13.199999999999998" customHeight="1">
      <c r="C62" t="str">
        <f>E25</f>
        <v>Lempiras</v>
      </c>
      <c r="D62">
        <f>VLOOKUP(D61,Fertilizantes!A49:E53,3,FALSE)</f>
        <v>2.5</v>
      </c>
    </row>
    <row r="63" ht="13.199999999999998" customHeight="1">
      <c r="C63" t="str">
        <v>Dosis/Hectarea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Transplante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Calendario de Fertilización por Goteo 2 Veces Por Semana</v>
      </c>
    </row>
    <row r="104" ht="20.1" customHeight="1"/>
    <row r="105" ht="20.1" customHeight="1"/>
    <row r="106" ht="20.1" customHeight="1">
      <c r="C106" t="str">
        <v>Imprimir Calendario de Fertilización por Goteo 1 Vez Por Semana</v>
      </c>
    </row>
    <row r="107" ht="20.1" customHeight="1"/>
    <row r="108" ht="20.1" customHeight="1"/>
    <row r="109" ht="20.1" customHeight="1">
      <c r="C109" t="str">
        <v>Imprimir Calendario de Fertilización Cada 14 Días o a Mano</v>
      </c>
    </row>
    <row r="110" ht="20.1" customHeight="1"/>
    <row r="111" ht="20.1" customHeight="1"/>
    <row r="112" ht="20.1" customHeight="1"/>
    <row r="113" ht="20.1" customHeight="1"/>
    <row r="114" ht="20.1" customHeight="1"/>
  </sheetData>
  <sheetProtection sheet="1"/>
  <mergeCells count="72">
    <mergeCell ref="C94:I94"/>
    <mergeCell ref="H86:I86"/>
    <mergeCell ref="H87:I87"/>
    <mergeCell ref="K82:L82"/>
    <mergeCell ref="K83:L83"/>
    <mergeCell ref="K84:L84"/>
    <mergeCell ref="K85:L85"/>
    <mergeCell ref="K86:L86"/>
    <mergeCell ref="K87:L87"/>
    <mergeCell ref="H82:I82"/>
    <mergeCell ref="H84:I84"/>
    <mergeCell ref="H85:I85"/>
    <mergeCell ref="C13:J13"/>
    <mergeCell ref="C15:M15"/>
    <mergeCell ref="E17:I17"/>
    <mergeCell ref="E18:I18"/>
    <mergeCell ref="C17:D17"/>
    <mergeCell ref="F22:H22"/>
    <mergeCell ref="C19:D19"/>
    <mergeCell ref="C22:D22"/>
    <mergeCell ref="E20:I20"/>
    <mergeCell ref="C20:D20"/>
    <mergeCell ref="C21:D21"/>
    <mergeCell ref="E21:F21"/>
    <mergeCell ref="G21:I21"/>
    <mergeCell ref="C23:D23"/>
    <mergeCell ref="E19:I19"/>
    <mergeCell ref="C18:D18"/>
    <mergeCell ref="C109:I109"/>
    <mergeCell ref="C24:D24"/>
    <mergeCell ref="C28:M28"/>
    <mergeCell ref="C40:D40"/>
    <mergeCell ref="H40:M41"/>
    <mergeCell ref="J45:M46"/>
    <mergeCell ref="C100:I100"/>
    <mergeCell ref="C103:I103"/>
    <mergeCell ref="C106:I106"/>
    <mergeCell ref="F71:G71"/>
    <mergeCell ref="C14:J14"/>
    <mergeCell ref="E24:I24"/>
    <mergeCell ref="H30:M31"/>
    <mergeCell ref="H35:M36"/>
    <mergeCell ref="C35:D35"/>
    <mergeCell ref="C30:D30"/>
    <mergeCell ref="E23:I23"/>
    <mergeCell ref="C97:I97"/>
    <mergeCell ref="F74:G74"/>
    <mergeCell ref="F75:G75"/>
    <mergeCell ref="F72:G72"/>
    <mergeCell ref="F73:G73"/>
    <mergeCell ref="C78:M78"/>
    <mergeCell ref="H81:I81"/>
    <mergeCell ref="H80:I80"/>
    <mergeCell ref="K80:L80"/>
    <mergeCell ref="K81:L81"/>
    <mergeCell ref="C25:D25"/>
    <mergeCell ref="E25:I25"/>
    <mergeCell ref="I50:M51"/>
    <mergeCell ref="C91:M91"/>
    <mergeCell ref="C60:D60"/>
    <mergeCell ref="C50:D50"/>
    <mergeCell ref="C55:D55"/>
    <mergeCell ref="C68:M68"/>
    <mergeCell ref="C45:D45"/>
    <mergeCell ref="H83:I83"/>
    <mergeCell ref="C84:G84"/>
    <mergeCell ref="C85:G85"/>
    <mergeCell ref="C86:G86"/>
    <mergeCell ref="C80:G80"/>
    <mergeCell ref="C82:G82"/>
    <mergeCell ref="C81:G81"/>
    <mergeCell ref="C83:G83"/>
  </mergeCells>
  <pageMargins left="0" right="0" top="0" bottom="0" header="0" footer="0"/>
  <ignoredErrors>
    <ignoredError numberStoredAsText="1" sqref="A1:S114"/>
  </ignoredErrors>
  <legacyDrawing r:id="rId1"/>
</worksheet>
</file>

<file path=xl/worksheets/sheet2.xml><?xml version="1.0" encoding="utf-8"?>
<worksheet xmlns="http://schemas.openxmlformats.org/spreadsheetml/2006/main" xmlns:r="http://schemas.openxmlformats.org/officeDocument/2006/relationships">
  <dimension ref="A1:Z161"/>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Zanahoria</v>
      </c>
    </row>
    <row r="6" ht="26.25" customHeight="1"/>
    <row r="7" ht="26.25" customHeight="1"/>
    <row r="8" ht="8.4" customHeight="1"/>
    <row r="9" ht="26.25" customHeight="1">
      <c r="A9" t="str">
        <f>Main!$C$13</f>
        <v>"Sin Fertilización Base"Para mas de 75,000 Lbs por Hectarea</v>
      </c>
      <c r="P9" t="str">
        <f>Main!$G$21</f>
        <v>Bangor</v>
      </c>
    </row>
    <row r="10" ht="4.2" customHeight="1"/>
    <row r="11" ht="20.1" customHeight="1">
      <c r="A11" t="str">
        <v>Productor</v>
      </c>
      <c r="C11" t="str">
        <f>Main!E17</f>
        <v>Pancho Pérez</v>
      </c>
      <c r="F11" t="str">
        <v>Parcela</v>
      </c>
      <c r="I11" t="str">
        <f>Main!E19</f>
        <v>La Frondosa</v>
      </c>
    </row>
    <row r="12" ht="20.1" customHeight="1">
      <c r="A12" t="str">
        <v>Zona</v>
      </c>
      <c r="C12" t="str">
        <f>Main!E18</f>
        <v>La Flecha</v>
      </c>
      <c r="F12" t="str">
        <v>Técnico</v>
      </c>
      <c r="I12" t="str">
        <f>Main!E20</f>
        <v>Luís Torres</v>
      </c>
    </row>
    <row r="13" ht="20.1" customHeight="1">
      <c r="A13" t="str">
        <v>Área Mz.</v>
      </c>
      <c r="C13">
        <f>Main!E22</f>
        <v>1.43</v>
      </c>
      <c r="F13" t="str">
        <v>Fecha:</v>
      </c>
      <c r="I13">
        <f>Main!E23</f>
        <v>39239</v>
      </c>
    </row>
    <row r="14" ht="20.1" customHeight="1">
      <c r="A14" t="str">
        <v>Área Ha.</v>
      </c>
      <c r="C14">
        <f>Main!I22</f>
        <v>1.001</v>
      </c>
      <c r="F14" t="str">
        <v>Fecha de Cosecha:</v>
      </c>
      <c r="I14">
        <f>I13+Main!E24</f>
        <v>39359</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39240</v>
      </c>
      <c r="E18">
        <f>IF($C$14*ReDiarioFert!C7&lt;=0,"0",$C$14*ReDiarioFert!C7)</f>
        <v>2.7571881579086446</v>
      </c>
      <c r="G18">
        <f>$C$14*ReDiarioFert!E7</f>
        <v>1.3124505143749996</v>
      </c>
      <c r="I18">
        <f>$C$14*ReDiarioFert!G7</f>
        <v>1.581451726020833</v>
      </c>
      <c r="K18">
        <f>$C$14*ReDiarioFert!I7</f>
        <v>0.6715500088869623</v>
      </c>
      <c r="M18">
        <f>$C$14*ReDiarioFert!K7</f>
        <v>1.8456515651651852</v>
      </c>
      <c r="O18">
        <f>$C$14*ReDiarioFert!M7</f>
        <v>24.866793170731707</v>
      </c>
      <c r="Q18">
        <f>$C$14*Main!$D$63</f>
        <v>20.019999999999996</v>
      </c>
      <c r="S18">
        <f>((E18/100)*$G$148+(G18/100)*$G$149+(I18/100)*$G$150+(K18/100)*$G$151+(M18/100)*$G$152+(O18)*$G$153+(Q18*$G$154))</f>
        <v>92.55252836198659</v>
      </c>
    </row>
    <row r="19" ht="18.75" customHeight="1">
      <c r="B19">
        <v>2</v>
      </c>
      <c r="C19">
        <f>$I$13+B19</f>
        <v>39241</v>
      </c>
      <c r="E19">
        <f>IF($C$14*ReDiarioFert!C8&lt;=0,"0",$C$14*ReDiarioFert!C8)</f>
        <v>2.7571881579086446</v>
      </c>
      <c r="G19">
        <f>$C$14*ReDiarioFert!E8</f>
        <v>1.3124505143749996</v>
      </c>
      <c r="I19">
        <f>$C$14*ReDiarioFert!G8</f>
        <v>1.581451726020833</v>
      </c>
      <c r="K19">
        <f>$C$14*ReDiarioFert!I8</f>
        <v>0.6715500088869623</v>
      </c>
      <c r="M19">
        <f>$C$14*ReDiarioFert!K8</f>
        <v>1.8456515651651852</v>
      </c>
      <c r="O19">
        <f>$C$14*ReDiarioFert!M8</f>
        <v>24.866793170731707</v>
      </c>
      <c r="Q19" t="str">
        <f>Main!$H$81</f>
        <v>Furadan 48 SC</v>
      </c>
      <c r="R19">
        <f>Main!$K$81*Main!$I$22</f>
        <v>3.788785</v>
      </c>
      <c r="S19">
        <f>((E19/100)*$G$148+(G19/100)*$G$149+(I19/100)*$G$150+(K19/100)*$G$151+(M19/100)*$G$152+(O19)*$G$153+(R19*Main!$J$81))</f>
        <v>1493.6071833619865</v>
      </c>
    </row>
    <row r="20" ht="18.75" customHeight="1">
      <c r="B20">
        <v>3</v>
      </c>
      <c r="C20">
        <f>$I$13+B20</f>
        <v>39242</v>
      </c>
      <c r="E20">
        <f>IF($C$14*ReDiarioFert!C9&lt;=0,"0",$C$14*ReDiarioFert!C9)</f>
        <v>2.7571881579086446</v>
      </c>
      <c r="G20">
        <f>$C$14*ReDiarioFert!E9</f>
        <v>1.3124505143749996</v>
      </c>
      <c r="I20">
        <f>$C$14*ReDiarioFert!G9</f>
        <v>1.581451726020833</v>
      </c>
      <c r="K20">
        <f>$C$14*ReDiarioFert!I9</f>
        <v>0.6715500088869623</v>
      </c>
      <c r="M20">
        <f>$C$14*ReDiarioFert!K9</f>
        <v>1.8456515651651852</v>
      </c>
      <c r="O20">
        <f>$C$14*ReDiarioFert!M9</f>
        <v>24.866793170731707</v>
      </c>
      <c r="S20">
        <f>((E20/100)*$G$148+(G20/100)*$G$149+(I20/100)*$G$150+(K20/100)*$G$151+(M20/100)*$G$152+(O20)*$G$153+(Q20*$G$154))</f>
        <v>42.502528361986606</v>
      </c>
    </row>
    <row r="21" ht="18.75" customHeight="1">
      <c r="B21">
        <v>4</v>
      </c>
      <c r="C21">
        <f>$I$13+B21</f>
        <v>39243</v>
      </c>
      <c r="E21">
        <f>IF($C$14*ReDiarioFert!C10&lt;=0,"0",$C$14*ReDiarioFert!C10)</f>
        <v>2.7571881579086446</v>
      </c>
      <c r="G21">
        <f>$C$14*ReDiarioFert!E10</f>
        <v>1.3124505143749996</v>
      </c>
      <c r="I21">
        <f>$C$14*ReDiarioFert!G10</f>
        <v>1.581451726020833</v>
      </c>
      <c r="K21">
        <f>$C$14*ReDiarioFert!I10</f>
        <v>0.6715500088869623</v>
      </c>
      <c r="M21">
        <f>$C$14*ReDiarioFert!K10</f>
        <v>1.8456515651651852</v>
      </c>
      <c r="O21">
        <f>$C$14*ReDiarioFert!M10</f>
        <v>24.866793170731707</v>
      </c>
      <c r="S21">
        <f>((E21/100)*$G$148+(G21/100)*$G$149+(I21/100)*$G$150+(K21/100)*$G$151+(M21/100)*$G$152+(O21)*$G$153+(Q21*$G$154))</f>
        <v>42.502528361986606</v>
      </c>
    </row>
    <row r="22" ht="18.75" customHeight="1">
      <c r="B22">
        <v>5</v>
      </c>
      <c r="C22">
        <f>$I$13+B22</f>
        <v>39244</v>
      </c>
      <c r="E22">
        <f>IF($C$14*ReDiarioFert!C11&lt;=0,"0",$C$14*ReDiarioFert!C11)</f>
        <v>2.7571881579086446</v>
      </c>
      <c r="G22">
        <f>$C$14*ReDiarioFert!E11</f>
        <v>1.3124505143749996</v>
      </c>
      <c r="I22">
        <f>$C$14*ReDiarioFert!G11</f>
        <v>1.581451726020833</v>
      </c>
      <c r="K22">
        <f>$C$14*ReDiarioFert!I11</f>
        <v>0.6715500088869623</v>
      </c>
      <c r="M22">
        <f>$C$14*ReDiarioFert!K11</f>
        <v>1.8456515651651852</v>
      </c>
      <c r="O22">
        <f>$C$14*ReDiarioFert!M11</f>
        <v>24.866793170731707</v>
      </c>
      <c r="S22">
        <f>((E22/100)*$G$148+(G22/100)*$G$149+(I22/100)*$G$150+(K22/100)*$G$151+(M22/100)*$G$152+(O22)*$G$153+(Q22*$G$154))</f>
        <v>42.502528361986606</v>
      </c>
    </row>
    <row r="23" ht="18.75" customHeight="1">
      <c r="B23">
        <v>6</v>
      </c>
      <c r="C23">
        <f>$I$13+B23</f>
        <v>39245</v>
      </c>
      <c r="E23">
        <f>IF($C$14*ReDiarioFert!C12&lt;=0,"0",$C$14*ReDiarioFert!C12)</f>
        <v>2.7571881579086446</v>
      </c>
      <c r="G23">
        <f>$C$14*ReDiarioFert!E12</f>
        <v>1.3124505143749996</v>
      </c>
      <c r="I23">
        <f>$C$14*ReDiarioFert!G12</f>
        <v>1.581451726020833</v>
      </c>
      <c r="K23">
        <f>$C$14*ReDiarioFert!I12</f>
        <v>0.6715500088869623</v>
      </c>
      <c r="M23">
        <f>$C$14*ReDiarioFert!K12</f>
        <v>1.8456515651651852</v>
      </c>
      <c r="O23">
        <f>$C$14*ReDiarioFert!M12</f>
        <v>24.866793170731707</v>
      </c>
      <c r="S23">
        <f>((E23/100)*$G$148+(G23/100)*$G$149+(I23/100)*$G$150+(K23/100)*$G$151+(M23/100)*$G$152+(O23)*$G$153+(Q23*$G$154))</f>
        <v>42.502528361986606</v>
      </c>
    </row>
    <row r="24" ht="18.75" customHeight="1">
      <c r="B24">
        <v>7</v>
      </c>
      <c r="C24">
        <f>$I$13+B24</f>
        <v>39246</v>
      </c>
      <c r="E24">
        <f>IF($C$14*ReDiarioFert!C13&lt;=0,"0",$C$14*ReDiarioFert!C13)</f>
        <v>2.7571881579086446</v>
      </c>
      <c r="G24">
        <f>$C$14*ReDiarioFert!E13</f>
        <v>1.3124505143749996</v>
      </c>
      <c r="I24">
        <f>$C$14*ReDiarioFert!G13</f>
        <v>1.581451726020833</v>
      </c>
      <c r="K24">
        <f>$C$14*ReDiarioFert!I13</f>
        <v>0.6715500088869623</v>
      </c>
      <c r="M24">
        <f>$C$14*ReDiarioFert!K13</f>
        <v>1.8456515651651852</v>
      </c>
      <c r="O24">
        <f>$C$14*ReDiarioFert!M13</f>
        <v>24.866793170731707</v>
      </c>
      <c r="Q24" t="str">
        <f>Main!$H$84</f>
        <v>Acido Fosforoso</v>
      </c>
      <c r="R24">
        <f>Main!$K$84*Main!$I$22</f>
        <v>5.004999999999999</v>
      </c>
      <c r="S24">
        <f>((E24/100)*$G$148+(G24/100)*$G$149+(I24/100)*$G$150+(K24/100)*$G$151+(M24/100)*$G$152+(O24)*$G$153+(R24*Main!$J$84))</f>
        <v>442.9025283619865</v>
      </c>
    </row>
    <row r="25">
      <c r="A25">
        <v>2</v>
      </c>
      <c r="B25">
        <v>8</v>
      </c>
      <c r="C25">
        <f>$I$13+B25</f>
        <v>39247</v>
      </c>
      <c r="E25">
        <f>IF($C$14*ReDiarioFert!C14&lt;=0,"0",$C$14*ReDiarioFert!C14)</f>
        <v>2.7571881579086446</v>
      </c>
      <c r="G25">
        <f>$C$14*ReDiarioFert!E14</f>
        <v>1.3124505143749996</v>
      </c>
      <c r="I25">
        <f>$C$14*ReDiarioFert!G14</f>
        <v>1.581451726020833</v>
      </c>
      <c r="K25">
        <f>$C$14*ReDiarioFert!I14</f>
        <v>0.6715500088869623</v>
      </c>
      <c r="M25">
        <f>$C$14*ReDiarioFert!K14</f>
        <v>1.8456515651651852</v>
      </c>
      <c r="O25">
        <f>$C$14*ReDiarioFert!M14</f>
        <v>24.866793170731707</v>
      </c>
      <c r="Q25">
        <f>$C$14*Main!$D$63</f>
        <v>20.019999999999996</v>
      </c>
      <c r="S25">
        <f>((E25/100)*$G$148+(G25/100)*$G$149+(I25/100)*$G$150+(K25/100)*$G$151+(M25/100)*$G$152+(O25)*$G$153+(Q25*$G$154))</f>
        <v>92.55252836198659</v>
      </c>
    </row>
    <row r="26">
      <c r="B26">
        <v>9</v>
      </c>
      <c r="C26">
        <f>$I$13+B26</f>
        <v>39248</v>
      </c>
      <c r="E26">
        <f>IF($C$14*ReDiarioFert!C15&lt;=0,"0",$C$14*ReDiarioFert!C15)</f>
        <v>2.7571881579086446</v>
      </c>
      <c r="G26">
        <f>$C$14*ReDiarioFert!E15</f>
        <v>1.3124505143749996</v>
      </c>
      <c r="I26">
        <f>$C$14*ReDiarioFert!G15</f>
        <v>1.581451726020833</v>
      </c>
      <c r="K26">
        <f>$C$14*ReDiarioFert!I15</f>
        <v>0.6715500088869623</v>
      </c>
      <c r="M26">
        <f>$C$14*ReDiarioFert!K15</f>
        <v>1.8456515651651852</v>
      </c>
      <c r="O26">
        <f>$C$14*ReDiarioFert!M15</f>
        <v>24.866793170731707</v>
      </c>
      <c r="S26">
        <f>((E26/100)*$G$148+(G26/100)*$G$149+(I26/100)*$G$150+(K26/100)*$G$151+(M26/100)*$G$152+(O26)*$G$153+(Q26*$G$154))</f>
        <v>42.502528361986606</v>
      </c>
    </row>
    <row r="27">
      <c r="B27">
        <v>10</v>
      </c>
      <c r="C27">
        <f>$I$13+B27</f>
        <v>39249</v>
      </c>
      <c r="E27">
        <f>IF($C$14*ReDiarioFert!C16&lt;=0,"0",$C$14*ReDiarioFert!C16)</f>
        <v>2.7571881579086446</v>
      </c>
      <c r="G27">
        <f>$C$14*ReDiarioFert!E16</f>
        <v>1.3124505143749996</v>
      </c>
      <c r="I27">
        <f>$C$14*ReDiarioFert!G16</f>
        <v>1.581451726020833</v>
      </c>
      <c r="K27">
        <f>$C$14*ReDiarioFert!I16</f>
        <v>0.6715500088869623</v>
      </c>
      <c r="M27">
        <f>$C$14*ReDiarioFert!K16</f>
        <v>1.8456515651651852</v>
      </c>
      <c r="O27">
        <f>$C$14*ReDiarioFert!M16</f>
        <v>24.866793170731707</v>
      </c>
      <c r="S27">
        <f>((E27/100)*$G$148+(G27/100)*$G$149+(I27/100)*$G$150+(K27/100)*$G$151+(M27/100)*$G$152+(O27)*$G$153+(R27*Main!$J$82))</f>
        <v>42.502528361986606</v>
      </c>
    </row>
    <row r="28">
      <c r="B28">
        <v>11</v>
      </c>
      <c r="C28">
        <f>$I$13+B28</f>
        <v>39250</v>
      </c>
      <c r="E28">
        <f>IF($C$14*ReDiarioFert!C17&lt;=0,"0",$C$14*ReDiarioFert!C17)</f>
        <v>2.7571881579086446</v>
      </c>
      <c r="G28">
        <f>$C$14*ReDiarioFert!E17</f>
        <v>1.3124505143749996</v>
      </c>
      <c r="I28">
        <f>$C$14*ReDiarioFert!G17</f>
        <v>1.581451726020833</v>
      </c>
      <c r="K28">
        <f>$C$14*ReDiarioFert!I17</f>
        <v>0.6715500088869623</v>
      </c>
      <c r="M28">
        <f>$C$14*ReDiarioFert!K17</f>
        <v>1.8456515651651852</v>
      </c>
      <c r="O28">
        <f>$C$14*ReDiarioFert!M17</f>
        <v>44.76032536585365</v>
      </c>
      <c r="S28">
        <f>((E28/100)*$G$148+(G28/100)*$G$149+(I28/100)*$G$150+(K28/100)*$G$151+(M28/100)*$G$152+(O28)*$G$153+(Q28*$G$154))</f>
        <v>43.131163979352465</v>
      </c>
    </row>
    <row r="29">
      <c r="B29">
        <v>12</v>
      </c>
      <c r="C29">
        <f>$I$13+B29</f>
        <v>39251</v>
      </c>
      <c r="E29">
        <f>IF($C$14*ReDiarioFert!C18&lt;=0,"0",$C$14*ReDiarioFert!C18)</f>
        <v>2.7571881579086446</v>
      </c>
      <c r="G29">
        <f>$C$14*ReDiarioFert!E18</f>
        <v>1.3124505143749996</v>
      </c>
      <c r="I29">
        <f>$C$14*ReDiarioFert!G18</f>
        <v>1.581451726020833</v>
      </c>
      <c r="K29">
        <f>$C$14*ReDiarioFert!I18</f>
        <v>0.6715500088869623</v>
      </c>
      <c r="M29">
        <f>$C$14*ReDiarioFert!K18</f>
        <v>1.8456515651651852</v>
      </c>
      <c r="O29">
        <f>$C$14*ReDiarioFert!M18</f>
        <v>44.76032536585365</v>
      </c>
      <c r="S29">
        <f>((E29/100)*$G$148+(G29/100)*$G$149+(I29/100)*$G$150+(K29/100)*$G$151+(M29/100)*$G$152+(O29)*$G$153+(Q29*$G$154))</f>
        <v>43.131163979352465</v>
      </c>
    </row>
    <row r="30">
      <c r="B30">
        <v>13</v>
      </c>
      <c r="C30">
        <f>$I$13+B30</f>
        <v>39252</v>
      </c>
      <c r="E30">
        <f>IF($C$14*ReDiarioFert!C19&lt;=0,"0",$C$14*ReDiarioFert!C19)</f>
        <v>2.7571881579086446</v>
      </c>
      <c r="G30">
        <f>$C$14*ReDiarioFert!E19</f>
        <v>1.3124505143749996</v>
      </c>
      <c r="I30">
        <f>$C$14*ReDiarioFert!G19</f>
        <v>1.581451726020833</v>
      </c>
      <c r="K30">
        <f>$C$14*ReDiarioFert!I19</f>
        <v>0.6715500088869623</v>
      </c>
      <c r="M30">
        <f>$C$14*ReDiarioFert!K19</f>
        <v>1.8456515651651852</v>
      </c>
      <c r="O30">
        <f>$C$14*ReDiarioFert!M19</f>
        <v>44.76032536585365</v>
      </c>
      <c r="S30">
        <f>((E30/100)*$G$148+(G30/100)*$G$149+(I30/100)*$G$150+(K30/100)*$G$151+(M30/100)*$G$152+(O30)*$G$153+(Q30*$G$154))</f>
        <v>43.131163979352465</v>
      </c>
    </row>
    <row r="31">
      <c r="B31">
        <v>14</v>
      </c>
      <c r="C31">
        <f>$I$13+B31</f>
        <v>39253</v>
      </c>
      <c r="E31">
        <f>IF($C$14*ReDiarioFert!C20&lt;=0,"0",$C$14*ReDiarioFert!C20)</f>
        <v>2.7571881579086446</v>
      </c>
      <c r="G31">
        <f>$C$14*ReDiarioFert!E20</f>
        <v>1.3124505143749996</v>
      </c>
      <c r="I31">
        <f>$C$14*ReDiarioFert!G20</f>
        <v>1.581451726020833</v>
      </c>
      <c r="K31">
        <f>$C$14*ReDiarioFert!I20</f>
        <v>0.6715500088869623</v>
      </c>
      <c r="M31">
        <f>$C$14*ReDiarioFert!K20</f>
        <v>1.8456515651651852</v>
      </c>
      <c r="O31">
        <f>$C$14*ReDiarioFert!M20</f>
        <v>44.76032536585365</v>
      </c>
      <c r="Q31" t="str">
        <f>Main!$H$83</f>
        <v>Acido Salicílico</v>
      </c>
      <c r="R31">
        <f>Main!$K$83*Main!$I$22</f>
        <v>250.24999999999997</v>
      </c>
      <c r="S31">
        <f>((E31/100)*$G$148+(G31/100)*$G$149+(I31/100)*$G$150+(K31/100)*$G$151+(M31/100)*$G$152+(O31)*$G$153+R31*Main!$J$83)</f>
        <v>85.67366397935245</v>
      </c>
    </row>
    <row r="32">
      <c r="A32">
        <v>3</v>
      </c>
      <c r="B32">
        <v>15</v>
      </c>
      <c r="C32">
        <f>$I$13+B32</f>
        <v>39254</v>
      </c>
      <c r="E32">
        <f>IF($C$14*ReDiarioFert!C21&lt;=0,"0",$C$14*ReDiarioFert!C21)</f>
        <v>2.7571881579086446</v>
      </c>
      <c r="G32">
        <f>$C$14*ReDiarioFert!E21</f>
        <v>1.3124505143749996</v>
      </c>
      <c r="I32">
        <f>$C$14*ReDiarioFert!G21</f>
        <v>1.581451726020833</v>
      </c>
      <c r="K32">
        <f>$C$14*ReDiarioFert!I21</f>
        <v>0.6715500088869623</v>
      </c>
      <c r="M32">
        <f>$C$14*ReDiarioFert!K21</f>
        <v>1.8456515651651852</v>
      </c>
      <c r="O32">
        <f>$C$14*ReDiarioFert!M21</f>
        <v>44.76032536585365</v>
      </c>
      <c r="Q32">
        <f>$C$14*Main!$D$63</f>
        <v>20.019999999999996</v>
      </c>
      <c r="S32">
        <f>((E32/100)*$G$148+(G32/100)*$G$149+(I32/100)*$G$150+(K32/100)*$G$151+(M32/100)*$G$152+(O32)*$G$153+(Q32*$G$154))</f>
        <v>93.18116397935245</v>
      </c>
    </row>
    <row r="33">
      <c r="B33">
        <v>16</v>
      </c>
      <c r="C33">
        <f>$I$13+B33</f>
        <v>39255</v>
      </c>
      <c r="E33">
        <f>IF($C$14*ReDiarioFert!C22&lt;=0,"0",$C$14*ReDiarioFert!C22)</f>
        <v>4.135930602733347</v>
      </c>
      <c r="G33">
        <f>$C$14*ReDiarioFert!E22</f>
        <v>1.9648328699999997</v>
      </c>
      <c r="I33">
        <f>$C$14*ReDiarioFert!G22</f>
        <v>2.3759872803333333</v>
      </c>
      <c r="K33">
        <f>$C$14*ReDiarioFert!I22</f>
        <v>1.0077963764981843</v>
      </c>
      <c r="M33">
        <f>$C$14*ReDiarioFert!K22</f>
        <v>2.7697728166730844</v>
      </c>
      <c r="O33">
        <f>$C$14*ReDiarioFert!M22</f>
        <v>44.76032536585365</v>
      </c>
      <c r="S33">
        <f>((E33/100)*$G$148+(G33/100)*$G$149+(I33/100)*$G$150+(K33/100)*$G$151+(M33/100)*$G$152+(O33)*$G$153+(Q33*$G$154))</f>
        <v>63.96847194428686</v>
      </c>
    </row>
    <row r="34">
      <c r="B34">
        <v>17</v>
      </c>
      <c r="C34">
        <f>$I$13+B34</f>
        <v>39256</v>
      </c>
      <c r="E34">
        <f>IF($C$14*ReDiarioFert!C23&lt;=0,"0",$C$14*ReDiarioFert!C23)</f>
        <v>4.135930602733347</v>
      </c>
      <c r="G34">
        <f>$C$14*ReDiarioFert!E23</f>
        <v>1.9648328699999997</v>
      </c>
      <c r="I34">
        <f>$C$14*ReDiarioFert!G23</f>
        <v>2.3759872803333333</v>
      </c>
      <c r="K34">
        <f>$C$14*ReDiarioFert!I23</f>
        <v>1.0077963764981843</v>
      </c>
      <c r="M34">
        <f>$C$14*ReDiarioFert!K23</f>
        <v>2.7697728166730844</v>
      </c>
      <c r="O34">
        <f>$C$14*ReDiarioFert!M23</f>
        <v>44.76032536585365</v>
      </c>
      <c r="S34">
        <f>((E34/100)*$G$148+(G34/100)*$G$149+(I34/100)*$G$150+(K34/100)*$G$151+(M34/100)*$G$152+(O34)*$G$153+(Q34*$G$154))</f>
        <v>63.96847194428686</v>
      </c>
    </row>
    <row r="35">
      <c r="B35">
        <v>18</v>
      </c>
      <c r="C35">
        <f>$I$13+B35</f>
        <v>39257</v>
      </c>
      <c r="E35">
        <f>IF($C$14*ReDiarioFert!C24&lt;=0,"0",$C$14*ReDiarioFert!C24)</f>
        <v>4.135930602733347</v>
      </c>
      <c r="G35">
        <f>$C$14*ReDiarioFert!E24</f>
        <v>1.9648328699999997</v>
      </c>
      <c r="I35">
        <f>$C$14*ReDiarioFert!G24</f>
        <v>2.3759872803333333</v>
      </c>
      <c r="K35">
        <f>$C$14*ReDiarioFert!I24</f>
        <v>1.0077963764981843</v>
      </c>
      <c r="M35">
        <f>$C$14*ReDiarioFert!K24</f>
        <v>2.7697728166730844</v>
      </c>
      <c r="O35">
        <f>$C$14*ReDiarioFert!M24</f>
        <v>59.680108292682924</v>
      </c>
      <c r="S35">
        <f>((E35/100)*$G$148+(G35/100)*$G$149+(I35/100)*$G$150+(K35/100)*$G$151+(M35/100)*$G$152+(O35)*$G$153+(Q35*$G$154))</f>
        <v>64.43993708477467</v>
      </c>
    </row>
    <row r="36">
      <c r="B36">
        <v>19</v>
      </c>
      <c r="C36">
        <f>$I$13+B36</f>
        <v>39258</v>
      </c>
      <c r="E36">
        <f>IF($C$14*ReDiarioFert!C25&lt;=0,"0",$C$14*ReDiarioFert!C25)</f>
        <v>4.135930602733347</v>
      </c>
      <c r="G36">
        <f>$C$14*ReDiarioFert!E25</f>
        <v>1.9648328699999997</v>
      </c>
      <c r="I36">
        <f>$C$14*ReDiarioFert!G25</f>
        <v>2.3759872803333333</v>
      </c>
      <c r="K36">
        <f>$C$14*ReDiarioFert!I25</f>
        <v>1.0077963764981843</v>
      </c>
      <c r="M36">
        <f>$C$14*ReDiarioFert!K25</f>
        <v>2.7697728166730844</v>
      </c>
      <c r="O36">
        <f>$C$14*ReDiarioFert!M25</f>
        <v>59.680108292682924</v>
      </c>
      <c r="S36">
        <f>((E36/100)*$G$148+(G36/100)*$G$149+(I36/100)*$G$150+(K36/100)*$G$151+(M36/100)*$G$152+(O36)*$G$153+(Q36*$G$154))</f>
        <v>64.43993708477467</v>
      </c>
    </row>
    <row r="37">
      <c r="B37">
        <v>20</v>
      </c>
      <c r="C37">
        <f>$I$13+B37</f>
        <v>39259</v>
      </c>
      <c r="E37">
        <f>IF($C$14*ReDiarioFert!C26&lt;=0,"0",$C$14*ReDiarioFert!C26)</f>
        <v>4.135930602733347</v>
      </c>
      <c r="G37">
        <f>$C$14*ReDiarioFert!E26</f>
        <v>1.9648328699999997</v>
      </c>
      <c r="I37">
        <f>$C$14*ReDiarioFert!G26</f>
        <v>2.3759872803333333</v>
      </c>
      <c r="K37">
        <f>$C$14*ReDiarioFert!I26</f>
        <v>1.0077963764981843</v>
      </c>
      <c r="M37">
        <f>$C$14*ReDiarioFert!K26</f>
        <v>2.7697728166730844</v>
      </c>
      <c r="O37">
        <f>$C$14*ReDiarioFert!M26</f>
        <v>59.680108292682924</v>
      </c>
      <c r="S37">
        <f>((E37/100)*$G$148+(G37/100)*$G$149+(I37/100)*$G$150+(K37/100)*$G$151+(M37/100)*$G$152+(O37)*$G$153+(Q37*$G$154))</f>
        <v>64.43993708477467</v>
      </c>
    </row>
    <row r="38">
      <c r="B38">
        <v>21</v>
      </c>
      <c r="C38">
        <f>$I$13+B38</f>
        <v>39260</v>
      </c>
      <c r="E38">
        <f>IF($C$14*ReDiarioFert!C27&lt;=0,"0",$C$14*ReDiarioFert!C27)</f>
        <v>4.135930602733347</v>
      </c>
      <c r="G38">
        <f>$C$14*ReDiarioFert!E27</f>
        <v>1.9648328699999997</v>
      </c>
      <c r="I38">
        <f>$C$14*ReDiarioFert!G27</f>
        <v>2.3759872803333333</v>
      </c>
      <c r="K38">
        <f>$C$14*ReDiarioFert!I27</f>
        <v>1.0077963764981843</v>
      </c>
      <c r="M38">
        <f>$C$14*ReDiarioFert!K27</f>
        <v>2.7697728166730844</v>
      </c>
      <c r="O38">
        <f>$C$14*ReDiarioFert!M27</f>
        <v>59.680108292682924</v>
      </c>
      <c r="S38">
        <f>((E38/100)*$G$148+(G38/100)*$G$149+(I38/100)*$G$150+(K38/100)*$G$151+(M38/100)*$G$152+(O38)*$G$153+(R38*Main!$J$84))</f>
        <v>64.43993708477467</v>
      </c>
    </row>
    <row r="39">
      <c r="A39">
        <v>4</v>
      </c>
      <c r="B39">
        <v>22</v>
      </c>
      <c r="C39">
        <f>$I$13+B39</f>
        <v>39261</v>
      </c>
      <c r="E39">
        <f>IF($C$14*ReDiarioFert!C28&lt;=0,"0",$C$14*ReDiarioFert!C28)</f>
        <v>4.135930602733347</v>
      </c>
      <c r="G39">
        <f>$C$14*ReDiarioFert!E28</f>
        <v>1.9648328699999997</v>
      </c>
      <c r="I39">
        <f>$C$14*ReDiarioFert!G28</f>
        <v>2.3759872803333333</v>
      </c>
      <c r="K39">
        <f>$C$14*ReDiarioFert!I28</f>
        <v>1.0077963764981843</v>
      </c>
      <c r="M39">
        <f>$C$14*ReDiarioFert!K28</f>
        <v>2.7697728166730844</v>
      </c>
      <c r="O39">
        <f>$C$14*ReDiarioFert!M28</f>
        <v>59.680108292682924</v>
      </c>
      <c r="Q39">
        <f>$C$14*Main!$D$63</f>
        <v>20.019999999999996</v>
      </c>
      <c r="S39">
        <f>((E39/100)*$G$148+(G39/100)*$G$149+(I39/100)*$G$150+(K39/100)*$G$151+(M39/100)*$G$152+(O39)*$G$153+(Q39*$G$154))</f>
        <v>114.48993708477465</v>
      </c>
    </row>
    <row r="40">
      <c r="B40">
        <v>23</v>
      </c>
      <c r="C40">
        <f>$I$13+B40</f>
        <v>39262</v>
      </c>
      <c r="E40">
        <f>IF($C$14*ReDiarioFert!C29&lt;=0,"0",$C$14*ReDiarioFert!C29)</f>
        <v>4.135930602733347</v>
      </c>
      <c r="G40">
        <f>$C$14*ReDiarioFert!E29</f>
        <v>1.9648328699999997</v>
      </c>
      <c r="I40">
        <f>$C$14*ReDiarioFert!G29</f>
        <v>2.3759872803333333</v>
      </c>
      <c r="K40">
        <f>$C$14*ReDiarioFert!I29</f>
        <v>1.0077963764981843</v>
      </c>
      <c r="M40">
        <f>$C$14*ReDiarioFert!K29</f>
        <v>2.7697728166730844</v>
      </c>
      <c r="O40">
        <f>$C$14*ReDiarioFert!M29</f>
        <v>59.680108292682924</v>
      </c>
      <c r="S40">
        <f>((E40/100)*$G$148+(G40/100)*$G$149+(I40/100)*$G$150+(K40/100)*$G$151+(M40/100)*$G$152+(O40)*$G$153+(Q40*$G$154))</f>
        <v>64.43993708477467</v>
      </c>
    </row>
    <row r="41">
      <c r="B41">
        <v>24</v>
      </c>
      <c r="C41">
        <f>$I$13+B41</f>
        <v>39263</v>
      </c>
      <c r="E41">
        <f>IF($C$14*ReDiarioFert!C30&lt;=0,"0",$C$14*ReDiarioFert!C30)</f>
        <v>4.135930602733347</v>
      </c>
      <c r="G41">
        <f>$C$14*ReDiarioFert!E30</f>
        <v>1.9648328699999997</v>
      </c>
      <c r="I41">
        <f>$C$14*ReDiarioFert!G30</f>
        <v>2.3759872803333333</v>
      </c>
      <c r="K41">
        <f>$C$14*ReDiarioFert!I30</f>
        <v>1.0077963764981843</v>
      </c>
      <c r="M41">
        <f>$C$14*ReDiarioFert!K30</f>
        <v>2.7697728166730844</v>
      </c>
      <c r="O41">
        <f>$C$14*ReDiarioFert!M30</f>
        <v>59.680108292682924</v>
      </c>
      <c r="S41">
        <f>((E41/100)*$G$148+(G41/100)*$G$149+(I41/100)*$G$150+(K41/100)*$G$151+(M41/100)*$G$152+(O41)*$G$153+(R41*Main!$J$82))</f>
        <v>64.43993708477467</v>
      </c>
    </row>
    <row r="42">
      <c r="B42">
        <v>25</v>
      </c>
      <c r="C42">
        <f>$I$13+B42</f>
        <v>39264</v>
      </c>
      <c r="E42">
        <f>IF($C$14*ReDiarioFert!C31&lt;=0,"0",$C$14*ReDiarioFert!C31)</f>
        <v>4.135930602733347</v>
      </c>
      <c r="G42">
        <f>$C$14*ReDiarioFert!E31</f>
        <v>1.9648328699999997</v>
      </c>
      <c r="I42">
        <f>$C$14*ReDiarioFert!G31</f>
        <v>2.3759872803333333</v>
      </c>
      <c r="K42">
        <f>$C$14*ReDiarioFert!I31</f>
        <v>1.0077963764981843</v>
      </c>
      <c r="M42">
        <f>$C$14*ReDiarioFert!K31</f>
        <v>2.7697728166730844</v>
      </c>
      <c r="O42">
        <f>$C$14*ReDiarioFert!M31</f>
        <v>59.680108292682924</v>
      </c>
      <c r="S42">
        <f>((E42/100)*$G$148+(G42/100)*$G$149+(I42/100)*$G$150+(K42/100)*$G$151+(M42/100)*$G$152+(O42)*$G$153+(Q42*$G$154))</f>
        <v>64.43993708477467</v>
      </c>
    </row>
    <row r="43">
      <c r="B43">
        <v>26</v>
      </c>
      <c r="C43">
        <f>$I$13+B43</f>
        <v>39265</v>
      </c>
      <c r="E43">
        <f>IF($C$14*ReDiarioFert!C32&lt;=0,"0",$C$14*ReDiarioFert!C32)</f>
        <v>4.135930602733347</v>
      </c>
      <c r="G43">
        <f>$C$14*ReDiarioFert!E32</f>
        <v>1.9648328699999997</v>
      </c>
      <c r="I43">
        <f>$C$14*ReDiarioFert!G32</f>
        <v>2.3759872803333333</v>
      </c>
      <c r="K43">
        <f>$C$14*ReDiarioFert!I32</f>
        <v>1.0077963764981843</v>
      </c>
      <c r="M43">
        <f>$C$14*ReDiarioFert!K32</f>
        <v>2.7697728166730844</v>
      </c>
      <c r="O43">
        <f>$C$14*ReDiarioFert!M32</f>
        <v>59.680108292682924</v>
      </c>
      <c r="S43">
        <f>((E43/100)*$G$148+(G43/100)*$G$149+(I43/100)*$G$150+(K43/100)*$G$151+(M43/100)*$G$152+(O43)*$G$153+(Q43*$G$154))</f>
        <v>64.43993708477467</v>
      </c>
    </row>
    <row r="44">
      <c r="B44">
        <v>27</v>
      </c>
      <c r="C44">
        <f>$I$13+B44</f>
        <v>39266</v>
      </c>
      <c r="E44">
        <f>IF($C$14*ReDiarioFert!C33&lt;=0,"0",$C$14*ReDiarioFert!C33)</f>
        <v>4.135930602733347</v>
      </c>
      <c r="G44">
        <f>$C$14*ReDiarioFert!E33</f>
        <v>1.9648328699999997</v>
      </c>
      <c r="I44">
        <f>$C$14*ReDiarioFert!G33</f>
        <v>2.3759872803333333</v>
      </c>
      <c r="K44">
        <f>$C$14*ReDiarioFert!I33</f>
        <v>1.0077963764981843</v>
      </c>
      <c r="M44">
        <f>$C$14*ReDiarioFert!K33</f>
        <v>2.7697728166730844</v>
      </c>
      <c r="O44">
        <f>$C$14*ReDiarioFert!M33</f>
        <v>59.680108292682924</v>
      </c>
      <c r="S44">
        <f>((E44/100)*$G$148+(G44/100)*$G$149+(I44/100)*$G$150+(K44/100)*$G$151+(M44/100)*$G$152+(O44)*$G$153+(Q44*$G$154))</f>
        <v>64.43993708477467</v>
      </c>
    </row>
    <row r="45">
      <c r="B45">
        <v>28</v>
      </c>
      <c r="C45">
        <f>$I$13+B45</f>
        <v>39267</v>
      </c>
      <c r="E45">
        <f>IF($C$14*ReDiarioFert!C34&lt;=0,"0",$C$14*ReDiarioFert!C34)</f>
        <v>4.135930602733347</v>
      </c>
      <c r="G45">
        <f>$C$14*ReDiarioFert!E34</f>
        <v>1.9648328699999997</v>
      </c>
      <c r="I45">
        <f>$C$14*ReDiarioFert!G34</f>
        <v>2.3759872803333333</v>
      </c>
      <c r="K45">
        <f>$C$14*ReDiarioFert!I34</f>
        <v>1.0077963764981843</v>
      </c>
      <c r="M45">
        <f>$C$14*ReDiarioFert!K34</f>
        <v>2.7697728166730844</v>
      </c>
      <c r="O45">
        <f>$C$14*ReDiarioFert!M34</f>
        <v>59.680108292682924</v>
      </c>
      <c r="S45">
        <f>((E45/100)*$G$148+(G45/100)*$G$149+(I45/100)*$G$150+(K45/100)*$G$151+(M45/100)*$G$152+(O45)*$G$153+R45*Main!$J$83)</f>
        <v>64.43993708477467</v>
      </c>
    </row>
    <row r="46">
      <c r="A46">
        <v>5</v>
      </c>
      <c r="B46">
        <v>29</v>
      </c>
      <c r="C46">
        <f>$I$13+B46</f>
        <v>39268</v>
      </c>
      <c r="E46">
        <f>IF($C$14*ReDiarioFert!C35&lt;=0,"0",$C$14*ReDiarioFert!C35)</f>
        <v>4.135930602733347</v>
      </c>
      <c r="G46">
        <f>$C$14*ReDiarioFert!E35</f>
        <v>1.9648328699999997</v>
      </c>
      <c r="I46">
        <f>$C$14*ReDiarioFert!G35</f>
        <v>2.3759872803333333</v>
      </c>
      <c r="K46">
        <f>$C$14*ReDiarioFert!I35</f>
        <v>1.0077963764981843</v>
      </c>
      <c r="M46">
        <f>$C$14*ReDiarioFert!K35</f>
        <v>2.7697728166730844</v>
      </c>
      <c r="O46">
        <f>$C$14*ReDiarioFert!M35</f>
        <v>59.680108292682924</v>
      </c>
      <c r="Q46">
        <f>$C$14*Main!$D$63</f>
        <v>20.019999999999996</v>
      </c>
      <c r="S46">
        <f>((E46/100)*$G$148+(G46/100)*$G$149+(I46/100)*$G$150+(K46/100)*$G$151+(M46/100)*$G$152+(O46)*$G$153+(Q46*$G$154))</f>
        <v>114.48993708477465</v>
      </c>
    </row>
    <row r="47">
      <c r="B47">
        <v>30</v>
      </c>
      <c r="C47">
        <f>$I$13+B47</f>
        <v>39269</v>
      </c>
      <c r="E47">
        <f>IF($C$14*ReDiarioFert!C36&lt;=0,"0",$C$14*ReDiarioFert!C36)</f>
        <v>4.135930602733347</v>
      </c>
      <c r="G47">
        <f>$C$14*ReDiarioFert!E36</f>
        <v>1.9648328699999997</v>
      </c>
      <c r="I47">
        <f>$C$14*ReDiarioFert!G36</f>
        <v>2.3759872803333333</v>
      </c>
      <c r="K47">
        <f>$C$14*ReDiarioFert!I36</f>
        <v>1.0077963764981843</v>
      </c>
      <c r="M47">
        <f>$C$14*ReDiarioFert!K36</f>
        <v>2.7697728166730844</v>
      </c>
      <c r="O47">
        <f>$C$14*ReDiarioFert!M36</f>
        <v>59.680108292682924</v>
      </c>
      <c r="S47">
        <f>((E47/100)*$G$148+(G47/100)*$G$149+(I47/100)*$G$150+(K47/100)*$G$151+(M47/100)*$G$152+(O47)*$G$153+(Q47*$G$154))</f>
        <v>64.43993708477467</v>
      </c>
    </row>
    <row r="48">
      <c r="B48">
        <v>31</v>
      </c>
      <c r="C48">
        <f>$I$13+B48</f>
        <v>39270</v>
      </c>
      <c r="E48">
        <f>IF($C$14*ReDiarioFert!C37&lt;=0,"0",$C$14*ReDiarioFert!C37)</f>
        <v>12.407678270716534</v>
      </c>
      <c r="G48">
        <f>$C$14*ReDiarioFert!E37</f>
        <v>5.8945216943096845</v>
      </c>
      <c r="I48">
        <f>$C$14*ReDiarioFert!G37</f>
        <v>7.127837535502903</v>
      </c>
      <c r="K48">
        <f>$C$14*ReDiarioFert!I37</f>
        <v>3.023357005985052</v>
      </c>
      <c r="M48">
        <f>$C$14*ReDiarioFert!K37</f>
        <v>8.30923016351072</v>
      </c>
      <c r="O48">
        <f>$C$14*ReDiarioFert!M37</f>
        <v>59.680108292682924</v>
      </c>
      <c r="S48">
        <f>((E48/100)*$G$148+(G48/100)*$G$149+(I48/100)*$G$150+(K48/100)*$G$151+(M48/100)*$G$152+(O48)*$G$153+(Q48*$G$154))</f>
        <v>189.54689589344298</v>
      </c>
    </row>
    <row r="49">
      <c r="B49">
        <v>32</v>
      </c>
      <c r="C49">
        <f>$I$13+B49</f>
        <v>39271</v>
      </c>
      <c r="E49">
        <f>IF($C$14*ReDiarioFert!C38&lt;=0,"0",$C$14*ReDiarioFert!C38)</f>
        <v>12.407678270716534</v>
      </c>
      <c r="G49">
        <f>$C$14*ReDiarioFert!E38</f>
        <v>5.8945216943096845</v>
      </c>
      <c r="I49">
        <f>$C$14*ReDiarioFert!G38</f>
        <v>7.127837535502903</v>
      </c>
      <c r="K49">
        <f>$C$14*ReDiarioFert!I38</f>
        <v>3.023357005985052</v>
      </c>
      <c r="M49">
        <f>$C$14*ReDiarioFert!K38</f>
        <v>8.30923016351072</v>
      </c>
      <c r="O49">
        <f>$C$14*ReDiarioFert!M38</f>
        <v>59.680108292682924</v>
      </c>
      <c r="Q49" t="str">
        <f>Main!$H$86</f>
        <v>BaZam</v>
      </c>
      <c r="R49">
        <f>Main!$K$86*Main!$I$22</f>
        <v>1.001</v>
      </c>
      <c r="S49">
        <f>((E49/100)*$G$148+(G49/100)*$G$149+(I49/100)*$G$150+(K49/100)*$G$151+(M49/100)*$G$152+(O49)*$G$153+R49*Main!$J$86)</f>
        <v>569.9268958934429</v>
      </c>
    </row>
    <row r="50">
      <c r="B50">
        <v>33</v>
      </c>
      <c r="C50">
        <f>$I$13+B50</f>
        <v>39272</v>
      </c>
      <c r="E50">
        <f>IF($C$14*ReDiarioFert!C39&lt;=0,"0",$C$14*ReDiarioFert!C39)</f>
        <v>12.407678270716534</v>
      </c>
      <c r="G50">
        <f>$C$14*ReDiarioFert!E39</f>
        <v>5.8945216943096845</v>
      </c>
      <c r="I50">
        <f>$C$14*ReDiarioFert!G39</f>
        <v>7.127837535502903</v>
      </c>
      <c r="K50">
        <f>$C$14*ReDiarioFert!I39</f>
        <v>3.023357005985052</v>
      </c>
      <c r="M50">
        <f>$C$14*ReDiarioFert!K39</f>
        <v>8.30923016351072</v>
      </c>
      <c r="O50">
        <f>$C$14*ReDiarioFert!M39</f>
        <v>84.54738975609757</v>
      </c>
      <c r="S50">
        <f>((E50/100)*$G$148+(G50/100)*$G$149+(I50/100)*$G$150+(K50/100)*$G$151+(M50/100)*$G$152+(O50)*$G$153+(Q50*$G$154))</f>
        <v>190.33270198768687</v>
      </c>
    </row>
    <row r="51">
      <c r="B51">
        <v>34</v>
      </c>
      <c r="C51">
        <f>$I$13+B51</f>
        <v>39273</v>
      </c>
      <c r="E51">
        <f>IF($C$14*ReDiarioFert!C40&lt;=0,"0",$C$14*ReDiarioFert!C40)</f>
        <v>12.407678270716534</v>
      </c>
      <c r="G51">
        <f>$C$14*ReDiarioFert!E40</f>
        <v>5.8945216943096845</v>
      </c>
      <c r="I51">
        <f>$C$14*ReDiarioFert!G40</f>
        <v>7.127837535502903</v>
      </c>
      <c r="K51">
        <f>$C$14*ReDiarioFert!I40</f>
        <v>3.023357005985052</v>
      </c>
      <c r="M51">
        <f>$C$14*ReDiarioFert!K40</f>
        <v>8.30923016351072</v>
      </c>
      <c r="O51">
        <f>$C$14*ReDiarioFert!M40</f>
        <v>84.54738975609757</v>
      </c>
      <c r="S51">
        <f>((E51/100)*$G$148+(G51/100)*$G$149+(I51/100)*$G$150+(K51/100)*$G$151+(M51/100)*$G$152+(O51)*$G$153+(Q51*$G$154))</f>
        <v>190.33270198768687</v>
      </c>
    </row>
    <row r="52">
      <c r="B52">
        <v>35</v>
      </c>
      <c r="C52">
        <f>$I$13+B52</f>
        <v>39274</v>
      </c>
      <c r="E52">
        <f>IF($C$14*ReDiarioFert!C41&lt;=0,"0",$C$14*ReDiarioFert!C41)</f>
        <v>12.407678270716534</v>
      </c>
      <c r="G52">
        <f>$C$14*ReDiarioFert!E41</f>
        <v>5.8945216943096845</v>
      </c>
      <c r="I52">
        <f>$C$14*ReDiarioFert!G41</f>
        <v>7.127837535502903</v>
      </c>
      <c r="K52">
        <f>$C$14*ReDiarioFert!I41</f>
        <v>3.023357005985052</v>
      </c>
      <c r="M52">
        <f>$C$14*ReDiarioFert!K41</f>
        <v>8.30923016351072</v>
      </c>
      <c r="O52">
        <f>$C$14*ReDiarioFert!M41</f>
        <v>84.54738975609757</v>
      </c>
      <c r="Q52" t="str">
        <f>Main!$H$84</f>
        <v>Acido Fosforoso</v>
      </c>
      <c r="R52">
        <f>Main!$K$84*Main!$I$22</f>
        <v>5.004999999999999</v>
      </c>
      <c r="S52">
        <f>((E52/100)*$G$148+(G52/100)*$G$149+(I52/100)*$G$150+(K52/100)*$G$151+(M52/100)*$G$152+(O52)*$G$153+(R52*Main!$J$84))</f>
        <v>590.7327019876868</v>
      </c>
    </row>
    <row r="53">
      <c r="A53">
        <v>6</v>
      </c>
      <c r="B53">
        <v>36</v>
      </c>
      <c r="C53">
        <f>$I$13+B53</f>
        <v>39275</v>
      </c>
      <c r="E53">
        <f>IF($C$14*ReDiarioFert!C42&lt;=0,"0",$C$14*ReDiarioFert!C42)</f>
        <v>12.407678270716534</v>
      </c>
      <c r="G53">
        <f>$C$14*ReDiarioFert!E42</f>
        <v>5.8945216943096845</v>
      </c>
      <c r="I53">
        <f>$C$14*ReDiarioFert!G42</f>
        <v>7.127837535502903</v>
      </c>
      <c r="K53">
        <f>$C$14*ReDiarioFert!I42</f>
        <v>3.023357005985052</v>
      </c>
      <c r="M53">
        <f>$C$14*ReDiarioFert!K42</f>
        <v>8.30923016351072</v>
      </c>
      <c r="O53">
        <f>$C$14*ReDiarioFert!M42</f>
        <v>84.54738975609757</v>
      </c>
      <c r="Q53">
        <f>$C$14*Main!$D$63</f>
        <v>20.019999999999996</v>
      </c>
      <c r="S53">
        <f>((E53/100)*$G$148+(G53/100)*$G$149+(I53/100)*$G$150+(K53/100)*$G$151+(M53/100)*$G$152+(O53)*$G$153+(Q53*$G$154))</f>
        <v>240.38270198768686</v>
      </c>
    </row>
    <row r="54">
      <c r="B54">
        <v>37</v>
      </c>
      <c r="C54">
        <f>$I$13+B54</f>
        <v>39276</v>
      </c>
      <c r="E54">
        <f>IF($C$14*ReDiarioFert!C43&lt;=0,"0",$C$14*ReDiarioFert!C43)</f>
        <v>12.407678270716534</v>
      </c>
      <c r="G54">
        <f>$C$14*ReDiarioFert!E43</f>
        <v>5.8945216943096845</v>
      </c>
      <c r="I54">
        <f>$C$14*ReDiarioFert!G43</f>
        <v>7.127837535502903</v>
      </c>
      <c r="K54">
        <f>$C$14*ReDiarioFert!I43</f>
        <v>3.023357005985052</v>
      </c>
      <c r="M54">
        <f>$C$14*ReDiarioFert!K43</f>
        <v>8.30923016351072</v>
      </c>
      <c r="O54">
        <f>$C$14*ReDiarioFert!M43</f>
        <v>84.54738975609757</v>
      </c>
      <c r="S54">
        <f>((E54/100)*$G$148+(G54/100)*$G$149+(I54/100)*$G$150+(K54/100)*$G$151+(M54/100)*$G$152+(O54)*$G$153+(Q54*$G$154))</f>
        <v>190.33270198768687</v>
      </c>
    </row>
    <row r="55">
      <c r="B55">
        <v>38</v>
      </c>
      <c r="C55">
        <f>$I$13+B55</f>
        <v>39277</v>
      </c>
      <c r="E55">
        <f>IF($C$14*ReDiarioFert!C44&lt;=0,"0",$C$14*ReDiarioFert!C44)</f>
        <v>12.407678270716534</v>
      </c>
      <c r="G55">
        <f>$C$14*ReDiarioFert!E44</f>
        <v>5.8945216943096845</v>
      </c>
      <c r="I55">
        <f>$C$14*ReDiarioFert!G44</f>
        <v>7.127837535502903</v>
      </c>
      <c r="K55">
        <f>$C$14*ReDiarioFert!I44</f>
        <v>3.023357005985052</v>
      </c>
      <c r="M55">
        <f>$C$14*ReDiarioFert!K44</f>
        <v>8.30923016351072</v>
      </c>
      <c r="O55">
        <f>$C$14*ReDiarioFert!M44</f>
        <v>84.54738975609757</v>
      </c>
      <c r="S55">
        <f>((E55/100)*$G$148+(G55/100)*$G$149+(I55/100)*$G$150+(K55/100)*$G$151+(M55/100)*$G$152+(O55)*$G$153+(R55*Main!$J$82))</f>
        <v>190.33270198768687</v>
      </c>
    </row>
    <row r="56">
      <c r="B56">
        <v>39</v>
      </c>
      <c r="C56">
        <f>$I$13+B56</f>
        <v>39278</v>
      </c>
      <c r="E56">
        <f>IF($C$14*ReDiarioFert!C45&lt;=0,"0",$C$14*ReDiarioFert!C45)</f>
        <v>12.407678270716534</v>
      </c>
      <c r="G56">
        <f>$C$14*ReDiarioFert!E45</f>
        <v>5.8945216943096845</v>
      </c>
      <c r="I56">
        <f>$C$14*ReDiarioFert!G45</f>
        <v>7.127837535502903</v>
      </c>
      <c r="K56">
        <f>$C$14*ReDiarioFert!I45</f>
        <v>3.023357005985052</v>
      </c>
      <c r="M56">
        <f>$C$14*ReDiarioFert!K45</f>
        <v>8.30923016351072</v>
      </c>
      <c r="O56">
        <f>$C$14*ReDiarioFert!M45</f>
        <v>84.54738975609757</v>
      </c>
      <c r="S56">
        <f>((E56/100)*$G$148+(G56/100)*$G$149+(I56/100)*$G$150+(K56/100)*$G$151+(M56/100)*$G$152+(O56)*$G$153+(Q56*$G$154))</f>
        <v>190.33270198768687</v>
      </c>
    </row>
    <row r="57">
      <c r="B57">
        <v>40</v>
      </c>
      <c r="C57">
        <f>$I$13+B57</f>
        <v>39279</v>
      </c>
      <c r="E57">
        <f>IF($C$14*ReDiarioFert!C46&lt;=0,"0",$C$14*ReDiarioFert!C46)</f>
        <v>12.407678270716534</v>
      </c>
      <c r="G57">
        <f>$C$14*ReDiarioFert!E46</f>
        <v>5.8945216943096845</v>
      </c>
      <c r="I57">
        <f>$C$14*ReDiarioFert!G46</f>
        <v>7.127837535502903</v>
      </c>
      <c r="K57">
        <f>$C$14*ReDiarioFert!I46</f>
        <v>3.023357005985052</v>
      </c>
      <c r="M57">
        <f>$C$14*ReDiarioFert!K46</f>
        <v>8.30923016351072</v>
      </c>
      <c r="O57">
        <f>$C$14*ReDiarioFert!M46</f>
        <v>84.54738975609757</v>
      </c>
      <c r="S57">
        <f>((E57/100)*$G$148+(G57/100)*$G$149+(I57/100)*$G$150+(K57/100)*$G$151+(M57/100)*$G$152+(O57)*$G$153+(Q57*$G$154))</f>
        <v>190.33270198768687</v>
      </c>
    </row>
    <row r="58">
      <c r="B58">
        <v>41</v>
      </c>
      <c r="C58">
        <f>$I$13+B58</f>
        <v>39280</v>
      </c>
      <c r="E58">
        <f>IF($C$14*ReDiarioFert!C47&lt;=0,"0",$C$14*ReDiarioFert!C47)</f>
        <v>12.407678270716534</v>
      </c>
      <c r="G58">
        <f>$C$14*ReDiarioFert!E47</f>
        <v>5.8945216943096845</v>
      </c>
      <c r="I58">
        <f>$C$14*ReDiarioFert!G47</f>
        <v>7.127837535502903</v>
      </c>
      <c r="K58">
        <f>$C$14*ReDiarioFert!I47</f>
        <v>3.023357005985052</v>
      </c>
      <c r="M58">
        <f>$C$14*ReDiarioFert!K47</f>
        <v>8.30923016351072</v>
      </c>
      <c r="O58">
        <f>$C$14*ReDiarioFert!M47</f>
        <v>84.54738975609757</v>
      </c>
      <c r="S58">
        <f>((E58/100)*$G$148+(G58/100)*$G$149+(I58/100)*$G$150+(K58/100)*$G$151+(M58/100)*$G$152+(O58)*$G$153+(Q58*$G$154))</f>
        <v>190.33270198768687</v>
      </c>
    </row>
    <row r="59">
      <c r="B59">
        <v>42</v>
      </c>
      <c r="C59">
        <f>$I$13+B59</f>
        <v>39281</v>
      </c>
      <c r="E59">
        <f>IF($C$14*ReDiarioFert!C48&lt;=0,"0",$C$14*ReDiarioFert!C48)</f>
        <v>12.407678270716534</v>
      </c>
      <c r="G59">
        <f>$C$14*ReDiarioFert!E48</f>
        <v>5.8945216943096845</v>
      </c>
      <c r="I59">
        <f>$C$14*ReDiarioFert!G48</f>
        <v>7.127837535502903</v>
      </c>
      <c r="K59">
        <f>$C$14*ReDiarioFert!I48</f>
        <v>3.023357005985052</v>
      </c>
      <c r="M59">
        <f>$C$14*ReDiarioFert!K48</f>
        <v>8.30923016351072</v>
      </c>
      <c r="O59">
        <f>$C$14*ReDiarioFert!M48</f>
        <v>84.54738975609757</v>
      </c>
      <c r="Q59" t="str">
        <f>Main!$H$83</f>
        <v>Acido Salicílico</v>
      </c>
      <c r="R59">
        <f>Main!$K$83*Main!$I$22</f>
        <v>250.24999999999997</v>
      </c>
      <c r="S59">
        <f>((E59/100)*$G$148+(G59/100)*$G$149+(I59/100)*$G$150+(K59/100)*$G$151+(M59/100)*$G$152+(O59)*$G$153+R59*Main!$J$83)</f>
        <v>232.87520198768686</v>
      </c>
    </row>
    <row r="60">
      <c r="A60">
        <v>7</v>
      </c>
      <c r="B60">
        <v>43</v>
      </c>
      <c r="C60">
        <f>$I$13+B60</f>
        <v>39282</v>
      </c>
      <c r="E60">
        <f>IF($C$14*ReDiarioFert!C49&lt;=0,"0",$C$14*ReDiarioFert!C49)</f>
        <v>12.407678270716534</v>
      </c>
      <c r="G60">
        <f>$C$14*ReDiarioFert!E49</f>
        <v>5.8945216943096845</v>
      </c>
      <c r="I60">
        <f>$C$14*ReDiarioFert!G49</f>
        <v>7.127837535502903</v>
      </c>
      <c r="K60">
        <f>$C$14*ReDiarioFert!I49</f>
        <v>3.023357005985052</v>
      </c>
      <c r="M60">
        <f>$C$14*ReDiarioFert!K49</f>
        <v>8.30923016351072</v>
      </c>
      <c r="O60">
        <f>$C$14*ReDiarioFert!M49</f>
        <v>84.54738975609757</v>
      </c>
      <c r="Q60">
        <f>$C$14*Main!$D$63</f>
        <v>20.019999999999996</v>
      </c>
      <c r="S60">
        <f>((E60/100)*$G$148+(G60/100)*$G$149+(I60/100)*$G$150+(K60/100)*$G$151+(M60/100)*$G$152+(O60)*$G$153+(Q60*$G$154))</f>
        <v>240.38270198768686</v>
      </c>
    </row>
    <row r="61">
      <c r="B61">
        <v>44</v>
      </c>
      <c r="C61">
        <f>$I$13+B61</f>
        <v>39283</v>
      </c>
      <c r="E61">
        <f>IF($C$14*ReDiarioFert!C50&lt;=0,"0",$C$14*ReDiarioFert!C50)</f>
        <v>12.407678270716534</v>
      </c>
      <c r="G61">
        <f>$C$14*ReDiarioFert!E50</f>
        <v>5.8945216943096845</v>
      </c>
      <c r="I61">
        <f>$C$14*ReDiarioFert!G50</f>
        <v>7.127837535502903</v>
      </c>
      <c r="K61">
        <f>$C$14*ReDiarioFert!I50</f>
        <v>3.023357005985052</v>
      </c>
      <c r="M61">
        <f>$C$14*ReDiarioFert!K50</f>
        <v>8.30923016351072</v>
      </c>
      <c r="O61">
        <f>$C$14*ReDiarioFert!M50</f>
        <v>84.54738975609757</v>
      </c>
      <c r="S61">
        <f>((E61/100)*$G$148+(G61/100)*$G$149+(I61/100)*$G$150+(K61/100)*$G$151+(M61/100)*$G$152+(O61)*$G$153+(Q61*$G$154))</f>
        <v>190.33270198768687</v>
      </c>
    </row>
    <row r="62">
      <c r="B62">
        <v>45</v>
      </c>
      <c r="C62">
        <f>$I$13+B62</f>
        <v>39284</v>
      </c>
      <c r="E62">
        <f>IF($C$14*ReDiarioFert!C51&lt;=0,"0",$C$14*ReDiarioFert!C51)</f>
        <v>12.407678270716534</v>
      </c>
      <c r="G62">
        <f>$C$14*ReDiarioFert!E51</f>
        <v>5.8945216943096845</v>
      </c>
      <c r="I62">
        <f>$C$14*ReDiarioFert!G51</f>
        <v>7.127837535502903</v>
      </c>
      <c r="K62">
        <f>$C$14*ReDiarioFert!I51</f>
        <v>3.023357005985052</v>
      </c>
      <c r="M62">
        <f>$C$14*ReDiarioFert!K51</f>
        <v>8.30923016351072</v>
      </c>
      <c r="O62">
        <f>$C$14*ReDiarioFert!M51</f>
        <v>84.54738975609757</v>
      </c>
      <c r="S62">
        <f>((E62/100)*$G$148+(G62/100)*$G$149+(I62/100)*$G$150+(K62/100)*$G$151+(M62/100)*$G$152+(O62)*$G$153+(Q62*$G$154))</f>
        <v>190.33270198768687</v>
      </c>
    </row>
    <row r="63">
      <c r="B63">
        <v>46</v>
      </c>
      <c r="C63">
        <f>$I$13+B63</f>
        <v>39285</v>
      </c>
      <c r="E63">
        <f>IF($C$14*ReDiarioFert!C52&lt;=0,"0",$C$14*ReDiarioFert!C52)</f>
        <v>12.407678270716534</v>
      </c>
      <c r="G63">
        <f>$C$14*ReDiarioFert!E52</f>
        <v>5.8945216943096845</v>
      </c>
      <c r="I63">
        <f>$C$14*ReDiarioFert!G52</f>
        <v>7.127837535502903</v>
      </c>
      <c r="K63">
        <f>$C$14*ReDiarioFert!I52</f>
        <v>3.023357005985052</v>
      </c>
      <c r="M63">
        <f>$C$14*ReDiarioFert!K52</f>
        <v>8.30923016351072</v>
      </c>
      <c r="O63">
        <f>$C$14*ReDiarioFert!M52</f>
        <v>84.54738975609757</v>
      </c>
      <c r="S63">
        <f>((E63/100)*$G$148+(G63/100)*$G$149+(I63/100)*$G$150+(K63/100)*$G$151+(M63/100)*$G$152+(O63)*$G$153+(Q63*$G$154))</f>
        <v>190.33270198768687</v>
      </c>
    </row>
    <row r="64">
      <c r="B64">
        <v>47</v>
      </c>
      <c r="C64">
        <f>$I$13+B64</f>
        <v>39286</v>
      </c>
      <c r="E64">
        <f>IF($C$14*ReDiarioFert!C53&lt;=0,"0",$C$14*ReDiarioFert!C53)</f>
        <v>12.407678270716534</v>
      </c>
      <c r="G64">
        <f>$C$14*ReDiarioFert!E53</f>
        <v>5.8945216943096845</v>
      </c>
      <c r="I64">
        <f>$C$14*ReDiarioFert!G53</f>
        <v>7.127837535502903</v>
      </c>
      <c r="K64">
        <f>$C$14*ReDiarioFert!I53</f>
        <v>3.023357005985052</v>
      </c>
      <c r="M64">
        <f>$C$14*ReDiarioFert!K53</f>
        <v>8.30923016351072</v>
      </c>
      <c r="O64">
        <f>$C$14*ReDiarioFert!M53</f>
        <v>84.54738975609757</v>
      </c>
      <c r="S64">
        <f>((E64/100)*$G$148+(G64/100)*$G$149+(I64/100)*$G$150+(K64/100)*$G$151+(M64/100)*$G$152+(O64)*$G$153+(Q64*$G$154))</f>
        <v>190.33270198768687</v>
      </c>
    </row>
    <row r="65">
      <c r="B65">
        <v>48</v>
      </c>
      <c r="C65">
        <f>$I$13+B65</f>
        <v>39287</v>
      </c>
      <c r="E65">
        <f>IF($C$14*ReDiarioFert!C54&lt;=0,"0",$C$14*ReDiarioFert!C54)</f>
        <v>12.407678270716534</v>
      </c>
      <c r="G65">
        <f>$C$14*ReDiarioFert!E54</f>
        <v>5.8945216943096845</v>
      </c>
      <c r="I65">
        <f>$C$14*ReDiarioFert!G54</f>
        <v>7.127837535502903</v>
      </c>
      <c r="K65">
        <f>$C$14*ReDiarioFert!I54</f>
        <v>3.023357005985052</v>
      </c>
      <c r="M65">
        <f>$C$14*ReDiarioFert!K54</f>
        <v>8.30923016351072</v>
      </c>
      <c r="O65">
        <f>$C$14*ReDiarioFert!M54</f>
        <v>114.387443902439</v>
      </c>
      <c r="S65">
        <f>((E65/100)*$G$148+(G65/100)*$G$149+(I65/100)*$G$150+(K65/100)*$G$151+(M65/100)*$G$152+(O65)*$G$153+(Q65*$G$154))</f>
        <v>191.27564769871125</v>
      </c>
    </row>
    <row r="66">
      <c r="B66">
        <v>49</v>
      </c>
      <c r="C66">
        <f>$I$13+B66</f>
        <v>39288</v>
      </c>
      <c r="E66">
        <f>IF($C$14*ReDiarioFert!C55&lt;=0,"0",$C$14*ReDiarioFert!C55)</f>
        <v>12.407678270716534</v>
      </c>
      <c r="G66">
        <f>$C$14*ReDiarioFert!E55</f>
        <v>5.8945216943096845</v>
      </c>
      <c r="I66">
        <f>$C$14*ReDiarioFert!G55</f>
        <v>7.127837535502903</v>
      </c>
      <c r="K66">
        <f>$C$14*ReDiarioFert!I55</f>
        <v>3.023357005985052</v>
      </c>
      <c r="M66">
        <f>$C$14*ReDiarioFert!K55</f>
        <v>8.30923016351072</v>
      </c>
      <c r="O66">
        <f>$C$14*ReDiarioFert!M55</f>
        <v>114.387443902439</v>
      </c>
      <c r="S66">
        <f>((E66/100)*$G$148+(G66/100)*$G$149+(I66/100)*$G$150+(K66/100)*$G$151+(M66/100)*$G$152+(O66)*$G$153+(R66*Main!$J$84))</f>
        <v>191.27564769871125</v>
      </c>
    </row>
    <row r="67">
      <c r="A67">
        <v>8</v>
      </c>
      <c r="B67">
        <v>50</v>
      </c>
      <c r="C67">
        <f>$I$13+B67</f>
        <v>39289</v>
      </c>
      <c r="E67">
        <f>IF($C$14*ReDiarioFert!C56&lt;=0,"0",$C$14*ReDiarioFert!C56)</f>
        <v>12.407678270716534</v>
      </c>
      <c r="G67">
        <f>$C$14*ReDiarioFert!E56</f>
        <v>5.8945216943096845</v>
      </c>
      <c r="I67">
        <f>$C$14*ReDiarioFert!G56</f>
        <v>7.127837535502903</v>
      </c>
      <c r="K67">
        <f>$C$14*ReDiarioFert!I56</f>
        <v>3.023357005985052</v>
      </c>
      <c r="M67">
        <f>$C$14*ReDiarioFert!K56</f>
        <v>8.30923016351072</v>
      </c>
      <c r="O67">
        <f>$C$14*ReDiarioFert!M56</f>
        <v>114.387443902439</v>
      </c>
      <c r="Q67">
        <f>$C$14*Main!$D$63</f>
        <v>20.019999999999996</v>
      </c>
      <c r="S67">
        <f>((E67/100)*$G$148+(G67/100)*$G$149+(I67/100)*$G$150+(K67/100)*$G$151+(M67/100)*$G$152+(O67)*$G$153+(Q67*$G$154))</f>
        <v>241.32564769871124</v>
      </c>
    </row>
    <row r="68">
      <c r="B68">
        <v>51</v>
      </c>
      <c r="C68">
        <f>$I$13+B68</f>
        <v>39290</v>
      </c>
      <c r="E68">
        <f>IF($C$14*ReDiarioFert!C57&lt;=0,"0",$C$14*ReDiarioFert!C57)</f>
        <v>12.407678270716534</v>
      </c>
      <c r="G68">
        <f>$C$14*ReDiarioFert!E57</f>
        <v>5.8945216943096845</v>
      </c>
      <c r="I68">
        <f>$C$14*ReDiarioFert!G57</f>
        <v>7.127837535502903</v>
      </c>
      <c r="K68">
        <f>$C$14*ReDiarioFert!I57</f>
        <v>3.023357005985052</v>
      </c>
      <c r="M68">
        <f>$C$14*ReDiarioFert!K57</f>
        <v>8.30923016351072</v>
      </c>
      <c r="O68">
        <f>$C$14*ReDiarioFert!M57</f>
        <v>114.387443902439</v>
      </c>
      <c r="S68">
        <f>((E68/100)*$G$148+(G68/100)*$G$149+(I68/100)*$G$150+(K68/100)*$G$151+(M68/100)*$G$152+(O68)*$G$153+(Q68*$G$154))</f>
        <v>191.27564769871125</v>
      </c>
    </row>
    <row r="69">
      <c r="B69">
        <v>52</v>
      </c>
      <c r="C69">
        <f>$I$13+B69</f>
        <v>39291</v>
      </c>
      <c r="E69">
        <f>IF($C$14*ReDiarioFert!C58&lt;=0,"0",$C$14*ReDiarioFert!C58)</f>
        <v>12.407678270716534</v>
      </c>
      <c r="G69">
        <f>$C$14*ReDiarioFert!E58</f>
        <v>5.8945216943096845</v>
      </c>
      <c r="I69">
        <f>$C$14*ReDiarioFert!G58</f>
        <v>7.127837535502903</v>
      </c>
      <c r="K69">
        <f>$C$14*ReDiarioFert!I58</f>
        <v>3.023357005985052</v>
      </c>
      <c r="M69">
        <f>$C$14*ReDiarioFert!K58</f>
        <v>8.30923016351072</v>
      </c>
      <c r="O69">
        <f>$C$14*ReDiarioFert!M58</f>
        <v>114.387443902439</v>
      </c>
      <c r="S69">
        <f>((E69/100)*$G$148+(G69/100)*$G$149+(I69/100)*$G$150+(K69/100)*$G$151+(M69/100)*$G$152+(O69)*$G$153+(Q69*$G$154))</f>
        <v>191.27564769871125</v>
      </c>
    </row>
    <row r="70">
      <c r="B70">
        <v>53</v>
      </c>
      <c r="C70">
        <f>$I$13+B70</f>
        <v>39292</v>
      </c>
      <c r="E70">
        <f>IF($C$14*ReDiarioFert!C59&lt;=0,"0",$C$14*ReDiarioFert!C59)</f>
        <v>12.407678270716534</v>
      </c>
      <c r="G70">
        <f>$C$14*ReDiarioFert!E59</f>
        <v>5.8945216943096845</v>
      </c>
      <c r="I70">
        <f>$C$14*ReDiarioFert!G59</f>
        <v>7.127837535502903</v>
      </c>
      <c r="K70">
        <f>$C$14*ReDiarioFert!I59</f>
        <v>3.023357005985052</v>
      </c>
      <c r="M70">
        <f>$C$14*ReDiarioFert!K59</f>
        <v>8.30923016351072</v>
      </c>
      <c r="O70">
        <f>$C$14*ReDiarioFert!M59</f>
        <v>114.387443902439</v>
      </c>
      <c r="S70">
        <f>((E70/100)*$G$148+(G70/100)*$G$149+(I70/100)*$G$150+(K70/100)*$G$151+(M70/100)*$G$152+(O70)*$G$153+(Q70*$G$154))</f>
        <v>191.27564769871125</v>
      </c>
    </row>
    <row r="71">
      <c r="B71">
        <v>54</v>
      </c>
      <c r="C71">
        <f>$I$13+B71</f>
        <v>39293</v>
      </c>
      <c r="E71">
        <f>IF($C$14*ReDiarioFert!C60&lt;=0,"0",$C$14*ReDiarioFert!C60)</f>
        <v>12.407678270716534</v>
      </c>
      <c r="G71">
        <f>$C$14*ReDiarioFert!E60</f>
        <v>5.8945216943096845</v>
      </c>
      <c r="I71">
        <f>$C$14*ReDiarioFert!G60</f>
        <v>7.127837535502903</v>
      </c>
      <c r="K71">
        <f>$C$14*ReDiarioFert!I60</f>
        <v>3.023357005985052</v>
      </c>
      <c r="M71">
        <f>$C$14*ReDiarioFert!K60</f>
        <v>8.30923016351072</v>
      </c>
      <c r="O71">
        <f>$C$14*ReDiarioFert!M60</f>
        <v>114.387443902439</v>
      </c>
      <c r="S71">
        <f>((E71/100)*$G$148+(G71/100)*$G$149+(I71/100)*$G$150+(K71/100)*$G$151+(M71/100)*$G$152+(O71)*$G$153+(Q71*$G$154))</f>
        <v>191.27564769871125</v>
      </c>
    </row>
    <row r="72">
      <c r="B72">
        <v>55</v>
      </c>
      <c r="C72">
        <f>$I$13+B72</f>
        <v>39294</v>
      </c>
      <c r="E72">
        <f>IF($C$14*ReDiarioFert!C61&lt;=0,"0",$C$14*ReDiarioFert!C61)</f>
        <v>12.407678270716534</v>
      </c>
      <c r="G72">
        <f>$C$14*ReDiarioFert!E61</f>
        <v>5.8945216943096845</v>
      </c>
      <c r="I72">
        <f>$C$14*ReDiarioFert!G61</f>
        <v>7.127837535502903</v>
      </c>
      <c r="K72">
        <f>$C$14*ReDiarioFert!I61</f>
        <v>3.023357005985052</v>
      </c>
      <c r="M72">
        <f>$C$14*ReDiarioFert!K61</f>
        <v>8.30923016351072</v>
      </c>
      <c r="O72">
        <f>$C$14*ReDiarioFert!M61</f>
        <v>114.387443902439</v>
      </c>
      <c r="S72">
        <f>((E72/100)*$G$148+(G72/100)*$G$149+(I72/100)*$G$150+(K72/100)*$G$151+(M72/100)*$G$152+(O72)*$G$153+(Q72*$G$154))</f>
        <v>191.27564769871125</v>
      </c>
    </row>
    <row r="73">
      <c r="B73">
        <v>56</v>
      </c>
      <c r="C73">
        <f>$I$13+B73</f>
        <v>39295</v>
      </c>
      <c r="E73">
        <f>IF($C$14*ReDiarioFert!C62&lt;=0,"0",$C$14*ReDiarioFert!C62)</f>
        <v>12.407678270716534</v>
      </c>
      <c r="G73">
        <f>$C$14*ReDiarioFert!E62</f>
        <v>5.8945216943096845</v>
      </c>
      <c r="I73">
        <f>$C$14*ReDiarioFert!G62</f>
        <v>7.127837535502903</v>
      </c>
      <c r="K73">
        <f>$C$14*ReDiarioFert!I62</f>
        <v>3.023357005985052</v>
      </c>
      <c r="M73">
        <f>$C$14*ReDiarioFert!K62</f>
        <v>8.30923016351072</v>
      </c>
      <c r="O73">
        <f>$C$14*ReDiarioFert!M62</f>
        <v>114.387443902439</v>
      </c>
      <c r="S73">
        <f>((E73/100)*$G$148+(G73/100)*$G$149+(I73/100)*$G$150+(K73/100)*$G$151+(M73/100)*$G$152+(O73)*$G$153+R73*Main!$J$83)</f>
        <v>191.27564769871125</v>
      </c>
    </row>
    <row r="74">
      <c r="A74">
        <v>9</v>
      </c>
      <c r="B74">
        <v>57</v>
      </c>
      <c r="C74">
        <f>$I$13+B74</f>
        <v>39296</v>
      </c>
      <c r="E74">
        <f>IF($C$14*ReDiarioFert!C63&lt;=0,"0",$C$14*ReDiarioFert!C63)</f>
        <v>12.407678270716534</v>
      </c>
      <c r="G74">
        <f>$C$14*ReDiarioFert!E63</f>
        <v>5.8945216943096845</v>
      </c>
      <c r="I74">
        <f>$C$14*ReDiarioFert!G63</f>
        <v>7.127837535502903</v>
      </c>
      <c r="K74">
        <f>$C$14*ReDiarioFert!I63</f>
        <v>3.023357005985052</v>
      </c>
      <c r="M74">
        <f>$C$14*ReDiarioFert!K63</f>
        <v>8.30923016351072</v>
      </c>
      <c r="O74">
        <f>$C$14*ReDiarioFert!M63</f>
        <v>114.387443902439</v>
      </c>
      <c r="Q74">
        <f>$C$14*Main!$D$63</f>
        <v>20.019999999999996</v>
      </c>
      <c r="S74">
        <f>((E74/100)*$G$148+(G74/100)*$G$149+(I74/100)*$G$150+(K74/100)*$G$151+(M74/100)*$G$152+(O74)*$G$153+(Q74*$G$154))</f>
        <v>241.32564769871124</v>
      </c>
    </row>
    <row r="75">
      <c r="B75">
        <v>58</v>
      </c>
      <c r="C75">
        <f>$I$13+B75</f>
        <v>39297</v>
      </c>
      <c r="E75">
        <f>IF($C$14*ReDiarioFert!C64&lt;=0,"0",$C$14*ReDiarioFert!C64)</f>
        <v>12.407678270716534</v>
      </c>
      <c r="G75">
        <f>$C$14*ReDiarioFert!E64</f>
        <v>5.8945216943096845</v>
      </c>
      <c r="I75">
        <f>$C$14*ReDiarioFert!G64</f>
        <v>7.127837535502903</v>
      </c>
      <c r="K75">
        <f>$C$14*ReDiarioFert!I64</f>
        <v>3.023357005985052</v>
      </c>
      <c r="M75">
        <f>$C$14*ReDiarioFert!K64</f>
        <v>8.30923016351072</v>
      </c>
      <c r="O75">
        <f>$C$14*ReDiarioFert!M64</f>
        <v>114.387443902439</v>
      </c>
      <c r="S75">
        <f>((E75/100)*$G$148+(G75/100)*$G$149+(I75/100)*$G$150+(K75/100)*$G$151+(M75/100)*$G$152+(O75)*$G$153+(Q75*$G$154))</f>
        <v>191.27564769871125</v>
      </c>
    </row>
    <row r="76">
      <c r="B76">
        <v>59</v>
      </c>
      <c r="C76">
        <f>$I$13+B76</f>
        <v>39298</v>
      </c>
      <c r="E76">
        <f>IF($C$14*ReDiarioFert!C65&lt;=0,"0",$C$14*ReDiarioFert!C65)</f>
        <v>12.407678270716534</v>
      </c>
      <c r="G76">
        <f>$C$14*ReDiarioFert!E65</f>
        <v>5.8945216943096845</v>
      </c>
      <c r="I76">
        <f>$C$14*ReDiarioFert!G65</f>
        <v>7.127837535502903</v>
      </c>
      <c r="K76">
        <f>$C$14*ReDiarioFert!I65</f>
        <v>3.023357005985052</v>
      </c>
      <c r="M76">
        <f>$C$14*ReDiarioFert!K65</f>
        <v>8.30923016351072</v>
      </c>
      <c r="O76">
        <f>$C$14*ReDiarioFert!M65</f>
        <v>114.387443902439</v>
      </c>
      <c r="S76">
        <f>((E76/100)*$G$148+(G76/100)*$G$149+(I76/100)*$G$150+(K76/100)*$G$151+(M76/100)*$G$152+(O76)*$G$153+(Q76*$G$154))</f>
        <v>191.27564769871125</v>
      </c>
    </row>
    <row r="77">
      <c r="B77">
        <v>60</v>
      </c>
      <c r="C77">
        <f>$I$13+B77</f>
        <v>39299</v>
      </c>
      <c r="E77">
        <f>IF($C$14*ReDiarioFert!C66&lt;=0,"0",$C$14*ReDiarioFert!C66)</f>
        <v>12.407678270716534</v>
      </c>
      <c r="G77">
        <f>$C$14*ReDiarioFert!E66</f>
        <v>5.8945216943096845</v>
      </c>
      <c r="I77">
        <f>$C$14*ReDiarioFert!G66</f>
        <v>7.127837535502903</v>
      </c>
      <c r="K77">
        <f>$C$14*ReDiarioFert!I66</f>
        <v>3.023357005985052</v>
      </c>
      <c r="M77">
        <f>$C$14*ReDiarioFert!K66</f>
        <v>8.30923016351072</v>
      </c>
      <c r="O77">
        <f>$C$14*ReDiarioFert!M66</f>
        <v>114.387443902439</v>
      </c>
      <c r="Q77" t="str">
        <f>Main!$H$85</f>
        <v>TricoZam</v>
      </c>
      <c r="R77">
        <f>Main!$K$85*Main!$I$22</f>
        <v>1.001</v>
      </c>
      <c r="S77">
        <f>((E77/100)*$G$148+(G77/100)*$G$149+(I77/100)*$G$150+(K77/100)*$G$151+(M77/100)*$G$152+(O77)*$G$153+(R77*Main!$J$85))</f>
        <v>571.6556476987112</v>
      </c>
    </row>
    <row r="78">
      <c r="B78">
        <v>61</v>
      </c>
      <c r="C78">
        <f>$I$13+B78</f>
        <v>39300</v>
      </c>
      <c r="E78">
        <f>IF($C$14*ReDiarioFert!C67&lt;=0,"0",$C$14*ReDiarioFert!C67)</f>
        <v>20.679463784527563</v>
      </c>
      <c r="G78">
        <f>$C$14*ReDiarioFert!E67</f>
        <v>7.89920282384947</v>
      </c>
      <c r="I78">
        <f>$C$14*ReDiarioFert!G67</f>
        <v>12.970562559171507</v>
      </c>
      <c r="K78">
        <f>$C$14*ReDiarioFert!I67</f>
        <v>5.038928343308419</v>
      </c>
      <c r="M78">
        <f>$C$14*ReDiarioFert!K67</f>
        <v>13.848716939184532</v>
      </c>
      <c r="O78">
        <f>$C$14*ReDiarioFert!M67</f>
        <v>114.387443902439</v>
      </c>
      <c r="S78">
        <f>((E78/100)*$G$148+(G78/100)*$G$149+(I78/100)*$G$150+(K78/100)*$G$151+(M78/100)*$G$152+(O78)*$G$153+(Q78*$G$154))</f>
        <v>298.3521506796407</v>
      </c>
    </row>
    <row r="79">
      <c r="B79">
        <v>62</v>
      </c>
      <c r="C79">
        <f>$I$13+B79</f>
        <v>39301</v>
      </c>
      <c r="E79">
        <f>IF($C$14*ReDiarioFert!C68&lt;=0,"0",$C$14*ReDiarioFert!C68)</f>
        <v>20.679463784527563</v>
      </c>
      <c r="G79">
        <f>$C$14*ReDiarioFert!E68</f>
        <v>7.89920282384947</v>
      </c>
      <c r="I79">
        <f>$C$14*ReDiarioFert!G68</f>
        <v>12.970562559171507</v>
      </c>
      <c r="K79">
        <f>$C$14*ReDiarioFert!I68</f>
        <v>5.038928343308419</v>
      </c>
      <c r="M79">
        <f>$C$14*ReDiarioFert!K68</f>
        <v>13.848716939184532</v>
      </c>
      <c r="O79">
        <f>$C$14*ReDiarioFert!M68</f>
        <v>114.387443902439</v>
      </c>
      <c r="S79">
        <f>((E79/100)*$G$148+(G79/100)*$G$149+(I79/100)*$G$150+(K79/100)*$G$151+(M79/100)*$G$152+(O79)*$G$153+(Q79*$G$154))</f>
        <v>298.3521506796407</v>
      </c>
    </row>
    <row r="80">
      <c r="B80">
        <v>63</v>
      </c>
      <c r="C80">
        <f>$I$13+B80</f>
        <v>39302</v>
      </c>
      <c r="E80">
        <f>IF($C$14*ReDiarioFert!C69&lt;=0,"0",$C$14*ReDiarioFert!C69)</f>
        <v>20.679463784527563</v>
      </c>
      <c r="G80">
        <f>$C$14*ReDiarioFert!E69</f>
        <v>7.89920282384947</v>
      </c>
      <c r="I80">
        <f>$C$14*ReDiarioFert!G69</f>
        <v>12.970562559171507</v>
      </c>
      <c r="K80">
        <f>$C$14*ReDiarioFert!I69</f>
        <v>5.038928343308419</v>
      </c>
      <c r="M80">
        <f>$C$14*ReDiarioFert!K69</f>
        <v>13.848716939184532</v>
      </c>
      <c r="O80">
        <f>$C$14*ReDiarioFert!M69</f>
        <v>144.2279863414634</v>
      </c>
      <c r="Q80" t="str">
        <f>Main!$H$84</f>
        <v>Acido Fosforoso</v>
      </c>
      <c r="R80">
        <f>Main!$K$84*Main!$I$22</f>
        <v>5.004999999999999</v>
      </c>
      <c r="S80">
        <f>((E80/100)*$G$148+(G80/100)*$G$149+(I80/100)*$G$150+(K80/100)*$G$151+(M80/100)*$G$152+(O80)*$G$153+(R80*Main!$J$84))</f>
        <v>699.6951118207138</v>
      </c>
    </row>
    <row r="81">
      <c r="A81">
        <v>10</v>
      </c>
      <c r="B81">
        <v>64</v>
      </c>
      <c r="C81">
        <f>$I$13+B81</f>
        <v>39303</v>
      </c>
      <c r="E81">
        <f>IF($C$14*ReDiarioFert!C70&lt;=0,"0",$C$14*ReDiarioFert!C70)</f>
        <v>20.679463784527563</v>
      </c>
      <c r="G81">
        <f>$C$14*ReDiarioFert!E70</f>
        <v>7.89920282384947</v>
      </c>
      <c r="I81">
        <f>$C$14*ReDiarioFert!G70</f>
        <v>12.970562559171507</v>
      </c>
      <c r="K81">
        <f>$C$14*ReDiarioFert!I70</f>
        <v>5.038928343308419</v>
      </c>
      <c r="M81">
        <f>$C$14*ReDiarioFert!K70</f>
        <v>13.848716939184532</v>
      </c>
      <c r="O81">
        <f>$C$14*ReDiarioFert!M70</f>
        <v>144.2279863414634</v>
      </c>
      <c r="Q81">
        <f>$C$14*Main!$D$63</f>
        <v>20.019999999999996</v>
      </c>
      <c r="S81">
        <f>((E81/100)*$G$148+(G81/100)*$G$149+(I81/100)*$G$150+(K81/100)*$G$151+(M81/100)*$G$152+(O81)*$G$153+(Q81*$G$154))</f>
        <v>349.3451118207139</v>
      </c>
    </row>
    <row r="82">
      <c r="B82">
        <v>65</v>
      </c>
      <c r="C82">
        <f>$I$13+B82</f>
        <v>39304</v>
      </c>
      <c r="E82">
        <f>IF($C$14*ReDiarioFert!C71&lt;=0,"0",$C$14*ReDiarioFert!C71)</f>
        <v>20.679463784527563</v>
      </c>
      <c r="G82">
        <f>$C$14*ReDiarioFert!E71</f>
        <v>7.89920282384947</v>
      </c>
      <c r="I82">
        <f>$C$14*ReDiarioFert!G71</f>
        <v>12.970562559171507</v>
      </c>
      <c r="K82">
        <f>$C$14*ReDiarioFert!I71</f>
        <v>5.038928343308419</v>
      </c>
      <c r="M82">
        <f>$C$14*ReDiarioFert!K71</f>
        <v>13.848716939184532</v>
      </c>
      <c r="O82">
        <f>$C$14*ReDiarioFert!M71</f>
        <v>144.2279863414634</v>
      </c>
      <c r="S82">
        <f>((E82/100)*$G$148+(G82/100)*$G$149+(I82/100)*$G$150+(K82/100)*$G$151+(M82/100)*$G$152+(O82)*$G$153+(Q82*$G$154))</f>
        <v>299.2951118207139</v>
      </c>
    </row>
    <row r="83">
      <c r="B83">
        <v>66</v>
      </c>
      <c r="C83">
        <f>$I$13+B83</f>
        <v>39305</v>
      </c>
      <c r="E83">
        <f>IF($C$14*ReDiarioFert!C72&lt;=0,"0",$C$14*ReDiarioFert!C72)</f>
        <v>20.679463784527563</v>
      </c>
      <c r="G83">
        <f>$C$14*ReDiarioFert!E72</f>
        <v>7.89920282384947</v>
      </c>
      <c r="I83">
        <f>$C$14*ReDiarioFert!G72</f>
        <v>12.970562559171507</v>
      </c>
      <c r="K83">
        <f>$C$14*ReDiarioFert!I72</f>
        <v>5.038928343308419</v>
      </c>
      <c r="M83">
        <f>$C$14*ReDiarioFert!K72</f>
        <v>13.848716939184532</v>
      </c>
      <c r="O83">
        <f>$C$14*ReDiarioFert!M72</f>
        <v>144.2279863414634</v>
      </c>
      <c r="S83">
        <f>((E83/100)*$G$148+(G83/100)*$G$149+(I83/100)*$G$150+(K83/100)*$G$151+(M83/100)*$G$152+(O83)*$G$153+(Q83*$G$154))</f>
        <v>299.2951118207139</v>
      </c>
    </row>
    <row r="84">
      <c r="B84">
        <v>67</v>
      </c>
      <c r="C84">
        <f>$I$13+B84</f>
        <v>39306</v>
      </c>
      <c r="E84">
        <f>IF($C$14*ReDiarioFert!C73&lt;=0,"0",$C$14*ReDiarioFert!C73)</f>
        <v>20.679463784527563</v>
      </c>
      <c r="G84">
        <f>$C$14*ReDiarioFert!E73</f>
        <v>7.89920282384947</v>
      </c>
      <c r="I84">
        <f>$C$14*ReDiarioFert!G73</f>
        <v>12.970562559171507</v>
      </c>
      <c r="K84">
        <f>$C$14*ReDiarioFert!I73</f>
        <v>5.038928343308419</v>
      </c>
      <c r="M84">
        <f>$C$14*ReDiarioFert!K73</f>
        <v>13.848716939184532</v>
      </c>
      <c r="O84">
        <f>$C$14*ReDiarioFert!M73</f>
        <v>144.2279863414634</v>
      </c>
      <c r="S84">
        <f>((E84/100)*$G$148+(G84/100)*$G$149+(I84/100)*$G$150+(K84/100)*$G$151+(M84/100)*$G$152+(O84)*$G$153+(Q84*$G$154))</f>
        <v>299.2951118207139</v>
      </c>
    </row>
    <row r="85">
      <c r="B85">
        <v>68</v>
      </c>
      <c r="C85">
        <f>$I$13+B85</f>
        <v>39307</v>
      </c>
      <c r="E85">
        <f>IF($C$14*ReDiarioFert!C74&lt;=0,"0",$C$14*ReDiarioFert!C74)</f>
        <v>20.679463784527563</v>
      </c>
      <c r="G85">
        <f>$C$14*ReDiarioFert!E74</f>
        <v>7.89920282384947</v>
      </c>
      <c r="I85">
        <f>$C$14*ReDiarioFert!G74</f>
        <v>12.970562559171507</v>
      </c>
      <c r="K85">
        <f>$C$14*ReDiarioFert!I74</f>
        <v>5.038928343308419</v>
      </c>
      <c r="M85">
        <f>$C$14*ReDiarioFert!K74</f>
        <v>13.848716939184532</v>
      </c>
      <c r="O85">
        <f>$C$14*ReDiarioFert!M74</f>
        <v>144.2279863414634</v>
      </c>
      <c r="S85">
        <f>((E85/100)*$G$148+(G85/100)*$G$149+(I85/100)*$G$150+(K85/100)*$G$151+(M85/100)*$G$152+(O85)*$G$153+(Q85*$G$154))</f>
        <v>299.2951118207139</v>
      </c>
    </row>
    <row r="86">
      <c r="B86">
        <v>69</v>
      </c>
      <c r="C86">
        <f>$I$13+B86</f>
        <v>39308</v>
      </c>
      <c r="E86">
        <f>IF($C$14*ReDiarioFert!C75&lt;=0,"0",$C$14*ReDiarioFert!C75)</f>
        <v>20.679463784527563</v>
      </c>
      <c r="G86">
        <f>$C$14*ReDiarioFert!E75</f>
        <v>7.89920282384947</v>
      </c>
      <c r="I86">
        <f>$C$14*ReDiarioFert!G75</f>
        <v>12.970562559171507</v>
      </c>
      <c r="K86">
        <f>$C$14*ReDiarioFert!I75</f>
        <v>5.038928343308419</v>
      </c>
      <c r="M86">
        <f>$C$14*ReDiarioFert!K75</f>
        <v>13.848716939184532</v>
      </c>
      <c r="O86">
        <f>$C$14*ReDiarioFert!M75</f>
        <v>144.2279863414634</v>
      </c>
      <c r="S86">
        <f>((E86/100)*$G$148+(G86/100)*$G$149+(I86/100)*$G$150+(K86/100)*$G$151+(M86/100)*$G$152+(O86)*$G$153+(Q86*$G$154))</f>
        <v>299.2951118207139</v>
      </c>
    </row>
    <row r="87">
      <c r="B87">
        <v>70</v>
      </c>
      <c r="C87">
        <f>$I$13+B87</f>
        <v>39309</v>
      </c>
      <c r="E87">
        <f>IF($C$14*ReDiarioFert!C76&lt;=0,"0",$C$14*ReDiarioFert!C76)</f>
        <v>20.679463784527563</v>
      </c>
      <c r="G87">
        <f>$C$14*ReDiarioFert!E76</f>
        <v>7.89920282384947</v>
      </c>
      <c r="I87">
        <f>$C$14*ReDiarioFert!G76</f>
        <v>12.970562559171507</v>
      </c>
      <c r="K87">
        <f>$C$14*ReDiarioFert!I76</f>
        <v>5.038928343308419</v>
      </c>
      <c r="M87">
        <f>$C$14*ReDiarioFert!K76</f>
        <v>13.848716939184532</v>
      </c>
      <c r="O87">
        <f>$C$14*ReDiarioFert!M76</f>
        <v>144.2279863414634</v>
      </c>
      <c r="Q87" t="str">
        <f>Main!$H$83</f>
        <v>Acido Salicílico</v>
      </c>
      <c r="R87">
        <f>Main!$K$83*Main!$I$22</f>
        <v>250.24999999999997</v>
      </c>
      <c r="S87">
        <f>((E87/100)*$G$148+(G87/100)*$G$149+(I87/100)*$G$150+(K87/100)*$G$151+(M87/100)*$G$152+(O87)*$G$153+R87*Main!$J$83)</f>
        <v>341.8376118207139</v>
      </c>
    </row>
    <row r="88">
      <c r="A88">
        <v>11</v>
      </c>
      <c r="B88">
        <v>71</v>
      </c>
      <c r="C88">
        <f>$I$13+B88</f>
        <v>39310</v>
      </c>
      <c r="E88">
        <f>IF($C$14*ReDiarioFert!C77&lt;=0,"0",$C$14*ReDiarioFert!C77)</f>
        <v>20.679463784527563</v>
      </c>
      <c r="G88">
        <f>$C$14*ReDiarioFert!E77</f>
        <v>7.89920282384947</v>
      </c>
      <c r="I88">
        <f>$C$14*ReDiarioFert!G77</f>
        <v>12.970562559171507</v>
      </c>
      <c r="K88">
        <f>$C$14*ReDiarioFert!I77</f>
        <v>5.038928343308419</v>
      </c>
      <c r="M88">
        <f>$C$14*ReDiarioFert!K77</f>
        <v>13.848716939184532</v>
      </c>
      <c r="O88">
        <f>$C$14*ReDiarioFert!M77</f>
        <v>144.2279863414634</v>
      </c>
      <c r="Q88">
        <f>$C$14*Main!$D$63</f>
        <v>20.019999999999996</v>
      </c>
      <c r="S88">
        <f>((E88/100)*$G$148+(G88/100)*$G$149+(I88/100)*$G$150+(K88/100)*$G$151+(M88/100)*$G$152+(O88)*$G$153+(Q88*$G$154))</f>
        <v>349.3451118207139</v>
      </c>
    </row>
    <row r="89">
      <c r="B89">
        <v>72</v>
      </c>
      <c r="C89">
        <f>$I$13+B89</f>
        <v>39311</v>
      </c>
      <c r="E89">
        <f>IF($C$14*ReDiarioFert!C78&lt;=0,"0",$C$14*ReDiarioFert!C78)</f>
        <v>20.679463784527563</v>
      </c>
      <c r="G89">
        <f>$C$14*ReDiarioFert!E78</f>
        <v>7.89920282384947</v>
      </c>
      <c r="I89">
        <f>$C$14*ReDiarioFert!G78</f>
        <v>12.970562559171507</v>
      </c>
      <c r="K89">
        <f>$C$14*ReDiarioFert!I78</f>
        <v>5.038928343308419</v>
      </c>
      <c r="M89">
        <f>$C$14*ReDiarioFert!K78</f>
        <v>13.848716939184532</v>
      </c>
      <c r="O89">
        <f>$C$14*ReDiarioFert!M78</f>
        <v>144.2279863414634</v>
      </c>
      <c r="S89">
        <f>((E89/100)*$G$148+(G89/100)*$G$149+(I89/100)*$G$150+(K89/100)*$G$151+(M89/100)*$G$152+(O89)*$G$153+(Q89*$G$154))</f>
        <v>299.2951118207139</v>
      </c>
    </row>
    <row r="90">
      <c r="B90">
        <v>73</v>
      </c>
      <c r="C90">
        <f>$I$13+B90</f>
        <v>39312</v>
      </c>
      <c r="E90">
        <f>IF($C$14*ReDiarioFert!C79&lt;=0,"0",$C$14*ReDiarioFert!C79)</f>
        <v>20.679463784527563</v>
      </c>
      <c r="G90">
        <f>$C$14*ReDiarioFert!E79</f>
        <v>7.89920282384947</v>
      </c>
      <c r="I90">
        <f>$C$14*ReDiarioFert!G79</f>
        <v>12.970562559171507</v>
      </c>
      <c r="K90">
        <f>$C$14*ReDiarioFert!I79</f>
        <v>5.038928343308419</v>
      </c>
      <c r="M90">
        <f>$C$14*ReDiarioFert!K79</f>
        <v>13.848716939184532</v>
      </c>
      <c r="O90">
        <f>$C$14*ReDiarioFert!M79</f>
        <v>144.2279863414634</v>
      </c>
      <c r="S90">
        <f>((E90/100)*$G$148+(G90/100)*$G$149+(I90/100)*$G$150+(K90/100)*$G$151+(M90/100)*$G$152+(O90)*$G$153+(Q90*$G$154))</f>
        <v>299.2951118207139</v>
      </c>
    </row>
    <row r="91">
      <c r="B91">
        <v>74</v>
      </c>
      <c r="C91">
        <f>$I$13+B91</f>
        <v>39313</v>
      </c>
      <c r="E91">
        <f>IF($C$14*ReDiarioFert!C80&lt;=0,"0",$C$14*ReDiarioFert!C80)</f>
        <v>20.679463784527563</v>
      </c>
      <c r="G91">
        <f>$C$14*ReDiarioFert!E80</f>
        <v>7.89920282384947</v>
      </c>
      <c r="I91">
        <f>$C$14*ReDiarioFert!G80</f>
        <v>12.970562559171507</v>
      </c>
      <c r="K91">
        <f>$C$14*ReDiarioFert!I80</f>
        <v>5.038928343308419</v>
      </c>
      <c r="M91">
        <f>$C$14*ReDiarioFert!K80</f>
        <v>13.848716939184532</v>
      </c>
      <c r="O91">
        <f>$C$14*ReDiarioFert!M80</f>
        <v>144.2279863414634</v>
      </c>
      <c r="S91">
        <f>((E91/100)*$G$148+(G91/100)*$G$149+(I91/100)*$G$150+(K91/100)*$G$151+(M91/100)*$G$152+(O91)*$G$153+(Q91*$G$154))</f>
        <v>299.2951118207139</v>
      </c>
    </row>
    <row r="92">
      <c r="B92">
        <v>75</v>
      </c>
      <c r="C92">
        <f>$I$13+B92</f>
        <v>39314</v>
      </c>
      <c r="E92">
        <f>IF($C$14*ReDiarioFert!C81&lt;=0,"0",$C$14*ReDiarioFert!C81)</f>
        <v>17.496862311720587</v>
      </c>
      <c r="G92">
        <f>$C$14*ReDiarioFert!E81</f>
        <v>7.89920282384947</v>
      </c>
      <c r="I92">
        <f>$C$14*ReDiarioFert!G81</f>
        <v>12.970562559171507</v>
      </c>
      <c r="K92">
        <f>$C$14*ReDiarioFert!I81</f>
        <v>5.038928343308419</v>
      </c>
      <c r="M92">
        <f>$C$14*ReDiarioFert!K81</f>
        <v>13.848716939184532</v>
      </c>
      <c r="O92">
        <f>$C$14*ReDiarioFert!M81</f>
        <v>144.2279863414634</v>
      </c>
      <c r="S92">
        <f>((E92/100)*$G$148+(G92/100)*$G$149+(I92/100)*$G$150+(K92/100)*$G$151+(M92/100)*$G$152+(O92)*$G$153+(Q92*$G$154))</f>
        <v>289.11078710773154</v>
      </c>
    </row>
    <row r="93">
      <c r="B93">
        <v>76</v>
      </c>
      <c r="C93">
        <f>$I$13+B93</f>
        <v>39315</v>
      </c>
      <c r="E93">
        <f>IF($C$14*ReDiarioFert!C82&lt;=0,"0",$C$14*ReDiarioFert!C82)</f>
        <v>17.496862311720587</v>
      </c>
      <c r="G93">
        <f>$C$14*ReDiarioFert!E82</f>
        <v>7.89920282384947</v>
      </c>
      <c r="I93">
        <f>$C$14*ReDiarioFert!G82</f>
        <v>12.970562559171507</v>
      </c>
      <c r="K93">
        <f>$C$14*ReDiarioFert!I82</f>
        <v>5.038928343308419</v>
      </c>
      <c r="M93">
        <f>$C$14*ReDiarioFert!K82</f>
        <v>13.848716939184532</v>
      </c>
      <c r="O93">
        <f>$C$14*ReDiarioFert!M82</f>
        <v>144.2279863414634</v>
      </c>
      <c r="S93">
        <f>((E93/100)*$G$148+(G93/100)*$G$149+(I93/100)*$G$150+(K93/100)*$G$151+(M93/100)*$G$152+(O93)*$G$153+(Q93*$G$154))</f>
        <v>289.11078710773154</v>
      </c>
    </row>
    <row r="94">
      <c r="B94">
        <v>77</v>
      </c>
      <c r="C94">
        <f>$I$13+B94</f>
        <v>39316</v>
      </c>
      <c r="E94">
        <f>IF($C$14*ReDiarioFert!C83&lt;=0,"0",$C$14*ReDiarioFert!C83)</f>
        <v>17.496862311720587</v>
      </c>
      <c r="G94">
        <f>$C$14*ReDiarioFert!E83</f>
        <v>7.89920282384947</v>
      </c>
      <c r="I94">
        <f>$C$14*ReDiarioFert!G83</f>
        <v>12.970562559171507</v>
      </c>
      <c r="K94">
        <f>$C$14*ReDiarioFert!I83</f>
        <v>5.038928343308419</v>
      </c>
      <c r="M94">
        <f>$C$14*ReDiarioFert!K83</f>
        <v>13.848716939184532</v>
      </c>
      <c r="O94">
        <f>$C$14*ReDiarioFert!M83</f>
        <v>144.2279863414634</v>
      </c>
      <c r="S94">
        <f>((E94/100)*$G$148+(G94/100)*$G$149+(I94/100)*$G$150+(K94/100)*$G$151+(M94/100)*$G$152+(O94)*$G$153+(R94*Main!$J$84))</f>
        <v>289.11078710773154</v>
      </c>
    </row>
    <row r="95">
      <c r="A95">
        <v>12</v>
      </c>
      <c r="B95">
        <v>78</v>
      </c>
      <c r="C95">
        <f>$I$13+B95</f>
        <v>39317</v>
      </c>
      <c r="E95">
        <f>IF($C$14*ReDiarioFert!C84&lt;=0,"0",$C$14*ReDiarioFert!C84)</f>
        <v>17.496862311720587</v>
      </c>
      <c r="G95">
        <f>$C$14*ReDiarioFert!E84</f>
        <v>7.89920282384947</v>
      </c>
      <c r="I95">
        <f>$C$14*ReDiarioFert!G84</f>
        <v>12.970562559171507</v>
      </c>
      <c r="K95">
        <f>$C$14*ReDiarioFert!I84</f>
        <v>5.038928343308419</v>
      </c>
      <c r="M95">
        <f>$C$14*ReDiarioFert!K84</f>
        <v>13.848716939184532</v>
      </c>
      <c r="O95">
        <f>$C$14*ReDiarioFert!M84</f>
        <v>144.2279863414634</v>
      </c>
      <c r="Q95">
        <f>$C$14*Main!$D$63</f>
        <v>20.019999999999996</v>
      </c>
      <c r="S95">
        <f>((E95/100)*$G$148+(G95/100)*$G$149+(I95/100)*$G$150+(K95/100)*$G$151+(M95/100)*$G$152+(O95)*$G$153+(Q95*$G$154))</f>
        <v>339.16078710773155</v>
      </c>
    </row>
    <row r="96">
      <c r="B96">
        <v>79</v>
      </c>
      <c r="C96">
        <f>$I$13+B96</f>
        <v>39318</v>
      </c>
      <c r="E96">
        <f>IF($C$14*ReDiarioFert!C85&lt;=0,"0",$C$14*ReDiarioFert!C85)</f>
        <v>17.496862311720587</v>
      </c>
      <c r="G96">
        <f>$C$14*ReDiarioFert!E85</f>
        <v>7.89920282384947</v>
      </c>
      <c r="I96">
        <f>$C$14*ReDiarioFert!G85</f>
        <v>12.970562559171507</v>
      </c>
      <c r="K96">
        <f>$C$14*ReDiarioFert!I85</f>
        <v>5.038928343308419</v>
      </c>
      <c r="M96">
        <f>$C$14*ReDiarioFert!K85</f>
        <v>13.848716939184532</v>
      </c>
      <c r="O96">
        <f>$C$14*ReDiarioFert!M85</f>
        <v>144.2279863414634</v>
      </c>
      <c r="S96">
        <f>((E96/100)*$G$148+(G96/100)*$G$149+(I96/100)*$G$150+(K96/100)*$G$151+(M96/100)*$G$152+(O96)*$G$153+(Q96*$G$154))</f>
        <v>289.11078710773154</v>
      </c>
    </row>
    <row r="97">
      <c r="B97">
        <v>80</v>
      </c>
      <c r="C97">
        <f>$I$13+B97</f>
        <v>39319</v>
      </c>
      <c r="E97">
        <f>IF($C$14*ReDiarioFert!C86&lt;=0,"0",$C$14*ReDiarioFert!C86)</f>
        <v>17.496862311720587</v>
      </c>
      <c r="G97">
        <f>$C$14*ReDiarioFert!E86</f>
        <v>7.89920282384947</v>
      </c>
      <c r="I97">
        <f>$C$14*ReDiarioFert!G86</f>
        <v>12.970562559171507</v>
      </c>
      <c r="K97">
        <f>$C$14*ReDiarioFert!I86</f>
        <v>5.038928343308419</v>
      </c>
      <c r="M97">
        <f>$C$14*ReDiarioFert!K86</f>
        <v>13.848716939184532</v>
      </c>
      <c r="O97">
        <f>$C$14*ReDiarioFert!M86</f>
        <v>144.2279863414634</v>
      </c>
      <c r="S97">
        <f>((E97/100)*$G$148+(G97/100)*$G$149+(I97/100)*$G$150+(K97/100)*$G$151+(M97/100)*$G$152+(O97)*$G$153+(Q97*$G$154))</f>
        <v>289.11078710773154</v>
      </c>
    </row>
    <row r="98">
      <c r="B98">
        <v>81</v>
      </c>
      <c r="C98">
        <f>$I$13+B98</f>
        <v>39320</v>
      </c>
      <c r="E98">
        <f>IF($C$14*ReDiarioFert!C87&lt;=0,"0",$C$14*ReDiarioFert!C87)</f>
        <v>17.496862311720587</v>
      </c>
      <c r="G98">
        <f>$C$14*ReDiarioFert!E87</f>
        <v>7.89920282384947</v>
      </c>
      <c r="I98">
        <f>$C$14*ReDiarioFert!G87</f>
        <v>12.970562559171507</v>
      </c>
      <c r="K98">
        <f>$C$14*ReDiarioFert!I87</f>
        <v>5.038928343308419</v>
      </c>
      <c r="M98">
        <f>$C$14*ReDiarioFert!K87</f>
        <v>13.848716939184532</v>
      </c>
      <c r="O98">
        <f>$C$14*ReDiarioFert!M87</f>
        <v>174.06804048780486</v>
      </c>
      <c r="S98">
        <f>((E98/100)*$G$148+(G98/100)*$G$149+(I98/100)*$G$150+(K98/100)*$G$151+(M98/100)*$G$152+(O98)*$G$153+(Q98*$G$154))</f>
        <v>290.0537328187559</v>
      </c>
    </row>
    <row r="99">
      <c r="B99">
        <v>82</v>
      </c>
      <c r="C99">
        <f>$I$13+B99</f>
        <v>39321</v>
      </c>
      <c r="E99">
        <f>IF($C$14*ReDiarioFert!C88&lt;=0,"0",$C$14*ReDiarioFert!C88)</f>
        <v>17.496862311720587</v>
      </c>
      <c r="G99">
        <f>$C$14*ReDiarioFert!E88</f>
        <v>7.89920282384947</v>
      </c>
      <c r="I99">
        <f>$C$14*ReDiarioFert!G88</f>
        <v>12.970562559171507</v>
      </c>
      <c r="K99">
        <f>$C$14*ReDiarioFert!I88</f>
        <v>5.038928343308419</v>
      </c>
      <c r="M99">
        <f>$C$14*ReDiarioFert!K88</f>
        <v>13.848716939184532</v>
      </c>
      <c r="O99">
        <f>$C$14*ReDiarioFert!M88</f>
        <v>174.06804048780486</v>
      </c>
      <c r="S99">
        <f>((E99/100)*$G$148+(G99/100)*$G$149+(I99/100)*$G$150+(K99/100)*$G$151+(M99/100)*$G$152+(O99)*$G$153+(Q99*$G$154))</f>
        <v>290.0537328187559</v>
      </c>
    </row>
    <row r="100">
      <c r="B100">
        <v>83</v>
      </c>
      <c r="C100">
        <f>$I$13+B100</f>
        <v>39322</v>
      </c>
      <c r="E100">
        <f>IF($C$14*ReDiarioFert!C89&lt;=0,"0",$C$14*ReDiarioFert!C89)</f>
        <v>17.496862311720587</v>
      </c>
      <c r="G100">
        <f>$C$14*ReDiarioFert!E89</f>
        <v>7.89920282384947</v>
      </c>
      <c r="I100">
        <f>$C$14*ReDiarioFert!G89</f>
        <v>12.970562559171507</v>
      </c>
      <c r="K100">
        <f>$C$14*ReDiarioFert!I89</f>
        <v>5.038928343308419</v>
      </c>
      <c r="M100">
        <f>$C$14*ReDiarioFert!K89</f>
        <v>13.848716939184532</v>
      </c>
      <c r="O100">
        <f>$C$14*ReDiarioFert!M89</f>
        <v>174.06804048780486</v>
      </c>
      <c r="S100">
        <f>((E100/100)*$G$148+(G100/100)*$G$149+(I100/100)*$G$150+(K100/100)*$G$151+(M100/100)*$G$152+(O100)*$G$153+(Q100*$G$154))</f>
        <v>290.0537328187559</v>
      </c>
    </row>
    <row r="101">
      <c r="B101">
        <v>84</v>
      </c>
      <c r="C101">
        <f>$I$13+B101</f>
        <v>39323</v>
      </c>
      <c r="E101">
        <f>IF($C$14*ReDiarioFert!C90&lt;=0,"0",$C$14*ReDiarioFert!C90)</f>
        <v>17.496862311720587</v>
      </c>
      <c r="G101">
        <f>$C$14*ReDiarioFert!E90</f>
        <v>7.89920282384947</v>
      </c>
      <c r="I101">
        <f>$C$14*ReDiarioFert!G90</f>
        <v>12.970562559171507</v>
      </c>
      <c r="K101">
        <f>$C$14*ReDiarioFert!I90</f>
        <v>5.038928343308419</v>
      </c>
      <c r="M101">
        <f>$C$14*ReDiarioFert!K90</f>
        <v>13.848716939184532</v>
      </c>
      <c r="O101">
        <f>$C$14*ReDiarioFert!M90</f>
        <v>174.06804048780486</v>
      </c>
      <c r="S101">
        <f>((E101/100)*$G$148+(G101/100)*$G$149+(I101/100)*$G$150+(K101/100)*$G$151+(M101/100)*$G$152+(O101)*$G$153+R101*Main!$J$83)</f>
        <v>290.0537328187559</v>
      </c>
    </row>
    <row r="102" ht="18" customHeight="1">
      <c r="A102">
        <v>13</v>
      </c>
      <c r="B102">
        <v>85</v>
      </c>
      <c r="C102">
        <f>$I$13+B102</f>
        <v>39324</v>
      </c>
      <c r="E102">
        <f>IF($C$14*ReDiarioFert!C91&lt;=0,"0",$C$14*ReDiarioFert!C91)</f>
        <v>13.61238469978029</v>
      </c>
      <c r="G102">
        <f>$C$14*ReDiarioFert!E91</f>
        <v>7.89920282384947</v>
      </c>
      <c r="I102">
        <f>$C$14*ReDiarioFert!G91</f>
        <v>12.970562559171507</v>
      </c>
      <c r="K102">
        <f>$C$14*ReDiarioFert!I91</f>
        <v>5.038928343308419</v>
      </c>
      <c r="M102">
        <f>$C$14*ReDiarioFert!K91</f>
        <v>13.848716939184532</v>
      </c>
      <c r="O102">
        <f>$C$14*ReDiarioFert!M91</f>
        <v>174.06804048780486</v>
      </c>
      <c r="Q102">
        <f>$C$14*Main!$D$63</f>
        <v>20.019999999999996</v>
      </c>
      <c r="S102">
        <f>((E102/100)*$G$148+(G102/100)*$G$149+(I102/100)*$G$150+(K102/100)*$G$151+(M102/100)*$G$152+(O102)*$G$153+(Q102*$G$154))</f>
        <v>327.673404460547</v>
      </c>
    </row>
    <row r="103" ht="18" customHeight="1">
      <c r="B103">
        <v>86</v>
      </c>
      <c r="C103">
        <f>$I$13+B103</f>
        <v>39325</v>
      </c>
      <c r="E103">
        <f>IF($C$14*ReDiarioFert!C92&lt;=0,"0",$C$14*ReDiarioFert!C92)</f>
        <v>13.61238469978029</v>
      </c>
      <c r="G103">
        <f>$C$14*ReDiarioFert!E92</f>
        <v>7.89920282384947</v>
      </c>
      <c r="I103">
        <f>$C$14*ReDiarioFert!G92</f>
        <v>12.970562559171507</v>
      </c>
      <c r="K103">
        <f>$C$14*ReDiarioFert!I92</f>
        <v>5.038928343308419</v>
      </c>
      <c r="M103">
        <f>$C$14*ReDiarioFert!K92</f>
        <v>13.848716939184532</v>
      </c>
      <c r="O103">
        <f>$C$14*ReDiarioFert!M92</f>
        <v>174.06804048780486</v>
      </c>
      <c r="S103">
        <f>((E103/100)*$G$148+(G103/100)*$G$149+(I103/100)*$G$150+(K103/100)*$G$151+(M103/100)*$G$152+(O103)*$G$153+(Q103*$G$154))</f>
        <v>277.62340446054696</v>
      </c>
    </row>
    <row r="104" ht="18" customHeight="1">
      <c r="B104">
        <v>87</v>
      </c>
      <c r="C104">
        <f>$I$13+B104</f>
        <v>39326</v>
      </c>
      <c r="E104">
        <f>IF($C$14*ReDiarioFert!C93&lt;=0,"0",$C$14*ReDiarioFert!C93)</f>
        <v>13.61238469978029</v>
      </c>
      <c r="G104">
        <f>$C$14*ReDiarioFert!E93</f>
        <v>7.89920282384947</v>
      </c>
      <c r="I104">
        <f>$C$14*ReDiarioFert!G93</f>
        <v>12.970562559171507</v>
      </c>
      <c r="K104">
        <f>$C$14*ReDiarioFert!I93</f>
        <v>5.038928343308419</v>
      </c>
      <c r="M104">
        <f>$C$14*ReDiarioFert!K93</f>
        <v>13.848716939184532</v>
      </c>
      <c r="O104">
        <f>$C$14*ReDiarioFert!M93</f>
        <v>174.06804048780486</v>
      </c>
      <c r="S104">
        <f>((E104/100)*$G$148+(G104/100)*$G$149+(I104/100)*$G$150+(K104/100)*$G$151+(M104/100)*$G$152+(O104)*$G$153+(Q104*$G$154))</f>
        <v>277.62340446054696</v>
      </c>
    </row>
    <row r="105" ht="18" customHeight="1">
      <c r="B105">
        <v>88</v>
      </c>
      <c r="C105">
        <f>$I$13+B105</f>
        <v>39327</v>
      </c>
      <c r="E105">
        <f>IF($C$14*ReDiarioFert!C94&lt;=0,"0",$C$14*ReDiarioFert!C94)</f>
        <v>13.61238469978029</v>
      </c>
      <c r="G105">
        <f>$C$14*ReDiarioFert!E94</f>
        <v>7.89920282384947</v>
      </c>
      <c r="I105">
        <f>$C$14*ReDiarioFert!G94</f>
        <v>12.970562559171507</v>
      </c>
      <c r="K105">
        <f>$C$14*ReDiarioFert!I94</f>
        <v>5.038928343308419</v>
      </c>
      <c r="M105">
        <f>$C$14*ReDiarioFert!K94</f>
        <v>13.848716939184532</v>
      </c>
      <c r="O105">
        <f>$C$14*ReDiarioFert!M94</f>
        <v>174.06804048780486</v>
      </c>
      <c r="Q105" t="str">
        <f>Main!$H$86</f>
        <v>BaZam</v>
      </c>
      <c r="R105">
        <f>Main!$K$86*Main!$I$22</f>
        <v>1.001</v>
      </c>
      <c r="S105">
        <f>((E105/100)*$G$148+(G105/100)*$G$149+(I105/100)*$G$150+(K105/100)*$G$151+(M105/100)*$G$152+(O105)*$G$153+R105*Main!$J$86)</f>
        <v>658.0034044605469</v>
      </c>
    </row>
    <row r="106" ht="18" customHeight="1">
      <c r="B106">
        <v>89</v>
      </c>
      <c r="C106">
        <f>$I$13+B106</f>
        <v>39328</v>
      </c>
      <c r="E106">
        <f>IF($C$14*ReDiarioFert!C95&lt;=0,"0",$C$14*ReDiarioFert!C95)</f>
        <v>13.61238469978029</v>
      </c>
      <c r="G106">
        <f>$C$14*ReDiarioFert!E95</f>
        <v>7.89920282384947</v>
      </c>
      <c r="I106">
        <f>$C$14*ReDiarioFert!G95</f>
        <v>12.970562559171507</v>
      </c>
      <c r="K106">
        <f>$C$14*ReDiarioFert!I95</f>
        <v>5.038928343308419</v>
      </c>
      <c r="M106">
        <f>$C$14*ReDiarioFert!K95</f>
        <v>13.848716939184532</v>
      </c>
      <c r="O106">
        <f>$C$14*ReDiarioFert!M95</f>
        <v>174.06804048780486</v>
      </c>
      <c r="S106">
        <f>((E106/100)*$G$148+(G106/100)*$G$149+(I106/100)*$G$150+(K106/100)*$G$151+(M106/100)*$G$152+(O106)*$G$153+(Q106*$G$154))</f>
        <v>277.62340446054696</v>
      </c>
    </row>
    <row r="107" ht="18" customHeight="1">
      <c r="B107">
        <v>90</v>
      </c>
      <c r="C107">
        <f>$I$13+B107</f>
        <v>39329</v>
      </c>
      <c r="E107">
        <f>IF($C$14*ReDiarioFert!C96&lt;=0,"0",$C$14*ReDiarioFert!C96)</f>
        <v>13.61238469978029</v>
      </c>
      <c r="G107">
        <f>$C$14*ReDiarioFert!E96</f>
        <v>7.89920282384947</v>
      </c>
      <c r="I107">
        <f>$C$14*ReDiarioFert!G96</f>
        <v>12.970562559171507</v>
      </c>
      <c r="K107">
        <f>$C$14*ReDiarioFert!I96</f>
        <v>5.038928343308419</v>
      </c>
      <c r="M107">
        <f>$C$14*ReDiarioFert!K96</f>
        <v>13.848716939184532</v>
      </c>
      <c r="O107">
        <f>$C$14*ReDiarioFert!M96</f>
        <v>174.06804048780486</v>
      </c>
      <c r="S107">
        <f>((E107/100)*$G$148+(G107/100)*$G$149+(I107/100)*$G$150+(K107/100)*$G$151+(M107/100)*$G$152+(O107)*$G$153+(Q107*$G$154))</f>
        <v>277.62340446054696</v>
      </c>
    </row>
    <row r="108" ht="18" customHeight="1">
      <c r="B108">
        <v>91</v>
      </c>
      <c r="C108">
        <f>$I$13+B108</f>
        <v>39330</v>
      </c>
      <c r="E108">
        <f>IF($C$14*ReDiarioFert!C97&lt;=0,"0",$C$14*ReDiarioFert!C97)</f>
        <v>13.61238469978029</v>
      </c>
      <c r="G108">
        <f>$C$14*ReDiarioFert!E97</f>
        <v>7.89920282384947</v>
      </c>
      <c r="I108">
        <f>$C$14*ReDiarioFert!G97</f>
        <v>12.970562559171507</v>
      </c>
      <c r="K108">
        <f>$C$14*ReDiarioFert!I97</f>
        <v>5.038928343308419</v>
      </c>
      <c r="M108">
        <f>$C$14*ReDiarioFert!K97</f>
        <v>13.848716939184532</v>
      </c>
      <c r="O108">
        <f>$C$14*ReDiarioFert!M97</f>
        <v>174.06804048780486</v>
      </c>
      <c r="Q108" t="str">
        <f>Main!$H$84</f>
        <v>Acido Fosforoso</v>
      </c>
      <c r="R108">
        <f>Main!$K$84*Main!$I$22</f>
        <v>5.004999999999999</v>
      </c>
      <c r="S108">
        <f>((E108/100)*$G$148+(G108/100)*$G$149+(I108/100)*$G$150+(K108/100)*$G$151+(M108/100)*$G$152+(O108)*$G$153+(R108*Main!$J$84))</f>
        <v>678.0234044605469</v>
      </c>
    </row>
    <row r="109">
      <c r="A109">
        <v>14</v>
      </c>
      <c r="B109">
        <v>92</v>
      </c>
      <c r="C109">
        <f>$I$13+B109</f>
        <v>39331</v>
      </c>
      <c r="E109">
        <f>IF($C$14*ReDiarioFert!C98&lt;=0,"0",$C$14*ReDiarioFert!C98)</f>
        <v>10.295211138586257</v>
      </c>
      <c r="G109">
        <f>$C$14*ReDiarioFert!E98</f>
        <v>7.89920282384947</v>
      </c>
      <c r="I109">
        <f>$C$14*ReDiarioFert!G98</f>
        <v>12.970562559171507</v>
      </c>
      <c r="K109">
        <f>$C$14*ReDiarioFert!I98</f>
        <v>5.038928343308419</v>
      </c>
      <c r="M109">
        <f>$C$14*ReDiarioFert!K98</f>
        <v>13.848716939184532</v>
      </c>
      <c r="O109">
        <f>$C$14*ReDiarioFert!M98</f>
        <v>174.06804048780486</v>
      </c>
      <c r="Q109">
        <f>$C$14*Main!$D$63</f>
        <v>20.019999999999996</v>
      </c>
      <c r="S109">
        <f>((E109/100)*$G$148+(G109/100)*$G$149+(I109/100)*$G$150+(K109/100)*$G$151+(M109/100)*$G$152+(O109)*$G$153+(Q109*$G$154))</f>
        <v>317.05844906472606</v>
      </c>
    </row>
    <row r="110">
      <c r="B110">
        <v>93</v>
      </c>
      <c r="C110">
        <f>$I$13+B110</f>
        <v>39332</v>
      </c>
      <c r="E110">
        <f>IF($C$14*ReDiarioFert!C99&lt;=0,"0",$C$14*ReDiarioFert!C99)</f>
        <v>10.295211138586257</v>
      </c>
      <c r="G110">
        <f>$C$14*ReDiarioFert!E99</f>
        <v>7.89920282384947</v>
      </c>
      <c r="I110">
        <f>$C$14*ReDiarioFert!G99</f>
        <v>12.970562559171507</v>
      </c>
      <c r="K110">
        <f>$C$14*ReDiarioFert!I99</f>
        <v>5.038928343308419</v>
      </c>
      <c r="M110">
        <f>$C$14*ReDiarioFert!K99</f>
        <v>13.848716939184532</v>
      </c>
      <c r="O110">
        <f>$C$14*ReDiarioFert!M99</f>
        <v>174.06804048780486</v>
      </c>
      <c r="S110">
        <f>((E110/100)*$G$148+(G110/100)*$G$149+(I110/100)*$G$150+(K110/100)*$G$151+(M110/100)*$G$152+(O110)*$G$153+(Q110*$G$154))</f>
        <v>267.00844906472605</v>
      </c>
    </row>
    <row r="111">
      <c r="B111">
        <v>94</v>
      </c>
      <c r="C111">
        <f>$I$13+B111</f>
        <v>39333</v>
      </c>
      <c r="E111">
        <f>IF($C$14*ReDiarioFert!C100&lt;=0,"0",$C$14*ReDiarioFert!C100)</f>
        <v>10.295211138586257</v>
      </c>
      <c r="G111">
        <f>$C$14*ReDiarioFert!E100</f>
        <v>7.89920282384947</v>
      </c>
      <c r="I111">
        <f>$C$14*ReDiarioFert!G100</f>
        <v>12.970562559171507</v>
      </c>
      <c r="K111">
        <f>$C$14*ReDiarioFert!I100</f>
        <v>5.038928343308419</v>
      </c>
      <c r="M111">
        <f>$C$14*ReDiarioFert!K100</f>
        <v>13.848716939184532</v>
      </c>
      <c r="O111">
        <f>$C$14*ReDiarioFert!M100</f>
        <v>174.06804048780486</v>
      </c>
      <c r="S111">
        <f>((E111/100)*$G$148+(G111/100)*$G$149+(I111/100)*$G$150+(K111/100)*$G$151+(M111/100)*$G$152+(O111)*$G$153+(Q111*$G$154))</f>
        <v>267.00844906472605</v>
      </c>
    </row>
    <row r="112">
      <c r="B112">
        <v>95</v>
      </c>
      <c r="C112">
        <f>$I$13+B112</f>
        <v>39334</v>
      </c>
      <c r="E112">
        <f>IF($C$14*ReDiarioFert!C101&lt;=0,"0",$C$14*ReDiarioFert!C101)</f>
        <v>10.295211138586257</v>
      </c>
      <c r="G112">
        <f>$C$14*ReDiarioFert!E101</f>
        <v>7.89920282384947</v>
      </c>
      <c r="I112">
        <f>$C$14*ReDiarioFert!G101</f>
        <v>12.970562559171507</v>
      </c>
      <c r="K112">
        <f>$C$14*ReDiarioFert!I101</f>
        <v>5.038928343308419</v>
      </c>
      <c r="M112">
        <f>$C$14*ReDiarioFert!K101</f>
        <v>13.848716939184532</v>
      </c>
      <c r="O112">
        <f>$C$14*ReDiarioFert!M101</f>
        <v>174.06804048780486</v>
      </c>
      <c r="S112">
        <f>((E112/100)*$G$148+(G112/100)*$G$149+(I112/100)*$G$150+(K112/100)*$G$151+(M112/100)*$G$152+(O112)*$G$153+(Q112*$G$154))</f>
        <v>267.00844906472605</v>
      </c>
    </row>
    <row r="113">
      <c r="B113">
        <v>96</v>
      </c>
      <c r="C113">
        <f>$I$13+B113</f>
        <v>39335</v>
      </c>
      <c r="E113">
        <f>IF($C$14*ReDiarioFert!C102&lt;=0,"0",$C$14*ReDiarioFert!C102)</f>
        <v>10.295211138586257</v>
      </c>
      <c r="G113">
        <f>$C$14*ReDiarioFert!E102</f>
        <v>7.89920282384947</v>
      </c>
      <c r="I113">
        <f>$C$14*ReDiarioFert!G102</f>
        <v>12.970562559171507</v>
      </c>
      <c r="K113">
        <f>$C$14*ReDiarioFert!I102</f>
        <v>5.038928343308419</v>
      </c>
      <c r="M113">
        <f>$C$14*ReDiarioFert!K102</f>
        <v>13.848716939184532</v>
      </c>
      <c r="O113">
        <f>$C$14*ReDiarioFert!M102</f>
        <v>174.06804048780486</v>
      </c>
      <c r="S113">
        <f>((E113/100)*$G$148+(G113/100)*$G$149+(I113/100)*$G$150+(K113/100)*$G$151+(M113/100)*$G$152+(O113)*$G$153+(Q113*$G$154))</f>
        <v>267.00844906472605</v>
      </c>
    </row>
    <row r="114">
      <c r="B114">
        <v>97</v>
      </c>
      <c r="C114">
        <f>$I$13+B114</f>
        <v>39336</v>
      </c>
      <c r="E114">
        <f>IF($C$14*ReDiarioFert!C103&lt;=0,"0",$C$14*ReDiarioFert!C103)</f>
        <v>10.295211138586257</v>
      </c>
      <c r="G114">
        <f>$C$14*ReDiarioFert!E103</f>
        <v>7.89920282384947</v>
      </c>
      <c r="I114">
        <f>$C$14*ReDiarioFert!G103</f>
        <v>12.970562559171507</v>
      </c>
      <c r="K114">
        <f>$C$14*ReDiarioFert!I103</f>
        <v>5.038928343308419</v>
      </c>
      <c r="M114">
        <f>$C$14*ReDiarioFert!K103</f>
        <v>13.848716939184532</v>
      </c>
      <c r="O114">
        <f>$C$14*ReDiarioFert!M103</f>
        <v>174.06804048780486</v>
      </c>
      <c r="S114">
        <f>((E114/100)*$G$148+(G114/100)*$G$149+(I114/100)*$G$150+(K114/100)*$G$151+(M114/100)*$G$152+(O114)*$G$153+(Q114*$G$154))</f>
        <v>267.00844906472605</v>
      </c>
    </row>
    <row r="115">
      <c r="B115">
        <v>98</v>
      </c>
      <c r="C115">
        <f>$I$13+B115</f>
        <v>39337</v>
      </c>
      <c r="E115">
        <f>IF($C$14*ReDiarioFert!C104&lt;=0,"0",$C$14*ReDiarioFert!C104)</f>
        <v>10.295211138586257</v>
      </c>
      <c r="G115">
        <f>$C$14*ReDiarioFert!E104</f>
        <v>7.89920282384947</v>
      </c>
      <c r="I115">
        <f>$C$14*ReDiarioFert!G104</f>
        <v>12.970562559171507</v>
      </c>
      <c r="K115">
        <f>$C$14*ReDiarioFert!I104</f>
        <v>5.038928343308419</v>
      </c>
      <c r="M115">
        <f>$C$14*ReDiarioFert!K104</f>
        <v>13.848716939184532</v>
      </c>
      <c r="O115">
        <f>$C$14*ReDiarioFert!M104</f>
        <v>174.06804048780486</v>
      </c>
      <c r="Q115" t="str">
        <f>Main!$H$83</f>
        <v>Acido Salicílico</v>
      </c>
      <c r="R115">
        <f>Main!$K$83*Main!$I$22</f>
        <v>250.24999999999997</v>
      </c>
      <c r="S115">
        <f>((E115/100)*$G$148+(G115/100)*$G$149+(I115/100)*$G$150+(K115/100)*$G$151+(M115/100)*$G$152+(O115)*$G$153+R115*Main!$J$83)</f>
        <v>309.55094906472607</v>
      </c>
    </row>
    <row r="116">
      <c r="A116">
        <v>15</v>
      </c>
      <c r="B116">
        <v>99</v>
      </c>
      <c r="C116">
        <f>$I$13+B116</f>
        <v>39338</v>
      </c>
      <c r="E116">
        <f>IF($C$14*ReDiarioFert!C105&lt;=0,"0",$C$14*ReDiarioFert!C105)</f>
        <v>7.38206657589969</v>
      </c>
      <c r="G116">
        <f>$C$14*ReDiarioFert!E105</f>
        <v>7.89920282384947</v>
      </c>
      <c r="I116">
        <f>$C$14*ReDiarioFert!G105</f>
        <v>12.970562559171507</v>
      </c>
      <c r="K116">
        <f>$C$14*ReDiarioFert!I105</f>
        <v>5.038928343308419</v>
      </c>
      <c r="M116">
        <f>$C$14*ReDiarioFert!K105</f>
        <v>13.848716939184532</v>
      </c>
      <c r="O116">
        <f>$C$14*ReDiarioFert!M105</f>
        <v>174.06804048780486</v>
      </c>
      <c r="Q116">
        <f>$C$14*Main!$D$63</f>
        <v>20.019999999999996</v>
      </c>
      <c r="S116">
        <f>((E116/100)*$G$148+(G116/100)*$G$149+(I116/100)*$G$150+(K116/100)*$G$151+(M116/100)*$G$152+(O116)*$G$153+(Q116*$G$154))</f>
        <v>307.73638646412905</v>
      </c>
    </row>
    <row r="117">
      <c r="B117">
        <v>100</v>
      </c>
      <c r="C117">
        <f>$I$13+B117</f>
        <v>39339</v>
      </c>
      <c r="E117">
        <f>IF($C$14*ReDiarioFert!C106&lt;=0,"0",$C$14*ReDiarioFert!C106)</f>
        <v>7.38206657589969</v>
      </c>
      <c r="G117">
        <f>$C$14*ReDiarioFert!E106</f>
        <v>7.89920282384947</v>
      </c>
      <c r="I117">
        <f>$C$14*ReDiarioFert!G106</f>
        <v>12.970562559171507</v>
      </c>
      <c r="K117">
        <f>$C$14*ReDiarioFert!I106</f>
        <v>5.038928343308419</v>
      </c>
      <c r="M117">
        <f>$C$14*ReDiarioFert!K106</f>
        <v>13.848716939184532</v>
      </c>
      <c r="O117">
        <f>$C$14*ReDiarioFert!M106</f>
        <v>174.06804048780486</v>
      </c>
      <c r="S117">
        <f>((E117/100)*$G$148+(G117/100)*$G$149+(I117/100)*$G$150+(K117/100)*$G$151+(M117/100)*$G$152+(O117)*$G$153+(Q117*$G$154))</f>
        <v>257.68638646412904</v>
      </c>
    </row>
    <row r="118">
      <c r="B118">
        <v>101</v>
      </c>
      <c r="C118">
        <f>$I$13+B118</f>
        <v>39340</v>
      </c>
      <c r="E118">
        <f>IF($C$14*ReDiarioFert!C107&lt;=0,"0",$C$14*ReDiarioFert!C107)</f>
        <v>7.38206657589969</v>
      </c>
      <c r="G118">
        <f>$C$14*ReDiarioFert!E107</f>
        <v>7.89920282384947</v>
      </c>
      <c r="I118">
        <f>$C$14*ReDiarioFert!G107</f>
        <v>12.970562559171507</v>
      </c>
      <c r="K118">
        <f>$C$14*ReDiarioFert!I107</f>
        <v>5.038928343308419</v>
      </c>
      <c r="M118">
        <f>$C$14*ReDiarioFert!K107</f>
        <v>13.848716939184532</v>
      </c>
      <c r="O118">
        <f>$C$14*ReDiarioFert!M107</f>
        <v>174.06804048780486</v>
      </c>
      <c r="S118">
        <f>((E118/100)*$G$148+(G118/100)*$G$149+(I118/100)*$G$150+(K118/100)*$G$151+(M118/100)*$G$152+(O118)*$G$153+(Q118*$G$154))</f>
        <v>257.68638646412904</v>
      </c>
    </row>
    <row r="119">
      <c r="B119">
        <v>102</v>
      </c>
      <c r="C119">
        <f>$I$13+B119</f>
        <v>39341</v>
      </c>
      <c r="E119">
        <f>IF($C$14*ReDiarioFert!C108&lt;=0,"0",$C$14*ReDiarioFert!C108)</f>
        <v>7.38206657589969</v>
      </c>
      <c r="G119">
        <f>$C$14*ReDiarioFert!E108</f>
        <v>7.89920282384947</v>
      </c>
      <c r="I119">
        <f>$C$14*ReDiarioFert!G108</f>
        <v>12.970562559171507</v>
      </c>
      <c r="K119">
        <f>$C$14*ReDiarioFert!I108</f>
        <v>5.038928343308419</v>
      </c>
      <c r="M119">
        <f>$C$14*ReDiarioFert!K108</f>
        <v>13.848716939184532</v>
      </c>
      <c r="O119">
        <f>$C$14*ReDiarioFert!M108</f>
        <v>174.06804048780486</v>
      </c>
      <c r="S119">
        <f>((E119/100)*$G$148+(G119/100)*$G$149+(I119/100)*$G$150+(K119/100)*$G$151+(M119/100)*$G$152+(O119)*$G$153+(Q119*$G$154))</f>
        <v>257.68638646412904</v>
      </c>
    </row>
    <row r="120">
      <c r="B120">
        <v>103</v>
      </c>
      <c r="C120">
        <f>$I$13+B120</f>
        <v>39342</v>
      </c>
      <c r="E120">
        <f>IF($C$14*ReDiarioFert!C109&lt;=0,"0",$C$14*ReDiarioFert!C109)</f>
        <v>7.38206657589969</v>
      </c>
      <c r="G120">
        <f>$C$14*ReDiarioFert!E109</f>
        <v>7.89920282384947</v>
      </c>
      <c r="I120">
        <f>$C$14*ReDiarioFert!G109</f>
        <v>12.970562559171507</v>
      </c>
      <c r="K120">
        <f>$C$14*ReDiarioFert!I109</f>
        <v>5.038928343308419</v>
      </c>
      <c r="M120">
        <f>$C$14*ReDiarioFert!K109</f>
        <v>13.848716939184532</v>
      </c>
      <c r="O120">
        <f>$C$14*ReDiarioFert!M109</f>
        <v>174.06804048780486</v>
      </c>
      <c r="S120">
        <f>((E120/100)*$G$148+(G120/100)*$G$149+(I120/100)*$G$150+(K120/100)*$G$151+(M120/100)*$G$152+(O120)*$G$153+(Q120*$G$154))</f>
        <v>257.68638646412904</v>
      </c>
    </row>
    <row r="121">
      <c r="B121">
        <v>104</v>
      </c>
      <c r="C121">
        <f>$I$13+B121</f>
        <v>39343</v>
      </c>
      <c r="E121">
        <f>IF($C$14*ReDiarioFert!C110&lt;=0,"0",$C$14*ReDiarioFert!C110)</f>
        <v>7.38206657589969</v>
      </c>
      <c r="G121">
        <f>$C$14*ReDiarioFert!E110</f>
        <v>7.89920282384947</v>
      </c>
      <c r="I121">
        <f>$C$14*ReDiarioFert!G110</f>
        <v>12.970562559171507</v>
      </c>
      <c r="K121">
        <f>$C$14*ReDiarioFert!I110</f>
        <v>5.038928343308419</v>
      </c>
      <c r="M121">
        <f>$C$14*ReDiarioFert!K110</f>
        <v>13.848716939184532</v>
      </c>
      <c r="O121">
        <f>$C$14*ReDiarioFert!M110</f>
        <v>174.06804048780486</v>
      </c>
      <c r="S121">
        <f>((E121/100)*$G$148+(G121/100)*$G$149+(I121/100)*$G$150+(K121/100)*$G$151+(M121/100)*$G$152+(O121)*$G$153+(Q121*$G$154))</f>
        <v>257.68638646412904</v>
      </c>
    </row>
    <row r="122">
      <c r="B122">
        <v>105</v>
      </c>
      <c r="C122">
        <f>$I$13+B122</f>
        <v>39344</v>
      </c>
      <c r="E122">
        <f>IF($C$14*ReDiarioFert!C111&lt;=0,"0",$C$14*ReDiarioFert!C111)</f>
        <v>7.38206657589969</v>
      </c>
      <c r="G122">
        <f>$C$14*ReDiarioFert!E111</f>
        <v>7.89920282384947</v>
      </c>
      <c r="I122">
        <f>$C$14*ReDiarioFert!G111</f>
        <v>12.970562559171507</v>
      </c>
      <c r="K122">
        <f>$C$14*ReDiarioFert!I111</f>
        <v>5.038928343308419</v>
      </c>
      <c r="M122">
        <f>$C$14*ReDiarioFert!K111</f>
        <v>13.848716939184532</v>
      </c>
      <c r="O122">
        <f>$C$14*ReDiarioFert!M111</f>
        <v>174.06804048780486</v>
      </c>
      <c r="S122">
        <f>((E122/100)*$G$148+(G122/100)*$G$149+(I122/100)*$G$150+(K122/100)*$G$151+(M122/100)*$G$152+(O122)*$G$153+(R122*Main!$J$84))</f>
        <v>257.68638646412904</v>
      </c>
    </row>
    <row r="123">
      <c r="A123">
        <v>16</v>
      </c>
      <c r="B123">
        <v>106</v>
      </c>
      <c r="C123">
        <f>$I$13+B123</f>
        <v>39345</v>
      </c>
      <c r="E123">
        <f>IF($C$14*ReDiarioFert!C112&lt;=0,"0",$C$14*ReDiarioFert!C112)</f>
        <v>7.38206657589969</v>
      </c>
      <c r="G123">
        <f>$C$14*ReDiarioFert!E112</f>
        <v>7.89920282384947</v>
      </c>
      <c r="I123">
        <f>$C$14*ReDiarioFert!G112</f>
        <v>12.970562559171507</v>
      </c>
      <c r="K123">
        <f>$C$14*ReDiarioFert!I112</f>
        <v>5.038928343308419</v>
      </c>
      <c r="M123">
        <f>$C$14*ReDiarioFert!K112</f>
        <v>13.848716939184532</v>
      </c>
      <c r="O123">
        <f>$C$14*ReDiarioFert!M112</f>
        <v>174.06804048780486</v>
      </c>
      <c r="Q123">
        <f>$C$14*Main!$D$63</f>
        <v>20.019999999999996</v>
      </c>
      <c r="S123">
        <f>((E123/100)*$G$148+(G123/100)*$G$149+(I123/100)*$G$150+(K123/100)*$G$151+(M123/100)*$G$152+(O123)*$G$153+(Q123*$G$154))</f>
        <v>307.73638646412905</v>
      </c>
    </row>
    <row r="124">
      <c r="B124">
        <v>107</v>
      </c>
      <c r="C124">
        <f>$I$13+B124</f>
        <v>39346</v>
      </c>
      <c r="E124">
        <f>IF($C$14*ReDiarioFert!C113&lt;=0,"0",$C$14*ReDiarioFert!C113)</f>
        <v>7.38206657589969</v>
      </c>
      <c r="G124">
        <f>$C$14*ReDiarioFert!E113</f>
        <v>7.89920282384947</v>
      </c>
      <c r="I124">
        <f>$C$14*ReDiarioFert!G113</f>
        <v>12.970562559171507</v>
      </c>
      <c r="K124">
        <f>$C$14*ReDiarioFert!I113</f>
        <v>5.038928343308419</v>
      </c>
      <c r="M124">
        <f>$C$14*ReDiarioFert!K113</f>
        <v>13.848716939184532</v>
      </c>
      <c r="O124">
        <f>$C$14*ReDiarioFert!M113</f>
        <v>174.06804048780486</v>
      </c>
      <c r="S124">
        <f>((E124/100)*$G$148+(G124/100)*$G$149+(I124/100)*$G$150+(K124/100)*$G$151+(M124/100)*$G$152+(O124)*$G$153+(Q124*$G$154))</f>
        <v>257.68638646412904</v>
      </c>
    </row>
    <row r="125">
      <c r="B125">
        <v>108</v>
      </c>
      <c r="C125">
        <f>$I$13+B125</f>
        <v>39347</v>
      </c>
      <c r="E125">
        <f>IF($C$14*ReDiarioFert!C114&lt;=0,"0",$C$14*ReDiarioFert!C114)</f>
        <v>7.38206657589969</v>
      </c>
      <c r="G125">
        <f>$C$14*ReDiarioFert!E114</f>
        <v>7.89920282384947</v>
      </c>
      <c r="I125">
        <f>$C$14*ReDiarioFert!G114</f>
        <v>12.970562559171507</v>
      </c>
      <c r="K125">
        <f>$C$14*ReDiarioFert!I114</f>
        <v>5.038928343308419</v>
      </c>
      <c r="M125">
        <f>$C$14*ReDiarioFert!K114</f>
        <v>13.848716939184532</v>
      </c>
      <c r="O125">
        <f>$C$14*ReDiarioFert!M114</f>
        <v>174.06804048780486</v>
      </c>
      <c r="S125">
        <f>((E125/100)*$G$148+(G125/100)*$G$149+(I125/100)*$G$150+(K125/100)*$G$151+(M125/100)*$G$152+(O125)*$G$153+(Q125*$G$154))</f>
        <v>257.68638646412904</v>
      </c>
    </row>
    <row r="126">
      <c r="B126">
        <v>109</v>
      </c>
      <c r="C126">
        <f>$I$13+B126</f>
        <v>39348</v>
      </c>
      <c r="E126">
        <f>IF($C$14*ReDiarioFert!C115&lt;=0,"0",$C$14*ReDiarioFert!C115)</f>
        <v>7.38206657589969</v>
      </c>
      <c r="G126">
        <f>$C$14*ReDiarioFert!E115</f>
        <v>7.89920282384947</v>
      </c>
      <c r="I126">
        <f>$C$14*ReDiarioFert!G115</f>
        <v>12.970562559171507</v>
      </c>
      <c r="K126">
        <f>$C$14*ReDiarioFert!I115</f>
        <v>5.038928343308419</v>
      </c>
      <c r="M126">
        <f>$C$14*ReDiarioFert!K115</f>
        <v>13.848716939184532</v>
      </c>
      <c r="O126">
        <f>$C$14*ReDiarioFert!M115</f>
        <v>174.06804048780486</v>
      </c>
      <c r="S126">
        <f>((E126/100)*$G$148+(G126/100)*$G$149+(I126/100)*$G$150+(K126/100)*$G$151+(M126/100)*$G$152+(O126)*$G$153+(Q126*$G$154))</f>
        <v>257.68638646412904</v>
      </c>
    </row>
    <row r="127">
      <c r="B127">
        <v>110</v>
      </c>
      <c r="C127">
        <f>$I$13+B127</f>
        <v>39349</v>
      </c>
      <c r="E127">
        <f>IF($C$14*ReDiarioFert!C116&lt;=0,"0",$C$14*ReDiarioFert!C116)</f>
        <v>7.38206657589969</v>
      </c>
      <c r="G127">
        <f>$C$14*ReDiarioFert!E116</f>
        <v>7.89920282384947</v>
      </c>
      <c r="I127">
        <f>$C$14*ReDiarioFert!G116</f>
        <v>12.970562559171507</v>
      </c>
      <c r="K127">
        <f>$C$14*ReDiarioFert!I116</f>
        <v>5.038928343308419</v>
      </c>
      <c r="M127">
        <f>$C$14*ReDiarioFert!K116</f>
        <v>13.848716939184532</v>
      </c>
      <c r="O127">
        <f>$C$14*ReDiarioFert!M116</f>
        <v>174.06804048780486</v>
      </c>
      <c r="S127">
        <f>((E127/100)*$G$148+(G127/100)*$G$149+(I127/100)*$G$150+(K127/100)*$G$151+(M127/100)*$G$152+(O127)*$G$153+(Q127*$G$154))</f>
        <v>257.68638646412904</v>
      </c>
    </row>
    <row r="128">
      <c r="B128">
        <v>111</v>
      </c>
      <c r="C128">
        <f>$I$13+B128</f>
        <v>39350</v>
      </c>
      <c r="E128">
        <f>IF($C$14*ReDiarioFert!C117&lt;=0,"0",$C$14*ReDiarioFert!C117)</f>
        <v>7.38206657589969</v>
      </c>
      <c r="G128">
        <f>$C$14*ReDiarioFert!E117</f>
        <v>7.89920282384947</v>
      </c>
      <c r="I128">
        <f>$C$14*ReDiarioFert!G117</f>
        <v>12.970562559171507</v>
      </c>
      <c r="K128">
        <f>$C$14*ReDiarioFert!I117</f>
        <v>5.038928343308419</v>
      </c>
      <c r="M128">
        <f>$C$14*ReDiarioFert!K117</f>
        <v>13.848716939184532</v>
      </c>
      <c r="O128">
        <f>$C$14*ReDiarioFert!M117</f>
        <v>174.06804048780486</v>
      </c>
      <c r="S128">
        <f>((E128/100)*$G$148+(G128/100)*$G$149+(I128/100)*$G$150+(K128/100)*$G$151+(M128/100)*$G$152+(O128)*$G$153+(Q128*$G$154))</f>
        <v>257.68638646412904</v>
      </c>
    </row>
    <row r="129">
      <c r="B129">
        <v>112</v>
      </c>
      <c r="C129">
        <f>$I$13+B129</f>
        <v>39351</v>
      </c>
      <c r="E129">
        <f>IF($C$14*ReDiarioFert!C118&lt;=0,"0",$C$14*ReDiarioFert!C118)</f>
        <v>7.38206657589969</v>
      </c>
      <c r="G129">
        <f>$C$14*ReDiarioFert!E118</f>
        <v>7.89920282384947</v>
      </c>
      <c r="I129">
        <f>$C$14*ReDiarioFert!G118</f>
        <v>12.970562559171507</v>
      </c>
      <c r="K129">
        <f>$C$14*ReDiarioFert!I118</f>
        <v>5.038928343308419</v>
      </c>
      <c r="M129">
        <f>$C$14*ReDiarioFert!K118</f>
        <v>13.848716939184532</v>
      </c>
      <c r="O129">
        <f>$C$14*ReDiarioFert!M118</f>
        <v>174.06804048780486</v>
      </c>
      <c r="S129">
        <f>((E129/100)*$G$148+(G129/100)*$G$149+(I129/100)*$G$150+(K129/100)*$G$151+(M129/100)*$G$152+(O129)*$G$153+R129*Main!$J$83)</f>
        <v>257.68638646412904</v>
      </c>
    </row>
    <row r="130">
      <c r="A130">
        <v>17</v>
      </c>
      <c r="B130">
        <v>113</v>
      </c>
      <c r="C130">
        <f>$I$13+B130</f>
        <v>39352</v>
      </c>
      <c r="E130">
        <f>IF($C$14*ReDiarioFert!C119&lt;=0,"0",$C$14*ReDiarioFert!C119)</f>
        <v>7.38206657589969</v>
      </c>
      <c r="G130">
        <f>$C$14*ReDiarioFert!E119</f>
        <v>7.89920282384947</v>
      </c>
      <c r="I130">
        <f>$C$14*ReDiarioFert!G119</f>
        <v>12.970562559171507</v>
      </c>
      <c r="K130">
        <f>$C$14*ReDiarioFert!I119</f>
        <v>5.038928343308419</v>
      </c>
      <c r="M130">
        <f>$C$14*ReDiarioFert!K119</f>
        <v>13.848716939184532</v>
      </c>
      <c r="O130">
        <f>$C$14*ReDiarioFert!M119</f>
        <v>174.06804048780486</v>
      </c>
      <c r="Q130">
        <f>$C$14*Main!$D$63</f>
        <v>20.019999999999996</v>
      </c>
      <c r="S130">
        <f>((E130/100)*$G$148+(G130/100)*$G$149+(I130/100)*$G$150+(K130/100)*$G$151+(M130/100)*$G$152+(O130)*$G$153+(Q130*$G$154))</f>
        <v>307.73638646412905</v>
      </c>
    </row>
    <row r="131">
      <c r="B131">
        <v>114</v>
      </c>
      <c r="C131">
        <f>$I$13+B131</f>
        <v>39353</v>
      </c>
      <c r="E131">
        <f>IF($C$14*ReDiarioFert!C120&lt;=0,"0",$C$14*ReDiarioFert!C120)</f>
        <v>7.38206657589969</v>
      </c>
      <c r="G131">
        <f>$C$14*ReDiarioFert!E120</f>
        <v>7.89920282384947</v>
      </c>
      <c r="I131">
        <f>$C$14*ReDiarioFert!G120</f>
        <v>12.970562559171507</v>
      </c>
      <c r="K131">
        <f>$C$14*ReDiarioFert!I120</f>
        <v>5.038928343308419</v>
      </c>
      <c r="M131">
        <f>$C$14*ReDiarioFert!K120</f>
        <v>13.848716939184532</v>
      </c>
      <c r="O131">
        <f>$C$14*ReDiarioFert!M120</f>
        <v>174.06804048780486</v>
      </c>
      <c r="S131">
        <f>((E131/100)*$G$148+(G131/100)*$G$149+(I131/100)*$G$150+(K131/100)*$G$151+(M131/100)*$G$152+(O131)*$G$153+(Q131*$G$154))</f>
        <v>257.68638646412904</v>
      </c>
    </row>
    <row r="132">
      <c r="B132">
        <v>115</v>
      </c>
      <c r="C132">
        <f>$I$13+B132</f>
        <v>39354</v>
      </c>
      <c r="E132">
        <f>IF($C$14*ReDiarioFert!C121&lt;=0,"0",$C$14*ReDiarioFert!C121)</f>
        <v>7.38206657589969</v>
      </c>
      <c r="G132">
        <f>$C$14*ReDiarioFert!E121</f>
        <v>7.89920282384947</v>
      </c>
      <c r="I132">
        <f>$C$14*ReDiarioFert!G121</f>
        <v>12.970562559171507</v>
      </c>
      <c r="K132">
        <f>$C$14*ReDiarioFert!I121</f>
        <v>5.038928343308419</v>
      </c>
      <c r="M132">
        <f>$C$14*ReDiarioFert!K121</f>
        <v>13.848716939184532</v>
      </c>
      <c r="O132">
        <f>$C$14*ReDiarioFert!M121</f>
        <v>174.06804048780486</v>
      </c>
      <c r="S132">
        <f>((E132/100)*$G$148+(G132/100)*$G$149+(I132/100)*$G$150+(K132/100)*$G$151+(M132/100)*$G$152+(O132)*$G$153+(Q132*$G$154))</f>
        <v>257.68638646412904</v>
      </c>
    </row>
    <row r="133">
      <c r="B133">
        <v>116</v>
      </c>
      <c r="C133">
        <f>$I$13+B133</f>
        <v>39355</v>
      </c>
      <c r="E133">
        <f>IF($C$14*ReDiarioFert!C122&lt;=0,"0",$C$14*ReDiarioFert!C122)</f>
        <v>7.38206657589969</v>
      </c>
      <c r="G133">
        <f>$C$14*ReDiarioFert!E122</f>
        <v>7.89920282384947</v>
      </c>
      <c r="I133">
        <f>$C$14*ReDiarioFert!G122</f>
        <v>12.970562559171507</v>
      </c>
      <c r="K133">
        <f>$C$14*ReDiarioFert!I122</f>
        <v>5.038928343308419</v>
      </c>
      <c r="M133">
        <f>$C$14*ReDiarioFert!K122</f>
        <v>13.848716939184532</v>
      </c>
      <c r="O133">
        <f>$C$14*ReDiarioFert!M122</f>
        <v>174.06804048780486</v>
      </c>
      <c r="S133">
        <f>((E133/100)*$G$148+(G133/100)*$G$149+(I133/100)*$G$150+(K133/100)*$G$151+(M133/100)*$G$152+(O133)*$G$153+(R133*Main!$J$85))</f>
        <v>257.68638646412904</v>
      </c>
    </row>
    <row r="134">
      <c r="B134">
        <v>117</v>
      </c>
      <c r="C134">
        <f>$I$13+B134</f>
        <v>39356</v>
      </c>
      <c r="E134">
        <f>IF($C$14*ReDiarioFert!C123&lt;=0,"0",$C$14*ReDiarioFert!C123)</f>
        <v>7.38206657589969</v>
      </c>
      <c r="G134">
        <f>$C$14*ReDiarioFert!E123</f>
        <v>7.89920282384947</v>
      </c>
      <c r="I134">
        <f>$C$14*ReDiarioFert!G123</f>
        <v>12.970562559171507</v>
      </c>
      <c r="K134">
        <f>$C$14*ReDiarioFert!I123</f>
        <v>5.038928343308419</v>
      </c>
      <c r="M134">
        <f>$C$14*ReDiarioFert!K123</f>
        <v>13.848716939184532</v>
      </c>
      <c r="O134">
        <f>$C$14*ReDiarioFert!M123</f>
        <v>174.06804048780486</v>
      </c>
      <c r="S134">
        <f>((E134/100)*$G$148+(G134/100)*$G$149+(I134/100)*$G$150+(K134/100)*$G$151+(M134/100)*$G$152+(O134)*$G$153+(Q134*$G$154))</f>
        <v>257.68638646412904</v>
      </c>
    </row>
    <row r="135">
      <c r="B135">
        <v>118</v>
      </c>
      <c r="C135">
        <f>$I$13+B135</f>
        <v>39357</v>
      </c>
      <c r="E135">
        <f>IF($C$14*ReDiarioFert!C124&lt;=0,"0",$C$14*ReDiarioFert!C124)</f>
        <v>7.38206657589969</v>
      </c>
      <c r="G135">
        <f>$C$14*ReDiarioFert!E124</f>
        <v>7.89920282384947</v>
      </c>
      <c r="I135">
        <f>$C$14*ReDiarioFert!G124</f>
        <v>12.970562559171507</v>
      </c>
      <c r="K135">
        <f>$C$14*ReDiarioFert!I124</f>
        <v>5.038928343308419</v>
      </c>
      <c r="M135">
        <f>$C$14*ReDiarioFert!K124</f>
        <v>13.848716939184532</v>
      </c>
      <c r="O135">
        <f>$C$14*ReDiarioFert!M124</f>
        <v>174.06804048780486</v>
      </c>
      <c r="S135">
        <f>((E135/100)*$G$148+(G135/100)*$G$149+(I135/100)*$G$150+(K135/100)*$G$151+(M135/100)*$G$152+(O135)*$G$153+(Q135*$G$154))</f>
        <v>257.68638646412904</v>
      </c>
    </row>
    <row r="136">
      <c r="B136">
        <v>119</v>
      </c>
      <c r="C136">
        <f>$I$13+B136</f>
        <v>39358</v>
      </c>
      <c r="E136">
        <f>IF($C$14*ReDiarioFert!C125&lt;=0,"0",$C$14*ReDiarioFert!C125)</f>
        <v>7.38206657589969</v>
      </c>
      <c r="G136">
        <f>$C$14*ReDiarioFert!E125</f>
        <v>7.89920282384947</v>
      </c>
      <c r="I136">
        <f>$C$14*ReDiarioFert!G125</f>
        <v>12.970562559171507</v>
      </c>
      <c r="K136">
        <f>$C$14*ReDiarioFert!I125</f>
        <v>5.038928343308419</v>
      </c>
      <c r="M136">
        <f>$C$14*ReDiarioFert!K125</f>
        <v>13.848716939184532</v>
      </c>
      <c r="O136">
        <f>$C$14*ReDiarioFert!M125</f>
        <v>174.06804048780486</v>
      </c>
      <c r="S136">
        <f>((E136/100)*$G$148+(G136/100)*$G$149+(I136/100)*$G$150+(K136/100)*$G$151+(M136/100)*$G$152+(O136)*$G$153+(R136*Main!$J$84))</f>
        <v>257.68638646412904</v>
      </c>
    </row>
    <row r="137">
      <c r="A137">
        <v>18</v>
      </c>
      <c r="B137">
        <v>120</v>
      </c>
      <c r="C137">
        <f>$I$13+B137</f>
        <v>39359</v>
      </c>
      <c r="E137">
        <f>IF($C$14*ReDiarioFert!C126&lt;=0,"0",$C$14*ReDiarioFert!C126)</f>
        <v>7.38206657589969</v>
      </c>
      <c r="G137">
        <f>$C$14*ReDiarioFert!E126</f>
        <v>7.89920282384947</v>
      </c>
      <c r="I137">
        <f>$C$14*ReDiarioFert!G126</f>
        <v>12.970562559171507</v>
      </c>
      <c r="K137">
        <f>$C$14*ReDiarioFert!I126</f>
        <v>5.038928343308419</v>
      </c>
      <c r="M137">
        <f>$C$14*ReDiarioFert!K126</f>
        <v>13.848716939184532</v>
      </c>
      <c r="O137">
        <f>$C$14*ReDiarioFert!M126</f>
        <v>174.06804048780486</v>
      </c>
      <c r="Q137">
        <f>$C$14*Main!$D$63</f>
        <v>20.019999999999996</v>
      </c>
      <c r="S137">
        <f>((E137/100)*$G$148+(G137/100)*$G$149+(I137/100)*$G$150+(K137/100)*$G$151+(M137/100)*$G$152+(O137)*$G$153+(Q137*$G$154))</f>
        <v>307.73638646412905</v>
      </c>
    </row>
    <row r="138">
      <c r="B138">
        <v>121</v>
      </c>
      <c r="C138">
        <f>$I$13+B138</f>
        <v>39360</v>
      </c>
      <c r="E138">
        <f>IF($C$14*ReDiarioFert!C127&lt;=0,"0",$C$14*ReDiarioFert!C127)</f>
        <v>7.38206657589969</v>
      </c>
      <c r="G138">
        <f>$C$14*ReDiarioFert!E127</f>
        <v>7.89920282384947</v>
      </c>
      <c r="I138">
        <f>$C$14*ReDiarioFert!G127</f>
        <v>12.970562559171507</v>
      </c>
      <c r="K138">
        <f>$C$14*ReDiarioFert!I127</f>
        <v>5.038928343308419</v>
      </c>
      <c r="M138">
        <f>$C$14*ReDiarioFert!K127</f>
        <v>13.848716939184532</v>
      </c>
      <c r="O138">
        <f>$C$14*ReDiarioFert!M127</f>
        <v>174.06804048780486</v>
      </c>
      <c r="S138">
        <f>((E138/100)*$G$148+(G138/100)*$G$149+(I138/100)*$G$150+(K138/100)*$G$151+(M138/100)*$G$152+(O138)*$G$153+(Q138*$G$154))</f>
        <v>257.68638646412904</v>
      </c>
    </row>
    <row r="139">
      <c r="B139">
        <v>122</v>
      </c>
      <c r="C139">
        <f>$I$13+B139</f>
        <v>39361</v>
      </c>
      <c r="E139">
        <f>IF($C$14*ReDiarioFert!C128&lt;=0,"0",$C$14*ReDiarioFert!C128)</f>
        <v>7.38206657589969</v>
      </c>
      <c r="G139">
        <f>$C$14*ReDiarioFert!E128</f>
        <v>7.89920282384947</v>
      </c>
      <c r="I139">
        <f>$C$14*ReDiarioFert!G128</f>
        <v>12.970562559171507</v>
      </c>
      <c r="K139">
        <f>$C$14*ReDiarioFert!I128</f>
        <v>5.038928343308419</v>
      </c>
      <c r="M139">
        <f>$C$14*ReDiarioFert!K128</f>
        <v>13.848716939184532</v>
      </c>
      <c r="O139">
        <f>$C$14*ReDiarioFert!M128</f>
        <v>174.06804048780486</v>
      </c>
      <c r="S139">
        <f>((E139/100)*$G$148+(G139/100)*$G$149+(I139/100)*$G$150+(K139/100)*$G$151+(M139/100)*$G$152+(O139)*$G$153+(Q139*$G$154))</f>
        <v>257.68638646412904</v>
      </c>
    </row>
    <row r="140">
      <c r="B140">
        <v>123</v>
      </c>
      <c r="C140">
        <f>$I$13+B140</f>
        <v>39362</v>
      </c>
      <c r="E140">
        <f>IF($C$14*ReDiarioFert!C129&lt;=0,"0",$C$14*ReDiarioFert!C129)</f>
        <v>7.38206657589969</v>
      </c>
      <c r="G140">
        <f>$C$14*ReDiarioFert!E129</f>
        <v>7.89920282384947</v>
      </c>
      <c r="I140">
        <f>$C$14*ReDiarioFert!G129</f>
        <v>12.970562559171507</v>
      </c>
      <c r="K140">
        <f>$C$14*ReDiarioFert!I129</f>
        <v>5.038928343308419</v>
      </c>
      <c r="M140">
        <f>$C$14*ReDiarioFert!K129</f>
        <v>13.848716939184532</v>
      </c>
      <c r="O140">
        <f>$C$14*ReDiarioFert!M129</f>
        <v>174.06804048780486</v>
      </c>
      <c r="S140">
        <f>((E140/100)*$G$148+(G140/100)*$G$149+(I140/100)*$G$150+(K140/100)*$G$151+(M140/100)*$G$152+(O140)*$G$153+(Q140*$G$154))</f>
        <v>257.68638646412904</v>
      </c>
    </row>
    <row r="141">
      <c r="B141">
        <v>124</v>
      </c>
      <c r="C141">
        <f>$I$13+B141</f>
        <v>39363</v>
      </c>
      <c r="E141">
        <f>IF($C$14*ReDiarioFert!C130&lt;=0,"0",$C$14*ReDiarioFert!C130)</f>
        <v>7.38206657589969</v>
      </c>
      <c r="G141">
        <f>$C$14*ReDiarioFert!E130</f>
        <v>7.89920282384947</v>
      </c>
      <c r="I141">
        <f>$C$14*ReDiarioFert!G130</f>
        <v>12.970562559171507</v>
      </c>
      <c r="K141">
        <f>$C$14*ReDiarioFert!I130</f>
        <v>5.038928343308419</v>
      </c>
      <c r="M141">
        <f>$C$14*ReDiarioFert!K130</f>
        <v>13.848716939184532</v>
      </c>
      <c r="O141">
        <f>$C$14*ReDiarioFert!M130</f>
        <v>174.06804048780486</v>
      </c>
      <c r="S141">
        <f>((E141/100)*$G$148+(G141/100)*$G$149+(I141/100)*$G$150+(K141/100)*$G$151+(M141/100)*$G$152+(O141)*$G$153+(Q141*$G$154))</f>
        <v>257.68638646412904</v>
      </c>
    </row>
    <row r="142">
      <c r="B142">
        <v>125</v>
      </c>
      <c r="C142">
        <f>$I$13+B142</f>
        <v>39364</v>
      </c>
      <c r="E142">
        <f>IF($C$14*ReDiarioFert!C131&lt;=0,"0",$C$14*ReDiarioFert!C131)</f>
        <v>7.38206657589969</v>
      </c>
      <c r="G142">
        <f>$C$14*ReDiarioFert!E131</f>
        <v>7.89920282384947</v>
      </c>
      <c r="I142">
        <f>$C$14*ReDiarioFert!G131</f>
        <v>12.970562559171507</v>
      </c>
      <c r="K142">
        <f>$C$14*ReDiarioFert!I131</f>
        <v>5.038928343308419</v>
      </c>
      <c r="M142">
        <f>$C$14*ReDiarioFert!K131</f>
        <v>13.848716939184532</v>
      </c>
      <c r="O142">
        <f>$C$14*ReDiarioFert!M131</f>
        <v>174.06804048780486</v>
      </c>
      <c r="S142">
        <f>((E142/100)*$G$148+(G142/100)*$G$149+(I142/100)*$G$150+(K142/100)*$G$151+(M142/100)*$G$152+(O142)*$G$153+(Q142*$G$154))</f>
        <v>257.68638646412904</v>
      </c>
    </row>
    <row r="143">
      <c r="B143">
        <v>126</v>
      </c>
      <c r="C143">
        <f>$I$13+B143</f>
        <v>39365</v>
      </c>
      <c r="E143">
        <f>IF($C$14*ReDiarioFert!C132&lt;=0,"0",$C$14*ReDiarioFert!C132)</f>
        <v>7.38206657589969</v>
      </c>
      <c r="G143">
        <f>$C$14*ReDiarioFert!E132</f>
        <v>7.89920282384947</v>
      </c>
      <c r="I143">
        <f>$C$14*ReDiarioFert!G132</f>
        <v>12.970562559171507</v>
      </c>
      <c r="K143">
        <f>$C$14*ReDiarioFert!I132</f>
        <v>5.038928343308419</v>
      </c>
      <c r="M143">
        <f>$C$14*ReDiarioFert!K132</f>
        <v>13.848716939184532</v>
      </c>
      <c r="O143">
        <f>$C$14*ReDiarioFert!M132</f>
        <v>174.06804048780486</v>
      </c>
      <c r="S143">
        <f>((E143/100)*$G$148+(G143/100)*$G$149+(I143/100)*$G$150+(K143/100)*$G$151+(M143/100)*$G$152+(O143)*$G$153+R143*Main!$J$83)</f>
        <v>257.68638646412904</v>
      </c>
    </row>
    <row r="144">
      <c r="C144" t="str">
        <v>Total</v>
      </c>
      <c r="E144">
        <f>SUM(E18:E143)</f>
        <v>1314.1592806254741</v>
      </c>
      <c r="G144">
        <f>SUM(G18:G143)</f>
        <v>747.34228796898</v>
      </c>
      <c r="I144">
        <f>SUM(I18:I143)</f>
        <v>1129.2538400657193</v>
      </c>
      <c r="K144">
        <f>SUM(K18:K143)</f>
        <v>448.46017661868507</v>
      </c>
      <c r="M144">
        <f>SUM(M18:M143)</f>
        <v>1232.5235886190749</v>
      </c>
      <c r="O144">
        <f>SUM(O18:O143)</f>
        <v>15044.447955121916</v>
      </c>
      <c r="Q144">
        <f>SUM(Q18:Q143)</f>
        <v>360.3599999999998</v>
      </c>
      <c r="S144">
        <f>SUM(S18:S143)</f>
        <v>30702.68671899448</v>
      </c>
    </row>
    <row r="146" ht="39.75" customHeight="1">
      <c r="B146" t="str">
        <v>Producto</v>
      </c>
      <c r="F146" t="str">
        <v>Lbs/Ha</v>
      </c>
      <c r="G146" t="str">
        <v>Costo por qq</v>
      </c>
    </row>
    <row r="147" ht="24" customHeight="1">
      <c r="G147" t="str">
        <f>Main!$E$25</f>
        <v>Lempiras</v>
      </c>
    </row>
    <row r="148">
      <c r="B148" t="str">
        <f>Main!D42</f>
        <v>Nitrato de Amonio</v>
      </c>
      <c r="F148">
        <f>E144/C14</f>
        <v>1312.846434191283</v>
      </c>
      <c r="G148">
        <f>Main!D43</f>
        <v>320</v>
      </c>
    </row>
    <row r="149">
      <c r="B149" t="str">
        <f>Main!D32</f>
        <v>FofatoMonoPotasico</v>
      </c>
      <c r="F149">
        <f>G144/C14</f>
        <v>746.5956922767034</v>
      </c>
      <c r="G149">
        <f>Main!D33</f>
        <v>1169</v>
      </c>
    </row>
    <row r="150">
      <c r="B150" t="str">
        <f>Main!D37</f>
        <v>Kcl Soluble</v>
      </c>
      <c r="F150">
        <f>I144/C14</f>
        <v>1128.125714351368</v>
      </c>
      <c r="G150">
        <f>Main!D38</f>
        <v>410</v>
      </c>
    </row>
    <row r="151">
      <c r="B151" t="str">
        <f>Main!D47</f>
        <v>Sulfato de Magnesio</v>
      </c>
      <c r="F151">
        <f>K144/C14</f>
        <v>448.0121644542309</v>
      </c>
      <c r="G151">
        <f>Main!D48</f>
        <v>425</v>
      </c>
      <c r="I151" t="str">
        <v xml:space="preserve">Preparado y Autorizado Por </v>
      </c>
    </row>
    <row r="152">
      <c r="B152" t="str">
        <f>Main!D52</f>
        <v>Nitrato de Calcio</v>
      </c>
      <c r="F152">
        <f>M144/C14</f>
        <v>1231.2922963227522</v>
      </c>
      <c r="G152">
        <f>Main!D53</f>
        <v>445</v>
      </c>
      <c r="I152" t="str">
        <v>MSc Ricardo D. Lardizábal</v>
      </c>
    </row>
    <row r="153">
      <c r="B153" t="str">
        <f>Main!D57</f>
        <v>Solubor</v>
      </c>
      <c r="F153">
        <f>O144/C14</f>
        <v>15029.418536585332</v>
      </c>
      <c r="G153">
        <f>Main!D58</f>
        <v>0.0316</v>
      </c>
    </row>
    <row r="154" ht="18" customHeight="1">
      <c r="B154" t="str">
        <f>Main!D61</f>
        <v>Melaza</v>
      </c>
      <c r="F154">
        <f>Q144/C14</f>
        <v>359.99999999999983</v>
      </c>
      <c r="G154">
        <f>Main!D62</f>
        <v>2.5</v>
      </c>
    </row>
    <row r="155">
      <c r="B155" t="str">
        <v>NOTA: El Nitrato de Calcio se debe de diluir en un barril aparte para inyectarse al sistema</v>
      </c>
    </row>
    <row r="157">
      <c r="B157" t="str">
        <v>,@ La Melaza del calendario de fertilización se usan para la limpieza de la cinta y mejorar la estructura de suelo. La aplicación de ellos es después de la fertilización y en la ultima media hora de riego. Ver boletín técnico de USAID-RED sobre melaza.</v>
      </c>
    </row>
    <row r="159">
      <c r="B159" t="str">
        <v>Abreviaciones usadas</v>
      </c>
    </row>
    <row r="160">
      <c r="B160" t="str">
        <v>Mz-Manzanas, Ha-Hectáreas, Lbs-Libras, Lts-Litros y DDT-Días después de Transplante</v>
      </c>
    </row>
  </sheetData>
  <sheetProtection sheet="1"/>
  <mergeCells count="54">
    <mergeCell ref="B160:S160"/>
    <mergeCell ref="A13:B13"/>
    <mergeCell ref="A14:B14"/>
    <mergeCell ref="I13:M13"/>
    <mergeCell ref="I14:M14"/>
    <mergeCell ref="I16:J16"/>
    <mergeCell ref="I151:Q151"/>
    <mergeCell ref="C14:E14"/>
    <mergeCell ref="A16:A17"/>
    <mergeCell ref="B16:B17"/>
    <mergeCell ref="B146:E146"/>
    <mergeCell ref="A12:B12"/>
    <mergeCell ref="C12:E12"/>
    <mergeCell ref="F12:H12"/>
    <mergeCell ref="C13:E13"/>
    <mergeCell ref="S16:S17"/>
    <mergeCell ref="Q16:R16"/>
    <mergeCell ref="K16:L16"/>
    <mergeCell ref="O16:P16"/>
    <mergeCell ref="M16:N16"/>
    <mergeCell ref="B155:I156"/>
    <mergeCell ref="B157:S158"/>
    <mergeCell ref="I152:Q152"/>
    <mergeCell ref="B159:D159"/>
    <mergeCell ref="B153:E153"/>
    <mergeCell ref="G154:H154"/>
    <mergeCell ref="B152:E152"/>
    <mergeCell ref="B154:E154"/>
    <mergeCell ref="G152:H152"/>
    <mergeCell ref="G153:H153"/>
    <mergeCell ref="G149:H149"/>
    <mergeCell ref="G147:H147"/>
    <mergeCell ref="G148:H148"/>
    <mergeCell ref="B150:E150"/>
    <mergeCell ref="B149:E149"/>
    <mergeCell ref="B148:E148"/>
    <mergeCell ref="P1:S4"/>
    <mergeCell ref="B151:E151"/>
    <mergeCell ref="F13:H13"/>
    <mergeCell ref="F14:H14"/>
    <mergeCell ref="C16:D16"/>
    <mergeCell ref="E16:F16"/>
    <mergeCell ref="G16:H16"/>
    <mergeCell ref="G150:H150"/>
    <mergeCell ref="G151:H151"/>
    <mergeCell ref="G146:H146"/>
    <mergeCell ref="A9:K9"/>
    <mergeCell ref="P9:S12"/>
    <mergeCell ref="P5:S7"/>
    <mergeCell ref="I11:M11"/>
    <mergeCell ref="I12:M12"/>
    <mergeCell ref="F11:H11"/>
    <mergeCell ref="C11:E11"/>
    <mergeCell ref="A11:B11"/>
  </mergeCells>
  <pageMargins left="0" right="0" top="0.2" bottom="0.56" header="0" footer="0.25"/>
  <ignoredErrors>
    <ignoredError numberStoredAsText="1" sqref="A1:Z161"/>
  </ignoredErrors>
  <legacyDrawing r:id="rId1"/>
</worksheet>
</file>

<file path=xl/worksheets/sheet3.xml><?xml version="1.0" encoding="utf-8"?>
<worksheet xmlns="http://schemas.openxmlformats.org/spreadsheetml/2006/main" xmlns:r="http://schemas.openxmlformats.org/officeDocument/2006/relationships">
  <dimension ref="A1:Z161"/>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Zanahoria</v>
      </c>
    </row>
    <row r="6" ht="26.25" customHeight="1"/>
    <row r="7" ht="26.25" customHeight="1"/>
    <row r="8" ht="8.4" customHeight="1"/>
    <row r="9" ht="26.25" customHeight="1">
      <c r="A9" t="str">
        <f>Main!$C$13</f>
        <v>"Sin Fertilización Base"Para mas de 75,000 Lbs por Hectarea</v>
      </c>
      <c r="P9" t="str">
        <f>Main!$G$21</f>
        <v>Bangor</v>
      </c>
    </row>
    <row r="10" ht="4.2" customHeight="1"/>
    <row r="11" ht="20.1" customHeight="1">
      <c r="A11" t="str">
        <v>Productor</v>
      </c>
      <c r="C11" t="str">
        <f>Main!E17</f>
        <v>Pancho Pérez</v>
      </c>
      <c r="F11" t="str">
        <v>Parcela</v>
      </c>
      <c r="I11" t="str">
        <f>Main!E19</f>
        <v>La Frondosa</v>
      </c>
    </row>
    <row r="12" ht="20.1" customHeight="1">
      <c r="A12" t="str">
        <v>Zona</v>
      </c>
      <c r="C12" t="str">
        <f>Main!E18</f>
        <v>La Flecha</v>
      </c>
      <c r="F12" t="str">
        <v>Técnico</v>
      </c>
      <c r="I12" t="str">
        <f>Main!E20</f>
        <v>Luís Torres</v>
      </c>
    </row>
    <row r="13" ht="20.1" customHeight="1">
      <c r="A13" t="str">
        <v>Área Mz.</v>
      </c>
      <c r="C13">
        <f>Main!E22</f>
        <v>1.43</v>
      </c>
      <c r="F13" t="str">
        <v>Fecha:</v>
      </c>
      <c r="I13">
        <f>Main!E23</f>
        <v>39239</v>
      </c>
    </row>
    <row r="14" ht="20.1" customHeight="1">
      <c r="A14" t="str">
        <v>Área Ha.</v>
      </c>
      <c r="C14">
        <f>Main!I22</f>
        <v>1.001</v>
      </c>
      <c r="F14" t="str">
        <v>Fecha de Cosecha:</v>
      </c>
      <c r="I14">
        <f>I13+Main!E24</f>
        <v>39359</v>
      </c>
    </row>
    <row r="15" ht="19.5" customHeight="1"/>
    <row r="16" ht="28.5" customHeight="1">
      <c r="A16" t="str">
        <v>Semana</v>
      </c>
      <c r="B16" t="str">
        <v>DDT</v>
      </c>
      <c r="C16" t="str">
        <v>FECHA</v>
      </c>
      <c r="E16" t="str">
        <f>Main!$D$42</f>
        <v>Nitrato de Amonio</v>
      </c>
      <c r="G16" t="str">
        <f>Main!$D$32</f>
        <v>FofatoMonoPotasico</v>
      </c>
      <c r="I16" t="str">
        <f>Main!$D$37</f>
        <v>Kcl Soluble</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39240</v>
      </c>
      <c r="E18">
        <f>IF($C$14*ReDiarioFert!C7&lt;=0,"0",$C$14*ReDiarioFert!C7)</f>
        <v>2.7571881579086446</v>
      </c>
      <c r="G18">
        <f>$C$14*ReDiarioFert!E7</f>
        <v>1.3124505143749996</v>
      </c>
      <c r="I18">
        <f>$C$14*ReDiarioFert!G7</f>
        <v>1.581451726020833</v>
      </c>
      <c r="K18">
        <f>$C$14*ReDiarioFert!I7</f>
        <v>0.6715500088869623</v>
      </c>
      <c r="M18">
        <f>$C$14*ReDiarioFert!K7</f>
        <v>1.8456515651651852</v>
      </c>
      <c r="O18">
        <f>$C$14*ReDiarioFert!M7</f>
        <v>24.866793170731707</v>
      </c>
      <c r="Q18">
        <f>$C$14*Main!$D$63</f>
        <v>20.019999999999996</v>
      </c>
      <c r="S18">
        <f>((E18/100)*$G$148+(G18/100)*$G$149+(I18/100)*$G$150+(K18/100)*$G$151+(M18/100)*$G$152+(O18)*$G$153+(Q18*$G$154))</f>
        <v>92.55252836198659</v>
      </c>
    </row>
    <row r="19" ht="18.75" customHeight="1">
      <c r="B19">
        <v>2</v>
      </c>
      <c r="C19">
        <f>$I$13+B19</f>
        <v>39241</v>
      </c>
      <c r="E19">
        <f>IF($C$14*ReDiarioFert!C8&lt;=0,"0",$C$14*ReDiarioFert!C8)</f>
        <v>2.7571881579086446</v>
      </c>
      <c r="G19">
        <f>$C$14*ReDiarioFert!E8</f>
        <v>1.3124505143749996</v>
      </c>
      <c r="I19">
        <f>$C$14*ReDiarioFert!G8</f>
        <v>1.581451726020833</v>
      </c>
      <c r="K19">
        <f>$C$14*ReDiarioFert!I8</f>
        <v>0.6715500088869623</v>
      </c>
      <c r="M19">
        <f>$C$14*ReDiarioFert!K8</f>
        <v>1.8456515651651852</v>
      </c>
      <c r="O19">
        <f>$C$14*ReDiarioFert!M8</f>
        <v>24.866793170731707</v>
      </c>
      <c r="S19">
        <f>((E19/100)*$G$148+(G19/100)*$G$149+(I19/100)*$G$150+(K19/100)*$G$151+(M19/100)*$G$152+(O19)*$G$153+(Q19*$G$154))</f>
        <v>42.502528361986606</v>
      </c>
    </row>
    <row r="20" ht="18.75" customHeight="1">
      <c r="B20">
        <v>3</v>
      </c>
      <c r="C20">
        <f>$I$13+B20</f>
        <v>39242</v>
      </c>
      <c r="E20">
        <f>IF($C$14*ReDiarioFert!C9&lt;=0,"0",$C$14*ReDiarioFert!C9)</f>
        <v>2.7571881579086446</v>
      </c>
      <c r="G20">
        <f>$C$14*ReDiarioFert!E9</f>
        <v>1.3124505143749996</v>
      </c>
      <c r="I20">
        <f>$C$14*ReDiarioFert!G9</f>
        <v>1.581451726020833</v>
      </c>
      <c r="K20">
        <f>$C$14*ReDiarioFert!I9</f>
        <v>0.6715500088869623</v>
      </c>
      <c r="M20">
        <f>$C$14*ReDiarioFert!K9</f>
        <v>1.8456515651651852</v>
      </c>
      <c r="O20">
        <f>$C$14*ReDiarioFert!M9</f>
        <v>24.866793170731707</v>
      </c>
      <c r="S20">
        <f>((E20/100)*$G$148+(G20/100)*$G$149+(I20/100)*$G$150+(K20/100)*$G$151+(M20/100)*$G$152+(O20)*$G$153+(Q20*$G$154))</f>
        <v>42.502528361986606</v>
      </c>
    </row>
    <row r="21" ht="18.75" customHeight="1">
      <c r="B21">
        <v>4</v>
      </c>
      <c r="C21">
        <f>$I$13+B21</f>
        <v>39243</v>
      </c>
      <c r="E21">
        <f>IF($C$14*ReDiarioFert!C10&lt;=0,"0",$C$14*ReDiarioFert!C10)</f>
        <v>2.7571881579086446</v>
      </c>
      <c r="G21">
        <f>$C$14*ReDiarioFert!E10</f>
        <v>1.3124505143749996</v>
      </c>
      <c r="I21">
        <f>$C$14*ReDiarioFert!G10</f>
        <v>1.581451726020833</v>
      </c>
      <c r="K21">
        <f>$C$14*ReDiarioFert!I10</f>
        <v>0.6715500088869623</v>
      </c>
      <c r="M21">
        <f>$C$14*ReDiarioFert!K10</f>
        <v>1.8456515651651852</v>
      </c>
      <c r="O21">
        <f>$C$14*ReDiarioFert!M10</f>
        <v>24.866793170731707</v>
      </c>
      <c r="S21">
        <f>((E21/100)*$G$148+(G21/100)*$G$149+(I21/100)*$G$150+(K21/100)*$G$151+(M21/100)*$G$152+(O21)*$G$153+(Q21*$G$154))</f>
        <v>42.502528361986606</v>
      </c>
    </row>
    <row r="22" ht="18.75" customHeight="1">
      <c r="B22">
        <v>5</v>
      </c>
      <c r="C22">
        <f>$I$13+B22</f>
        <v>39244</v>
      </c>
      <c r="E22">
        <f>IF($C$14*ReDiarioFert!C11&lt;=0,"0",$C$14*ReDiarioFert!C11)</f>
        <v>2.7571881579086446</v>
      </c>
      <c r="G22">
        <f>$C$14*ReDiarioFert!E11</f>
        <v>1.3124505143749996</v>
      </c>
      <c r="I22">
        <f>$C$14*ReDiarioFert!G11</f>
        <v>1.581451726020833</v>
      </c>
      <c r="K22">
        <f>$C$14*ReDiarioFert!I11</f>
        <v>0.6715500088869623</v>
      </c>
      <c r="M22">
        <f>$C$14*ReDiarioFert!K11</f>
        <v>1.8456515651651852</v>
      </c>
      <c r="O22">
        <f>$C$14*ReDiarioFert!M11</f>
        <v>24.866793170731707</v>
      </c>
      <c r="S22">
        <f>((E22/100)*$G$148+(G22/100)*$G$149+(I22/100)*$G$150+(K22/100)*$G$151+(M22/100)*$G$152+(O22)*$G$153+(Q22*$G$154))</f>
        <v>42.502528361986606</v>
      </c>
    </row>
    <row r="23" ht="18.75" customHeight="1">
      <c r="B23">
        <v>6</v>
      </c>
      <c r="C23">
        <f>$I$13+B23</f>
        <v>39245</v>
      </c>
      <c r="E23">
        <f>IF($C$14*ReDiarioFert!C12&lt;=0,"0",$C$14*ReDiarioFert!C12)</f>
        <v>2.7571881579086446</v>
      </c>
      <c r="G23">
        <f>$C$14*ReDiarioFert!E12</f>
        <v>1.3124505143749996</v>
      </c>
      <c r="I23">
        <f>$C$14*ReDiarioFert!G12</f>
        <v>1.581451726020833</v>
      </c>
      <c r="K23">
        <f>$C$14*ReDiarioFert!I12</f>
        <v>0.6715500088869623</v>
      </c>
      <c r="M23">
        <f>$C$14*ReDiarioFert!K12</f>
        <v>1.8456515651651852</v>
      </c>
      <c r="O23">
        <f>$C$14*ReDiarioFert!M12</f>
        <v>24.866793170731707</v>
      </c>
      <c r="S23">
        <f>((E23/100)*$G$148+(G23/100)*$G$149+(I23/100)*$G$150+(K23/100)*$G$151+(M23/100)*$G$152+(O23)*$G$153+(Q23*$G$154))</f>
        <v>42.502528361986606</v>
      </c>
    </row>
    <row r="24" ht="18.75" customHeight="1">
      <c r="B24">
        <v>7</v>
      </c>
      <c r="C24">
        <f>$I$13+B24</f>
        <v>39246</v>
      </c>
      <c r="E24">
        <f>IF($C$14*ReDiarioFert!C13&lt;=0,"0",$C$14*ReDiarioFert!C13)</f>
        <v>2.7571881579086446</v>
      </c>
      <c r="G24">
        <f>$C$14*ReDiarioFert!E13</f>
        <v>1.3124505143749996</v>
      </c>
      <c r="I24">
        <f>$C$14*ReDiarioFert!G13</f>
        <v>1.581451726020833</v>
      </c>
      <c r="K24">
        <f>$C$14*ReDiarioFert!I13</f>
        <v>0.6715500088869623</v>
      </c>
      <c r="M24">
        <f>$C$14*ReDiarioFert!K13</f>
        <v>1.8456515651651852</v>
      </c>
      <c r="O24">
        <f>$C$14*ReDiarioFert!M13</f>
        <v>24.866793170731707</v>
      </c>
      <c r="S24">
        <f>((E24/100)*$G$148+(G24/100)*$G$149+(I24/100)*$G$150+(K24/100)*$G$151+(M24/100)*$G$152+(O24)*$G$153+(Q24*$G$154))</f>
        <v>42.502528361986606</v>
      </c>
    </row>
    <row r="25">
      <c r="A25">
        <v>2</v>
      </c>
      <c r="B25">
        <v>8</v>
      </c>
      <c r="C25">
        <f>$I$13+B25</f>
        <v>39247</v>
      </c>
      <c r="E25">
        <f>IF($C$14*ReDiarioFert!C14&lt;=0,"0",$C$14*ReDiarioFert!C14)</f>
        <v>2.7571881579086446</v>
      </c>
      <c r="G25">
        <f>$C$14*ReDiarioFert!E14</f>
        <v>1.3124505143749996</v>
      </c>
      <c r="I25">
        <f>$C$14*ReDiarioFert!G14</f>
        <v>1.581451726020833</v>
      </c>
      <c r="K25">
        <f>$C$14*ReDiarioFert!I14</f>
        <v>0.6715500088869623</v>
      </c>
      <c r="M25">
        <f>$C$14*ReDiarioFert!K14</f>
        <v>1.8456515651651852</v>
      </c>
      <c r="O25">
        <f>$C$14*ReDiarioFert!M14</f>
        <v>24.866793170731707</v>
      </c>
      <c r="Q25">
        <f>$C$14*Main!$D$63</f>
        <v>20.019999999999996</v>
      </c>
      <c r="S25">
        <f>((E25/100)*$G$148+(G25/100)*$G$149+(I25/100)*$G$150+(K25/100)*$G$151+(M25/100)*$G$152+(O25)*$G$153+(Q25*$G$154))</f>
        <v>92.55252836198659</v>
      </c>
    </row>
    <row r="26">
      <c r="B26">
        <v>9</v>
      </c>
      <c r="C26">
        <f>$I$13+B26</f>
        <v>39248</v>
      </c>
      <c r="E26">
        <f>IF($C$14*ReDiarioFert!C15&lt;=0,"0",$C$14*ReDiarioFert!C15)</f>
        <v>2.7571881579086446</v>
      </c>
      <c r="G26">
        <f>$C$14*ReDiarioFert!E15</f>
        <v>1.3124505143749996</v>
      </c>
      <c r="I26">
        <f>$C$14*ReDiarioFert!G15</f>
        <v>1.581451726020833</v>
      </c>
      <c r="K26">
        <f>$C$14*ReDiarioFert!I15</f>
        <v>0.6715500088869623</v>
      </c>
      <c r="M26">
        <f>$C$14*ReDiarioFert!K15</f>
        <v>1.8456515651651852</v>
      </c>
      <c r="O26">
        <f>$C$14*ReDiarioFert!M15</f>
        <v>24.866793170731707</v>
      </c>
      <c r="S26">
        <f>((E26/100)*$G$148+(G26/100)*$G$149+(I26/100)*$G$150+(K26/100)*$G$151+(M26/100)*$G$152+(O26)*$G$153+(Q26*$G$154))</f>
        <v>42.502528361986606</v>
      </c>
    </row>
    <row r="27">
      <c r="B27">
        <v>10</v>
      </c>
      <c r="C27">
        <f>$I$13+B27</f>
        <v>39249</v>
      </c>
      <c r="E27">
        <f>IF($C$14*ReDiarioFert!C16&lt;=0,"0",$C$14*ReDiarioFert!C16)</f>
        <v>2.7571881579086446</v>
      </c>
      <c r="G27">
        <f>$C$14*ReDiarioFert!E16</f>
        <v>1.3124505143749996</v>
      </c>
      <c r="I27">
        <f>$C$14*ReDiarioFert!G16</f>
        <v>1.581451726020833</v>
      </c>
      <c r="K27">
        <f>$C$14*ReDiarioFert!I16</f>
        <v>0.6715500088869623</v>
      </c>
      <c r="M27">
        <f>$C$14*ReDiarioFert!K16</f>
        <v>1.8456515651651852</v>
      </c>
      <c r="O27">
        <f>$C$14*ReDiarioFert!M16</f>
        <v>24.866793170731707</v>
      </c>
      <c r="S27">
        <f>((E27/100)*$G$148+(G27/100)*$G$149+(I27/100)*$G$150+(K27/100)*$G$151+(M27/100)*$G$152+(O27)*$G$153+(Q27*$G$154))</f>
        <v>42.502528361986606</v>
      </c>
    </row>
    <row r="28">
      <c r="B28">
        <v>11</v>
      </c>
      <c r="C28">
        <f>$I$13+B28</f>
        <v>39250</v>
      </c>
      <c r="E28">
        <f>IF($C$14*ReDiarioFert!C17&lt;=0,"0",$C$14*ReDiarioFert!C17)</f>
        <v>2.7571881579086446</v>
      </c>
      <c r="G28">
        <f>$C$14*ReDiarioFert!E17</f>
        <v>1.3124505143749996</v>
      </c>
      <c r="I28">
        <f>$C$14*ReDiarioFert!G17</f>
        <v>1.581451726020833</v>
      </c>
      <c r="K28">
        <f>$C$14*ReDiarioFert!I17</f>
        <v>0.6715500088869623</v>
      </c>
      <c r="M28">
        <f>$C$14*ReDiarioFert!K17</f>
        <v>1.8456515651651852</v>
      </c>
      <c r="O28">
        <f>$C$14*ReDiarioFert!M17</f>
        <v>44.76032536585365</v>
      </c>
      <c r="S28">
        <f>((E28/100)*$G$148+(G28/100)*$G$149+(I28/100)*$G$150+(K28/100)*$G$151+(M28/100)*$G$152+(O28)*$G$153+(Q28*$G$154))</f>
        <v>43.131163979352465</v>
      </c>
    </row>
    <row r="29">
      <c r="B29">
        <v>12</v>
      </c>
      <c r="C29">
        <f>$I$13+B29</f>
        <v>39251</v>
      </c>
      <c r="E29">
        <f>IF($C$14*ReDiarioFert!C18&lt;=0,"0",$C$14*ReDiarioFert!C18)</f>
        <v>2.7571881579086446</v>
      </c>
      <c r="G29">
        <f>$C$14*ReDiarioFert!E18</f>
        <v>1.3124505143749996</v>
      </c>
      <c r="I29">
        <f>$C$14*ReDiarioFert!G18</f>
        <v>1.581451726020833</v>
      </c>
      <c r="K29">
        <f>$C$14*ReDiarioFert!I18</f>
        <v>0.6715500088869623</v>
      </c>
      <c r="M29">
        <f>$C$14*ReDiarioFert!K18</f>
        <v>1.8456515651651852</v>
      </c>
      <c r="O29">
        <f>$C$14*ReDiarioFert!M18</f>
        <v>44.76032536585365</v>
      </c>
      <c r="S29">
        <f>((E29/100)*$G$148+(G29/100)*$G$149+(I29/100)*$G$150+(K29/100)*$G$151+(M29/100)*$G$152+(O29)*$G$153+(Q29*$G$154))</f>
        <v>43.131163979352465</v>
      </c>
    </row>
    <row r="30">
      <c r="B30">
        <v>13</v>
      </c>
      <c r="C30">
        <f>$I$13+B30</f>
        <v>39252</v>
      </c>
      <c r="E30">
        <f>IF($C$14*ReDiarioFert!C19&lt;=0,"0",$C$14*ReDiarioFert!C19)</f>
        <v>2.7571881579086446</v>
      </c>
      <c r="G30">
        <f>$C$14*ReDiarioFert!E19</f>
        <v>1.3124505143749996</v>
      </c>
      <c r="I30">
        <f>$C$14*ReDiarioFert!G19</f>
        <v>1.581451726020833</v>
      </c>
      <c r="K30">
        <f>$C$14*ReDiarioFert!I19</f>
        <v>0.6715500088869623</v>
      </c>
      <c r="M30">
        <f>$C$14*ReDiarioFert!K19</f>
        <v>1.8456515651651852</v>
      </c>
      <c r="O30">
        <f>$C$14*ReDiarioFert!M19</f>
        <v>44.76032536585365</v>
      </c>
      <c r="S30">
        <f>((E30/100)*$G$148+(G30/100)*$G$149+(I30/100)*$G$150+(K30/100)*$G$151+(M30/100)*$G$152+(O30)*$G$153+(Q30*$G$154))</f>
        <v>43.131163979352465</v>
      </c>
    </row>
    <row r="31">
      <c r="B31">
        <v>14</v>
      </c>
      <c r="C31">
        <f>$I$13+B31</f>
        <v>39253</v>
      </c>
      <c r="E31">
        <f>IF($C$14*ReDiarioFert!C20&lt;=0,"0",$C$14*ReDiarioFert!C20)</f>
        <v>2.7571881579086446</v>
      </c>
      <c r="G31">
        <f>$C$14*ReDiarioFert!E20</f>
        <v>1.3124505143749996</v>
      </c>
      <c r="I31">
        <f>$C$14*ReDiarioFert!G20</f>
        <v>1.581451726020833</v>
      </c>
      <c r="K31">
        <f>$C$14*ReDiarioFert!I20</f>
        <v>0.6715500088869623</v>
      </c>
      <c r="M31">
        <f>$C$14*ReDiarioFert!K20</f>
        <v>1.8456515651651852</v>
      </c>
      <c r="O31">
        <f>$C$14*ReDiarioFert!M20</f>
        <v>44.76032536585365</v>
      </c>
      <c r="S31">
        <f>((E31/100)*$G$148+(G31/100)*$G$149+(I31/100)*$G$150+(K31/100)*$G$151+(M31/100)*$G$152+(O31)*$G$153+(Q31*$G$154))</f>
        <v>43.131163979352465</v>
      </c>
    </row>
    <row r="32">
      <c r="A32">
        <v>3</v>
      </c>
      <c r="B32">
        <v>15</v>
      </c>
      <c r="C32">
        <f>$I$13+B32</f>
        <v>39254</v>
      </c>
      <c r="E32">
        <f>IF($C$14*ReDiarioFert!C21&lt;=0,"0",$C$14*ReDiarioFert!C21)</f>
        <v>2.7571881579086446</v>
      </c>
      <c r="G32">
        <f>$C$14*ReDiarioFert!E21</f>
        <v>1.3124505143749996</v>
      </c>
      <c r="I32">
        <f>$C$14*ReDiarioFert!G21</f>
        <v>1.581451726020833</v>
      </c>
      <c r="K32">
        <f>$C$14*ReDiarioFert!I21</f>
        <v>0.6715500088869623</v>
      </c>
      <c r="M32">
        <f>$C$14*ReDiarioFert!K21</f>
        <v>1.8456515651651852</v>
      </c>
      <c r="O32">
        <f>$C$14*ReDiarioFert!M21</f>
        <v>44.76032536585365</v>
      </c>
      <c r="Q32">
        <f>$C$14*Main!$D$63</f>
        <v>20.019999999999996</v>
      </c>
      <c r="S32">
        <f>((E32/100)*$G$148+(G32/100)*$G$149+(I32/100)*$G$150+(K32/100)*$G$151+(M32/100)*$G$152+(O32)*$G$153+(Q32*$G$154))</f>
        <v>93.18116397935245</v>
      </c>
    </row>
    <row r="33">
      <c r="B33">
        <v>16</v>
      </c>
      <c r="C33">
        <f>$I$13+B33</f>
        <v>39255</v>
      </c>
      <c r="E33">
        <f>IF($C$14*ReDiarioFert!C22&lt;=0,"0",$C$14*ReDiarioFert!C22)</f>
        <v>4.135930602733347</v>
      </c>
      <c r="G33">
        <f>$C$14*ReDiarioFert!E22</f>
        <v>1.9648328699999997</v>
      </c>
      <c r="I33">
        <f>$C$14*ReDiarioFert!G22</f>
        <v>2.3759872803333333</v>
      </c>
      <c r="K33">
        <f>$C$14*ReDiarioFert!I22</f>
        <v>1.0077963764981843</v>
      </c>
      <c r="M33">
        <f>$C$14*ReDiarioFert!K22</f>
        <v>2.7697728166730844</v>
      </c>
      <c r="O33">
        <f>$C$14*ReDiarioFert!M22</f>
        <v>44.76032536585365</v>
      </c>
      <c r="S33">
        <f>((E33/100)*$G$148+(G33/100)*$G$149+(I33/100)*$G$150+(K33/100)*$G$151+(M33/100)*$G$152+(O33)*$G$153+(Q33*$G$154))</f>
        <v>63.96847194428686</v>
      </c>
    </row>
    <row r="34">
      <c r="B34">
        <v>17</v>
      </c>
      <c r="C34">
        <f>$I$13+B34</f>
        <v>39256</v>
      </c>
      <c r="E34">
        <f>IF($C$14*ReDiarioFert!C23&lt;=0,"0",$C$14*ReDiarioFert!C23)</f>
        <v>4.135930602733347</v>
      </c>
      <c r="G34">
        <f>$C$14*ReDiarioFert!E23</f>
        <v>1.9648328699999997</v>
      </c>
      <c r="I34">
        <f>$C$14*ReDiarioFert!G23</f>
        <v>2.3759872803333333</v>
      </c>
      <c r="K34">
        <f>$C$14*ReDiarioFert!I23</f>
        <v>1.0077963764981843</v>
      </c>
      <c r="M34">
        <f>$C$14*ReDiarioFert!K23</f>
        <v>2.7697728166730844</v>
      </c>
      <c r="O34">
        <f>$C$14*ReDiarioFert!M23</f>
        <v>44.76032536585365</v>
      </c>
      <c r="S34">
        <f>((E34/100)*$G$148+(G34/100)*$G$149+(I34/100)*$G$150+(K34/100)*$G$151+(M34/100)*$G$152+(O34)*$G$153+(Q34*$G$154))</f>
        <v>63.96847194428686</v>
      </c>
    </row>
    <row r="35">
      <c r="B35">
        <v>18</v>
      </c>
      <c r="C35">
        <f>$I$13+B35</f>
        <v>39257</v>
      </c>
      <c r="E35">
        <f>IF($C$14*ReDiarioFert!C24&lt;=0,"0",$C$14*ReDiarioFert!C24)</f>
        <v>4.135930602733347</v>
      </c>
      <c r="G35">
        <f>$C$14*ReDiarioFert!E24</f>
        <v>1.9648328699999997</v>
      </c>
      <c r="I35">
        <f>$C$14*ReDiarioFert!G24</f>
        <v>2.3759872803333333</v>
      </c>
      <c r="K35">
        <f>$C$14*ReDiarioFert!I24</f>
        <v>1.0077963764981843</v>
      </c>
      <c r="M35">
        <f>$C$14*ReDiarioFert!K24</f>
        <v>2.7697728166730844</v>
      </c>
      <c r="O35">
        <f>$C$14*ReDiarioFert!M24</f>
        <v>59.680108292682924</v>
      </c>
      <c r="S35">
        <f>((E35/100)*$G$148+(G35/100)*$G$149+(I35/100)*$G$150+(K35/100)*$G$151+(M35/100)*$G$152+(O35)*$G$153+(Q35*$G$154))</f>
        <v>64.43993708477467</v>
      </c>
    </row>
    <row r="36">
      <c r="B36">
        <v>19</v>
      </c>
      <c r="C36">
        <f>$I$13+B36</f>
        <v>39258</v>
      </c>
      <c r="E36">
        <f>IF($C$14*ReDiarioFert!C25&lt;=0,"0",$C$14*ReDiarioFert!C25)</f>
        <v>4.135930602733347</v>
      </c>
      <c r="G36">
        <f>$C$14*ReDiarioFert!E25</f>
        <v>1.9648328699999997</v>
      </c>
      <c r="I36">
        <f>$C$14*ReDiarioFert!G25</f>
        <v>2.3759872803333333</v>
      </c>
      <c r="K36">
        <f>$C$14*ReDiarioFert!I25</f>
        <v>1.0077963764981843</v>
      </c>
      <c r="M36">
        <f>$C$14*ReDiarioFert!K25</f>
        <v>2.7697728166730844</v>
      </c>
      <c r="O36">
        <f>$C$14*ReDiarioFert!M25</f>
        <v>59.680108292682924</v>
      </c>
      <c r="S36">
        <f>((E36/100)*$G$148+(G36/100)*$G$149+(I36/100)*$G$150+(K36/100)*$G$151+(M36/100)*$G$152+(O36)*$G$153+(Q36*$G$154))</f>
        <v>64.43993708477467</v>
      </c>
    </row>
    <row r="37">
      <c r="B37">
        <v>20</v>
      </c>
      <c r="C37">
        <f>$I$13+B37</f>
        <v>39259</v>
      </c>
      <c r="E37">
        <f>IF($C$14*ReDiarioFert!C26&lt;=0,"0",$C$14*ReDiarioFert!C26)</f>
        <v>4.135930602733347</v>
      </c>
      <c r="G37">
        <f>$C$14*ReDiarioFert!E26</f>
        <v>1.9648328699999997</v>
      </c>
      <c r="I37">
        <f>$C$14*ReDiarioFert!G26</f>
        <v>2.3759872803333333</v>
      </c>
      <c r="K37">
        <f>$C$14*ReDiarioFert!I26</f>
        <v>1.0077963764981843</v>
      </c>
      <c r="M37">
        <f>$C$14*ReDiarioFert!K26</f>
        <v>2.7697728166730844</v>
      </c>
      <c r="O37">
        <f>$C$14*ReDiarioFert!M26</f>
        <v>59.680108292682924</v>
      </c>
      <c r="S37">
        <f>((E37/100)*$G$148+(G37/100)*$G$149+(I37/100)*$G$150+(K37/100)*$G$151+(M37/100)*$G$152+(O37)*$G$153+(Q37*$G$154))</f>
        <v>64.43993708477467</v>
      </c>
    </row>
    <row r="38">
      <c r="B38">
        <v>21</v>
      </c>
      <c r="C38">
        <f>$I$13+B38</f>
        <v>39260</v>
      </c>
      <c r="E38">
        <f>IF($C$14*ReDiarioFert!C27&lt;=0,"0",$C$14*ReDiarioFert!C27)</f>
        <v>4.135930602733347</v>
      </c>
      <c r="G38">
        <f>$C$14*ReDiarioFert!E27</f>
        <v>1.9648328699999997</v>
      </c>
      <c r="I38">
        <f>$C$14*ReDiarioFert!G27</f>
        <v>2.3759872803333333</v>
      </c>
      <c r="K38">
        <f>$C$14*ReDiarioFert!I27</f>
        <v>1.0077963764981843</v>
      </c>
      <c r="M38">
        <f>$C$14*ReDiarioFert!K27</f>
        <v>2.7697728166730844</v>
      </c>
      <c r="O38">
        <f>$C$14*ReDiarioFert!M27</f>
        <v>59.680108292682924</v>
      </c>
      <c r="S38">
        <f>((E38/100)*$G$148+(G38/100)*$G$149+(I38/100)*$G$150+(K38/100)*$G$151+(M38/100)*$G$152+(O38)*$G$153+(Q38*$G$154))</f>
        <v>64.43993708477467</v>
      </c>
    </row>
    <row r="39">
      <c r="A39">
        <v>4</v>
      </c>
      <c r="B39">
        <v>22</v>
      </c>
      <c r="C39">
        <f>$I$13+B39</f>
        <v>39261</v>
      </c>
      <c r="E39">
        <f>IF($C$14*ReDiarioFert!C28&lt;=0,"0",$C$14*ReDiarioFert!C28)</f>
        <v>4.135930602733347</v>
      </c>
      <c r="G39">
        <f>$C$14*ReDiarioFert!E28</f>
        <v>1.9648328699999997</v>
      </c>
      <c r="I39">
        <f>$C$14*ReDiarioFert!G28</f>
        <v>2.3759872803333333</v>
      </c>
      <c r="K39">
        <f>$C$14*ReDiarioFert!I28</f>
        <v>1.0077963764981843</v>
      </c>
      <c r="M39">
        <f>$C$14*ReDiarioFert!K28</f>
        <v>2.7697728166730844</v>
      </c>
      <c r="O39">
        <f>$C$14*ReDiarioFert!M28</f>
        <v>59.680108292682924</v>
      </c>
      <c r="Q39">
        <f>$C$14*Main!$D$63</f>
        <v>20.019999999999996</v>
      </c>
      <c r="S39">
        <f>((E39/100)*$G$148+(G39/100)*$G$149+(I39/100)*$G$150+(K39/100)*$G$151+(M39/100)*$G$152+(O39)*$G$153+(Q39*$G$154))</f>
        <v>114.48993708477465</v>
      </c>
    </row>
    <row r="40">
      <c r="B40">
        <v>23</v>
      </c>
      <c r="C40">
        <f>$I$13+B40</f>
        <v>39262</v>
      </c>
      <c r="E40">
        <f>IF($C$14*ReDiarioFert!C29&lt;=0,"0",$C$14*ReDiarioFert!C29)</f>
        <v>4.135930602733347</v>
      </c>
      <c r="G40">
        <f>$C$14*ReDiarioFert!E29</f>
        <v>1.9648328699999997</v>
      </c>
      <c r="I40">
        <f>$C$14*ReDiarioFert!G29</f>
        <v>2.3759872803333333</v>
      </c>
      <c r="K40">
        <f>$C$14*ReDiarioFert!I29</f>
        <v>1.0077963764981843</v>
      </c>
      <c r="M40">
        <f>$C$14*ReDiarioFert!K29</f>
        <v>2.7697728166730844</v>
      </c>
      <c r="O40">
        <f>$C$14*ReDiarioFert!M29</f>
        <v>59.680108292682924</v>
      </c>
      <c r="S40">
        <f>((E40/100)*$G$148+(G40/100)*$G$149+(I40/100)*$G$150+(K40/100)*$G$151+(M40/100)*$G$152+(O40)*$G$153+(Q40*$G$154))</f>
        <v>64.43993708477467</v>
      </c>
    </row>
    <row r="41">
      <c r="B41">
        <v>24</v>
      </c>
      <c r="C41">
        <f>$I$13+B41</f>
        <v>39263</v>
      </c>
      <c r="E41">
        <f>IF($C$14*ReDiarioFert!C30&lt;=0,"0",$C$14*ReDiarioFert!C30)</f>
        <v>4.135930602733347</v>
      </c>
      <c r="G41">
        <f>$C$14*ReDiarioFert!E30</f>
        <v>1.9648328699999997</v>
      </c>
      <c r="I41">
        <f>$C$14*ReDiarioFert!G30</f>
        <v>2.3759872803333333</v>
      </c>
      <c r="K41">
        <f>$C$14*ReDiarioFert!I30</f>
        <v>1.0077963764981843</v>
      </c>
      <c r="M41">
        <f>$C$14*ReDiarioFert!K30</f>
        <v>2.7697728166730844</v>
      </c>
      <c r="O41">
        <f>$C$14*ReDiarioFert!M30</f>
        <v>59.680108292682924</v>
      </c>
      <c r="S41">
        <f>((E41/100)*$G$148+(G41/100)*$G$149+(I41/100)*$G$150+(K41/100)*$G$151+(M41/100)*$G$152+(O41)*$G$153+(Q41*$G$154))</f>
        <v>64.43993708477467</v>
      </c>
    </row>
    <row r="42">
      <c r="B42">
        <v>25</v>
      </c>
      <c r="C42">
        <f>$I$13+B42</f>
        <v>39264</v>
      </c>
      <c r="E42">
        <f>IF($C$14*ReDiarioFert!C31&lt;=0,"0",$C$14*ReDiarioFert!C31)</f>
        <v>4.135930602733347</v>
      </c>
      <c r="G42">
        <f>$C$14*ReDiarioFert!E31</f>
        <v>1.9648328699999997</v>
      </c>
      <c r="I42">
        <f>$C$14*ReDiarioFert!G31</f>
        <v>2.3759872803333333</v>
      </c>
      <c r="K42">
        <f>$C$14*ReDiarioFert!I31</f>
        <v>1.0077963764981843</v>
      </c>
      <c r="M42">
        <f>$C$14*ReDiarioFert!K31</f>
        <v>2.7697728166730844</v>
      </c>
      <c r="O42">
        <f>$C$14*ReDiarioFert!M31</f>
        <v>59.680108292682924</v>
      </c>
      <c r="S42">
        <f>((E42/100)*$G$148+(G42/100)*$G$149+(I42/100)*$G$150+(K42/100)*$G$151+(M42/100)*$G$152+(O42)*$G$153+(Q42*$G$154))</f>
        <v>64.43993708477467</v>
      </c>
    </row>
    <row r="43">
      <c r="B43">
        <v>26</v>
      </c>
      <c r="C43">
        <f>$I$13+B43</f>
        <v>39265</v>
      </c>
      <c r="E43">
        <f>IF($C$14*ReDiarioFert!C32&lt;=0,"0",$C$14*ReDiarioFert!C32)</f>
        <v>4.135930602733347</v>
      </c>
      <c r="G43">
        <f>$C$14*ReDiarioFert!E32</f>
        <v>1.9648328699999997</v>
      </c>
      <c r="I43">
        <f>$C$14*ReDiarioFert!G32</f>
        <v>2.3759872803333333</v>
      </c>
      <c r="K43">
        <f>$C$14*ReDiarioFert!I32</f>
        <v>1.0077963764981843</v>
      </c>
      <c r="M43">
        <f>$C$14*ReDiarioFert!K32</f>
        <v>2.7697728166730844</v>
      </c>
      <c r="O43">
        <f>$C$14*ReDiarioFert!M32</f>
        <v>59.680108292682924</v>
      </c>
      <c r="S43">
        <f>((E43/100)*$G$148+(G43/100)*$G$149+(I43/100)*$G$150+(K43/100)*$G$151+(M43/100)*$G$152+(O43)*$G$153+(Q43*$G$154))</f>
        <v>64.43993708477467</v>
      </c>
    </row>
    <row r="44">
      <c r="B44">
        <v>27</v>
      </c>
      <c r="C44">
        <f>$I$13+B44</f>
        <v>39266</v>
      </c>
      <c r="E44">
        <f>IF($C$14*ReDiarioFert!C33&lt;=0,"0",$C$14*ReDiarioFert!C33)</f>
        <v>4.135930602733347</v>
      </c>
      <c r="G44">
        <f>$C$14*ReDiarioFert!E33</f>
        <v>1.9648328699999997</v>
      </c>
      <c r="I44">
        <f>$C$14*ReDiarioFert!G33</f>
        <v>2.3759872803333333</v>
      </c>
      <c r="K44">
        <f>$C$14*ReDiarioFert!I33</f>
        <v>1.0077963764981843</v>
      </c>
      <c r="M44">
        <f>$C$14*ReDiarioFert!K33</f>
        <v>2.7697728166730844</v>
      </c>
      <c r="O44">
        <f>$C$14*ReDiarioFert!M33</f>
        <v>59.680108292682924</v>
      </c>
      <c r="S44">
        <f>((E44/100)*$G$148+(G44/100)*$G$149+(I44/100)*$G$150+(K44/100)*$G$151+(M44/100)*$G$152+(O44)*$G$153+(Q44*$G$154))</f>
        <v>64.43993708477467</v>
      </c>
    </row>
    <row r="45">
      <c r="B45">
        <v>28</v>
      </c>
      <c r="C45">
        <f>$I$13+B45</f>
        <v>39267</v>
      </c>
      <c r="E45">
        <f>IF($C$14*ReDiarioFert!C34&lt;=0,"0",$C$14*ReDiarioFert!C34)</f>
        <v>4.135930602733347</v>
      </c>
      <c r="G45">
        <f>$C$14*ReDiarioFert!E34</f>
        <v>1.9648328699999997</v>
      </c>
      <c r="I45">
        <f>$C$14*ReDiarioFert!G34</f>
        <v>2.3759872803333333</v>
      </c>
      <c r="K45">
        <f>$C$14*ReDiarioFert!I34</f>
        <v>1.0077963764981843</v>
      </c>
      <c r="M45">
        <f>$C$14*ReDiarioFert!K34</f>
        <v>2.7697728166730844</v>
      </c>
      <c r="O45">
        <f>$C$14*ReDiarioFert!M34</f>
        <v>59.680108292682924</v>
      </c>
      <c r="S45">
        <f>((E45/100)*$G$148+(G45/100)*$G$149+(I45/100)*$G$150+(K45/100)*$G$151+(M45/100)*$G$152+(O45)*$G$153+(Q45*$G$154))</f>
        <v>64.43993708477467</v>
      </c>
    </row>
    <row r="46">
      <c r="A46">
        <v>5</v>
      </c>
      <c r="B46">
        <v>29</v>
      </c>
      <c r="C46">
        <f>$I$13+B46</f>
        <v>39268</v>
      </c>
      <c r="E46">
        <f>IF($C$14*ReDiarioFert!C35&lt;=0,"0",$C$14*ReDiarioFert!C35)</f>
        <v>4.135930602733347</v>
      </c>
      <c r="G46">
        <f>$C$14*ReDiarioFert!E35</f>
        <v>1.9648328699999997</v>
      </c>
      <c r="I46">
        <f>$C$14*ReDiarioFert!G35</f>
        <v>2.3759872803333333</v>
      </c>
      <c r="K46">
        <f>$C$14*ReDiarioFert!I35</f>
        <v>1.0077963764981843</v>
      </c>
      <c r="M46">
        <f>$C$14*ReDiarioFert!K35</f>
        <v>2.7697728166730844</v>
      </c>
      <c r="O46">
        <f>$C$14*ReDiarioFert!M35</f>
        <v>59.680108292682924</v>
      </c>
      <c r="Q46">
        <f>$C$14*Main!$D$63</f>
        <v>20.019999999999996</v>
      </c>
      <c r="S46">
        <f>((E46/100)*$G$148+(G46/100)*$G$149+(I46/100)*$G$150+(K46/100)*$G$151+(M46/100)*$G$152+(O46)*$G$153+(Q46*$G$154))</f>
        <v>114.48993708477465</v>
      </c>
    </row>
    <row r="47">
      <c r="B47">
        <v>30</v>
      </c>
      <c r="C47">
        <f>$I$13+B47</f>
        <v>39269</v>
      </c>
      <c r="E47">
        <f>IF($C$14*ReDiarioFert!C36&lt;=0,"0",$C$14*ReDiarioFert!C36)</f>
        <v>4.135930602733347</v>
      </c>
      <c r="G47">
        <f>$C$14*ReDiarioFert!E36</f>
        <v>1.9648328699999997</v>
      </c>
      <c r="I47">
        <f>$C$14*ReDiarioFert!G36</f>
        <v>2.3759872803333333</v>
      </c>
      <c r="K47">
        <f>$C$14*ReDiarioFert!I36</f>
        <v>1.0077963764981843</v>
      </c>
      <c r="M47">
        <f>$C$14*ReDiarioFert!K36</f>
        <v>2.7697728166730844</v>
      </c>
      <c r="O47">
        <f>$C$14*ReDiarioFert!M36</f>
        <v>59.680108292682924</v>
      </c>
      <c r="S47">
        <f>((E47/100)*$G$148+(G47/100)*$G$149+(I47/100)*$G$150+(K47/100)*$G$151+(M47/100)*$G$152+(O47)*$G$153+(Q47*$G$154))</f>
        <v>64.43993708477467</v>
      </c>
    </row>
    <row r="48">
      <c r="B48">
        <v>31</v>
      </c>
      <c r="C48">
        <f>$I$13+B48</f>
        <v>39270</v>
      </c>
      <c r="E48">
        <f>IF($C$14*ReDiarioFert!C37&lt;=0,"0",$C$14*ReDiarioFert!C37)</f>
        <v>12.407678270716534</v>
      </c>
      <c r="G48">
        <f>$C$14*ReDiarioFert!E37</f>
        <v>5.8945216943096845</v>
      </c>
      <c r="I48">
        <f>$C$14*ReDiarioFert!G37</f>
        <v>7.127837535502903</v>
      </c>
      <c r="K48">
        <f>$C$14*ReDiarioFert!I37</f>
        <v>3.023357005985052</v>
      </c>
      <c r="M48">
        <f>$C$14*ReDiarioFert!K37</f>
        <v>8.30923016351072</v>
      </c>
      <c r="O48">
        <f>$C$14*ReDiarioFert!M37</f>
        <v>59.680108292682924</v>
      </c>
      <c r="S48">
        <f>((E48/100)*$G$148+(G48/100)*$G$149+(I48/100)*$G$150+(K48/100)*$G$151+(M48/100)*$G$152+(O48)*$G$153+(Q48*$G$154))</f>
        <v>189.54689589344298</v>
      </c>
    </row>
    <row r="49">
      <c r="B49">
        <v>32</v>
      </c>
      <c r="C49">
        <f>$I$13+B49</f>
        <v>39271</v>
      </c>
      <c r="E49">
        <f>IF($C$14*ReDiarioFert!C38&lt;=0,"0",$C$14*ReDiarioFert!C38)</f>
        <v>12.407678270716534</v>
      </c>
      <c r="G49">
        <f>$C$14*ReDiarioFert!E38</f>
        <v>5.8945216943096845</v>
      </c>
      <c r="I49">
        <f>$C$14*ReDiarioFert!G38</f>
        <v>7.127837535502903</v>
      </c>
      <c r="K49">
        <f>$C$14*ReDiarioFert!I38</f>
        <v>3.023357005985052</v>
      </c>
      <c r="M49">
        <f>$C$14*ReDiarioFert!K38</f>
        <v>8.30923016351072</v>
      </c>
      <c r="O49">
        <f>$C$14*ReDiarioFert!M38</f>
        <v>59.680108292682924</v>
      </c>
      <c r="S49">
        <f>((E49/100)*$G$148+(G49/100)*$G$149+(I49/100)*$G$150+(K49/100)*$G$151+(M49/100)*$G$152+(O49)*$G$153+(Q49*$G$154))</f>
        <v>189.54689589344298</v>
      </c>
    </row>
    <row r="50">
      <c r="B50">
        <v>33</v>
      </c>
      <c r="C50">
        <f>$I$13+B50</f>
        <v>39272</v>
      </c>
      <c r="E50">
        <f>IF($C$14*ReDiarioFert!C39&lt;=0,"0",$C$14*ReDiarioFert!C39)</f>
        <v>12.407678270716534</v>
      </c>
      <c r="G50">
        <f>$C$14*ReDiarioFert!E39</f>
        <v>5.8945216943096845</v>
      </c>
      <c r="I50">
        <f>$C$14*ReDiarioFert!G39</f>
        <v>7.127837535502903</v>
      </c>
      <c r="K50">
        <f>$C$14*ReDiarioFert!I39</f>
        <v>3.023357005985052</v>
      </c>
      <c r="M50">
        <f>$C$14*ReDiarioFert!K39</f>
        <v>8.30923016351072</v>
      </c>
      <c r="O50">
        <f>$C$14*ReDiarioFert!M39</f>
        <v>84.54738975609757</v>
      </c>
      <c r="S50">
        <f>((E50/100)*$G$148+(G50/100)*$G$149+(I50/100)*$G$150+(K50/100)*$G$151+(M50/100)*$G$152+(O50)*$G$153+(Q50*$G$154))</f>
        <v>190.33270198768687</v>
      </c>
    </row>
    <row r="51">
      <c r="B51">
        <v>34</v>
      </c>
      <c r="C51">
        <f>$I$13+B51</f>
        <v>39273</v>
      </c>
      <c r="E51">
        <f>IF($C$14*ReDiarioFert!C40&lt;=0,"0",$C$14*ReDiarioFert!C40)</f>
        <v>12.407678270716534</v>
      </c>
      <c r="G51">
        <f>$C$14*ReDiarioFert!E40</f>
        <v>5.8945216943096845</v>
      </c>
      <c r="I51">
        <f>$C$14*ReDiarioFert!G40</f>
        <v>7.127837535502903</v>
      </c>
      <c r="K51">
        <f>$C$14*ReDiarioFert!I40</f>
        <v>3.023357005985052</v>
      </c>
      <c r="M51">
        <f>$C$14*ReDiarioFert!K40</f>
        <v>8.30923016351072</v>
      </c>
      <c r="O51">
        <f>$C$14*ReDiarioFert!M40</f>
        <v>84.54738975609757</v>
      </c>
      <c r="S51">
        <f>((E51/100)*$G$148+(G51/100)*$G$149+(I51/100)*$G$150+(K51/100)*$G$151+(M51/100)*$G$152+(O51)*$G$153+(Q51*$G$154))</f>
        <v>190.33270198768687</v>
      </c>
    </row>
    <row r="52">
      <c r="B52">
        <v>35</v>
      </c>
      <c r="C52">
        <f>$I$13+B52</f>
        <v>39274</v>
      </c>
      <c r="E52">
        <f>IF($C$14*ReDiarioFert!C41&lt;=0,"0",$C$14*ReDiarioFert!C41)</f>
        <v>12.407678270716534</v>
      </c>
      <c r="G52">
        <f>$C$14*ReDiarioFert!E41</f>
        <v>5.8945216943096845</v>
      </c>
      <c r="I52">
        <f>$C$14*ReDiarioFert!G41</f>
        <v>7.127837535502903</v>
      </c>
      <c r="K52">
        <f>$C$14*ReDiarioFert!I41</f>
        <v>3.023357005985052</v>
      </c>
      <c r="M52">
        <f>$C$14*ReDiarioFert!K41</f>
        <v>8.30923016351072</v>
      </c>
      <c r="O52">
        <f>$C$14*ReDiarioFert!M41</f>
        <v>84.54738975609757</v>
      </c>
      <c r="S52">
        <f>((E52/100)*$G$148+(G52/100)*$G$149+(I52/100)*$G$150+(K52/100)*$G$151+(M52/100)*$G$152+(O52)*$G$153+(Q52*$G$154))</f>
        <v>190.33270198768687</v>
      </c>
    </row>
    <row r="53">
      <c r="A53">
        <v>6</v>
      </c>
      <c r="B53">
        <v>36</v>
      </c>
      <c r="C53">
        <f>$I$13+B53</f>
        <v>39275</v>
      </c>
      <c r="E53">
        <f>IF($C$14*ReDiarioFert!C42&lt;=0,"0",$C$14*ReDiarioFert!C42)</f>
        <v>12.407678270716534</v>
      </c>
      <c r="G53">
        <f>$C$14*ReDiarioFert!E42</f>
        <v>5.8945216943096845</v>
      </c>
      <c r="I53">
        <f>$C$14*ReDiarioFert!G42</f>
        <v>7.127837535502903</v>
      </c>
      <c r="K53">
        <f>$C$14*ReDiarioFert!I42</f>
        <v>3.023357005985052</v>
      </c>
      <c r="M53">
        <f>$C$14*ReDiarioFert!K42</f>
        <v>8.30923016351072</v>
      </c>
      <c r="O53">
        <f>$C$14*ReDiarioFert!M42</f>
        <v>84.54738975609757</v>
      </c>
      <c r="Q53">
        <f>$C$14*Main!$D$63</f>
        <v>20.019999999999996</v>
      </c>
      <c r="S53">
        <f>((E53/100)*$G$148+(G53/100)*$G$149+(I53/100)*$G$150+(K53/100)*$G$151+(M53/100)*$G$152+(O53)*$G$153+(Q53*$G$154))</f>
        <v>240.38270198768686</v>
      </c>
    </row>
    <row r="54">
      <c r="B54">
        <v>37</v>
      </c>
      <c r="C54">
        <f>$I$13+B54</f>
        <v>39276</v>
      </c>
      <c r="E54">
        <f>IF($C$14*ReDiarioFert!C43&lt;=0,"0",$C$14*ReDiarioFert!C43)</f>
        <v>12.407678270716534</v>
      </c>
      <c r="G54">
        <f>$C$14*ReDiarioFert!E43</f>
        <v>5.8945216943096845</v>
      </c>
      <c r="I54">
        <f>$C$14*ReDiarioFert!G43</f>
        <v>7.127837535502903</v>
      </c>
      <c r="K54">
        <f>$C$14*ReDiarioFert!I43</f>
        <v>3.023357005985052</v>
      </c>
      <c r="M54">
        <f>$C$14*ReDiarioFert!K43</f>
        <v>8.30923016351072</v>
      </c>
      <c r="O54">
        <f>$C$14*ReDiarioFert!M43</f>
        <v>84.54738975609757</v>
      </c>
      <c r="S54">
        <f>((E54/100)*$G$148+(G54/100)*$G$149+(I54/100)*$G$150+(K54/100)*$G$151+(M54/100)*$G$152+(O54)*$G$153+(Q54*$G$154))</f>
        <v>190.33270198768687</v>
      </c>
    </row>
    <row r="55">
      <c r="B55">
        <v>38</v>
      </c>
      <c r="C55">
        <f>$I$13+B55</f>
        <v>39277</v>
      </c>
      <c r="E55">
        <f>IF($C$14*ReDiarioFert!C44&lt;=0,"0",$C$14*ReDiarioFert!C44)</f>
        <v>12.407678270716534</v>
      </c>
      <c r="G55">
        <f>$C$14*ReDiarioFert!E44</f>
        <v>5.8945216943096845</v>
      </c>
      <c r="I55">
        <f>$C$14*ReDiarioFert!G44</f>
        <v>7.127837535502903</v>
      </c>
      <c r="K55">
        <f>$C$14*ReDiarioFert!I44</f>
        <v>3.023357005985052</v>
      </c>
      <c r="M55">
        <f>$C$14*ReDiarioFert!K44</f>
        <v>8.30923016351072</v>
      </c>
      <c r="O55">
        <f>$C$14*ReDiarioFert!M44</f>
        <v>84.54738975609757</v>
      </c>
      <c r="S55">
        <f>((E55/100)*$G$148+(G55/100)*$G$149+(I55/100)*$G$150+(K55/100)*$G$151+(M55/100)*$G$152+(O55)*$G$153+(Q55*$G$154))</f>
        <v>190.33270198768687</v>
      </c>
    </row>
    <row r="56">
      <c r="B56">
        <v>39</v>
      </c>
      <c r="C56">
        <f>$I$13+B56</f>
        <v>39278</v>
      </c>
      <c r="E56">
        <f>IF($C$14*ReDiarioFert!C45&lt;=0,"0",$C$14*ReDiarioFert!C45)</f>
        <v>12.407678270716534</v>
      </c>
      <c r="G56">
        <f>$C$14*ReDiarioFert!E45</f>
        <v>5.8945216943096845</v>
      </c>
      <c r="I56">
        <f>$C$14*ReDiarioFert!G45</f>
        <v>7.127837535502903</v>
      </c>
      <c r="K56">
        <f>$C$14*ReDiarioFert!I45</f>
        <v>3.023357005985052</v>
      </c>
      <c r="M56">
        <f>$C$14*ReDiarioFert!K45</f>
        <v>8.30923016351072</v>
      </c>
      <c r="O56">
        <f>$C$14*ReDiarioFert!M45</f>
        <v>84.54738975609757</v>
      </c>
      <c r="S56">
        <f>((E56/100)*$G$148+(G56/100)*$G$149+(I56/100)*$G$150+(K56/100)*$G$151+(M56/100)*$G$152+(O56)*$G$153+(Q56*$G$154))</f>
        <v>190.33270198768687</v>
      </c>
    </row>
    <row r="57">
      <c r="B57">
        <v>40</v>
      </c>
      <c r="C57">
        <f>$I$13+B57</f>
        <v>39279</v>
      </c>
      <c r="E57">
        <f>IF($C$14*ReDiarioFert!C46&lt;=0,"0",$C$14*ReDiarioFert!C46)</f>
        <v>12.407678270716534</v>
      </c>
      <c r="G57">
        <f>$C$14*ReDiarioFert!E46</f>
        <v>5.8945216943096845</v>
      </c>
      <c r="I57">
        <f>$C$14*ReDiarioFert!G46</f>
        <v>7.127837535502903</v>
      </c>
      <c r="K57">
        <f>$C$14*ReDiarioFert!I46</f>
        <v>3.023357005985052</v>
      </c>
      <c r="M57">
        <f>$C$14*ReDiarioFert!K46</f>
        <v>8.30923016351072</v>
      </c>
      <c r="O57">
        <f>$C$14*ReDiarioFert!M46</f>
        <v>84.54738975609757</v>
      </c>
      <c r="S57">
        <f>((E57/100)*$G$148+(G57/100)*$G$149+(I57/100)*$G$150+(K57/100)*$G$151+(M57/100)*$G$152+(O57)*$G$153+(Q57*$G$154))</f>
        <v>190.33270198768687</v>
      </c>
    </row>
    <row r="58">
      <c r="B58">
        <v>41</v>
      </c>
      <c r="C58">
        <f>$I$13+B58</f>
        <v>39280</v>
      </c>
      <c r="E58">
        <f>IF($C$14*ReDiarioFert!C47&lt;=0,"0",$C$14*ReDiarioFert!C47)</f>
        <v>12.407678270716534</v>
      </c>
      <c r="G58">
        <f>$C$14*ReDiarioFert!E47</f>
        <v>5.8945216943096845</v>
      </c>
      <c r="I58">
        <f>$C$14*ReDiarioFert!G47</f>
        <v>7.127837535502903</v>
      </c>
      <c r="K58">
        <f>$C$14*ReDiarioFert!I47</f>
        <v>3.023357005985052</v>
      </c>
      <c r="M58">
        <f>$C$14*ReDiarioFert!K47</f>
        <v>8.30923016351072</v>
      </c>
      <c r="O58">
        <f>$C$14*ReDiarioFert!M47</f>
        <v>84.54738975609757</v>
      </c>
      <c r="S58">
        <f>((E58/100)*$G$148+(G58/100)*$G$149+(I58/100)*$G$150+(K58/100)*$G$151+(M58/100)*$G$152+(O58)*$G$153+(Q58*$G$154))</f>
        <v>190.33270198768687</v>
      </c>
    </row>
    <row r="59">
      <c r="B59">
        <v>42</v>
      </c>
      <c r="C59">
        <f>$I$13+B59</f>
        <v>39281</v>
      </c>
      <c r="E59">
        <f>IF($C$14*ReDiarioFert!C48&lt;=0,"0",$C$14*ReDiarioFert!C48)</f>
        <v>12.407678270716534</v>
      </c>
      <c r="G59">
        <f>$C$14*ReDiarioFert!E48</f>
        <v>5.8945216943096845</v>
      </c>
      <c r="I59">
        <f>$C$14*ReDiarioFert!G48</f>
        <v>7.127837535502903</v>
      </c>
      <c r="K59">
        <f>$C$14*ReDiarioFert!I48</f>
        <v>3.023357005985052</v>
      </c>
      <c r="M59">
        <f>$C$14*ReDiarioFert!K48</f>
        <v>8.30923016351072</v>
      </c>
      <c r="O59">
        <f>$C$14*ReDiarioFert!M48</f>
        <v>84.54738975609757</v>
      </c>
      <c r="S59">
        <f>((E59/100)*$G$148+(G59/100)*$G$149+(I59/100)*$G$150+(K59/100)*$G$151+(M59/100)*$G$152+(O59)*$G$153+(Q59*$G$154))</f>
        <v>190.33270198768687</v>
      </c>
    </row>
    <row r="60">
      <c r="A60">
        <v>7</v>
      </c>
      <c r="B60">
        <v>43</v>
      </c>
      <c r="C60">
        <f>$I$13+B60</f>
        <v>39282</v>
      </c>
      <c r="E60">
        <f>IF($C$14*ReDiarioFert!C49&lt;=0,"0",$C$14*ReDiarioFert!C49)</f>
        <v>12.407678270716534</v>
      </c>
      <c r="G60">
        <f>$C$14*ReDiarioFert!E49</f>
        <v>5.8945216943096845</v>
      </c>
      <c r="I60">
        <f>$C$14*ReDiarioFert!G49</f>
        <v>7.127837535502903</v>
      </c>
      <c r="K60">
        <f>$C$14*ReDiarioFert!I49</f>
        <v>3.023357005985052</v>
      </c>
      <c r="M60">
        <f>$C$14*ReDiarioFert!K49</f>
        <v>8.30923016351072</v>
      </c>
      <c r="O60">
        <f>$C$14*ReDiarioFert!M49</f>
        <v>84.54738975609757</v>
      </c>
      <c r="Q60">
        <f>$C$14*Main!$D$63</f>
        <v>20.019999999999996</v>
      </c>
      <c r="S60">
        <f>((E60/100)*$G$148+(G60/100)*$G$149+(I60/100)*$G$150+(K60/100)*$G$151+(M60/100)*$G$152+(O60)*$G$153+(Q60*$G$154))</f>
        <v>240.38270198768686</v>
      </c>
    </row>
    <row r="61">
      <c r="B61">
        <v>44</v>
      </c>
      <c r="C61">
        <f>$I$13+B61</f>
        <v>39283</v>
      </c>
      <c r="E61">
        <f>IF($C$14*ReDiarioFert!C50&lt;=0,"0",$C$14*ReDiarioFert!C50)</f>
        <v>12.407678270716534</v>
      </c>
      <c r="G61">
        <f>$C$14*ReDiarioFert!E50</f>
        <v>5.8945216943096845</v>
      </c>
      <c r="I61">
        <f>$C$14*ReDiarioFert!G50</f>
        <v>7.127837535502903</v>
      </c>
      <c r="K61">
        <f>$C$14*ReDiarioFert!I50</f>
        <v>3.023357005985052</v>
      </c>
      <c r="M61">
        <f>$C$14*ReDiarioFert!K50</f>
        <v>8.30923016351072</v>
      </c>
      <c r="O61">
        <f>$C$14*ReDiarioFert!M50</f>
        <v>84.54738975609757</v>
      </c>
      <c r="S61">
        <f>((E61/100)*$G$148+(G61/100)*$G$149+(I61/100)*$G$150+(K61/100)*$G$151+(M61/100)*$G$152+(O61)*$G$153+(Q61*$G$154))</f>
        <v>190.33270198768687</v>
      </c>
    </row>
    <row r="62">
      <c r="B62">
        <v>45</v>
      </c>
      <c r="C62">
        <f>$I$13+B62</f>
        <v>39284</v>
      </c>
      <c r="E62">
        <f>IF($C$14*ReDiarioFert!C51&lt;=0,"0",$C$14*ReDiarioFert!C51)</f>
        <v>12.407678270716534</v>
      </c>
      <c r="G62">
        <f>$C$14*ReDiarioFert!E51</f>
        <v>5.8945216943096845</v>
      </c>
      <c r="I62">
        <f>$C$14*ReDiarioFert!G51</f>
        <v>7.127837535502903</v>
      </c>
      <c r="K62">
        <f>$C$14*ReDiarioFert!I51</f>
        <v>3.023357005985052</v>
      </c>
      <c r="M62">
        <f>$C$14*ReDiarioFert!K51</f>
        <v>8.30923016351072</v>
      </c>
      <c r="O62">
        <f>$C$14*ReDiarioFert!M51</f>
        <v>84.54738975609757</v>
      </c>
      <c r="S62">
        <f>((E62/100)*$G$148+(G62/100)*$G$149+(I62/100)*$G$150+(K62/100)*$G$151+(M62/100)*$G$152+(O62)*$G$153+(Q62*$G$154))</f>
        <v>190.33270198768687</v>
      </c>
    </row>
    <row r="63">
      <c r="B63">
        <v>46</v>
      </c>
      <c r="C63">
        <f>$I$13+B63</f>
        <v>39285</v>
      </c>
      <c r="E63">
        <f>IF($C$14*ReDiarioFert!C52&lt;=0,"0",$C$14*ReDiarioFert!C52)</f>
        <v>12.407678270716534</v>
      </c>
      <c r="G63">
        <f>$C$14*ReDiarioFert!E52</f>
        <v>5.8945216943096845</v>
      </c>
      <c r="I63">
        <f>$C$14*ReDiarioFert!G52</f>
        <v>7.127837535502903</v>
      </c>
      <c r="K63">
        <f>$C$14*ReDiarioFert!I52</f>
        <v>3.023357005985052</v>
      </c>
      <c r="M63">
        <f>$C$14*ReDiarioFert!K52</f>
        <v>8.30923016351072</v>
      </c>
      <c r="O63">
        <f>$C$14*ReDiarioFert!M52</f>
        <v>84.54738975609757</v>
      </c>
      <c r="S63">
        <f>((E63/100)*$G$148+(G63/100)*$G$149+(I63/100)*$G$150+(K63/100)*$G$151+(M63/100)*$G$152+(O63)*$G$153+(Q63*$G$154))</f>
        <v>190.33270198768687</v>
      </c>
    </row>
    <row r="64">
      <c r="B64">
        <v>47</v>
      </c>
      <c r="C64">
        <f>$I$13+B64</f>
        <v>39286</v>
      </c>
      <c r="E64">
        <f>IF($C$14*ReDiarioFert!C53&lt;=0,"0",$C$14*ReDiarioFert!C53)</f>
        <v>12.407678270716534</v>
      </c>
      <c r="G64">
        <f>$C$14*ReDiarioFert!E53</f>
        <v>5.8945216943096845</v>
      </c>
      <c r="I64">
        <f>$C$14*ReDiarioFert!G53</f>
        <v>7.127837535502903</v>
      </c>
      <c r="K64">
        <f>$C$14*ReDiarioFert!I53</f>
        <v>3.023357005985052</v>
      </c>
      <c r="M64">
        <f>$C$14*ReDiarioFert!K53</f>
        <v>8.30923016351072</v>
      </c>
      <c r="O64">
        <f>$C$14*ReDiarioFert!M53</f>
        <v>84.54738975609757</v>
      </c>
      <c r="S64">
        <f>((E64/100)*$G$148+(G64/100)*$G$149+(I64/100)*$G$150+(K64/100)*$G$151+(M64/100)*$G$152+(O64)*$G$153+(Q64*$G$154))</f>
        <v>190.33270198768687</v>
      </c>
    </row>
    <row r="65">
      <c r="B65">
        <v>48</v>
      </c>
      <c r="C65">
        <f>$I$13+B65</f>
        <v>39287</v>
      </c>
      <c r="E65">
        <f>IF($C$14*ReDiarioFert!C54&lt;=0,"0",$C$14*ReDiarioFert!C54)</f>
        <v>12.407678270716534</v>
      </c>
      <c r="G65">
        <f>$C$14*ReDiarioFert!E54</f>
        <v>5.8945216943096845</v>
      </c>
      <c r="I65">
        <f>$C$14*ReDiarioFert!G54</f>
        <v>7.127837535502903</v>
      </c>
      <c r="K65">
        <f>$C$14*ReDiarioFert!I54</f>
        <v>3.023357005985052</v>
      </c>
      <c r="M65">
        <f>$C$14*ReDiarioFert!K54</f>
        <v>8.30923016351072</v>
      </c>
      <c r="O65">
        <f>$C$14*ReDiarioFert!M54</f>
        <v>114.387443902439</v>
      </c>
      <c r="S65">
        <f>((E65/100)*$G$148+(G65/100)*$G$149+(I65/100)*$G$150+(K65/100)*$G$151+(M65/100)*$G$152+(O65)*$G$153+(Q65*$G$154))</f>
        <v>191.27564769871125</v>
      </c>
    </row>
    <row r="66">
      <c r="B66">
        <v>49</v>
      </c>
      <c r="C66">
        <f>$I$13+B66</f>
        <v>39288</v>
      </c>
      <c r="E66">
        <f>IF($C$14*ReDiarioFert!C55&lt;=0,"0",$C$14*ReDiarioFert!C55)</f>
        <v>12.407678270716534</v>
      </c>
      <c r="G66">
        <f>$C$14*ReDiarioFert!E55</f>
        <v>5.8945216943096845</v>
      </c>
      <c r="I66">
        <f>$C$14*ReDiarioFert!G55</f>
        <v>7.127837535502903</v>
      </c>
      <c r="K66">
        <f>$C$14*ReDiarioFert!I55</f>
        <v>3.023357005985052</v>
      </c>
      <c r="M66">
        <f>$C$14*ReDiarioFert!K55</f>
        <v>8.30923016351072</v>
      </c>
      <c r="O66">
        <f>$C$14*ReDiarioFert!M55</f>
        <v>114.387443902439</v>
      </c>
      <c r="S66">
        <f>((E66/100)*$G$148+(G66/100)*$G$149+(I66/100)*$G$150+(K66/100)*$G$151+(M66/100)*$G$152+(O66)*$G$153+(Q66*$G$154))</f>
        <v>191.27564769871125</v>
      </c>
    </row>
    <row r="67">
      <c r="A67">
        <v>8</v>
      </c>
      <c r="B67">
        <v>50</v>
      </c>
      <c r="C67">
        <f>$I$13+B67</f>
        <v>39289</v>
      </c>
      <c r="E67">
        <f>IF($C$14*ReDiarioFert!C56&lt;=0,"0",$C$14*ReDiarioFert!C56)</f>
        <v>12.407678270716534</v>
      </c>
      <c r="G67">
        <f>$C$14*ReDiarioFert!E56</f>
        <v>5.8945216943096845</v>
      </c>
      <c r="I67">
        <f>$C$14*ReDiarioFert!G56</f>
        <v>7.127837535502903</v>
      </c>
      <c r="K67">
        <f>$C$14*ReDiarioFert!I56</f>
        <v>3.023357005985052</v>
      </c>
      <c r="M67">
        <f>$C$14*ReDiarioFert!K56</f>
        <v>8.30923016351072</v>
      </c>
      <c r="O67">
        <f>$C$14*ReDiarioFert!M56</f>
        <v>114.387443902439</v>
      </c>
      <c r="Q67">
        <f>$C$14*Main!$D$63</f>
        <v>20.019999999999996</v>
      </c>
      <c r="S67">
        <f>((E67/100)*$G$148+(G67/100)*$G$149+(I67/100)*$G$150+(K67/100)*$G$151+(M67/100)*$G$152+(O67)*$G$153+(Q67*$G$154))</f>
        <v>241.32564769871124</v>
      </c>
    </row>
    <row r="68">
      <c r="B68">
        <v>51</v>
      </c>
      <c r="C68">
        <f>$I$13+B68</f>
        <v>39290</v>
      </c>
      <c r="E68">
        <f>IF($C$14*ReDiarioFert!C57&lt;=0,"0",$C$14*ReDiarioFert!C57)</f>
        <v>12.407678270716534</v>
      </c>
      <c r="G68">
        <f>$C$14*ReDiarioFert!E57</f>
        <v>5.8945216943096845</v>
      </c>
      <c r="I68">
        <f>$C$14*ReDiarioFert!G57</f>
        <v>7.127837535502903</v>
      </c>
      <c r="K68">
        <f>$C$14*ReDiarioFert!I57</f>
        <v>3.023357005985052</v>
      </c>
      <c r="M68">
        <f>$C$14*ReDiarioFert!K57</f>
        <v>8.30923016351072</v>
      </c>
      <c r="O68">
        <f>$C$14*ReDiarioFert!M57</f>
        <v>114.387443902439</v>
      </c>
      <c r="S68">
        <f>((E68/100)*$G$148+(G68/100)*$G$149+(I68/100)*$G$150+(K68/100)*$G$151+(M68/100)*$G$152+(O68)*$G$153+(Q68*$G$154))</f>
        <v>191.27564769871125</v>
      </c>
    </row>
    <row r="69">
      <c r="B69">
        <v>52</v>
      </c>
      <c r="C69">
        <f>$I$13+B69</f>
        <v>39291</v>
      </c>
      <c r="E69">
        <f>IF($C$14*ReDiarioFert!C58&lt;=0,"0",$C$14*ReDiarioFert!C58)</f>
        <v>12.407678270716534</v>
      </c>
      <c r="G69">
        <f>$C$14*ReDiarioFert!E58</f>
        <v>5.8945216943096845</v>
      </c>
      <c r="I69">
        <f>$C$14*ReDiarioFert!G58</f>
        <v>7.127837535502903</v>
      </c>
      <c r="K69">
        <f>$C$14*ReDiarioFert!I58</f>
        <v>3.023357005985052</v>
      </c>
      <c r="M69">
        <f>$C$14*ReDiarioFert!K58</f>
        <v>8.30923016351072</v>
      </c>
      <c r="O69">
        <f>$C$14*ReDiarioFert!M58</f>
        <v>114.387443902439</v>
      </c>
      <c r="S69">
        <f>((E69/100)*$G$148+(G69/100)*$G$149+(I69/100)*$G$150+(K69/100)*$G$151+(M69/100)*$G$152+(O69)*$G$153+(Q69*$G$154))</f>
        <v>191.27564769871125</v>
      </c>
    </row>
    <row r="70">
      <c r="B70">
        <v>53</v>
      </c>
      <c r="C70">
        <f>$I$13+B70</f>
        <v>39292</v>
      </c>
      <c r="E70">
        <f>IF($C$14*ReDiarioFert!C59&lt;=0,"0",$C$14*ReDiarioFert!C59)</f>
        <v>12.407678270716534</v>
      </c>
      <c r="G70">
        <f>$C$14*ReDiarioFert!E59</f>
        <v>5.8945216943096845</v>
      </c>
      <c r="I70">
        <f>$C$14*ReDiarioFert!G59</f>
        <v>7.127837535502903</v>
      </c>
      <c r="K70">
        <f>$C$14*ReDiarioFert!I59</f>
        <v>3.023357005985052</v>
      </c>
      <c r="M70">
        <f>$C$14*ReDiarioFert!K59</f>
        <v>8.30923016351072</v>
      </c>
      <c r="O70">
        <f>$C$14*ReDiarioFert!M59</f>
        <v>114.387443902439</v>
      </c>
      <c r="S70">
        <f>((E70/100)*$G$148+(G70/100)*$G$149+(I70/100)*$G$150+(K70/100)*$G$151+(M70/100)*$G$152+(O70)*$G$153+(Q70*$G$154))</f>
        <v>191.27564769871125</v>
      </c>
    </row>
    <row r="71">
      <c r="B71">
        <v>54</v>
      </c>
      <c r="C71">
        <f>$I$13+B71</f>
        <v>39293</v>
      </c>
      <c r="E71">
        <f>IF($C$14*ReDiarioFert!C60&lt;=0,"0",$C$14*ReDiarioFert!C60)</f>
        <v>12.407678270716534</v>
      </c>
      <c r="G71">
        <f>$C$14*ReDiarioFert!E60</f>
        <v>5.8945216943096845</v>
      </c>
      <c r="I71">
        <f>$C$14*ReDiarioFert!G60</f>
        <v>7.127837535502903</v>
      </c>
      <c r="K71">
        <f>$C$14*ReDiarioFert!I60</f>
        <v>3.023357005985052</v>
      </c>
      <c r="M71">
        <f>$C$14*ReDiarioFert!K60</f>
        <v>8.30923016351072</v>
      </c>
      <c r="O71">
        <f>$C$14*ReDiarioFert!M60</f>
        <v>114.387443902439</v>
      </c>
      <c r="S71">
        <f>((E71/100)*$G$148+(G71/100)*$G$149+(I71/100)*$G$150+(K71/100)*$G$151+(M71/100)*$G$152+(O71)*$G$153+(Q71*$G$154))</f>
        <v>191.27564769871125</v>
      </c>
    </row>
    <row r="72">
      <c r="B72">
        <v>55</v>
      </c>
      <c r="C72">
        <f>$I$13+B72</f>
        <v>39294</v>
      </c>
      <c r="E72">
        <f>IF($C$14*ReDiarioFert!C61&lt;=0,"0",$C$14*ReDiarioFert!C61)</f>
        <v>12.407678270716534</v>
      </c>
      <c r="G72">
        <f>$C$14*ReDiarioFert!E61</f>
        <v>5.8945216943096845</v>
      </c>
      <c r="I72">
        <f>$C$14*ReDiarioFert!G61</f>
        <v>7.127837535502903</v>
      </c>
      <c r="K72">
        <f>$C$14*ReDiarioFert!I61</f>
        <v>3.023357005985052</v>
      </c>
      <c r="M72">
        <f>$C$14*ReDiarioFert!K61</f>
        <v>8.30923016351072</v>
      </c>
      <c r="O72">
        <f>$C$14*ReDiarioFert!M61</f>
        <v>114.387443902439</v>
      </c>
      <c r="S72">
        <f>((E72/100)*$G$148+(G72/100)*$G$149+(I72/100)*$G$150+(K72/100)*$G$151+(M72/100)*$G$152+(O72)*$G$153+(Q72*$G$154))</f>
        <v>191.27564769871125</v>
      </c>
    </row>
    <row r="73">
      <c r="B73">
        <v>56</v>
      </c>
      <c r="C73">
        <f>$I$13+B73</f>
        <v>39295</v>
      </c>
      <c r="E73">
        <f>IF($C$14*ReDiarioFert!C62&lt;=0,"0",$C$14*ReDiarioFert!C62)</f>
        <v>12.407678270716534</v>
      </c>
      <c r="G73">
        <f>$C$14*ReDiarioFert!E62</f>
        <v>5.8945216943096845</v>
      </c>
      <c r="I73">
        <f>$C$14*ReDiarioFert!G62</f>
        <v>7.127837535502903</v>
      </c>
      <c r="K73">
        <f>$C$14*ReDiarioFert!I62</f>
        <v>3.023357005985052</v>
      </c>
      <c r="M73">
        <f>$C$14*ReDiarioFert!K62</f>
        <v>8.30923016351072</v>
      </c>
      <c r="O73">
        <f>$C$14*ReDiarioFert!M62</f>
        <v>114.387443902439</v>
      </c>
      <c r="S73">
        <f>((E73/100)*$G$148+(G73/100)*$G$149+(I73/100)*$G$150+(K73/100)*$G$151+(M73/100)*$G$152+(O73)*$G$153+(Q73*$G$154))</f>
        <v>191.27564769871125</v>
      </c>
    </row>
    <row r="74">
      <c r="A74">
        <v>9</v>
      </c>
      <c r="B74">
        <v>57</v>
      </c>
      <c r="C74">
        <f>$I$13+B74</f>
        <v>39296</v>
      </c>
      <c r="E74">
        <f>IF($C$14*ReDiarioFert!C63&lt;=0,"0",$C$14*ReDiarioFert!C63)</f>
        <v>12.407678270716534</v>
      </c>
      <c r="G74">
        <f>$C$14*ReDiarioFert!E63</f>
        <v>5.8945216943096845</v>
      </c>
      <c r="I74">
        <f>$C$14*ReDiarioFert!G63</f>
        <v>7.127837535502903</v>
      </c>
      <c r="K74">
        <f>$C$14*ReDiarioFert!I63</f>
        <v>3.023357005985052</v>
      </c>
      <c r="M74">
        <f>$C$14*ReDiarioFert!K63</f>
        <v>8.30923016351072</v>
      </c>
      <c r="O74">
        <f>$C$14*ReDiarioFert!M63</f>
        <v>114.387443902439</v>
      </c>
      <c r="Q74">
        <f>$C$14*Main!$D$63</f>
        <v>20.019999999999996</v>
      </c>
      <c r="S74">
        <f>((E74/100)*$G$148+(G74/100)*$G$149+(I74/100)*$G$150+(K74/100)*$G$151+(M74/100)*$G$152+(O74)*$G$153+(Q74*$G$154))</f>
        <v>241.32564769871124</v>
      </c>
    </row>
    <row r="75">
      <c r="B75">
        <v>58</v>
      </c>
      <c r="C75">
        <f>$I$13+B75</f>
        <v>39297</v>
      </c>
      <c r="E75">
        <f>IF($C$14*ReDiarioFert!C64&lt;=0,"0",$C$14*ReDiarioFert!C64)</f>
        <v>12.407678270716534</v>
      </c>
      <c r="G75">
        <f>$C$14*ReDiarioFert!E64</f>
        <v>5.8945216943096845</v>
      </c>
      <c r="I75">
        <f>$C$14*ReDiarioFert!G64</f>
        <v>7.127837535502903</v>
      </c>
      <c r="K75">
        <f>$C$14*ReDiarioFert!I64</f>
        <v>3.023357005985052</v>
      </c>
      <c r="M75">
        <f>$C$14*ReDiarioFert!K64</f>
        <v>8.30923016351072</v>
      </c>
      <c r="O75">
        <f>$C$14*ReDiarioFert!M64</f>
        <v>114.387443902439</v>
      </c>
      <c r="S75">
        <f>((E75/100)*$G$148+(G75/100)*$G$149+(I75/100)*$G$150+(K75/100)*$G$151+(M75/100)*$G$152+(O75)*$G$153+(Q75*$G$154))</f>
        <v>191.27564769871125</v>
      </c>
    </row>
    <row r="76">
      <c r="B76">
        <v>59</v>
      </c>
      <c r="C76">
        <f>$I$13+B76</f>
        <v>39298</v>
      </c>
      <c r="E76">
        <f>IF($C$14*ReDiarioFert!C65&lt;=0,"0",$C$14*ReDiarioFert!C65)</f>
        <v>12.407678270716534</v>
      </c>
      <c r="G76">
        <f>$C$14*ReDiarioFert!E65</f>
        <v>5.8945216943096845</v>
      </c>
      <c r="I76">
        <f>$C$14*ReDiarioFert!G65</f>
        <v>7.127837535502903</v>
      </c>
      <c r="K76">
        <f>$C$14*ReDiarioFert!I65</f>
        <v>3.023357005985052</v>
      </c>
      <c r="M76">
        <f>$C$14*ReDiarioFert!K65</f>
        <v>8.30923016351072</v>
      </c>
      <c r="O76">
        <f>$C$14*ReDiarioFert!M65</f>
        <v>114.387443902439</v>
      </c>
      <c r="S76">
        <f>((E76/100)*$G$148+(G76/100)*$G$149+(I76/100)*$G$150+(K76/100)*$G$151+(M76/100)*$G$152+(O76)*$G$153+(Q76*$G$154))</f>
        <v>191.27564769871125</v>
      </c>
    </row>
    <row r="77">
      <c r="B77">
        <v>60</v>
      </c>
      <c r="C77">
        <f>$I$13+B77</f>
        <v>39299</v>
      </c>
      <c r="E77">
        <f>IF($C$14*ReDiarioFert!C66&lt;=0,"0",$C$14*ReDiarioFert!C66)</f>
        <v>12.407678270716534</v>
      </c>
      <c r="G77">
        <f>$C$14*ReDiarioFert!E66</f>
        <v>5.8945216943096845</v>
      </c>
      <c r="I77">
        <f>$C$14*ReDiarioFert!G66</f>
        <v>7.127837535502903</v>
      </c>
      <c r="K77">
        <f>$C$14*ReDiarioFert!I66</f>
        <v>3.023357005985052</v>
      </c>
      <c r="M77">
        <f>$C$14*ReDiarioFert!K66</f>
        <v>8.30923016351072</v>
      </c>
      <c r="O77">
        <f>$C$14*ReDiarioFert!M66</f>
        <v>114.387443902439</v>
      </c>
      <c r="S77">
        <f>((E77/100)*$G$148+(G77/100)*$G$149+(I77/100)*$G$150+(K77/100)*$G$151+(M77/100)*$G$152+(O77)*$G$153+(Q77*$G$154))</f>
        <v>191.27564769871125</v>
      </c>
    </row>
    <row r="78">
      <c r="B78">
        <v>61</v>
      </c>
      <c r="C78">
        <f>$I$13+B78</f>
        <v>39300</v>
      </c>
      <c r="E78">
        <f>IF($C$14*ReDiarioFert!C67&lt;=0,"0",$C$14*ReDiarioFert!C67)</f>
        <v>20.679463784527563</v>
      </c>
      <c r="G78">
        <f>$C$14*ReDiarioFert!E67</f>
        <v>7.89920282384947</v>
      </c>
      <c r="I78">
        <f>$C$14*ReDiarioFert!G67</f>
        <v>12.970562559171507</v>
      </c>
      <c r="K78">
        <f>$C$14*ReDiarioFert!I67</f>
        <v>5.038928343308419</v>
      </c>
      <c r="M78">
        <f>$C$14*ReDiarioFert!K67</f>
        <v>13.848716939184532</v>
      </c>
      <c r="O78">
        <f>$C$14*ReDiarioFert!M67</f>
        <v>114.387443902439</v>
      </c>
      <c r="S78">
        <f>((E78/100)*$G$148+(G78/100)*$G$149+(I78/100)*$G$150+(K78/100)*$G$151+(M78/100)*$G$152+(O78)*$G$153+(Q78*$G$154))</f>
        <v>298.3521506796407</v>
      </c>
    </row>
    <row r="79">
      <c r="B79">
        <v>62</v>
      </c>
      <c r="C79">
        <f>$I$13+B79</f>
        <v>39301</v>
      </c>
      <c r="E79">
        <f>IF($C$14*ReDiarioFert!C68&lt;=0,"0",$C$14*ReDiarioFert!C68)</f>
        <v>20.679463784527563</v>
      </c>
      <c r="G79">
        <f>$C$14*ReDiarioFert!E68</f>
        <v>7.89920282384947</v>
      </c>
      <c r="I79">
        <f>$C$14*ReDiarioFert!G68</f>
        <v>12.970562559171507</v>
      </c>
      <c r="K79">
        <f>$C$14*ReDiarioFert!I68</f>
        <v>5.038928343308419</v>
      </c>
      <c r="M79">
        <f>$C$14*ReDiarioFert!K68</f>
        <v>13.848716939184532</v>
      </c>
      <c r="O79">
        <f>$C$14*ReDiarioFert!M68</f>
        <v>114.387443902439</v>
      </c>
      <c r="S79">
        <f>((E79/100)*$G$148+(G79/100)*$G$149+(I79/100)*$G$150+(K79/100)*$G$151+(M79/100)*$G$152+(O79)*$G$153+(Q79*$G$154))</f>
        <v>298.3521506796407</v>
      </c>
    </row>
    <row r="80">
      <c r="B80">
        <v>63</v>
      </c>
      <c r="C80">
        <f>$I$13+B80</f>
        <v>39302</v>
      </c>
      <c r="E80">
        <f>IF($C$14*ReDiarioFert!C69&lt;=0,"0",$C$14*ReDiarioFert!C69)</f>
        <v>20.679463784527563</v>
      </c>
      <c r="G80">
        <f>$C$14*ReDiarioFert!E69</f>
        <v>7.89920282384947</v>
      </c>
      <c r="I80">
        <f>$C$14*ReDiarioFert!G69</f>
        <v>12.970562559171507</v>
      </c>
      <c r="K80">
        <f>$C$14*ReDiarioFert!I69</f>
        <v>5.038928343308419</v>
      </c>
      <c r="M80">
        <f>$C$14*ReDiarioFert!K69</f>
        <v>13.848716939184532</v>
      </c>
      <c r="O80">
        <f>$C$14*ReDiarioFert!M69</f>
        <v>144.2279863414634</v>
      </c>
      <c r="S80">
        <f>((E80/100)*$G$148+(G80/100)*$G$149+(I80/100)*$G$150+(K80/100)*$G$151+(M80/100)*$G$152+(O80)*$G$153+(Q80*$G$154))</f>
        <v>299.2951118207139</v>
      </c>
    </row>
    <row r="81">
      <c r="A81">
        <v>10</v>
      </c>
      <c r="B81">
        <v>64</v>
      </c>
      <c r="C81">
        <f>$I$13+B81</f>
        <v>39303</v>
      </c>
      <c r="E81">
        <f>IF($C$14*ReDiarioFert!C70&lt;=0,"0",$C$14*ReDiarioFert!C70)</f>
        <v>20.679463784527563</v>
      </c>
      <c r="G81">
        <f>$C$14*ReDiarioFert!E70</f>
        <v>7.89920282384947</v>
      </c>
      <c r="I81">
        <f>$C$14*ReDiarioFert!G70</f>
        <v>12.970562559171507</v>
      </c>
      <c r="K81">
        <f>$C$14*ReDiarioFert!I70</f>
        <v>5.038928343308419</v>
      </c>
      <c r="M81">
        <f>$C$14*ReDiarioFert!K70</f>
        <v>13.848716939184532</v>
      </c>
      <c r="O81">
        <f>$C$14*ReDiarioFert!M70</f>
        <v>144.2279863414634</v>
      </c>
      <c r="Q81">
        <f>$C$14*Main!$D$63</f>
        <v>20.019999999999996</v>
      </c>
      <c r="S81">
        <f>((E81/100)*$G$148+(G81/100)*$G$149+(I81/100)*$G$150+(K81/100)*$G$151+(M81/100)*$G$152+(O81)*$G$153+(Q81*$G$154))</f>
        <v>349.3451118207139</v>
      </c>
    </row>
    <row r="82">
      <c r="B82">
        <v>65</v>
      </c>
      <c r="C82">
        <f>$I$13+B82</f>
        <v>39304</v>
      </c>
      <c r="E82">
        <f>IF($C$14*ReDiarioFert!C71&lt;=0,"0",$C$14*ReDiarioFert!C71)</f>
        <v>20.679463784527563</v>
      </c>
      <c r="G82">
        <f>$C$14*ReDiarioFert!E71</f>
        <v>7.89920282384947</v>
      </c>
      <c r="I82">
        <f>$C$14*ReDiarioFert!G71</f>
        <v>12.970562559171507</v>
      </c>
      <c r="K82">
        <f>$C$14*ReDiarioFert!I71</f>
        <v>5.038928343308419</v>
      </c>
      <c r="M82">
        <f>$C$14*ReDiarioFert!K71</f>
        <v>13.848716939184532</v>
      </c>
      <c r="O82">
        <f>$C$14*ReDiarioFert!M71</f>
        <v>144.2279863414634</v>
      </c>
      <c r="S82">
        <f>((E82/100)*$G$148+(G82/100)*$G$149+(I82/100)*$G$150+(K82/100)*$G$151+(M82/100)*$G$152+(O82)*$G$153+(Q82*$G$154))</f>
        <v>299.2951118207139</v>
      </c>
    </row>
    <row r="83">
      <c r="B83">
        <v>66</v>
      </c>
      <c r="C83">
        <f>$I$13+B83</f>
        <v>39305</v>
      </c>
      <c r="E83">
        <f>IF($C$14*ReDiarioFert!C72&lt;=0,"0",$C$14*ReDiarioFert!C72)</f>
        <v>20.679463784527563</v>
      </c>
      <c r="G83">
        <f>$C$14*ReDiarioFert!E72</f>
        <v>7.89920282384947</v>
      </c>
      <c r="I83">
        <f>$C$14*ReDiarioFert!G72</f>
        <v>12.970562559171507</v>
      </c>
      <c r="K83">
        <f>$C$14*ReDiarioFert!I72</f>
        <v>5.038928343308419</v>
      </c>
      <c r="M83">
        <f>$C$14*ReDiarioFert!K72</f>
        <v>13.848716939184532</v>
      </c>
      <c r="O83">
        <f>$C$14*ReDiarioFert!M72</f>
        <v>144.2279863414634</v>
      </c>
      <c r="S83">
        <f>((E83/100)*$G$148+(G83/100)*$G$149+(I83/100)*$G$150+(K83/100)*$G$151+(M83/100)*$G$152+(O83)*$G$153+(Q83*$G$154))</f>
        <v>299.2951118207139</v>
      </c>
    </row>
    <row r="84">
      <c r="B84">
        <v>67</v>
      </c>
      <c r="C84">
        <f>$I$13+B84</f>
        <v>39306</v>
      </c>
      <c r="E84">
        <f>IF($C$14*ReDiarioFert!C73&lt;=0,"0",$C$14*ReDiarioFert!C73)</f>
        <v>20.679463784527563</v>
      </c>
      <c r="G84">
        <f>$C$14*ReDiarioFert!E73</f>
        <v>7.89920282384947</v>
      </c>
      <c r="I84">
        <f>$C$14*ReDiarioFert!G73</f>
        <v>12.970562559171507</v>
      </c>
      <c r="K84">
        <f>$C$14*ReDiarioFert!I73</f>
        <v>5.038928343308419</v>
      </c>
      <c r="M84">
        <f>$C$14*ReDiarioFert!K73</f>
        <v>13.848716939184532</v>
      </c>
      <c r="O84">
        <f>$C$14*ReDiarioFert!M73</f>
        <v>144.2279863414634</v>
      </c>
      <c r="S84">
        <f>((E84/100)*$G$148+(G84/100)*$G$149+(I84/100)*$G$150+(K84/100)*$G$151+(M84/100)*$G$152+(O84)*$G$153+(Q84*$G$154))</f>
        <v>299.2951118207139</v>
      </c>
    </row>
    <row r="85">
      <c r="B85">
        <v>68</v>
      </c>
      <c r="C85">
        <f>$I$13+B85</f>
        <v>39307</v>
      </c>
      <c r="E85">
        <f>IF($C$14*ReDiarioFert!C74&lt;=0,"0",$C$14*ReDiarioFert!C74)</f>
        <v>20.679463784527563</v>
      </c>
      <c r="G85">
        <f>$C$14*ReDiarioFert!E74</f>
        <v>7.89920282384947</v>
      </c>
      <c r="I85">
        <f>$C$14*ReDiarioFert!G74</f>
        <v>12.970562559171507</v>
      </c>
      <c r="K85">
        <f>$C$14*ReDiarioFert!I74</f>
        <v>5.038928343308419</v>
      </c>
      <c r="M85">
        <f>$C$14*ReDiarioFert!K74</f>
        <v>13.848716939184532</v>
      </c>
      <c r="O85">
        <f>$C$14*ReDiarioFert!M74</f>
        <v>144.2279863414634</v>
      </c>
      <c r="S85">
        <f>((E85/100)*$G$148+(G85/100)*$G$149+(I85/100)*$G$150+(K85/100)*$G$151+(M85/100)*$G$152+(O85)*$G$153+(Q85*$G$154))</f>
        <v>299.2951118207139</v>
      </c>
    </row>
    <row r="86">
      <c r="B86">
        <v>69</v>
      </c>
      <c r="C86">
        <f>$I$13+B86</f>
        <v>39308</v>
      </c>
      <c r="E86">
        <f>IF($C$14*ReDiarioFert!C75&lt;=0,"0",$C$14*ReDiarioFert!C75)</f>
        <v>20.679463784527563</v>
      </c>
      <c r="G86">
        <f>$C$14*ReDiarioFert!E75</f>
        <v>7.89920282384947</v>
      </c>
      <c r="I86">
        <f>$C$14*ReDiarioFert!G75</f>
        <v>12.970562559171507</v>
      </c>
      <c r="K86">
        <f>$C$14*ReDiarioFert!I75</f>
        <v>5.038928343308419</v>
      </c>
      <c r="M86">
        <f>$C$14*ReDiarioFert!K75</f>
        <v>13.848716939184532</v>
      </c>
      <c r="O86">
        <f>$C$14*ReDiarioFert!M75</f>
        <v>144.2279863414634</v>
      </c>
      <c r="S86">
        <f>((E86/100)*$G$148+(G86/100)*$G$149+(I86/100)*$G$150+(K86/100)*$G$151+(M86/100)*$G$152+(O86)*$G$153+(Q86*$G$154))</f>
        <v>299.2951118207139</v>
      </c>
    </row>
    <row r="87">
      <c r="B87">
        <v>70</v>
      </c>
      <c r="C87">
        <f>$I$13+B87</f>
        <v>39309</v>
      </c>
      <c r="E87">
        <f>IF($C$14*ReDiarioFert!C76&lt;=0,"0",$C$14*ReDiarioFert!C76)</f>
        <v>20.679463784527563</v>
      </c>
      <c r="G87">
        <f>$C$14*ReDiarioFert!E76</f>
        <v>7.89920282384947</v>
      </c>
      <c r="I87">
        <f>$C$14*ReDiarioFert!G76</f>
        <v>12.970562559171507</v>
      </c>
      <c r="K87">
        <f>$C$14*ReDiarioFert!I76</f>
        <v>5.038928343308419</v>
      </c>
      <c r="M87">
        <f>$C$14*ReDiarioFert!K76</f>
        <v>13.848716939184532</v>
      </c>
      <c r="O87">
        <f>$C$14*ReDiarioFert!M76</f>
        <v>144.2279863414634</v>
      </c>
      <c r="S87">
        <f>((E87/100)*$G$148+(G87/100)*$G$149+(I87/100)*$G$150+(K87/100)*$G$151+(M87/100)*$G$152+(O87)*$G$153+(Q87*$G$154))</f>
        <v>299.2951118207139</v>
      </c>
    </row>
    <row r="88">
      <c r="A88">
        <v>11</v>
      </c>
      <c r="B88">
        <v>71</v>
      </c>
      <c r="C88">
        <f>$I$13+B88</f>
        <v>39310</v>
      </c>
      <c r="E88">
        <f>IF($C$14*ReDiarioFert!C77&lt;=0,"0",$C$14*ReDiarioFert!C77)</f>
        <v>20.679463784527563</v>
      </c>
      <c r="G88">
        <f>$C$14*ReDiarioFert!E77</f>
        <v>7.89920282384947</v>
      </c>
      <c r="I88">
        <f>$C$14*ReDiarioFert!G77</f>
        <v>12.970562559171507</v>
      </c>
      <c r="K88">
        <f>$C$14*ReDiarioFert!I77</f>
        <v>5.038928343308419</v>
      </c>
      <c r="M88">
        <f>$C$14*ReDiarioFert!K77</f>
        <v>13.848716939184532</v>
      </c>
      <c r="O88">
        <f>$C$14*ReDiarioFert!M77</f>
        <v>144.2279863414634</v>
      </c>
      <c r="Q88">
        <f>$C$14*Main!$D$63</f>
        <v>20.019999999999996</v>
      </c>
      <c r="S88">
        <f>((E88/100)*$G$148+(G88/100)*$G$149+(I88/100)*$G$150+(K88/100)*$G$151+(M88/100)*$G$152+(O88)*$G$153+(Q88*$G$154))</f>
        <v>349.3451118207139</v>
      </c>
    </row>
    <row r="89">
      <c r="B89">
        <v>72</v>
      </c>
      <c r="C89">
        <f>$I$13+B89</f>
        <v>39311</v>
      </c>
      <c r="E89">
        <f>IF($C$14*ReDiarioFert!C78&lt;=0,"0",$C$14*ReDiarioFert!C78)</f>
        <v>20.679463784527563</v>
      </c>
      <c r="G89">
        <f>$C$14*ReDiarioFert!E78</f>
        <v>7.89920282384947</v>
      </c>
      <c r="I89">
        <f>$C$14*ReDiarioFert!G78</f>
        <v>12.970562559171507</v>
      </c>
      <c r="K89">
        <f>$C$14*ReDiarioFert!I78</f>
        <v>5.038928343308419</v>
      </c>
      <c r="M89">
        <f>$C$14*ReDiarioFert!K78</f>
        <v>13.848716939184532</v>
      </c>
      <c r="O89">
        <f>$C$14*ReDiarioFert!M78</f>
        <v>144.2279863414634</v>
      </c>
      <c r="S89">
        <f>((E89/100)*$G$148+(G89/100)*$G$149+(I89/100)*$G$150+(K89/100)*$G$151+(M89/100)*$G$152+(O89)*$G$153+(Q89*$G$154))</f>
        <v>299.2951118207139</v>
      </c>
    </row>
    <row r="90">
      <c r="B90">
        <v>73</v>
      </c>
      <c r="C90">
        <f>$I$13+B90</f>
        <v>39312</v>
      </c>
      <c r="E90">
        <f>IF($C$14*ReDiarioFert!C79&lt;=0,"0",$C$14*ReDiarioFert!C79)</f>
        <v>20.679463784527563</v>
      </c>
      <c r="G90">
        <f>$C$14*ReDiarioFert!E79</f>
        <v>7.89920282384947</v>
      </c>
      <c r="I90">
        <f>$C$14*ReDiarioFert!G79</f>
        <v>12.970562559171507</v>
      </c>
      <c r="K90">
        <f>$C$14*ReDiarioFert!I79</f>
        <v>5.038928343308419</v>
      </c>
      <c r="M90">
        <f>$C$14*ReDiarioFert!K79</f>
        <v>13.848716939184532</v>
      </c>
      <c r="O90">
        <f>$C$14*ReDiarioFert!M79</f>
        <v>144.2279863414634</v>
      </c>
      <c r="S90">
        <f>((E90/100)*$G$148+(G90/100)*$G$149+(I90/100)*$G$150+(K90/100)*$G$151+(M90/100)*$G$152+(O90)*$G$153+(Q90*$G$154))</f>
        <v>299.2951118207139</v>
      </c>
    </row>
    <row r="91">
      <c r="B91">
        <v>74</v>
      </c>
      <c r="C91">
        <f>$I$13+B91</f>
        <v>39313</v>
      </c>
      <c r="E91">
        <f>IF($C$14*ReDiarioFert!C80&lt;=0,"0",$C$14*ReDiarioFert!C80)</f>
        <v>20.679463784527563</v>
      </c>
      <c r="G91">
        <f>$C$14*ReDiarioFert!E80</f>
        <v>7.89920282384947</v>
      </c>
      <c r="I91">
        <f>$C$14*ReDiarioFert!G80</f>
        <v>12.970562559171507</v>
      </c>
      <c r="K91">
        <f>$C$14*ReDiarioFert!I80</f>
        <v>5.038928343308419</v>
      </c>
      <c r="M91">
        <f>$C$14*ReDiarioFert!K80</f>
        <v>13.848716939184532</v>
      </c>
      <c r="O91">
        <f>$C$14*ReDiarioFert!M80</f>
        <v>144.2279863414634</v>
      </c>
      <c r="S91">
        <f>((E91/100)*$G$148+(G91/100)*$G$149+(I91/100)*$G$150+(K91/100)*$G$151+(M91/100)*$G$152+(O91)*$G$153+(Q91*$G$154))</f>
        <v>299.2951118207139</v>
      </c>
    </row>
    <row r="92">
      <c r="B92">
        <v>75</v>
      </c>
      <c r="C92">
        <f>$I$13+B92</f>
        <v>39314</v>
      </c>
      <c r="E92">
        <f>IF($C$14*ReDiarioFert!C81&lt;=0,"0",$C$14*ReDiarioFert!C81)</f>
        <v>17.496862311720587</v>
      </c>
      <c r="G92">
        <f>$C$14*ReDiarioFert!E81</f>
        <v>7.89920282384947</v>
      </c>
      <c r="I92">
        <f>$C$14*ReDiarioFert!G81</f>
        <v>12.970562559171507</v>
      </c>
      <c r="K92">
        <f>$C$14*ReDiarioFert!I81</f>
        <v>5.038928343308419</v>
      </c>
      <c r="M92">
        <f>$C$14*ReDiarioFert!K81</f>
        <v>13.848716939184532</v>
      </c>
      <c r="O92">
        <f>$C$14*ReDiarioFert!M81</f>
        <v>144.2279863414634</v>
      </c>
      <c r="S92">
        <f>((E92/100)*$G$148+(G92/100)*$G$149+(I92/100)*$G$150+(K92/100)*$G$151+(M92/100)*$G$152+(O92)*$G$153+(Q92*$G$154))</f>
        <v>289.11078710773154</v>
      </c>
    </row>
    <row r="93">
      <c r="B93">
        <v>76</v>
      </c>
      <c r="C93">
        <f>$I$13+B93</f>
        <v>39315</v>
      </c>
      <c r="E93">
        <f>IF($C$14*ReDiarioFert!C82&lt;=0,"0",$C$14*ReDiarioFert!C82)</f>
        <v>17.496862311720587</v>
      </c>
      <c r="G93">
        <f>$C$14*ReDiarioFert!E82</f>
        <v>7.89920282384947</v>
      </c>
      <c r="I93">
        <f>$C$14*ReDiarioFert!G82</f>
        <v>12.970562559171507</v>
      </c>
      <c r="K93">
        <f>$C$14*ReDiarioFert!I82</f>
        <v>5.038928343308419</v>
      </c>
      <c r="M93">
        <f>$C$14*ReDiarioFert!K82</f>
        <v>13.848716939184532</v>
      </c>
      <c r="O93">
        <f>$C$14*ReDiarioFert!M82</f>
        <v>144.2279863414634</v>
      </c>
      <c r="S93">
        <f>((E93/100)*$G$148+(G93/100)*$G$149+(I93/100)*$G$150+(K93/100)*$G$151+(M93/100)*$G$152+(O93)*$G$153+(Q93*$G$154))</f>
        <v>289.11078710773154</v>
      </c>
    </row>
    <row r="94">
      <c r="B94">
        <v>77</v>
      </c>
      <c r="C94">
        <f>$I$13+B94</f>
        <v>39316</v>
      </c>
      <c r="E94">
        <f>IF($C$14*ReDiarioFert!C83&lt;=0,"0",$C$14*ReDiarioFert!C83)</f>
        <v>17.496862311720587</v>
      </c>
      <c r="G94">
        <f>$C$14*ReDiarioFert!E83</f>
        <v>7.89920282384947</v>
      </c>
      <c r="I94">
        <f>$C$14*ReDiarioFert!G83</f>
        <v>12.970562559171507</v>
      </c>
      <c r="K94">
        <f>$C$14*ReDiarioFert!I83</f>
        <v>5.038928343308419</v>
      </c>
      <c r="M94">
        <f>$C$14*ReDiarioFert!K83</f>
        <v>13.848716939184532</v>
      </c>
      <c r="O94">
        <f>$C$14*ReDiarioFert!M83</f>
        <v>144.2279863414634</v>
      </c>
      <c r="S94">
        <f>((E94/100)*$G$148+(G94/100)*$G$149+(I94/100)*$G$150+(K94/100)*$G$151+(M94/100)*$G$152+(O94)*$G$153+(Q94*$G$154))</f>
        <v>289.11078710773154</v>
      </c>
    </row>
    <row r="95">
      <c r="A95">
        <v>12</v>
      </c>
      <c r="B95">
        <v>78</v>
      </c>
      <c r="C95">
        <f>$I$13+B95</f>
        <v>39317</v>
      </c>
      <c r="E95">
        <f>IF($C$14*ReDiarioFert!C84&lt;=0,"0",$C$14*ReDiarioFert!C84)</f>
        <v>17.496862311720587</v>
      </c>
      <c r="G95">
        <f>$C$14*ReDiarioFert!E84</f>
        <v>7.89920282384947</v>
      </c>
      <c r="I95">
        <f>$C$14*ReDiarioFert!G84</f>
        <v>12.970562559171507</v>
      </c>
      <c r="K95">
        <f>$C$14*ReDiarioFert!I84</f>
        <v>5.038928343308419</v>
      </c>
      <c r="M95">
        <f>$C$14*ReDiarioFert!K84</f>
        <v>13.848716939184532</v>
      </c>
      <c r="O95">
        <f>$C$14*ReDiarioFert!M84</f>
        <v>144.2279863414634</v>
      </c>
      <c r="Q95">
        <f>$C$14*Main!$D$63</f>
        <v>20.019999999999996</v>
      </c>
      <c r="S95">
        <f>((E95/100)*$G$148+(G95/100)*$G$149+(I95/100)*$G$150+(K95/100)*$G$151+(M95/100)*$G$152+(O95)*$G$153+(Q95*$G$154))</f>
        <v>339.16078710773155</v>
      </c>
    </row>
    <row r="96">
      <c r="B96">
        <v>79</v>
      </c>
      <c r="C96">
        <f>$I$13+B96</f>
        <v>39318</v>
      </c>
      <c r="E96">
        <f>IF($C$14*ReDiarioFert!C85&lt;=0,"0",$C$14*ReDiarioFert!C85)</f>
        <v>17.496862311720587</v>
      </c>
      <c r="G96">
        <f>$C$14*ReDiarioFert!E85</f>
        <v>7.89920282384947</v>
      </c>
      <c r="I96">
        <f>$C$14*ReDiarioFert!G85</f>
        <v>12.970562559171507</v>
      </c>
      <c r="K96">
        <f>$C$14*ReDiarioFert!I85</f>
        <v>5.038928343308419</v>
      </c>
      <c r="M96">
        <f>$C$14*ReDiarioFert!K85</f>
        <v>13.848716939184532</v>
      </c>
      <c r="O96">
        <f>$C$14*ReDiarioFert!M85</f>
        <v>144.2279863414634</v>
      </c>
      <c r="S96">
        <f>((E96/100)*$G$148+(G96/100)*$G$149+(I96/100)*$G$150+(K96/100)*$G$151+(M96/100)*$G$152+(O96)*$G$153+(Q96*$G$154))</f>
        <v>289.11078710773154</v>
      </c>
    </row>
    <row r="97">
      <c r="B97">
        <v>80</v>
      </c>
      <c r="C97">
        <f>$I$13+B97</f>
        <v>39319</v>
      </c>
      <c r="E97">
        <f>IF($C$14*ReDiarioFert!C86&lt;=0,"0",$C$14*ReDiarioFert!C86)</f>
        <v>17.496862311720587</v>
      </c>
      <c r="G97">
        <f>$C$14*ReDiarioFert!E86</f>
        <v>7.89920282384947</v>
      </c>
      <c r="I97">
        <f>$C$14*ReDiarioFert!G86</f>
        <v>12.970562559171507</v>
      </c>
      <c r="K97">
        <f>$C$14*ReDiarioFert!I86</f>
        <v>5.038928343308419</v>
      </c>
      <c r="M97">
        <f>$C$14*ReDiarioFert!K86</f>
        <v>13.848716939184532</v>
      </c>
      <c r="O97">
        <f>$C$14*ReDiarioFert!M86</f>
        <v>144.2279863414634</v>
      </c>
      <c r="S97">
        <f>((E97/100)*$G$148+(G97/100)*$G$149+(I97/100)*$G$150+(K97/100)*$G$151+(M97/100)*$G$152+(O97)*$G$153+(Q97*$G$154))</f>
        <v>289.11078710773154</v>
      </c>
    </row>
    <row r="98">
      <c r="B98">
        <v>81</v>
      </c>
      <c r="C98">
        <f>$I$13+B98</f>
        <v>39320</v>
      </c>
      <c r="E98">
        <f>IF($C$14*ReDiarioFert!C87&lt;=0,"0",$C$14*ReDiarioFert!C87)</f>
        <v>17.496862311720587</v>
      </c>
      <c r="G98">
        <f>$C$14*ReDiarioFert!E87</f>
        <v>7.89920282384947</v>
      </c>
      <c r="I98">
        <f>$C$14*ReDiarioFert!G87</f>
        <v>12.970562559171507</v>
      </c>
      <c r="K98">
        <f>$C$14*ReDiarioFert!I87</f>
        <v>5.038928343308419</v>
      </c>
      <c r="M98">
        <f>$C$14*ReDiarioFert!K87</f>
        <v>13.848716939184532</v>
      </c>
      <c r="O98">
        <f>$C$14*ReDiarioFert!M87</f>
        <v>174.06804048780486</v>
      </c>
      <c r="S98">
        <f>((E98/100)*$G$148+(G98/100)*$G$149+(I98/100)*$G$150+(K98/100)*$G$151+(M98/100)*$G$152+(O98)*$G$153+(Q98*$G$154))</f>
        <v>290.0537328187559</v>
      </c>
    </row>
    <row r="99">
      <c r="B99">
        <v>82</v>
      </c>
      <c r="C99">
        <f>$I$13+B99</f>
        <v>39321</v>
      </c>
      <c r="E99">
        <f>IF($C$14*ReDiarioFert!C88&lt;=0,"0",$C$14*ReDiarioFert!C88)</f>
        <v>17.496862311720587</v>
      </c>
      <c r="G99">
        <f>$C$14*ReDiarioFert!E88</f>
        <v>7.89920282384947</v>
      </c>
      <c r="I99">
        <f>$C$14*ReDiarioFert!G88</f>
        <v>12.970562559171507</v>
      </c>
      <c r="K99">
        <f>$C$14*ReDiarioFert!I88</f>
        <v>5.038928343308419</v>
      </c>
      <c r="M99">
        <f>$C$14*ReDiarioFert!K88</f>
        <v>13.848716939184532</v>
      </c>
      <c r="O99">
        <f>$C$14*ReDiarioFert!M88</f>
        <v>174.06804048780486</v>
      </c>
      <c r="S99">
        <f>((E99/100)*$G$148+(G99/100)*$G$149+(I99/100)*$G$150+(K99/100)*$G$151+(M99/100)*$G$152+(O99)*$G$153+(Q99*$G$154))</f>
        <v>290.0537328187559</v>
      </c>
    </row>
    <row r="100">
      <c r="B100">
        <v>83</v>
      </c>
      <c r="C100">
        <f>$I$13+B100</f>
        <v>39322</v>
      </c>
      <c r="E100">
        <f>IF($C$14*ReDiarioFert!C89&lt;=0,"0",$C$14*ReDiarioFert!C89)</f>
        <v>17.496862311720587</v>
      </c>
      <c r="G100">
        <f>$C$14*ReDiarioFert!E89</f>
        <v>7.89920282384947</v>
      </c>
      <c r="I100">
        <f>$C$14*ReDiarioFert!G89</f>
        <v>12.970562559171507</v>
      </c>
      <c r="K100">
        <f>$C$14*ReDiarioFert!I89</f>
        <v>5.038928343308419</v>
      </c>
      <c r="M100">
        <f>$C$14*ReDiarioFert!K89</f>
        <v>13.848716939184532</v>
      </c>
      <c r="O100">
        <f>$C$14*ReDiarioFert!M89</f>
        <v>174.06804048780486</v>
      </c>
      <c r="S100">
        <f>((E100/100)*$G$148+(G100/100)*$G$149+(I100/100)*$G$150+(K100/100)*$G$151+(M100/100)*$G$152+(O100)*$G$153+(Q100*$G$154))</f>
        <v>290.0537328187559</v>
      </c>
    </row>
    <row r="101">
      <c r="B101">
        <v>84</v>
      </c>
      <c r="C101">
        <f>$I$13+B101</f>
        <v>39323</v>
      </c>
      <c r="E101">
        <f>IF($C$14*ReDiarioFert!C90&lt;=0,"0",$C$14*ReDiarioFert!C90)</f>
        <v>17.496862311720587</v>
      </c>
      <c r="G101">
        <f>$C$14*ReDiarioFert!E90</f>
        <v>7.89920282384947</v>
      </c>
      <c r="I101">
        <f>$C$14*ReDiarioFert!G90</f>
        <v>12.970562559171507</v>
      </c>
      <c r="K101">
        <f>$C$14*ReDiarioFert!I90</f>
        <v>5.038928343308419</v>
      </c>
      <c r="M101">
        <f>$C$14*ReDiarioFert!K90</f>
        <v>13.848716939184532</v>
      </c>
      <c r="O101">
        <f>$C$14*ReDiarioFert!M90</f>
        <v>174.06804048780486</v>
      </c>
      <c r="S101">
        <f>((E101/100)*$G$148+(G101/100)*$G$149+(I101/100)*$G$150+(K101/100)*$G$151+(M101/100)*$G$152+(O101)*$G$153+(Q101*$G$154))</f>
        <v>290.0537328187559</v>
      </c>
    </row>
    <row r="102" ht="18" customHeight="1">
      <c r="A102">
        <v>13</v>
      </c>
      <c r="B102">
        <v>85</v>
      </c>
      <c r="C102">
        <f>$I$13+B102</f>
        <v>39324</v>
      </c>
      <c r="E102">
        <f>IF($C$14*ReDiarioFert!C91&lt;=0,"0",$C$14*ReDiarioFert!C91)</f>
        <v>13.61238469978029</v>
      </c>
      <c r="G102">
        <f>$C$14*ReDiarioFert!E91</f>
        <v>7.89920282384947</v>
      </c>
      <c r="I102">
        <f>$C$14*ReDiarioFert!G91</f>
        <v>12.970562559171507</v>
      </c>
      <c r="K102">
        <f>$C$14*ReDiarioFert!I91</f>
        <v>5.038928343308419</v>
      </c>
      <c r="M102">
        <f>$C$14*ReDiarioFert!K91</f>
        <v>13.848716939184532</v>
      </c>
      <c r="O102">
        <f>$C$14*ReDiarioFert!M91</f>
        <v>174.06804048780486</v>
      </c>
      <c r="Q102">
        <f>$C$14*Main!$D$63</f>
        <v>20.019999999999996</v>
      </c>
      <c r="S102">
        <f>((E102/100)*$G$148+(G102/100)*$G$149+(I102/100)*$G$150+(K102/100)*$G$151+(M102/100)*$G$152+(O102)*$G$153+(Q102*$G$154))</f>
        <v>327.673404460547</v>
      </c>
    </row>
    <row r="103" ht="18" customHeight="1">
      <c r="B103">
        <v>86</v>
      </c>
      <c r="C103">
        <f>$I$13+B103</f>
        <v>39325</v>
      </c>
      <c r="E103">
        <f>IF($C$14*ReDiarioFert!C92&lt;=0,"0",$C$14*ReDiarioFert!C92)</f>
        <v>13.61238469978029</v>
      </c>
      <c r="G103">
        <f>$C$14*ReDiarioFert!E92</f>
        <v>7.89920282384947</v>
      </c>
      <c r="I103">
        <f>$C$14*ReDiarioFert!G92</f>
        <v>12.970562559171507</v>
      </c>
      <c r="K103">
        <f>$C$14*ReDiarioFert!I92</f>
        <v>5.038928343308419</v>
      </c>
      <c r="M103">
        <f>$C$14*ReDiarioFert!K92</f>
        <v>13.848716939184532</v>
      </c>
      <c r="O103">
        <f>$C$14*ReDiarioFert!M92</f>
        <v>174.06804048780486</v>
      </c>
      <c r="S103">
        <f>((E103/100)*$G$148+(G103/100)*$G$149+(I103/100)*$G$150+(K103/100)*$G$151+(M103/100)*$G$152+(O103)*$G$153+(Q103*$G$154))</f>
        <v>277.62340446054696</v>
      </c>
    </row>
    <row r="104" ht="18" customHeight="1">
      <c r="B104">
        <v>87</v>
      </c>
      <c r="C104">
        <f>$I$13+B104</f>
        <v>39326</v>
      </c>
      <c r="E104">
        <f>IF($C$14*ReDiarioFert!C93&lt;=0,"0",$C$14*ReDiarioFert!C93)</f>
        <v>13.61238469978029</v>
      </c>
      <c r="G104">
        <f>$C$14*ReDiarioFert!E93</f>
        <v>7.89920282384947</v>
      </c>
      <c r="I104">
        <f>$C$14*ReDiarioFert!G93</f>
        <v>12.970562559171507</v>
      </c>
      <c r="K104">
        <f>$C$14*ReDiarioFert!I93</f>
        <v>5.038928343308419</v>
      </c>
      <c r="M104">
        <f>$C$14*ReDiarioFert!K93</f>
        <v>13.848716939184532</v>
      </c>
      <c r="O104">
        <f>$C$14*ReDiarioFert!M93</f>
        <v>174.06804048780486</v>
      </c>
      <c r="S104">
        <f>((E104/100)*$G$148+(G104/100)*$G$149+(I104/100)*$G$150+(K104/100)*$G$151+(M104/100)*$G$152+(O104)*$G$153+(Q104*$G$154))</f>
        <v>277.62340446054696</v>
      </c>
    </row>
    <row r="105" ht="18" customHeight="1">
      <c r="B105">
        <v>88</v>
      </c>
      <c r="C105">
        <f>$I$13+B105</f>
        <v>39327</v>
      </c>
      <c r="E105">
        <f>IF($C$14*ReDiarioFert!C94&lt;=0,"0",$C$14*ReDiarioFert!C94)</f>
        <v>13.61238469978029</v>
      </c>
      <c r="G105">
        <f>$C$14*ReDiarioFert!E94</f>
        <v>7.89920282384947</v>
      </c>
      <c r="I105">
        <f>$C$14*ReDiarioFert!G94</f>
        <v>12.970562559171507</v>
      </c>
      <c r="K105">
        <f>$C$14*ReDiarioFert!I94</f>
        <v>5.038928343308419</v>
      </c>
      <c r="M105">
        <f>$C$14*ReDiarioFert!K94</f>
        <v>13.848716939184532</v>
      </c>
      <c r="O105">
        <f>$C$14*ReDiarioFert!M94</f>
        <v>174.06804048780486</v>
      </c>
      <c r="S105">
        <f>((E105/100)*$G$148+(G105/100)*$G$149+(I105/100)*$G$150+(K105/100)*$G$151+(M105/100)*$G$152+(O105)*$G$153+(Q105*$G$154))</f>
        <v>277.62340446054696</v>
      </c>
    </row>
    <row r="106" ht="18" customHeight="1">
      <c r="B106">
        <v>89</v>
      </c>
      <c r="C106">
        <f>$I$13+B106</f>
        <v>39328</v>
      </c>
      <c r="E106">
        <f>IF($C$14*ReDiarioFert!C95&lt;=0,"0",$C$14*ReDiarioFert!C95)</f>
        <v>13.61238469978029</v>
      </c>
      <c r="G106">
        <f>$C$14*ReDiarioFert!E95</f>
        <v>7.89920282384947</v>
      </c>
      <c r="I106">
        <f>$C$14*ReDiarioFert!G95</f>
        <v>12.970562559171507</v>
      </c>
      <c r="K106">
        <f>$C$14*ReDiarioFert!I95</f>
        <v>5.038928343308419</v>
      </c>
      <c r="M106">
        <f>$C$14*ReDiarioFert!K95</f>
        <v>13.848716939184532</v>
      </c>
      <c r="O106">
        <f>$C$14*ReDiarioFert!M95</f>
        <v>174.06804048780486</v>
      </c>
      <c r="S106">
        <f>((E106/100)*$G$148+(G106/100)*$G$149+(I106/100)*$G$150+(K106/100)*$G$151+(M106/100)*$G$152+(O106)*$G$153+(Q106*$G$154))</f>
        <v>277.62340446054696</v>
      </c>
    </row>
    <row r="107" ht="18" customHeight="1">
      <c r="B107">
        <v>90</v>
      </c>
      <c r="C107">
        <f>$I$13+B107</f>
        <v>39329</v>
      </c>
      <c r="E107">
        <f>IF($C$14*ReDiarioFert!C96&lt;=0,"0",$C$14*ReDiarioFert!C96)</f>
        <v>13.61238469978029</v>
      </c>
      <c r="G107">
        <f>$C$14*ReDiarioFert!E96</f>
        <v>7.89920282384947</v>
      </c>
      <c r="I107">
        <f>$C$14*ReDiarioFert!G96</f>
        <v>12.970562559171507</v>
      </c>
      <c r="K107">
        <f>$C$14*ReDiarioFert!I96</f>
        <v>5.038928343308419</v>
      </c>
      <c r="M107">
        <f>$C$14*ReDiarioFert!K96</f>
        <v>13.848716939184532</v>
      </c>
      <c r="O107">
        <f>$C$14*ReDiarioFert!M96</f>
        <v>174.06804048780486</v>
      </c>
      <c r="S107">
        <f>((E107/100)*$G$148+(G107/100)*$G$149+(I107/100)*$G$150+(K107/100)*$G$151+(M107/100)*$G$152+(O107)*$G$153+(Q107*$G$154))</f>
        <v>277.62340446054696</v>
      </c>
    </row>
    <row r="108" ht="18" customHeight="1">
      <c r="B108">
        <v>91</v>
      </c>
      <c r="C108">
        <f>$I$13+B108</f>
        <v>39330</v>
      </c>
      <c r="E108">
        <f>IF($C$14*ReDiarioFert!C97&lt;=0,"0",$C$14*ReDiarioFert!C97)</f>
        <v>13.61238469978029</v>
      </c>
      <c r="G108">
        <f>$C$14*ReDiarioFert!E97</f>
        <v>7.89920282384947</v>
      </c>
      <c r="I108">
        <f>$C$14*ReDiarioFert!G97</f>
        <v>12.970562559171507</v>
      </c>
      <c r="K108">
        <f>$C$14*ReDiarioFert!I97</f>
        <v>5.038928343308419</v>
      </c>
      <c r="M108">
        <f>$C$14*ReDiarioFert!K97</f>
        <v>13.848716939184532</v>
      </c>
      <c r="O108">
        <f>$C$14*ReDiarioFert!M97</f>
        <v>174.06804048780486</v>
      </c>
      <c r="S108">
        <f>((E108/100)*$G$148+(G108/100)*$G$149+(I108/100)*$G$150+(K108/100)*$G$151+(M108/100)*$G$152+(O108)*$G$153+(Q108*$G$154))</f>
        <v>277.62340446054696</v>
      </c>
    </row>
    <row r="109">
      <c r="A109">
        <v>14</v>
      </c>
      <c r="B109">
        <v>92</v>
      </c>
      <c r="C109">
        <f>$I$13+B109</f>
        <v>39331</v>
      </c>
      <c r="E109">
        <f>IF($C$14*ReDiarioFert!C98&lt;=0,"0",$C$14*ReDiarioFert!C98)</f>
        <v>10.295211138586257</v>
      </c>
      <c r="G109">
        <f>$C$14*ReDiarioFert!E98</f>
        <v>7.89920282384947</v>
      </c>
      <c r="I109">
        <f>$C$14*ReDiarioFert!G98</f>
        <v>12.970562559171507</v>
      </c>
      <c r="K109">
        <f>$C$14*ReDiarioFert!I98</f>
        <v>5.038928343308419</v>
      </c>
      <c r="M109">
        <f>$C$14*ReDiarioFert!K98</f>
        <v>13.848716939184532</v>
      </c>
      <c r="O109">
        <f>$C$14*ReDiarioFert!M98</f>
        <v>174.06804048780486</v>
      </c>
      <c r="Q109">
        <f>$C$14*Main!$D$63</f>
        <v>20.019999999999996</v>
      </c>
      <c r="S109">
        <f>((E109/100)*$G$148+(G109/100)*$G$149+(I109/100)*$G$150+(K109/100)*$G$151+(M109/100)*$G$152+(O109)*$G$153+(Q109*$G$154))</f>
        <v>317.05844906472606</v>
      </c>
    </row>
    <row r="110">
      <c r="B110">
        <v>93</v>
      </c>
      <c r="C110">
        <f>$I$13+B110</f>
        <v>39332</v>
      </c>
      <c r="E110">
        <f>IF($C$14*ReDiarioFert!C99&lt;=0,"0",$C$14*ReDiarioFert!C99)</f>
        <v>10.295211138586257</v>
      </c>
      <c r="G110">
        <f>$C$14*ReDiarioFert!E99</f>
        <v>7.89920282384947</v>
      </c>
      <c r="I110">
        <f>$C$14*ReDiarioFert!G99</f>
        <v>12.970562559171507</v>
      </c>
      <c r="K110">
        <f>$C$14*ReDiarioFert!I99</f>
        <v>5.038928343308419</v>
      </c>
      <c r="M110">
        <f>$C$14*ReDiarioFert!K99</f>
        <v>13.848716939184532</v>
      </c>
      <c r="O110">
        <f>$C$14*ReDiarioFert!M99</f>
        <v>174.06804048780486</v>
      </c>
      <c r="S110">
        <f>((E110/100)*$G$148+(G110/100)*$G$149+(I110/100)*$G$150+(K110/100)*$G$151+(M110/100)*$G$152+(O110)*$G$153+(Q110*$G$154))</f>
        <v>267.00844906472605</v>
      </c>
    </row>
    <row r="111">
      <c r="B111">
        <v>94</v>
      </c>
      <c r="C111">
        <f>$I$13+B111</f>
        <v>39333</v>
      </c>
      <c r="E111">
        <f>IF($C$14*ReDiarioFert!C100&lt;=0,"0",$C$14*ReDiarioFert!C100)</f>
        <v>10.295211138586257</v>
      </c>
      <c r="G111">
        <f>$C$14*ReDiarioFert!E100</f>
        <v>7.89920282384947</v>
      </c>
      <c r="I111">
        <f>$C$14*ReDiarioFert!G100</f>
        <v>12.970562559171507</v>
      </c>
      <c r="K111">
        <f>$C$14*ReDiarioFert!I100</f>
        <v>5.038928343308419</v>
      </c>
      <c r="M111">
        <f>$C$14*ReDiarioFert!K100</f>
        <v>13.848716939184532</v>
      </c>
      <c r="O111">
        <f>$C$14*ReDiarioFert!M100</f>
        <v>174.06804048780486</v>
      </c>
      <c r="S111">
        <f>((E111/100)*$G$148+(G111/100)*$G$149+(I111/100)*$G$150+(K111/100)*$G$151+(M111/100)*$G$152+(O111)*$G$153+(Q111*$G$154))</f>
        <v>267.00844906472605</v>
      </c>
    </row>
    <row r="112">
      <c r="B112">
        <v>95</v>
      </c>
      <c r="C112">
        <f>$I$13+B112</f>
        <v>39334</v>
      </c>
      <c r="E112">
        <f>IF($C$14*ReDiarioFert!C101&lt;=0,"0",$C$14*ReDiarioFert!C101)</f>
        <v>10.295211138586257</v>
      </c>
      <c r="G112">
        <f>$C$14*ReDiarioFert!E101</f>
        <v>7.89920282384947</v>
      </c>
      <c r="I112">
        <f>$C$14*ReDiarioFert!G101</f>
        <v>12.970562559171507</v>
      </c>
      <c r="K112">
        <f>$C$14*ReDiarioFert!I101</f>
        <v>5.038928343308419</v>
      </c>
      <c r="M112">
        <f>$C$14*ReDiarioFert!K101</f>
        <v>13.848716939184532</v>
      </c>
      <c r="O112">
        <f>$C$14*ReDiarioFert!M101</f>
        <v>174.06804048780486</v>
      </c>
      <c r="S112">
        <f>((E112/100)*$G$148+(G112/100)*$G$149+(I112/100)*$G$150+(K112/100)*$G$151+(M112/100)*$G$152+(O112)*$G$153+(Q112*$G$154))</f>
        <v>267.00844906472605</v>
      </c>
    </row>
    <row r="113">
      <c r="B113">
        <v>96</v>
      </c>
      <c r="C113">
        <f>$I$13+B113</f>
        <v>39335</v>
      </c>
      <c r="E113">
        <f>IF($C$14*ReDiarioFert!C102&lt;=0,"0",$C$14*ReDiarioFert!C102)</f>
        <v>10.295211138586257</v>
      </c>
      <c r="G113">
        <f>$C$14*ReDiarioFert!E102</f>
        <v>7.89920282384947</v>
      </c>
      <c r="I113">
        <f>$C$14*ReDiarioFert!G102</f>
        <v>12.970562559171507</v>
      </c>
      <c r="K113">
        <f>$C$14*ReDiarioFert!I102</f>
        <v>5.038928343308419</v>
      </c>
      <c r="M113">
        <f>$C$14*ReDiarioFert!K102</f>
        <v>13.848716939184532</v>
      </c>
      <c r="O113">
        <f>$C$14*ReDiarioFert!M102</f>
        <v>174.06804048780486</v>
      </c>
      <c r="S113">
        <f>((E113/100)*$G$148+(G113/100)*$G$149+(I113/100)*$G$150+(K113/100)*$G$151+(M113/100)*$G$152+(O113)*$G$153+(Q113*$G$154))</f>
        <v>267.00844906472605</v>
      </c>
    </row>
    <row r="114">
      <c r="B114">
        <v>97</v>
      </c>
      <c r="C114">
        <f>$I$13+B114</f>
        <v>39336</v>
      </c>
      <c r="E114">
        <f>IF($C$14*ReDiarioFert!C103&lt;=0,"0",$C$14*ReDiarioFert!C103)</f>
        <v>10.295211138586257</v>
      </c>
      <c r="G114">
        <f>$C$14*ReDiarioFert!E103</f>
        <v>7.89920282384947</v>
      </c>
      <c r="I114">
        <f>$C$14*ReDiarioFert!G103</f>
        <v>12.970562559171507</v>
      </c>
      <c r="K114">
        <f>$C$14*ReDiarioFert!I103</f>
        <v>5.038928343308419</v>
      </c>
      <c r="M114">
        <f>$C$14*ReDiarioFert!K103</f>
        <v>13.848716939184532</v>
      </c>
      <c r="O114">
        <f>$C$14*ReDiarioFert!M103</f>
        <v>174.06804048780486</v>
      </c>
      <c r="S114">
        <f>((E114/100)*$G$148+(G114/100)*$G$149+(I114/100)*$G$150+(K114/100)*$G$151+(M114/100)*$G$152+(O114)*$G$153+(Q114*$G$154))</f>
        <v>267.00844906472605</v>
      </c>
    </row>
    <row r="115">
      <c r="B115">
        <v>98</v>
      </c>
      <c r="C115">
        <f>$I$13+B115</f>
        <v>39337</v>
      </c>
      <c r="E115">
        <f>IF($C$14*ReDiarioFert!C104&lt;=0,"0",$C$14*ReDiarioFert!C104)</f>
        <v>10.295211138586257</v>
      </c>
      <c r="G115">
        <f>$C$14*ReDiarioFert!E104</f>
        <v>7.89920282384947</v>
      </c>
      <c r="I115">
        <f>$C$14*ReDiarioFert!G104</f>
        <v>12.970562559171507</v>
      </c>
      <c r="K115">
        <f>$C$14*ReDiarioFert!I104</f>
        <v>5.038928343308419</v>
      </c>
      <c r="M115">
        <f>$C$14*ReDiarioFert!K104</f>
        <v>13.848716939184532</v>
      </c>
      <c r="O115">
        <f>$C$14*ReDiarioFert!M104</f>
        <v>174.06804048780486</v>
      </c>
      <c r="S115">
        <f>((E115/100)*$G$148+(G115/100)*$G$149+(I115/100)*$G$150+(K115/100)*$G$151+(M115/100)*$G$152+(O115)*$G$153+(Q115*$G$154))</f>
        <v>267.00844906472605</v>
      </c>
    </row>
    <row r="116">
      <c r="A116">
        <v>15</v>
      </c>
      <c r="B116">
        <v>99</v>
      </c>
      <c r="C116">
        <f>$I$13+B116</f>
        <v>39338</v>
      </c>
      <c r="E116">
        <f>IF($C$14*ReDiarioFert!C105&lt;=0,"0",$C$14*ReDiarioFert!C105)</f>
        <v>7.38206657589969</v>
      </c>
      <c r="G116">
        <f>$C$14*ReDiarioFert!E105</f>
        <v>7.89920282384947</v>
      </c>
      <c r="I116">
        <f>$C$14*ReDiarioFert!G105</f>
        <v>12.970562559171507</v>
      </c>
      <c r="K116">
        <f>$C$14*ReDiarioFert!I105</f>
        <v>5.038928343308419</v>
      </c>
      <c r="M116">
        <f>$C$14*ReDiarioFert!K105</f>
        <v>13.848716939184532</v>
      </c>
      <c r="O116">
        <f>$C$14*ReDiarioFert!M105</f>
        <v>174.06804048780486</v>
      </c>
      <c r="Q116">
        <f>$C$14*Main!$D$63</f>
        <v>20.019999999999996</v>
      </c>
      <c r="S116">
        <f>((E116/100)*$G$148+(G116/100)*$G$149+(I116/100)*$G$150+(K116/100)*$G$151+(M116/100)*$G$152+(O116)*$G$153+(Q116*$G$154))</f>
        <v>307.73638646412905</v>
      </c>
    </row>
    <row r="117">
      <c r="B117">
        <v>100</v>
      </c>
      <c r="C117">
        <f>$I$13+B117</f>
        <v>39339</v>
      </c>
      <c r="E117">
        <f>IF($C$14*ReDiarioFert!C106&lt;=0,"0",$C$14*ReDiarioFert!C106)</f>
        <v>7.38206657589969</v>
      </c>
      <c r="G117">
        <f>$C$14*ReDiarioFert!E106</f>
        <v>7.89920282384947</v>
      </c>
      <c r="I117">
        <f>$C$14*ReDiarioFert!G106</f>
        <v>12.970562559171507</v>
      </c>
      <c r="K117">
        <f>$C$14*ReDiarioFert!I106</f>
        <v>5.038928343308419</v>
      </c>
      <c r="M117">
        <f>$C$14*ReDiarioFert!K106</f>
        <v>13.848716939184532</v>
      </c>
      <c r="O117">
        <f>$C$14*ReDiarioFert!M106</f>
        <v>174.06804048780486</v>
      </c>
      <c r="S117">
        <f>((E117/100)*$G$148+(G117/100)*$G$149+(I117/100)*$G$150+(K117/100)*$G$151+(M117/100)*$G$152+(O117)*$G$153+(Q117*$G$154))</f>
        <v>257.68638646412904</v>
      </c>
    </row>
    <row r="118">
      <c r="B118">
        <v>101</v>
      </c>
      <c r="C118">
        <f>$I$13+B118</f>
        <v>39340</v>
      </c>
      <c r="E118">
        <f>IF($C$14*ReDiarioFert!C107&lt;=0,"0",$C$14*ReDiarioFert!C107)</f>
        <v>7.38206657589969</v>
      </c>
      <c r="G118">
        <f>$C$14*ReDiarioFert!E107</f>
        <v>7.89920282384947</v>
      </c>
      <c r="I118">
        <f>$C$14*ReDiarioFert!G107</f>
        <v>12.970562559171507</v>
      </c>
      <c r="K118">
        <f>$C$14*ReDiarioFert!I107</f>
        <v>5.038928343308419</v>
      </c>
      <c r="M118">
        <f>$C$14*ReDiarioFert!K107</f>
        <v>13.848716939184532</v>
      </c>
      <c r="O118">
        <f>$C$14*ReDiarioFert!M107</f>
        <v>174.06804048780486</v>
      </c>
      <c r="S118">
        <f>((E118/100)*$G$148+(G118/100)*$G$149+(I118/100)*$G$150+(K118/100)*$G$151+(M118/100)*$G$152+(O118)*$G$153+(Q118*$G$154))</f>
        <v>257.68638646412904</v>
      </c>
    </row>
    <row r="119">
      <c r="B119">
        <v>102</v>
      </c>
      <c r="C119">
        <f>$I$13+B119</f>
        <v>39341</v>
      </c>
      <c r="E119">
        <f>IF($C$14*ReDiarioFert!C108&lt;=0,"0",$C$14*ReDiarioFert!C108)</f>
        <v>7.38206657589969</v>
      </c>
      <c r="G119">
        <f>$C$14*ReDiarioFert!E108</f>
        <v>7.89920282384947</v>
      </c>
      <c r="I119">
        <f>$C$14*ReDiarioFert!G108</f>
        <v>12.970562559171507</v>
      </c>
      <c r="K119">
        <f>$C$14*ReDiarioFert!I108</f>
        <v>5.038928343308419</v>
      </c>
      <c r="M119">
        <f>$C$14*ReDiarioFert!K108</f>
        <v>13.848716939184532</v>
      </c>
      <c r="O119">
        <f>$C$14*ReDiarioFert!M108</f>
        <v>174.06804048780486</v>
      </c>
      <c r="S119">
        <f>((E119/100)*$G$148+(G119/100)*$G$149+(I119/100)*$G$150+(K119/100)*$G$151+(M119/100)*$G$152+(O119)*$G$153+(Q119*$G$154))</f>
        <v>257.68638646412904</v>
      </c>
    </row>
    <row r="120">
      <c r="B120">
        <v>103</v>
      </c>
      <c r="C120">
        <f>$I$13+B120</f>
        <v>39342</v>
      </c>
      <c r="E120">
        <f>IF($C$14*ReDiarioFert!C109&lt;=0,"0",$C$14*ReDiarioFert!C109)</f>
        <v>7.38206657589969</v>
      </c>
      <c r="G120">
        <f>$C$14*ReDiarioFert!E109</f>
        <v>7.89920282384947</v>
      </c>
      <c r="I120">
        <f>$C$14*ReDiarioFert!G109</f>
        <v>12.970562559171507</v>
      </c>
      <c r="K120">
        <f>$C$14*ReDiarioFert!I109</f>
        <v>5.038928343308419</v>
      </c>
      <c r="M120">
        <f>$C$14*ReDiarioFert!K109</f>
        <v>13.848716939184532</v>
      </c>
      <c r="O120">
        <f>$C$14*ReDiarioFert!M109</f>
        <v>174.06804048780486</v>
      </c>
      <c r="S120">
        <f>((E120/100)*$G$148+(G120/100)*$G$149+(I120/100)*$G$150+(K120/100)*$G$151+(M120/100)*$G$152+(O120)*$G$153+(Q120*$G$154))</f>
        <v>257.68638646412904</v>
      </c>
    </row>
    <row r="121">
      <c r="B121">
        <v>104</v>
      </c>
      <c r="C121">
        <f>$I$13+B121</f>
        <v>39343</v>
      </c>
      <c r="E121">
        <f>IF($C$14*ReDiarioFert!C110&lt;=0,"0",$C$14*ReDiarioFert!C110)</f>
        <v>7.38206657589969</v>
      </c>
      <c r="G121">
        <f>$C$14*ReDiarioFert!E110</f>
        <v>7.89920282384947</v>
      </c>
      <c r="I121">
        <f>$C$14*ReDiarioFert!G110</f>
        <v>12.970562559171507</v>
      </c>
      <c r="K121">
        <f>$C$14*ReDiarioFert!I110</f>
        <v>5.038928343308419</v>
      </c>
      <c r="M121">
        <f>$C$14*ReDiarioFert!K110</f>
        <v>13.848716939184532</v>
      </c>
      <c r="O121">
        <f>$C$14*ReDiarioFert!M110</f>
        <v>174.06804048780486</v>
      </c>
      <c r="S121">
        <f>((E121/100)*$G$148+(G121/100)*$G$149+(I121/100)*$G$150+(K121/100)*$G$151+(M121/100)*$G$152+(O121)*$G$153+(Q121*$G$154))</f>
        <v>257.68638646412904</v>
      </c>
    </row>
    <row r="122">
      <c r="B122">
        <v>105</v>
      </c>
      <c r="C122">
        <f>$I$13+B122</f>
        <v>39344</v>
      </c>
      <c r="E122">
        <f>IF($C$14*ReDiarioFert!C111&lt;=0,"0",$C$14*ReDiarioFert!C111)</f>
        <v>7.38206657589969</v>
      </c>
      <c r="G122">
        <f>$C$14*ReDiarioFert!E111</f>
        <v>7.89920282384947</v>
      </c>
      <c r="I122">
        <f>$C$14*ReDiarioFert!G111</f>
        <v>12.970562559171507</v>
      </c>
      <c r="K122">
        <f>$C$14*ReDiarioFert!I111</f>
        <v>5.038928343308419</v>
      </c>
      <c r="M122">
        <f>$C$14*ReDiarioFert!K111</f>
        <v>13.848716939184532</v>
      </c>
      <c r="O122">
        <f>$C$14*ReDiarioFert!M111</f>
        <v>174.06804048780486</v>
      </c>
      <c r="S122">
        <f>((E122/100)*$G$148+(G122/100)*$G$149+(I122/100)*$G$150+(K122/100)*$G$151+(M122/100)*$G$152+(O122)*$G$153+(Q122*$G$154))</f>
        <v>257.68638646412904</v>
      </c>
    </row>
    <row r="123">
      <c r="A123">
        <v>16</v>
      </c>
      <c r="B123">
        <v>106</v>
      </c>
      <c r="C123">
        <f>$I$13+B123</f>
        <v>39345</v>
      </c>
      <c r="E123">
        <f>IF($C$14*ReDiarioFert!C112&lt;=0,"0",$C$14*ReDiarioFert!C112)</f>
        <v>7.38206657589969</v>
      </c>
      <c r="G123">
        <f>$C$14*ReDiarioFert!E112</f>
        <v>7.89920282384947</v>
      </c>
      <c r="I123">
        <f>$C$14*ReDiarioFert!G112</f>
        <v>12.970562559171507</v>
      </c>
      <c r="K123">
        <f>$C$14*ReDiarioFert!I112</f>
        <v>5.038928343308419</v>
      </c>
      <c r="M123">
        <f>$C$14*ReDiarioFert!K112</f>
        <v>13.848716939184532</v>
      </c>
      <c r="O123">
        <f>$C$14*ReDiarioFert!M112</f>
        <v>174.06804048780486</v>
      </c>
      <c r="Q123">
        <f>$C$14*Main!$D$63</f>
        <v>20.019999999999996</v>
      </c>
      <c r="S123">
        <f>((E123/100)*$G$148+(G123/100)*$G$149+(I123/100)*$G$150+(K123/100)*$G$151+(M123/100)*$G$152+(O123)*$G$153+(Q123*$G$154))</f>
        <v>307.73638646412905</v>
      </c>
    </row>
    <row r="124">
      <c r="B124">
        <v>107</v>
      </c>
      <c r="C124">
        <f>$I$13+B124</f>
        <v>39346</v>
      </c>
      <c r="E124">
        <f>IF($C$14*ReDiarioFert!C113&lt;=0,"0",$C$14*ReDiarioFert!C113)</f>
        <v>7.38206657589969</v>
      </c>
      <c r="G124">
        <f>$C$14*ReDiarioFert!E113</f>
        <v>7.89920282384947</v>
      </c>
      <c r="I124">
        <f>$C$14*ReDiarioFert!G113</f>
        <v>12.970562559171507</v>
      </c>
      <c r="K124">
        <f>$C$14*ReDiarioFert!I113</f>
        <v>5.038928343308419</v>
      </c>
      <c r="M124">
        <f>$C$14*ReDiarioFert!K113</f>
        <v>13.848716939184532</v>
      </c>
      <c r="O124">
        <f>$C$14*ReDiarioFert!M113</f>
        <v>174.06804048780486</v>
      </c>
      <c r="S124">
        <f>((E124/100)*$G$148+(G124/100)*$G$149+(I124/100)*$G$150+(K124/100)*$G$151+(M124/100)*$G$152+(O124)*$G$153+(Q124*$G$154))</f>
        <v>257.68638646412904</v>
      </c>
    </row>
    <row r="125">
      <c r="B125">
        <v>108</v>
      </c>
      <c r="C125">
        <f>$I$13+B125</f>
        <v>39347</v>
      </c>
      <c r="E125">
        <f>IF($C$14*ReDiarioFert!C114&lt;=0,"0",$C$14*ReDiarioFert!C114)</f>
        <v>7.38206657589969</v>
      </c>
      <c r="G125">
        <f>$C$14*ReDiarioFert!E114</f>
        <v>7.89920282384947</v>
      </c>
      <c r="I125">
        <f>$C$14*ReDiarioFert!G114</f>
        <v>12.970562559171507</v>
      </c>
      <c r="K125">
        <f>$C$14*ReDiarioFert!I114</f>
        <v>5.038928343308419</v>
      </c>
      <c r="M125">
        <f>$C$14*ReDiarioFert!K114</f>
        <v>13.848716939184532</v>
      </c>
      <c r="O125">
        <f>$C$14*ReDiarioFert!M114</f>
        <v>174.06804048780486</v>
      </c>
      <c r="S125">
        <f>((E125/100)*$G$148+(G125/100)*$G$149+(I125/100)*$G$150+(K125/100)*$G$151+(M125/100)*$G$152+(O125)*$G$153+(Q125*$G$154))</f>
        <v>257.68638646412904</v>
      </c>
    </row>
    <row r="126">
      <c r="B126">
        <v>109</v>
      </c>
      <c r="C126">
        <f>$I$13+B126</f>
        <v>39348</v>
      </c>
      <c r="E126">
        <f>IF($C$14*ReDiarioFert!C115&lt;=0,"0",$C$14*ReDiarioFert!C115)</f>
        <v>7.38206657589969</v>
      </c>
      <c r="G126">
        <f>$C$14*ReDiarioFert!E115</f>
        <v>7.89920282384947</v>
      </c>
      <c r="I126">
        <f>$C$14*ReDiarioFert!G115</f>
        <v>12.970562559171507</v>
      </c>
      <c r="K126">
        <f>$C$14*ReDiarioFert!I115</f>
        <v>5.038928343308419</v>
      </c>
      <c r="M126">
        <f>$C$14*ReDiarioFert!K115</f>
        <v>13.848716939184532</v>
      </c>
      <c r="O126">
        <f>$C$14*ReDiarioFert!M115</f>
        <v>174.06804048780486</v>
      </c>
      <c r="S126">
        <f>((E126/100)*$G$148+(G126/100)*$G$149+(I126/100)*$G$150+(K126/100)*$G$151+(M126/100)*$G$152+(O126)*$G$153+(Q126*$G$154))</f>
        <v>257.68638646412904</v>
      </c>
    </row>
    <row r="127">
      <c r="B127">
        <v>110</v>
      </c>
      <c r="C127">
        <f>$I$13+B127</f>
        <v>39349</v>
      </c>
      <c r="E127">
        <f>IF($C$14*ReDiarioFert!C116&lt;=0,"0",$C$14*ReDiarioFert!C116)</f>
        <v>7.38206657589969</v>
      </c>
      <c r="G127">
        <f>$C$14*ReDiarioFert!E116</f>
        <v>7.89920282384947</v>
      </c>
      <c r="I127">
        <f>$C$14*ReDiarioFert!G116</f>
        <v>12.970562559171507</v>
      </c>
      <c r="K127">
        <f>$C$14*ReDiarioFert!I116</f>
        <v>5.038928343308419</v>
      </c>
      <c r="M127">
        <f>$C$14*ReDiarioFert!K116</f>
        <v>13.848716939184532</v>
      </c>
      <c r="O127">
        <f>$C$14*ReDiarioFert!M116</f>
        <v>174.06804048780486</v>
      </c>
      <c r="S127">
        <f>((E127/100)*$G$148+(G127/100)*$G$149+(I127/100)*$G$150+(K127/100)*$G$151+(M127/100)*$G$152+(O127)*$G$153+(Q127*$G$154))</f>
        <v>257.68638646412904</v>
      </c>
    </row>
    <row r="128">
      <c r="B128">
        <v>111</v>
      </c>
      <c r="C128">
        <f>$I$13+B128</f>
        <v>39350</v>
      </c>
      <c r="E128">
        <f>IF($C$14*ReDiarioFert!C117&lt;=0,"0",$C$14*ReDiarioFert!C117)</f>
        <v>7.38206657589969</v>
      </c>
      <c r="G128">
        <f>$C$14*ReDiarioFert!E117</f>
        <v>7.89920282384947</v>
      </c>
      <c r="I128">
        <f>$C$14*ReDiarioFert!G117</f>
        <v>12.970562559171507</v>
      </c>
      <c r="K128">
        <f>$C$14*ReDiarioFert!I117</f>
        <v>5.038928343308419</v>
      </c>
      <c r="M128">
        <f>$C$14*ReDiarioFert!K117</f>
        <v>13.848716939184532</v>
      </c>
      <c r="O128">
        <f>$C$14*ReDiarioFert!M117</f>
        <v>174.06804048780486</v>
      </c>
      <c r="S128">
        <f>((E128/100)*$G$148+(G128/100)*$G$149+(I128/100)*$G$150+(K128/100)*$G$151+(M128/100)*$G$152+(O128)*$G$153+(Q128*$G$154))</f>
        <v>257.68638646412904</v>
      </c>
    </row>
    <row r="129">
      <c r="B129">
        <v>112</v>
      </c>
      <c r="C129">
        <f>$I$13+B129</f>
        <v>39351</v>
      </c>
      <c r="E129">
        <f>IF($C$14*ReDiarioFert!C118&lt;=0,"0",$C$14*ReDiarioFert!C118)</f>
        <v>7.38206657589969</v>
      </c>
      <c r="G129">
        <f>$C$14*ReDiarioFert!E118</f>
        <v>7.89920282384947</v>
      </c>
      <c r="I129">
        <f>$C$14*ReDiarioFert!G118</f>
        <v>12.970562559171507</v>
      </c>
      <c r="K129">
        <f>$C$14*ReDiarioFert!I118</f>
        <v>5.038928343308419</v>
      </c>
      <c r="M129">
        <f>$C$14*ReDiarioFert!K118</f>
        <v>13.848716939184532</v>
      </c>
      <c r="O129">
        <f>$C$14*ReDiarioFert!M118</f>
        <v>174.06804048780486</v>
      </c>
      <c r="S129">
        <f>((E129/100)*$G$148+(G129/100)*$G$149+(I129/100)*$G$150+(K129/100)*$G$151+(M129/100)*$G$152+(O129)*$G$153+(Q129*$G$154))</f>
        <v>257.68638646412904</v>
      </c>
    </row>
    <row r="130">
      <c r="A130">
        <v>17</v>
      </c>
      <c r="B130">
        <v>113</v>
      </c>
      <c r="C130">
        <f>$I$13+B130</f>
        <v>39352</v>
      </c>
      <c r="E130">
        <f>IF($C$14*ReDiarioFert!C119&lt;=0,"0",$C$14*ReDiarioFert!C119)</f>
        <v>7.38206657589969</v>
      </c>
      <c r="G130">
        <f>$C$14*ReDiarioFert!E119</f>
        <v>7.89920282384947</v>
      </c>
      <c r="I130">
        <f>$C$14*ReDiarioFert!G119</f>
        <v>12.970562559171507</v>
      </c>
      <c r="K130">
        <f>$C$14*ReDiarioFert!I119</f>
        <v>5.038928343308419</v>
      </c>
      <c r="M130">
        <f>$C$14*ReDiarioFert!K119</f>
        <v>13.848716939184532</v>
      </c>
      <c r="O130">
        <f>$C$14*ReDiarioFert!M119</f>
        <v>174.06804048780486</v>
      </c>
      <c r="Q130">
        <f>$C$14*Main!$D$63</f>
        <v>20.019999999999996</v>
      </c>
      <c r="S130">
        <f>((E130/100)*$G$148+(G130/100)*$G$149+(I130/100)*$G$150+(K130/100)*$G$151+(M130/100)*$G$152+(O130)*$G$153+(Q130*$G$154))</f>
        <v>307.73638646412905</v>
      </c>
    </row>
    <row r="131">
      <c r="B131">
        <v>114</v>
      </c>
      <c r="C131">
        <f>$I$13+B131</f>
        <v>39353</v>
      </c>
      <c r="E131">
        <f>IF($C$14*ReDiarioFert!C120&lt;=0,"0",$C$14*ReDiarioFert!C120)</f>
        <v>7.38206657589969</v>
      </c>
      <c r="G131">
        <f>$C$14*ReDiarioFert!E120</f>
        <v>7.89920282384947</v>
      </c>
      <c r="I131">
        <f>$C$14*ReDiarioFert!G120</f>
        <v>12.970562559171507</v>
      </c>
      <c r="K131">
        <f>$C$14*ReDiarioFert!I120</f>
        <v>5.038928343308419</v>
      </c>
      <c r="M131">
        <f>$C$14*ReDiarioFert!K120</f>
        <v>13.848716939184532</v>
      </c>
      <c r="O131">
        <f>$C$14*ReDiarioFert!M120</f>
        <v>174.06804048780486</v>
      </c>
      <c r="S131">
        <f>((E131/100)*$G$148+(G131/100)*$G$149+(I131/100)*$G$150+(K131/100)*$G$151+(M131/100)*$G$152+(O131)*$G$153+(Q131*$G$154))</f>
        <v>257.68638646412904</v>
      </c>
    </row>
    <row r="132">
      <c r="B132">
        <v>115</v>
      </c>
      <c r="C132">
        <f>$I$13+B132</f>
        <v>39354</v>
      </c>
      <c r="E132">
        <f>IF($C$14*ReDiarioFert!C121&lt;=0,"0",$C$14*ReDiarioFert!C121)</f>
        <v>7.38206657589969</v>
      </c>
      <c r="G132">
        <f>$C$14*ReDiarioFert!E121</f>
        <v>7.89920282384947</v>
      </c>
      <c r="I132">
        <f>$C$14*ReDiarioFert!G121</f>
        <v>12.970562559171507</v>
      </c>
      <c r="K132">
        <f>$C$14*ReDiarioFert!I121</f>
        <v>5.038928343308419</v>
      </c>
      <c r="M132">
        <f>$C$14*ReDiarioFert!K121</f>
        <v>13.848716939184532</v>
      </c>
      <c r="O132">
        <f>$C$14*ReDiarioFert!M121</f>
        <v>174.06804048780486</v>
      </c>
      <c r="S132">
        <f>((E132/100)*$G$148+(G132/100)*$G$149+(I132/100)*$G$150+(K132/100)*$G$151+(M132/100)*$G$152+(O132)*$G$153+(Q132*$G$154))</f>
        <v>257.68638646412904</v>
      </c>
    </row>
    <row r="133">
      <c r="B133">
        <v>116</v>
      </c>
      <c r="C133">
        <f>$I$13+B133</f>
        <v>39355</v>
      </c>
      <c r="E133">
        <f>IF($C$14*ReDiarioFert!C122&lt;=0,"0",$C$14*ReDiarioFert!C122)</f>
        <v>7.38206657589969</v>
      </c>
      <c r="G133">
        <f>$C$14*ReDiarioFert!E122</f>
        <v>7.89920282384947</v>
      </c>
      <c r="I133">
        <f>$C$14*ReDiarioFert!G122</f>
        <v>12.970562559171507</v>
      </c>
      <c r="K133">
        <f>$C$14*ReDiarioFert!I122</f>
        <v>5.038928343308419</v>
      </c>
      <c r="M133">
        <f>$C$14*ReDiarioFert!K122</f>
        <v>13.848716939184532</v>
      </c>
      <c r="O133">
        <f>$C$14*ReDiarioFert!M122</f>
        <v>174.06804048780486</v>
      </c>
      <c r="S133">
        <f>((E133/100)*$G$148+(G133/100)*$G$149+(I133/100)*$G$150+(K133/100)*$G$151+(M133/100)*$G$152+(O133)*$G$153+(Q133*$G$154))</f>
        <v>257.68638646412904</v>
      </c>
    </row>
    <row r="134">
      <c r="B134">
        <v>117</v>
      </c>
      <c r="C134">
        <f>$I$13+B134</f>
        <v>39356</v>
      </c>
      <c r="E134">
        <f>IF($C$14*ReDiarioFert!C123&lt;=0,"0",$C$14*ReDiarioFert!C123)</f>
        <v>7.38206657589969</v>
      </c>
      <c r="G134">
        <f>$C$14*ReDiarioFert!E123</f>
        <v>7.89920282384947</v>
      </c>
      <c r="I134">
        <f>$C$14*ReDiarioFert!G123</f>
        <v>12.970562559171507</v>
      </c>
      <c r="K134">
        <f>$C$14*ReDiarioFert!I123</f>
        <v>5.038928343308419</v>
      </c>
      <c r="M134">
        <f>$C$14*ReDiarioFert!K123</f>
        <v>13.848716939184532</v>
      </c>
      <c r="O134">
        <f>$C$14*ReDiarioFert!M123</f>
        <v>174.06804048780486</v>
      </c>
      <c r="S134">
        <f>((E134/100)*$G$148+(G134/100)*$G$149+(I134/100)*$G$150+(K134/100)*$G$151+(M134/100)*$G$152+(O134)*$G$153+(Q134*$G$154))</f>
        <v>257.68638646412904</v>
      </c>
    </row>
    <row r="135">
      <c r="B135">
        <v>118</v>
      </c>
      <c r="C135">
        <f>$I$13+B135</f>
        <v>39357</v>
      </c>
      <c r="E135">
        <f>IF($C$14*ReDiarioFert!C124&lt;=0,"0",$C$14*ReDiarioFert!C124)</f>
        <v>7.38206657589969</v>
      </c>
      <c r="G135">
        <f>$C$14*ReDiarioFert!E124</f>
        <v>7.89920282384947</v>
      </c>
      <c r="I135">
        <f>$C$14*ReDiarioFert!G124</f>
        <v>12.970562559171507</v>
      </c>
      <c r="K135">
        <f>$C$14*ReDiarioFert!I124</f>
        <v>5.038928343308419</v>
      </c>
      <c r="M135">
        <f>$C$14*ReDiarioFert!K124</f>
        <v>13.848716939184532</v>
      </c>
      <c r="O135">
        <f>$C$14*ReDiarioFert!M124</f>
        <v>174.06804048780486</v>
      </c>
      <c r="S135">
        <f>((E135/100)*$G$148+(G135/100)*$G$149+(I135/100)*$G$150+(K135/100)*$G$151+(M135/100)*$G$152+(O135)*$G$153+(Q135*$G$154))</f>
        <v>257.68638646412904</v>
      </c>
    </row>
    <row r="136">
      <c r="B136">
        <v>119</v>
      </c>
      <c r="C136">
        <f>$I$13+B136</f>
        <v>39358</v>
      </c>
      <c r="E136">
        <f>IF($C$14*ReDiarioFert!C125&lt;=0,"0",$C$14*ReDiarioFert!C125)</f>
        <v>7.38206657589969</v>
      </c>
      <c r="G136">
        <f>$C$14*ReDiarioFert!E125</f>
        <v>7.89920282384947</v>
      </c>
      <c r="I136">
        <f>$C$14*ReDiarioFert!G125</f>
        <v>12.970562559171507</v>
      </c>
      <c r="K136">
        <f>$C$14*ReDiarioFert!I125</f>
        <v>5.038928343308419</v>
      </c>
      <c r="M136">
        <f>$C$14*ReDiarioFert!K125</f>
        <v>13.848716939184532</v>
      </c>
      <c r="O136">
        <f>$C$14*ReDiarioFert!M125</f>
        <v>174.06804048780486</v>
      </c>
      <c r="S136">
        <f>((E136/100)*$G$148+(G136/100)*$G$149+(I136/100)*$G$150+(K136/100)*$G$151+(M136/100)*$G$152+(O136)*$G$153+(Q136*$G$154))</f>
        <v>257.68638646412904</v>
      </c>
    </row>
    <row r="137">
      <c r="A137">
        <v>18</v>
      </c>
      <c r="B137">
        <v>120</v>
      </c>
      <c r="C137">
        <f>$I$13+B137</f>
        <v>39359</v>
      </c>
      <c r="E137">
        <f>IF($C$14*ReDiarioFert!C126&lt;=0,"0",$C$14*ReDiarioFert!C126)</f>
        <v>7.38206657589969</v>
      </c>
      <c r="G137">
        <f>$C$14*ReDiarioFert!E126</f>
        <v>7.89920282384947</v>
      </c>
      <c r="I137">
        <f>$C$14*ReDiarioFert!G126</f>
        <v>12.970562559171507</v>
      </c>
      <c r="K137">
        <f>$C$14*ReDiarioFert!I126</f>
        <v>5.038928343308419</v>
      </c>
      <c r="M137">
        <f>$C$14*ReDiarioFert!K126</f>
        <v>13.848716939184532</v>
      </c>
      <c r="O137">
        <f>$C$14*ReDiarioFert!M126</f>
        <v>174.06804048780486</v>
      </c>
      <c r="Q137">
        <f>$C$14*Main!$D$63</f>
        <v>20.019999999999996</v>
      </c>
      <c r="S137">
        <f>((E137/100)*$G$148+(G137/100)*$G$149+(I137/100)*$G$150+(K137/100)*$G$151+(M137/100)*$G$152+(O137)*$G$153+(Q137*$G$154))</f>
        <v>307.73638646412905</v>
      </c>
    </row>
    <row r="138">
      <c r="B138">
        <v>121</v>
      </c>
      <c r="C138">
        <f>$I$13+B138</f>
        <v>39360</v>
      </c>
      <c r="E138">
        <f>IF($C$14*ReDiarioFert!C127&lt;=0,"0",$C$14*ReDiarioFert!C127)</f>
        <v>7.38206657589969</v>
      </c>
      <c r="G138">
        <f>$C$14*ReDiarioFert!E127</f>
        <v>7.89920282384947</v>
      </c>
      <c r="I138">
        <f>$C$14*ReDiarioFert!G127</f>
        <v>12.970562559171507</v>
      </c>
      <c r="K138">
        <f>$C$14*ReDiarioFert!I127</f>
        <v>5.038928343308419</v>
      </c>
      <c r="M138">
        <f>$C$14*ReDiarioFert!K127</f>
        <v>13.848716939184532</v>
      </c>
      <c r="O138">
        <f>$C$14*ReDiarioFert!M127</f>
        <v>174.06804048780486</v>
      </c>
      <c r="S138">
        <f>((E138/100)*$G$148+(G138/100)*$G$149+(I138/100)*$G$150+(K138/100)*$G$151+(M138/100)*$G$152+(O138)*$G$153+(Q138*$G$154))</f>
        <v>257.68638646412904</v>
      </c>
    </row>
    <row r="139">
      <c r="B139">
        <v>122</v>
      </c>
      <c r="C139">
        <f>$I$13+B139</f>
        <v>39361</v>
      </c>
      <c r="E139">
        <f>IF($C$14*ReDiarioFert!C128&lt;=0,"0",$C$14*ReDiarioFert!C128)</f>
        <v>7.38206657589969</v>
      </c>
      <c r="G139">
        <f>$C$14*ReDiarioFert!E128</f>
        <v>7.89920282384947</v>
      </c>
      <c r="I139">
        <f>$C$14*ReDiarioFert!G128</f>
        <v>12.970562559171507</v>
      </c>
      <c r="K139">
        <f>$C$14*ReDiarioFert!I128</f>
        <v>5.038928343308419</v>
      </c>
      <c r="M139">
        <f>$C$14*ReDiarioFert!K128</f>
        <v>13.848716939184532</v>
      </c>
      <c r="O139">
        <f>$C$14*ReDiarioFert!M128</f>
        <v>174.06804048780486</v>
      </c>
      <c r="S139">
        <f>((E139/100)*$G$148+(G139/100)*$G$149+(I139/100)*$G$150+(K139/100)*$G$151+(M139/100)*$G$152+(O139)*$G$153+(Q139*$G$154))</f>
        <v>257.68638646412904</v>
      </c>
    </row>
    <row r="140">
      <c r="B140">
        <v>123</v>
      </c>
      <c r="C140">
        <f>$I$13+B140</f>
        <v>39362</v>
      </c>
      <c r="E140">
        <f>IF($C$14*ReDiarioFert!C129&lt;=0,"0",$C$14*ReDiarioFert!C129)</f>
        <v>7.38206657589969</v>
      </c>
      <c r="G140">
        <f>$C$14*ReDiarioFert!E129</f>
        <v>7.89920282384947</v>
      </c>
      <c r="I140">
        <f>$C$14*ReDiarioFert!G129</f>
        <v>12.970562559171507</v>
      </c>
      <c r="K140">
        <f>$C$14*ReDiarioFert!I129</f>
        <v>5.038928343308419</v>
      </c>
      <c r="M140">
        <f>$C$14*ReDiarioFert!K129</f>
        <v>13.848716939184532</v>
      </c>
      <c r="O140">
        <f>$C$14*ReDiarioFert!M129</f>
        <v>174.06804048780486</v>
      </c>
      <c r="S140">
        <f>((E140/100)*$G$148+(G140/100)*$G$149+(I140/100)*$G$150+(K140/100)*$G$151+(M140/100)*$G$152+(O140)*$G$153+(Q140*$G$154))</f>
        <v>257.68638646412904</v>
      </c>
    </row>
    <row r="141">
      <c r="B141">
        <v>124</v>
      </c>
      <c r="C141">
        <f>$I$13+B141</f>
        <v>39363</v>
      </c>
      <c r="E141">
        <f>IF($C$14*ReDiarioFert!C130&lt;=0,"0",$C$14*ReDiarioFert!C130)</f>
        <v>7.38206657589969</v>
      </c>
      <c r="G141">
        <f>$C$14*ReDiarioFert!E130</f>
        <v>7.89920282384947</v>
      </c>
      <c r="I141">
        <f>$C$14*ReDiarioFert!G130</f>
        <v>12.970562559171507</v>
      </c>
      <c r="K141">
        <f>$C$14*ReDiarioFert!I130</f>
        <v>5.038928343308419</v>
      </c>
      <c r="M141">
        <f>$C$14*ReDiarioFert!K130</f>
        <v>13.848716939184532</v>
      </c>
      <c r="O141">
        <f>$C$14*ReDiarioFert!M130</f>
        <v>174.06804048780486</v>
      </c>
      <c r="S141">
        <f>((E141/100)*$G$148+(G141/100)*$G$149+(I141/100)*$G$150+(K141/100)*$G$151+(M141/100)*$G$152+(O141)*$G$153+(Q141*$G$154))</f>
        <v>257.68638646412904</v>
      </c>
    </row>
    <row r="142">
      <c r="B142">
        <v>125</v>
      </c>
      <c r="C142">
        <f>$I$13+B142</f>
        <v>39364</v>
      </c>
      <c r="E142">
        <f>IF($C$14*ReDiarioFert!C131&lt;=0,"0",$C$14*ReDiarioFert!C131)</f>
        <v>7.38206657589969</v>
      </c>
      <c r="G142">
        <f>$C$14*ReDiarioFert!E131</f>
        <v>7.89920282384947</v>
      </c>
      <c r="I142">
        <f>$C$14*ReDiarioFert!G131</f>
        <v>12.970562559171507</v>
      </c>
      <c r="K142">
        <f>$C$14*ReDiarioFert!I131</f>
        <v>5.038928343308419</v>
      </c>
      <c r="M142">
        <f>$C$14*ReDiarioFert!K131</f>
        <v>13.848716939184532</v>
      </c>
      <c r="O142">
        <f>$C$14*ReDiarioFert!M131</f>
        <v>174.06804048780486</v>
      </c>
      <c r="S142">
        <f>((E142/100)*$G$148+(G142/100)*$G$149+(I142/100)*$G$150+(K142/100)*$G$151+(M142/100)*$G$152+(O142)*$G$153+(Q142*$G$154))</f>
        <v>257.68638646412904</v>
      </c>
    </row>
    <row r="143">
      <c r="B143">
        <v>126</v>
      </c>
      <c r="C143">
        <f>$I$13+B143</f>
        <v>39365</v>
      </c>
      <c r="E143">
        <f>IF($C$14*ReDiarioFert!C132&lt;=0,"0",$C$14*ReDiarioFert!C132)</f>
        <v>7.38206657589969</v>
      </c>
      <c r="G143">
        <f>$C$14*ReDiarioFert!E132</f>
        <v>7.89920282384947</v>
      </c>
      <c r="I143">
        <f>$C$14*ReDiarioFert!G132</f>
        <v>12.970562559171507</v>
      </c>
      <c r="K143">
        <f>$C$14*ReDiarioFert!I132</f>
        <v>5.038928343308419</v>
      </c>
      <c r="M143">
        <f>$C$14*ReDiarioFert!K132</f>
        <v>13.848716939184532</v>
      </c>
      <c r="O143">
        <f>$C$14*ReDiarioFert!M132</f>
        <v>174.06804048780486</v>
      </c>
      <c r="S143">
        <f>((E143/100)*$G$148+(G143/100)*$G$149+(I143/100)*$G$150+(K143/100)*$G$151+(M143/100)*$G$152+(O143)*$G$153+(Q143*$G$154))</f>
        <v>257.68638646412904</v>
      </c>
    </row>
    <row r="144">
      <c r="C144" t="str">
        <v>Total</v>
      </c>
      <c r="E144">
        <f>SUM(E18:E143)</f>
        <v>1314.1592806254741</v>
      </c>
      <c r="G144">
        <f>SUM(G18:G143)</f>
        <v>747.34228796898</v>
      </c>
      <c r="I144">
        <f>SUM(I18:I143)</f>
        <v>1129.2538400657193</v>
      </c>
      <c r="K144">
        <f>SUM(K18:K143)</f>
        <v>448.46017661868507</v>
      </c>
      <c r="M144">
        <f>SUM(M18:M143)</f>
        <v>1232.5235886190749</v>
      </c>
      <c r="O144">
        <f>SUM(O18:O143)</f>
        <v>15044.447955121916</v>
      </c>
      <c r="Q144">
        <f>SUM(Q18:Q143)</f>
        <v>360.3599999999998</v>
      </c>
      <c r="S144">
        <f>SUM(S18:S143)</f>
        <v>26338.67206399448</v>
      </c>
    </row>
    <row r="146" ht="39.75" customHeight="1">
      <c r="B146" t="str">
        <v>Producto</v>
      </c>
      <c r="F146" t="str">
        <v>Lbs/Ha</v>
      </c>
      <c r="G146" t="str">
        <v>Costo por qq</v>
      </c>
    </row>
    <row r="147" ht="24" customHeight="1">
      <c r="G147" t="str">
        <f>Main!$E$25</f>
        <v>Lempiras</v>
      </c>
    </row>
    <row r="148">
      <c r="B148" t="str">
        <f>Main!D42</f>
        <v>Nitrato de Amonio</v>
      </c>
      <c r="F148">
        <f>E144/C14</f>
        <v>1312.846434191283</v>
      </c>
      <c r="G148">
        <f>Main!D43</f>
        <v>320</v>
      </c>
    </row>
    <row r="149">
      <c r="B149" t="str">
        <f>Main!D32</f>
        <v>FofatoMonoPotasico</v>
      </c>
      <c r="F149">
        <f>G144/C14</f>
        <v>746.5956922767034</v>
      </c>
      <c r="G149">
        <f>Main!D33</f>
        <v>1169</v>
      </c>
    </row>
    <row r="150">
      <c r="B150" t="str">
        <f>Main!D37</f>
        <v>Kcl Soluble</v>
      </c>
      <c r="F150">
        <f>I144/C14</f>
        <v>1128.125714351368</v>
      </c>
      <c r="G150">
        <f>Main!D38</f>
        <v>410</v>
      </c>
    </row>
    <row r="151">
      <c r="B151" t="str">
        <f>Main!D47</f>
        <v>Sulfato de Magnesio</v>
      </c>
      <c r="F151">
        <f>K144/C14</f>
        <v>448.0121644542309</v>
      </c>
      <c r="G151">
        <f>Main!D48</f>
        <v>425</v>
      </c>
      <c r="I151" t="str">
        <v xml:space="preserve">Preparado y Autorizado Por </v>
      </c>
    </row>
    <row r="152">
      <c r="B152" t="str">
        <f>Main!D52</f>
        <v>Nitrato de Calcio</v>
      </c>
      <c r="F152">
        <f>M144/C14</f>
        <v>1231.2922963227522</v>
      </c>
      <c r="G152">
        <f>Main!D53</f>
        <v>445</v>
      </c>
      <c r="I152" t="str">
        <v>MSc Ricardo D. Lardizábal</v>
      </c>
    </row>
    <row r="153">
      <c r="B153" t="str">
        <f>Main!D57</f>
        <v>Solubor</v>
      </c>
      <c r="F153">
        <f>O144/C14</f>
        <v>15029.418536585332</v>
      </c>
      <c r="G153">
        <f>Main!D58</f>
        <v>0.0316</v>
      </c>
    </row>
    <row r="154" ht="18" customHeight="1">
      <c r="B154" t="str">
        <f>Main!D61</f>
        <v>Melaza</v>
      </c>
      <c r="F154">
        <f>Q144/C14</f>
        <v>359.99999999999983</v>
      </c>
      <c r="G154">
        <f>Main!D62</f>
        <v>2.5</v>
      </c>
    </row>
    <row r="155">
      <c r="B155" t="str">
        <v>NOTA: El Nitrato de Calcio se debe de diluir en un barril aparte para inyectarse al sistema</v>
      </c>
    </row>
    <row r="157">
      <c r="B157" t="str">
        <v>,@ La Melaza del calendario de fertilización se usan para la limpieza de la cinta y mejorar la estructura de suelo. La aplicación de ellos es después de la fertilización y en la ultima media hora de riego. Ver boletín técnico de USAID-RED sobre melaza.</v>
      </c>
    </row>
    <row r="159">
      <c r="B159" t="str">
        <v>Abreviaciones usadas</v>
      </c>
    </row>
    <row r="160">
      <c r="B160" t="str">
        <v>Mz-Manzanas, Ha-Hectáreas, Lbs-Libras, Lts-Litros y DDT-Días después de Transplante</v>
      </c>
    </row>
  </sheetData>
  <sheetProtection sheet="1"/>
  <mergeCells count="54">
    <mergeCell ref="B160:S160"/>
    <mergeCell ref="A9:K9"/>
    <mergeCell ref="P9:S12"/>
    <mergeCell ref="P1:S3"/>
    <mergeCell ref="P5:S7"/>
    <mergeCell ref="I11:M11"/>
    <mergeCell ref="I12:M12"/>
    <mergeCell ref="F11:H11"/>
    <mergeCell ref="C11:E11"/>
    <mergeCell ref="A11:B11"/>
    <mergeCell ref="B151:E151"/>
    <mergeCell ref="F13:H13"/>
    <mergeCell ref="F14:H14"/>
    <mergeCell ref="C16:D16"/>
    <mergeCell ref="E16:F16"/>
    <mergeCell ref="G16:H16"/>
    <mergeCell ref="G150:H150"/>
    <mergeCell ref="G151:H151"/>
    <mergeCell ref="G146:H146"/>
    <mergeCell ref="B146:E146"/>
    <mergeCell ref="B155:I156"/>
    <mergeCell ref="B157:S158"/>
    <mergeCell ref="I152:Q152"/>
    <mergeCell ref="B159:D159"/>
    <mergeCell ref="B153:E153"/>
    <mergeCell ref="G154:H154"/>
    <mergeCell ref="B152:E152"/>
    <mergeCell ref="B154:E154"/>
    <mergeCell ref="G152:H152"/>
    <mergeCell ref="G153:H153"/>
    <mergeCell ref="B150:E150"/>
    <mergeCell ref="S16:S17"/>
    <mergeCell ref="Q16:R16"/>
    <mergeCell ref="K16:L16"/>
    <mergeCell ref="O16:P16"/>
    <mergeCell ref="M16:N16"/>
    <mergeCell ref="I16:J16"/>
    <mergeCell ref="G149:H149"/>
    <mergeCell ref="G147:H147"/>
    <mergeCell ref="G148:H148"/>
    <mergeCell ref="I151:Q151"/>
    <mergeCell ref="A12:B12"/>
    <mergeCell ref="C12:E12"/>
    <mergeCell ref="F12:H12"/>
    <mergeCell ref="C13:E13"/>
    <mergeCell ref="C14:E14"/>
    <mergeCell ref="A16:A17"/>
    <mergeCell ref="B16:B17"/>
    <mergeCell ref="B148:E148"/>
    <mergeCell ref="B149:E149"/>
    <mergeCell ref="A13:B13"/>
    <mergeCell ref="A14:B14"/>
    <mergeCell ref="I13:M13"/>
    <mergeCell ref="I14:M14"/>
  </mergeCells>
  <pageMargins left="0" right="0" top="0.2" bottom="0.56" header="0" footer="0.25"/>
  <ignoredErrors>
    <ignoredError numberStoredAsText="1" sqref="A1:Z161"/>
  </ignoredErrors>
  <legacyDrawing r:id="rId1"/>
</worksheet>
</file>

<file path=xl/worksheets/sheet4.xml><?xml version="1.0" encoding="utf-8"?>
<worksheet xmlns="http://schemas.openxmlformats.org/spreadsheetml/2006/main" xmlns:r="http://schemas.openxmlformats.org/officeDocument/2006/relationships">
  <dimension ref="A1:V96"/>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Zanahoria</v>
      </c>
    </row>
    <row r="6" ht="29.25" customHeight="1"/>
    <row r="7" ht="16.95" customHeight="1"/>
    <row r="8" ht="21" customHeight="1">
      <c r="A8" t="str">
        <f>Main!$C$13</f>
        <v>"Sin Fertilización Base"Para mas de 75,000 Lbs por Hectarea</v>
      </c>
    </row>
    <row r="9" ht="20.1" customHeight="1">
      <c r="A9" t="str">
        <v>Productor</v>
      </c>
      <c r="C9" t="str">
        <f>Main!E17</f>
        <v>Pancho Pérez</v>
      </c>
      <c r="F9" t="str">
        <v>Parcela</v>
      </c>
      <c r="I9" t="str">
        <f>Main!E19</f>
        <v>La Frondosa</v>
      </c>
      <c r="P9" t="str">
        <f>Main!$G$21</f>
        <v>Bangor</v>
      </c>
    </row>
    <row r="10" ht="20.1" customHeight="1">
      <c r="A10" t="str">
        <v>Zona</v>
      </c>
      <c r="C10" t="str">
        <f>Main!E18</f>
        <v>La Flecha</v>
      </c>
      <c r="F10" t="str">
        <v>Técnico</v>
      </c>
      <c r="I10" t="str">
        <f>Main!E20</f>
        <v>Luís Torres</v>
      </c>
    </row>
    <row r="11" ht="20.1" customHeight="1">
      <c r="A11" t="str">
        <v>Área Mz.</v>
      </c>
      <c r="C11">
        <f>Main!E22</f>
        <v>1.43</v>
      </c>
      <c r="F11" t="str">
        <v>Fecha:</v>
      </c>
      <c r="I11">
        <f>Main!E23</f>
        <v>39239</v>
      </c>
    </row>
    <row r="12" ht="20.1" customHeight="1">
      <c r="A12" t="str">
        <v>Área Ha.</v>
      </c>
      <c r="C12">
        <f>Main!I22</f>
        <v>1.001</v>
      </c>
      <c r="F12" t="str">
        <v>Fecha de Cosecha:</v>
      </c>
      <c r="I12">
        <f>I11+Main!E24</f>
        <v>39359</v>
      </c>
    </row>
    <row r="13" ht="19.5" customHeight="1"/>
    <row r="14" ht="27.60000000000000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39240</v>
      </c>
      <c r="E16">
        <f>IF(($C$12*(ReDiarioFert!C7+ReDiarioFert!C8))&lt;=0,"0",($C$12*(ReDiarioFert!C7+ReDiarioFert!C8)))</f>
        <v>5.514376315817289</v>
      </c>
      <c r="G16">
        <f>$C$12*(ReDiarioFert!E7+ReDiarioFert!E8)</f>
        <v>2.624901028749999</v>
      </c>
      <c r="I16">
        <f>$C$12*(ReDiarioFert!G7+ReDiarioFert!G8)</f>
        <v>3.162903452041666</v>
      </c>
      <c r="K16">
        <f>$C$12*(ReDiarioFert!I7+ReDiarioFert!I8)</f>
        <v>1.3431000177739245</v>
      </c>
      <c r="M16">
        <f>$C$12*(ReDiarioFert!K7+ReDiarioFert!K8)</f>
        <v>3.6913031303303705</v>
      </c>
      <c r="O16">
        <f>$C$12*(ReDiarioFert!M7+ReDiarioFert!M8)</f>
        <v>49.733586341463415</v>
      </c>
      <c r="Q16">
        <f>$C$12*Main!$D$63</f>
        <v>20.019999999999996</v>
      </c>
      <c r="S16">
        <f>((E16/100)*$G$74+(G16/100)*$G$75+(I16/100)*$G$76+(K16/100)*$G$77+(M16/100)*$G$78+(O16)*$G$79+(Q16*$G$80))</f>
        <v>135.0550567239732</v>
      </c>
    </row>
    <row r="17" ht="18.75" customHeight="1">
      <c r="B17">
        <v>3</v>
      </c>
      <c r="C17">
        <f>$I$11+B17</f>
        <v>39242</v>
      </c>
      <c r="E17">
        <f>IF(($C$12*(ReDiarioFert!C9+ReDiarioFert!C10))&lt;=0,"0",($C$12*(ReDiarioFert!C9+ReDiarioFert!C10)))</f>
        <v>5.514376315817289</v>
      </c>
      <c r="G17">
        <f>$C$12*(ReDiarioFert!E9+ReDiarioFert!E10)</f>
        <v>2.624901028749999</v>
      </c>
      <c r="I17">
        <f>$C$12*(ReDiarioFert!G9+ReDiarioFert!G10)</f>
        <v>3.162903452041666</v>
      </c>
      <c r="K17">
        <f>$C$12*(ReDiarioFert!I9+ReDiarioFert!I10)</f>
        <v>1.3431000177739245</v>
      </c>
      <c r="M17">
        <f>$C$12*(ReDiarioFert!K9+ReDiarioFert!K10)</f>
        <v>3.6913031303303705</v>
      </c>
      <c r="O17">
        <f>$C$12*(ReDiarioFert!M9+ReDiarioFert!M10)</f>
        <v>49.733586341463415</v>
      </c>
      <c r="S17">
        <f>((E17/100)*$G$74+(G17/100)*$G$75+(I17/100)*$G$76+(K17/100)*$G$77+(M17/100)*$G$78+(O17)*$G$79+(Q17*$G$80))</f>
        <v>85.00505672397321</v>
      </c>
    </row>
    <row r="18" ht="18.75" customHeight="1">
      <c r="B18">
        <v>5</v>
      </c>
      <c r="C18">
        <f>$I$11+B18</f>
        <v>39244</v>
      </c>
      <c r="E18">
        <f>IF(($C$12*(ReDiarioFert!C11+ReDiarioFert!C12+ReDiarioFert!C13))&lt;=0,"0",($C$12*(ReDiarioFert!C11+ReDiarioFert!C12+ReDiarioFert!C13)))</f>
        <v>8.271564473725935</v>
      </c>
      <c r="G18">
        <f>$C$12*(ReDiarioFert!E11+ReDiarioFert!E12+ReDiarioFert!E13)</f>
        <v>3.937351543124999</v>
      </c>
      <c r="I18">
        <f>$C$12*(ReDiarioFert!G11+ReDiarioFert!G12+ReDiarioFert!G13)</f>
        <v>4.744355178062499</v>
      </c>
      <c r="K18">
        <f>$C$12*(ReDiarioFert!I11+ReDiarioFert!I12+ReDiarioFert!I13)</f>
        <v>2.0146500266608864</v>
      </c>
      <c r="M18">
        <f>$C$12*(ReDiarioFert!K11+ReDiarioFert!K12+ReDiarioFert!K13)</f>
        <v>5.536954695495556</v>
      </c>
      <c r="O18">
        <f>$C$12*(ReDiarioFert!M11+ReDiarioFert!M12+ReDiarioFert!M13)</f>
        <v>74.60037951219512</v>
      </c>
      <c r="S18">
        <f>((E18/100)*$G$74+(G18/100)*$G$75+(I18/100)*$G$76+(K18/100)*$G$77+(M18/100)*$G$78+(O18)*$G$79+(Q18*$G$80))</f>
        <v>127.50758508595985</v>
      </c>
    </row>
    <row r="19">
      <c r="A19">
        <v>2</v>
      </c>
      <c r="B19">
        <f>B18+3</f>
        <v>8</v>
      </c>
      <c r="C19">
        <f>$I$11+B19</f>
        <v>39247</v>
      </c>
      <c r="E19">
        <f>IF(($C$12*(ReDiarioFert!C14+ReDiarioFert!C15))&lt;=0,"0",($C$12*(ReDiarioFert!C14+ReDiarioFert!C15)))</f>
        <v>5.514376315817289</v>
      </c>
      <c r="G19">
        <f>$C$12*(ReDiarioFert!E14+ReDiarioFert!E15)</f>
        <v>2.624901028749999</v>
      </c>
      <c r="I19">
        <f>$C$12*(ReDiarioFert!G14+ReDiarioFert!G15)</f>
        <v>3.162903452041666</v>
      </c>
      <c r="K19">
        <f>$C$12*(ReDiarioFert!I14+ReDiarioFert!I15)</f>
        <v>1.3431000177739245</v>
      </c>
      <c r="M19">
        <f>$C$12*(ReDiarioFert!K14+ReDiarioFert!K15)</f>
        <v>3.6913031303303705</v>
      </c>
      <c r="O19">
        <f>$C$12*(ReDiarioFert!M14+ReDiarioFert!M15)</f>
        <v>49.733586341463415</v>
      </c>
      <c r="Q19">
        <f>$C$12*Main!$D$63</f>
        <v>20.019999999999996</v>
      </c>
      <c r="S19">
        <f>((E19/100)*$G$74+(G19/100)*$G$75+(I19/100)*$G$76+(K19/100)*$G$77+(M19/100)*$G$78+(O19)*$G$79+(Q19*$G$80))</f>
        <v>135.0550567239732</v>
      </c>
    </row>
    <row r="20">
      <c r="B20">
        <f>B19+2</f>
        <v>10</v>
      </c>
      <c r="C20">
        <f>$I$11+B20</f>
        <v>39249</v>
      </c>
      <c r="E20">
        <f>IF(($C$12*(ReDiarioFert!C16+ReDiarioFert!C17))&lt;=0,"0",($C$12*(ReDiarioFert!C16+ReDiarioFert!C17)))</f>
        <v>5.514376315817289</v>
      </c>
      <c r="G20">
        <f>$C$12*(ReDiarioFert!E16+ReDiarioFert!E17)</f>
        <v>2.624901028749999</v>
      </c>
      <c r="I20">
        <f>$C$12*(ReDiarioFert!G16+ReDiarioFert!G17)</f>
        <v>3.162903452041666</v>
      </c>
      <c r="K20">
        <f>$C$12*(ReDiarioFert!I16+ReDiarioFert!I17)</f>
        <v>1.3431000177739245</v>
      </c>
      <c r="M20">
        <f>$C$12*(ReDiarioFert!K16+ReDiarioFert!K17)</f>
        <v>3.6913031303303705</v>
      </c>
      <c r="O20">
        <f>$C$12*(ReDiarioFert!M16+ReDiarioFert!M17)</f>
        <v>69.62711853658536</v>
      </c>
      <c r="S20">
        <f>((E20/100)*$G$74+(G20/100)*$G$75+(I20/100)*$G$76+(K20/100)*$G$77+(M20/100)*$G$78+(O20)*$G$79+(Q20*$G$80))</f>
        <v>85.63369234133907</v>
      </c>
    </row>
    <row r="21">
      <c r="B21">
        <f>B20+2</f>
        <v>12</v>
      </c>
      <c r="C21">
        <f>$I$11+B21</f>
        <v>39251</v>
      </c>
      <c r="E21">
        <f>IF(($C$12*(ReDiarioFert!C18+ReDiarioFert!C19+ReDiarioFert!C20))&lt;=0,"0",($C$12*(ReDiarioFert!C18+ReDiarioFert!C19+ReDiarioFert!C20)))</f>
        <v>8.271564473725935</v>
      </c>
      <c r="G21">
        <f>$C$12*(ReDiarioFert!E18+ReDiarioFert!E19+ReDiarioFert!E20)</f>
        <v>3.937351543124999</v>
      </c>
      <c r="I21">
        <f>$C$12*(ReDiarioFert!G18+ReDiarioFert!G19+ReDiarioFert!G20)</f>
        <v>4.744355178062499</v>
      </c>
      <c r="K21">
        <f>$C$12*(ReDiarioFert!I18+ReDiarioFert!I19+ReDiarioFert!I20)</f>
        <v>2.0146500266608864</v>
      </c>
      <c r="M21">
        <f>$C$12*(ReDiarioFert!K18+ReDiarioFert!K19+ReDiarioFert!K20)</f>
        <v>5.536954695495556</v>
      </c>
      <c r="O21">
        <f>$C$12*(ReDiarioFert!M18+ReDiarioFert!M19+ReDiarioFert!M20)</f>
        <v>134.28097609756097</v>
      </c>
      <c r="S21">
        <f>((E21/100)*$G$74+(G21/100)*$G$75+(I21/100)*$G$76+(K21/100)*$G$77+(M21/100)*$G$78+(O21)*$G$79+(Q21*$G$80))</f>
        <v>129.3934919380574</v>
      </c>
    </row>
    <row r="22">
      <c r="A22">
        <v>3</v>
      </c>
      <c r="B22">
        <f>B21+3</f>
        <v>15</v>
      </c>
      <c r="C22">
        <f>$I$11+B22</f>
        <v>39254</v>
      </c>
      <c r="E22">
        <f>IF(($C$12*(ReDiarioFert!C21+ReDiarioFert!C22))&lt;=0,"0",($C$12*(ReDiarioFert!C21+ReDiarioFert!C22)))</f>
        <v>6.8931187606419915</v>
      </c>
      <c r="G22">
        <f>$C$12*(ReDiarioFert!E21+ReDiarioFert!E22)</f>
        <v>3.277283384374999</v>
      </c>
      <c r="I22">
        <f>$C$12*(ReDiarioFert!G21+ReDiarioFert!G22)</f>
        <v>3.9574390063541665</v>
      </c>
      <c r="K22">
        <f>$C$12*(ReDiarioFert!I21+ReDiarioFert!I22)</f>
        <v>1.6793463853851462</v>
      </c>
      <c r="M22">
        <f>$C$12*(ReDiarioFert!K21+ReDiarioFert!K22)</f>
        <v>4.615424381838269</v>
      </c>
      <c r="O22">
        <f>$C$12*(ReDiarioFert!M21+ReDiarioFert!M22)</f>
        <v>89.5206507317073</v>
      </c>
      <c r="Q22">
        <f>$C$12*Main!$D$63</f>
        <v>20.019999999999996</v>
      </c>
      <c r="S22">
        <f>((E22/100)*$G$74+(G22/100)*$G$75+(I22/100)*$G$76+(K22/100)*$G$77+(M22/100)*$G$78+(O22)*$G$79+(Q22*$G$80))</f>
        <v>157.1496359236393</v>
      </c>
    </row>
    <row r="23">
      <c r="B23">
        <f>B22+2</f>
        <v>17</v>
      </c>
      <c r="C23">
        <f>$I$11+B23</f>
        <v>39256</v>
      </c>
      <c r="E23">
        <f>IF(($C$12*(ReDiarioFert!C23+ReDiarioFert!C24))&lt;=0,"0",($C$12*(ReDiarioFert!C23+ReDiarioFert!C24)))</f>
        <v>8.271861205466694</v>
      </c>
      <c r="G23">
        <f>$C$12*(ReDiarioFert!E23+ReDiarioFert!E24)</f>
        <v>3.9296657399999995</v>
      </c>
      <c r="I23">
        <f>$C$12*(ReDiarioFert!G23+ReDiarioFert!G24)</f>
        <v>4.751974560666667</v>
      </c>
      <c r="K23">
        <f>$C$12*(ReDiarioFert!I23+ReDiarioFert!I24)</f>
        <v>2.0155927529963686</v>
      </c>
      <c r="M23">
        <f>$C$12*(ReDiarioFert!K23+ReDiarioFert!K24)</f>
        <v>5.539545633346169</v>
      </c>
      <c r="O23">
        <f>$C$12*(ReDiarioFert!M23+ReDiarioFert!M24)</f>
        <v>104.44043365853658</v>
      </c>
      <c r="S23">
        <f>((E23/100)*$G$74+(G23/100)*$G$75+(I23/100)*$G$76+(K23/100)*$G$77+(M23/100)*$G$78+(O23)*$G$79+(Q23*$G$80))</f>
        <v>128.40840902906152</v>
      </c>
    </row>
    <row r="24">
      <c r="B24">
        <f>B23+2</f>
        <v>19</v>
      </c>
      <c r="C24">
        <f>$I$11+B24</f>
        <v>39258</v>
      </c>
      <c r="E24">
        <f>IF(($C$12*(ReDiarioFert!C25+ReDiarioFert!C26+ReDiarioFert!C27))&lt;=0,"0",($C$12*(ReDiarioFert!C25+ReDiarioFert!C26+ReDiarioFert!C27)))</f>
        <v>12.407791808200042</v>
      </c>
      <c r="G24">
        <f>$C$12*(ReDiarioFert!E25+ReDiarioFert!E26+ReDiarioFert!E27)</f>
        <v>5.894498609999999</v>
      </c>
      <c r="I24">
        <f>$C$12*(ReDiarioFert!G25+ReDiarioFert!G26+ReDiarioFert!G27)</f>
        <v>7.127961840999999</v>
      </c>
      <c r="K24">
        <f>$C$12*(ReDiarioFert!I25+ReDiarioFert!I26+ReDiarioFert!I27)</f>
        <v>3.0233891294945527</v>
      </c>
      <c r="M24">
        <f>$C$12*(ReDiarioFert!K25+ReDiarioFert!K26+ReDiarioFert!K27)</f>
        <v>8.309318450019253</v>
      </c>
      <c r="O24">
        <f>$C$12*(ReDiarioFert!M25+ReDiarioFert!M26+ReDiarioFert!M27)</f>
        <v>179.04032487804878</v>
      </c>
      <c r="S24">
        <f>((E24/100)*$G$74+(G24/100)*$G$75+(I24/100)*$G$76+(K24/100)*$G$77+(M24/100)*$G$78+(O24)*$G$79+(Q24*$G$80))</f>
        <v>193.31981125432395</v>
      </c>
    </row>
    <row r="25">
      <c r="A25">
        <v>4</v>
      </c>
      <c r="B25">
        <f>B24+3</f>
        <v>22</v>
      </c>
      <c r="C25">
        <f>$I$11+B25</f>
        <v>39261</v>
      </c>
      <c r="E25">
        <f>IF(($C$12*(ReDiarioFert!C28+ReDiarioFert!C29))&lt;=0,"0",($C$12*(ReDiarioFert!C28+ReDiarioFert!C29)))</f>
        <v>8.271861205466694</v>
      </c>
      <c r="G25">
        <f>$C$12*(ReDiarioFert!E28+ReDiarioFert!E29)</f>
        <v>3.9296657399999995</v>
      </c>
      <c r="I25">
        <f>$C$12*(ReDiarioFert!G28+ReDiarioFert!G29)</f>
        <v>4.751974560666667</v>
      </c>
      <c r="K25">
        <f>$C$12*(ReDiarioFert!I28+ReDiarioFert!I29)</f>
        <v>2.0155927529963686</v>
      </c>
      <c r="M25">
        <f>$C$12*(ReDiarioFert!K28+ReDiarioFert!K29)</f>
        <v>5.539545633346169</v>
      </c>
      <c r="O25">
        <f>$C$12*(ReDiarioFert!M28+ReDiarioFert!M29)</f>
        <v>119.36021658536585</v>
      </c>
      <c r="Q25">
        <f>$C$12*Main!$D$63</f>
        <v>20.019999999999996</v>
      </c>
      <c r="S25">
        <f>((E25/100)*$G$74+(G25/100)*$G$75+(I25/100)*$G$76+(K25/100)*$G$77+(M25/100)*$G$78+(O25)*$G$79+(Q25*$G$80))</f>
        <v>178.92987416954932</v>
      </c>
    </row>
    <row r="26">
      <c r="B26">
        <f>B25+2</f>
        <v>24</v>
      </c>
      <c r="C26">
        <f>$I$11+B26</f>
        <v>39263</v>
      </c>
      <c r="E26">
        <f>IF(($C$12*(ReDiarioFert!C30+ReDiarioFert!C31))&lt;=0,"0",($C$12*(ReDiarioFert!C30+ReDiarioFert!C31)))</f>
        <v>8.271861205466694</v>
      </c>
      <c r="G26">
        <f>$C$12*(ReDiarioFert!E30+ReDiarioFert!E31)</f>
        <v>3.9296657399999995</v>
      </c>
      <c r="I26">
        <f>$C$12*(ReDiarioFert!G30+ReDiarioFert!G31)</f>
        <v>4.751974560666667</v>
      </c>
      <c r="K26">
        <f>$C$12*(ReDiarioFert!I30+ReDiarioFert!I31)</f>
        <v>2.0155927529963686</v>
      </c>
      <c r="M26">
        <f>$C$12*(ReDiarioFert!K30+ReDiarioFert!K31)</f>
        <v>5.539545633346169</v>
      </c>
      <c r="O26">
        <f>$C$12*(ReDiarioFert!M30+ReDiarioFert!M31)</f>
        <v>119.36021658536585</v>
      </c>
      <c r="S26">
        <f>((E26/100)*$G$74+(G26/100)*$G$75+(I26/100)*$G$76+(K26/100)*$G$77+(M26/100)*$G$78+(O26)*$G$79+(Q26*$G$80))</f>
        <v>128.87987416954934</v>
      </c>
    </row>
    <row r="27">
      <c r="B27">
        <f>B26+2</f>
        <v>26</v>
      </c>
      <c r="C27">
        <f>$I$11+B27</f>
        <v>39265</v>
      </c>
      <c r="E27">
        <f>IF(($C$12*(ReDiarioFert!C32+ReDiarioFert!C33+ReDiarioFert!C34))&lt;=0,"0",($C$12*(ReDiarioFert!C32+ReDiarioFert!C33+ReDiarioFert!C34)))</f>
        <v>12.407791808200042</v>
      </c>
      <c r="G27">
        <f>$C$12*(ReDiarioFert!E32+ReDiarioFert!E33+ReDiarioFert!E34)</f>
        <v>5.894498609999999</v>
      </c>
      <c r="I27">
        <f>$C$12*(ReDiarioFert!G32+ReDiarioFert!G33+ReDiarioFert!G34)</f>
        <v>7.127961840999999</v>
      </c>
      <c r="K27">
        <f>$C$12*(ReDiarioFert!I32+ReDiarioFert!I33+ReDiarioFert!I34)</f>
        <v>3.0233891294945527</v>
      </c>
      <c r="M27">
        <f>$C$12*(ReDiarioFert!K32+ReDiarioFert!K33+ReDiarioFert!K34)</f>
        <v>8.309318450019253</v>
      </c>
      <c r="O27">
        <f>$C$12*(ReDiarioFert!M32+ReDiarioFert!M33+ReDiarioFert!M34)</f>
        <v>179.04032487804878</v>
      </c>
      <c r="S27">
        <f>((E27/100)*$G$74+(G27/100)*$G$75+(I27/100)*$G$76+(K27/100)*$G$77+(M27/100)*$G$78+(O27)*$G$79+(Q27*$G$80))</f>
        <v>193.31981125432395</v>
      </c>
    </row>
    <row r="28">
      <c r="A28">
        <v>5</v>
      </c>
      <c r="B28">
        <f>B27+3</f>
        <v>29</v>
      </c>
      <c r="C28">
        <f>$I$11+B28</f>
        <v>39268</v>
      </c>
      <c r="E28">
        <f>IF(($C$12*(ReDiarioFert!C35+ReDiarioFert!C36))&lt;=0,"0",($C$12*(ReDiarioFert!C35+ReDiarioFert!C36)))</f>
        <v>8.271861205466694</v>
      </c>
      <c r="G28">
        <f>$C$12*(ReDiarioFert!E35+ReDiarioFert!E36)</f>
        <v>3.9296657399999995</v>
      </c>
      <c r="I28">
        <f>$C$12*(ReDiarioFert!G35+ReDiarioFert!G36)</f>
        <v>4.751974560666667</v>
      </c>
      <c r="K28">
        <f>$C$12*(ReDiarioFert!I35+ReDiarioFert!I36)</f>
        <v>2.0155927529963686</v>
      </c>
      <c r="M28">
        <f>$C$12*(ReDiarioFert!K35+ReDiarioFert!K36)</f>
        <v>5.539545633346169</v>
      </c>
      <c r="O28">
        <f>$C$12*(ReDiarioFert!M35+ReDiarioFert!M36)</f>
        <v>119.36021658536585</v>
      </c>
      <c r="Q28">
        <f>$C$12*Main!$D$63</f>
        <v>20.019999999999996</v>
      </c>
      <c r="S28">
        <f>((E28/100)*$G$74+(G28/100)*$G$75+(I28/100)*$G$76+(K28/100)*$G$77+(M28/100)*$G$78+(O28)*$G$79+(Q28*$G$80))</f>
        <v>178.92987416954932</v>
      </c>
    </row>
    <row r="29">
      <c r="B29">
        <f>B28+2</f>
        <v>31</v>
      </c>
      <c r="C29">
        <f>$I$11+B29</f>
        <v>39270</v>
      </c>
      <c r="E29">
        <f>IF(($C$12*(ReDiarioFert!C37+ReDiarioFert!C38))&lt;=0,"0",($C$12*(ReDiarioFert!C37+ReDiarioFert!C38)))</f>
        <v>24.81535654143307</v>
      </c>
      <c r="G29">
        <f>$C$12*(ReDiarioFert!E37+ReDiarioFert!E38)</f>
        <v>11.789043388619369</v>
      </c>
      <c r="I29">
        <f>$C$12*(ReDiarioFert!G37+ReDiarioFert!G38)</f>
        <v>14.255675071005806</v>
      </c>
      <c r="K29">
        <f>$C$12*(ReDiarioFert!I37+ReDiarioFert!I38)</f>
        <v>6.046714011970104</v>
      </c>
      <c r="M29">
        <f>$C$12*(ReDiarioFert!K37+ReDiarioFert!K38)</f>
        <v>16.61846032702144</v>
      </c>
      <c r="O29">
        <f>$C$12*(ReDiarioFert!M37+ReDiarioFert!M38)</f>
        <v>119.36021658536585</v>
      </c>
      <c r="S29">
        <f>((E29/100)*$G$74+(G29/100)*$G$75+(I29/100)*$G$76+(K29/100)*$G$77+(M29/100)*$G$78+(O29)*$G$79+(Q29*$G$80))</f>
        <v>379.09379178688596</v>
      </c>
    </row>
    <row r="30">
      <c r="B30">
        <f>B29+2</f>
        <v>33</v>
      </c>
      <c r="C30">
        <f>$I$11+B30</f>
        <v>39272</v>
      </c>
      <c r="E30">
        <f>IF(($C$12*(ReDiarioFert!C39+ReDiarioFert!C40+ReDiarioFert!C41))&lt;=0,"0",($C$12*(ReDiarioFert!C39+ReDiarioFert!C40+ReDiarioFert!C41)))</f>
        <v>37.223034812149606</v>
      </c>
      <c r="G30">
        <f>$C$12*(ReDiarioFert!E39+ReDiarioFert!E40+ReDiarioFert!E41)</f>
        <v>17.683565082929054</v>
      </c>
      <c r="I30">
        <f>$C$12*(ReDiarioFert!G39+ReDiarioFert!G40+ReDiarioFert!G41)</f>
        <v>21.38351260650871</v>
      </c>
      <c r="K30">
        <f>$C$12*(ReDiarioFert!I39+ReDiarioFert!I40+ReDiarioFert!I41)</f>
        <v>9.070071017955156</v>
      </c>
      <c r="M30">
        <f>$C$12*(ReDiarioFert!K39+ReDiarioFert!K40+ReDiarioFert!K41)</f>
        <v>24.927690490532164</v>
      </c>
      <c r="O30">
        <f>$C$12*(ReDiarioFert!M39+ReDiarioFert!M40+ReDiarioFert!M41)</f>
        <v>253.6421692682927</v>
      </c>
      <c r="S30">
        <f>((E30/100)*$G$74+(G30/100)*$G$75+(I30/100)*$G$76+(K30/100)*$G$77+(M30/100)*$G$78+(O30)*$G$79+(Q30*$G$80))</f>
        <v>570.9981059630608</v>
      </c>
    </row>
    <row r="31">
      <c r="A31">
        <v>6</v>
      </c>
      <c r="B31">
        <f>B30+3</f>
        <v>36</v>
      </c>
      <c r="C31">
        <f>$I$11+B31</f>
        <v>39275</v>
      </c>
      <c r="E31">
        <f>IF(($C$12*(ReDiarioFert!C42+ReDiarioFert!C43))&lt;=0,"0",($C$12*(ReDiarioFert!C42+ReDiarioFert!C43)))</f>
        <v>24.81535654143307</v>
      </c>
      <c r="G31">
        <f>$C$12*(ReDiarioFert!E42+ReDiarioFert!E43)</f>
        <v>11.789043388619369</v>
      </c>
      <c r="I31">
        <f>$C$12*(ReDiarioFert!G42+ReDiarioFert!G43)</f>
        <v>14.255675071005806</v>
      </c>
      <c r="K31">
        <f>$C$12*(ReDiarioFert!I42+ReDiarioFert!I43)</f>
        <v>6.046714011970104</v>
      </c>
      <c r="M31">
        <f>$C$12*(ReDiarioFert!K42+ReDiarioFert!K43)</f>
        <v>16.61846032702144</v>
      </c>
      <c r="O31">
        <f>$C$12*(ReDiarioFert!M42+ReDiarioFert!M43)</f>
        <v>169.09477951219515</v>
      </c>
      <c r="Q31">
        <f>$C$12*Main!$D$63</f>
        <v>20.019999999999996</v>
      </c>
      <c r="S31">
        <f>((E31/100)*$G$74+(G31/100)*$G$75+(I31/100)*$G$76+(K31/100)*$G$77+(M31/100)*$G$78+(O31)*$G$79+(Q31*$G$80))</f>
        <v>430.71540397537376</v>
      </c>
    </row>
    <row r="32">
      <c r="B32">
        <f>B31+2</f>
        <v>38</v>
      </c>
      <c r="C32">
        <f>$I$11+B32</f>
        <v>39277</v>
      </c>
      <c r="E32">
        <f>IF(($C$12*(ReDiarioFert!C44+ReDiarioFert!C45))&lt;=0,"0",($C$12*(ReDiarioFert!C44+ReDiarioFert!C45)))</f>
        <v>24.81535654143307</v>
      </c>
      <c r="G32">
        <f>$C$12*(ReDiarioFert!E44+ReDiarioFert!E45)</f>
        <v>11.789043388619369</v>
      </c>
      <c r="I32">
        <f>$C$12*(ReDiarioFert!G44+ReDiarioFert!G45)</f>
        <v>14.255675071005806</v>
      </c>
      <c r="K32">
        <f>$C$12*(ReDiarioFert!I44+ReDiarioFert!I45)</f>
        <v>6.046714011970104</v>
      </c>
      <c r="M32">
        <f>$C$12*(ReDiarioFert!K44+ReDiarioFert!K45)</f>
        <v>16.61846032702144</v>
      </c>
      <c r="O32">
        <f>$C$12*(ReDiarioFert!M44+ReDiarioFert!M45)</f>
        <v>169.09477951219515</v>
      </c>
      <c r="S32">
        <f>((E32/100)*$G$74+(G32/100)*$G$75+(I32/100)*$G$76+(K32/100)*$G$77+(M32/100)*$G$78+(O32)*$G$79+(Q32*$G$80))</f>
        <v>380.66540397537375</v>
      </c>
    </row>
    <row r="33">
      <c r="B33">
        <f>B32+2</f>
        <v>40</v>
      </c>
      <c r="C33">
        <f>$I$11+B33</f>
        <v>39279</v>
      </c>
      <c r="E33">
        <f>IF(($C$12*(ReDiarioFert!C46+ReDiarioFert!C47+ReDiarioFert!C48))&lt;=0,"0",($C$12*(ReDiarioFert!C46+ReDiarioFert!C47+ReDiarioFert!C48)))</f>
        <v>37.223034812149606</v>
      </c>
      <c r="G33">
        <f>$C$12*(ReDiarioFert!E46+ReDiarioFert!E47+ReDiarioFert!E48)</f>
        <v>17.683565082929054</v>
      </c>
      <c r="I33">
        <f>$C$12*(ReDiarioFert!G46+ReDiarioFert!G47+ReDiarioFert!G48)</f>
        <v>21.38351260650871</v>
      </c>
      <c r="K33">
        <f>$C$12*(ReDiarioFert!I46+ReDiarioFert!I47+ReDiarioFert!I48)</f>
        <v>9.070071017955156</v>
      </c>
      <c r="M33">
        <f>$C$12*(ReDiarioFert!K46+ReDiarioFert!K47+ReDiarioFert!K48)</f>
        <v>24.927690490532164</v>
      </c>
      <c r="O33">
        <f>$C$12*(ReDiarioFert!M46+ReDiarioFert!M47+ReDiarioFert!M48)</f>
        <v>253.6421692682927</v>
      </c>
      <c r="S33">
        <f>((E33/100)*$G$74+(G33/100)*$G$75+(I33/100)*$G$76+(K33/100)*$G$77+(M33/100)*$G$78+(O33)*$G$79+(Q33*$G$80))</f>
        <v>570.9981059630608</v>
      </c>
    </row>
    <row r="34">
      <c r="A34">
        <v>7</v>
      </c>
      <c r="B34">
        <f>B33+3</f>
        <v>43</v>
      </c>
      <c r="C34">
        <f>$I$11+B34</f>
        <v>39282</v>
      </c>
      <c r="E34">
        <f>IF(($C$12*(ReDiarioFert!C49+ReDiarioFert!C50))&lt;=0,"0",($C$12*(ReDiarioFert!C49+ReDiarioFert!C50)))</f>
        <v>24.81535654143307</v>
      </c>
      <c r="G34">
        <f>$C$12*(ReDiarioFert!E49+ReDiarioFert!E50)</f>
        <v>11.789043388619369</v>
      </c>
      <c r="I34">
        <f>$C$12*(ReDiarioFert!G49+ReDiarioFert!G50)</f>
        <v>14.255675071005806</v>
      </c>
      <c r="K34">
        <f>$C$12*(ReDiarioFert!I49+ReDiarioFert!I50)</f>
        <v>6.046714011970104</v>
      </c>
      <c r="M34">
        <f>$C$12*(ReDiarioFert!K49+ReDiarioFert!K50)</f>
        <v>16.61846032702144</v>
      </c>
      <c r="O34">
        <f>$C$12*(ReDiarioFert!M49+ReDiarioFert!M50)</f>
        <v>169.09477951219515</v>
      </c>
      <c r="Q34">
        <f>$C$12*Main!$D$63</f>
        <v>20.019999999999996</v>
      </c>
      <c r="S34">
        <f>((E34/100)*$G$74+(G34/100)*$G$75+(I34/100)*$G$76+(K34/100)*$G$77+(M34/100)*$G$78+(O34)*$G$79+(Q34*$G$80))</f>
        <v>430.71540397537376</v>
      </c>
    </row>
    <row r="35">
      <c r="B35">
        <f>B34+2</f>
        <v>45</v>
      </c>
      <c r="C35">
        <f>$I$11+B35</f>
        <v>39284</v>
      </c>
      <c r="E35">
        <f>IF(($C$12*(ReDiarioFert!C51+ReDiarioFert!C52))&lt;=0,"0",($C$12*(ReDiarioFert!C51+ReDiarioFert!C52)))</f>
        <v>24.81535654143307</v>
      </c>
      <c r="G35">
        <f>$C$12*(ReDiarioFert!E51+ReDiarioFert!E52)</f>
        <v>11.789043388619369</v>
      </c>
      <c r="I35">
        <f>$C$12*(ReDiarioFert!G51+ReDiarioFert!G52)</f>
        <v>14.255675071005806</v>
      </c>
      <c r="K35">
        <f>$C$12*(ReDiarioFert!I51+ReDiarioFert!I52)</f>
        <v>6.046714011970104</v>
      </c>
      <c r="M35">
        <f>$C$12*(ReDiarioFert!K51+ReDiarioFert!K52)</f>
        <v>16.61846032702144</v>
      </c>
      <c r="O35">
        <f>$C$12*(ReDiarioFert!M51+ReDiarioFert!M52)</f>
        <v>169.09477951219515</v>
      </c>
      <c r="S35">
        <f>((E35/100)*$G$74+(G35/100)*$G$75+(I35/100)*$G$76+(K35/100)*$G$77+(M35/100)*$G$78+(O35)*$G$79+(Q35*$G$80))</f>
        <v>380.66540397537375</v>
      </c>
    </row>
    <row r="36">
      <c r="B36">
        <f>B35+2</f>
        <v>47</v>
      </c>
      <c r="C36">
        <f>$I$11+B36</f>
        <v>39286</v>
      </c>
      <c r="E36">
        <f>IF(($C$12*(ReDiarioFert!C53+ReDiarioFert!C54+ReDiarioFert!C55))&lt;=0,"0",($C$12*(ReDiarioFert!C53+ReDiarioFert!C54+ReDiarioFert!C55)))</f>
        <v>37.223034812149606</v>
      </c>
      <c r="G36">
        <f>$C$12*(ReDiarioFert!E53+ReDiarioFert!E54+ReDiarioFert!E55)</f>
        <v>17.683565082929054</v>
      </c>
      <c r="I36">
        <f>$C$12*(ReDiarioFert!G53+ReDiarioFert!G54+ReDiarioFert!G55)</f>
        <v>21.38351260650871</v>
      </c>
      <c r="K36">
        <f>$C$12*(ReDiarioFert!I53+ReDiarioFert!I54+ReDiarioFert!I55)</f>
        <v>9.070071017955156</v>
      </c>
      <c r="M36">
        <f>$C$12*(ReDiarioFert!K53+ReDiarioFert!K54+ReDiarioFert!K55)</f>
        <v>24.927690490532164</v>
      </c>
      <c r="O36">
        <f>$C$12*(ReDiarioFert!M53+ReDiarioFert!M54+ReDiarioFert!M55)</f>
        <v>313.3222775609756</v>
      </c>
      <c r="S36">
        <f>((E36/100)*$G$74+(G36/100)*$G$75+(I36/100)*$G$76+(K36/100)*$G$77+(M36/100)*$G$78+(O36)*$G$79+(Q36*$G$80))</f>
        <v>572.8839973851095</v>
      </c>
    </row>
    <row r="37">
      <c r="A37">
        <v>8</v>
      </c>
      <c r="B37">
        <f>B36+3</f>
        <v>50</v>
      </c>
      <c r="C37">
        <f>$I$11+B37</f>
        <v>39289</v>
      </c>
      <c r="E37">
        <f>IF(($C$12*(ReDiarioFert!C56+ReDiarioFert!C57))&lt;=0,"0",($C$12*(ReDiarioFert!C56+ReDiarioFert!C57)))</f>
        <v>24.81535654143307</v>
      </c>
      <c r="G37">
        <f>$C$12*(ReDiarioFert!E56+ReDiarioFert!E57)</f>
        <v>11.789043388619369</v>
      </c>
      <c r="I37">
        <f>$C$12*(ReDiarioFert!G56+ReDiarioFert!G57)</f>
        <v>14.255675071005806</v>
      </c>
      <c r="K37">
        <f>$C$12*(ReDiarioFert!I56+ReDiarioFert!I57)</f>
        <v>6.046714011970104</v>
      </c>
      <c r="M37">
        <f>$C$12*(ReDiarioFert!K56+ReDiarioFert!K57)</f>
        <v>16.61846032702144</v>
      </c>
      <c r="O37">
        <f>$C$12*(ReDiarioFert!M56+ReDiarioFert!M57)</f>
        <v>228.774887804878</v>
      </c>
      <c r="Q37">
        <f>$C$12*Main!$D$63</f>
        <v>20.019999999999996</v>
      </c>
      <c r="S37">
        <f>((E37/100)*$G$74+(G37/100)*$G$75+(I37/100)*$G$76+(K37/100)*$G$77+(M37/100)*$G$78+(O37)*$G$79+(Q37*$G$80))</f>
        <v>432.6012953974225</v>
      </c>
    </row>
    <row r="38">
      <c r="B38">
        <f>B37+2</f>
        <v>52</v>
      </c>
      <c r="C38">
        <f>$I$11+B38</f>
        <v>39291</v>
      </c>
      <c r="E38">
        <f>IF(($C$12*(ReDiarioFert!C58+ReDiarioFert!C59))&lt;=0,"0",($C$12*(ReDiarioFert!C58+ReDiarioFert!C59)))</f>
        <v>24.81535654143307</v>
      </c>
      <c r="G38">
        <f>$C$12*(ReDiarioFert!E58+ReDiarioFert!E59)</f>
        <v>11.789043388619369</v>
      </c>
      <c r="I38">
        <f>$C$12*(ReDiarioFert!G58+ReDiarioFert!G59)</f>
        <v>14.255675071005806</v>
      </c>
      <c r="K38">
        <f>$C$12*(ReDiarioFert!I58+ReDiarioFert!I59)</f>
        <v>6.046714011970104</v>
      </c>
      <c r="M38">
        <f>$C$12*(ReDiarioFert!K58+ReDiarioFert!K59)</f>
        <v>16.61846032702144</v>
      </c>
      <c r="O38">
        <f>$C$12*(ReDiarioFert!M58+ReDiarioFert!M59)</f>
        <v>228.774887804878</v>
      </c>
      <c r="S38">
        <f>((E38/100)*$G$74+(G38/100)*$G$75+(I38/100)*$G$76+(K38/100)*$G$77+(M38/100)*$G$78+(O38)*$G$79+(Q38*$G$80))</f>
        <v>382.5512953974225</v>
      </c>
    </row>
    <row r="39">
      <c r="B39">
        <f>B38+2</f>
        <v>54</v>
      </c>
      <c r="C39">
        <f>$I$11+B39</f>
        <v>39293</v>
      </c>
      <c r="E39">
        <f>IF(($C$12*(ReDiarioFert!C60+ReDiarioFert!C61+ReDiarioFert!C62))&lt;=0,"0",($C$12*(ReDiarioFert!C60+ReDiarioFert!C61+ReDiarioFert!C62)))</f>
        <v>37.223034812149606</v>
      </c>
      <c r="G39">
        <f>$C$12*(ReDiarioFert!E60+ReDiarioFert!E61+ReDiarioFert!E62)</f>
        <v>17.683565082929054</v>
      </c>
      <c r="I39">
        <f>$C$12*(ReDiarioFert!G60+ReDiarioFert!G61+ReDiarioFert!G62)</f>
        <v>21.38351260650871</v>
      </c>
      <c r="K39">
        <f>$C$12*(ReDiarioFert!I60+ReDiarioFert!I61+ReDiarioFert!I62)</f>
        <v>9.070071017955156</v>
      </c>
      <c r="M39">
        <f>$C$12*(ReDiarioFert!K60+ReDiarioFert!K61+ReDiarioFert!K62)</f>
        <v>24.927690490532164</v>
      </c>
      <c r="O39">
        <f>$C$12*(ReDiarioFert!M60+ReDiarioFert!M61+ReDiarioFert!M62)</f>
        <v>343.16233170731704</v>
      </c>
      <c r="S39">
        <f>((E39/100)*$G$74+(G39/100)*$G$75+(I39/100)*$G$76+(K39/100)*$G$77+(M39/100)*$G$78+(O39)*$G$79+(Q39*$G$80))</f>
        <v>573.8269430961338</v>
      </c>
    </row>
    <row r="40">
      <c r="A40">
        <v>9</v>
      </c>
      <c r="B40">
        <f>B39+3</f>
        <v>57</v>
      </c>
      <c r="C40">
        <f>$I$11+B40</f>
        <v>39296</v>
      </c>
      <c r="E40">
        <f>IF(($C$12*(ReDiarioFert!C63+ReDiarioFert!C64))&lt;=0,"0",($C$12*(ReDiarioFert!C63+ReDiarioFert!C64)))</f>
        <v>24.81535654143307</v>
      </c>
      <c r="G40">
        <f>$C$12*(ReDiarioFert!E63+ReDiarioFert!E64)</f>
        <v>11.789043388619369</v>
      </c>
      <c r="I40">
        <f>$C$12*(ReDiarioFert!G63+ReDiarioFert!G64)</f>
        <v>14.255675071005806</v>
      </c>
      <c r="K40">
        <f>$C$12*(ReDiarioFert!I63+ReDiarioFert!I64)</f>
        <v>6.046714011970104</v>
      </c>
      <c r="M40">
        <f>$C$12*(ReDiarioFert!K63+ReDiarioFert!K64)</f>
        <v>16.61846032702144</v>
      </c>
      <c r="O40">
        <f>$C$12*(ReDiarioFert!M63+ReDiarioFert!M64)</f>
        <v>228.774887804878</v>
      </c>
      <c r="Q40">
        <f>$C$12*Main!$D$63</f>
        <v>20.019999999999996</v>
      </c>
      <c r="S40">
        <f>((E40/100)*$G$74+(G40/100)*$G$75+(I40/100)*$G$76+(K40/100)*$G$77+(M40/100)*$G$78+(O40)*$G$79+(Q40*$G$80))</f>
        <v>432.6012953974225</v>
      </c>
    </row>
    <row r="41">
      <c r="B41">
        <f>B40+2</f>
        <v>59</v>
      </c>
      <c r="C41">
        <f>$I$11+B41</f>
        <v>39298</v>
      </c>
      <c r="E41">
        <f>IF(($C$12*(ReDiarioFert!C65+ReDiarioFert!C66))&lt;=0,"0",($C$12*(ReDiarioFert!C65+ReDiarioFert!C66)))</f>
        <v>24.81535654143307</v>
      </c>
      <c r="G41">
        <f>$C$12*(ReDiarioFert!E65+ReDiarioFert!E66)</f>
        <v>11.789043388619369</v>
      </c>
      <c r="I41">
        <f>$C$12*(ReDiarioFert!G65+ReDiarioFert!G66)</f>
        <v>14.255675071005806</v>
      </c>
      <c r="K41">
        <f>$C$12*(ReDiarioFert!I65+ReDiarioFert!I66)</f>
        <v>6.046714011970104</v>
      </c>
      <c r="M41">
        <f>$C$12*(ReDiarioFert!K65+ReDiarioFert!K66)</f>
        <v>16.61846032702144</v>
      </c>
      <c r="O41">
        <f>$C$12*(ReDiarioFert!M65+ReDiarioFert!M66)</f>
        <v>228.774887804878</v>
      </c>
      <c r="S41">
        <f>((E41/100)*$G$74+(G41/100)*$G$75+(I41/100)*$G$76+(K41/100)*$G$77+(M41/100)*$G$78+(O41)*$G$79+(Q41*$G$80))</f>
        <v>382.5512953974225</v>
      </c>
    </row>
    <row r="42">
      <c r="B42">
        <f>B41+2</f>
        <v>61</v>
      </c>
      <c r="C42">
        <f>$I$11+B42</f>
        <v>39300</v>
      </c>
      <c r="E42">
        <f>IF(($C$12*(ReDiarioFert!C67+ReDiarioFert!C68+ReDiarioFert!C69))&lt;=0,"0",($C$12*(ReDiarioFert!C67+ReDiarioFert!C68+ReDiarioFert!C69)))</f>
        <v>62.03839135358268</v>
      </c>
      <c r="G42">
        <f>$C$12*(ReDiarioFert!E67+ReDiarioFert!E68+ReDiarioFert!E69)</f>
        <v>23.69760847154841</v>
      </c>
      <c r="I42">
        <f>$C$12*(ReDiarioFert!G67+ReDiarioFert!G68+ReDiarioFert!G69)</f>
        <v>38.91168767751452</v>
      </c>
      <c r="K42">
        <f>$C$12*(ReDiarioFert!I67+ReDiarioFert!I68+ReDiarioFert!I69)</f>
        <v>15.116785029925259</v>
      </c>
      <c r="M42">
        <f>$C$12*(ReDiarioFert!K67+ReDiarioFert!K68+ReDiarioFert!K69)</f>
        <v>41.546150817553595</v>
      </c>
      <c r="O42">
        <f>$C$12*(ReDiarioFert!M67+ReDiarioFert!M68+ReDiarioFert!M69)</f>
        <v>373.0028741463414</v>
      </c>
      <c r="S42">
        <f>((E42/100)*$G$74+(G42/100)*$G$75+(I42/100)*$G$76+(K42/100)*$G$77+(M42/100)*$G$78+(O42)*$G$79+(Q42*$G$80))</f>
        <v>895.9994131799951</v>
      </c>
    </row>
    <row r="43">
      <c r="A43">
        <v>10</v>
      </c>
      <c r="B43">
        <f>B42+3</f>
        <v>64</v>
      </c>
      <c r="C43">
        <f>$I$11+B43</f>
        <v>39303</v>
      </c>
      <c r="E43">
        <f>IF(($C$12*(ReDiarioFert!C70+ReDiarioFert!C71))&lt;=0,"0",($C$12*(ReDiarioFert!C70+ReDiarioFert!C71)))</f>
        <v>41.358927569055126</v>
      </c>
      <c r="G43">
        <f>$C$12*(ReDiarioFert!E70+ReDiarioFert!E71)</f>
        <v>15.79840564769894</v>
      </c>
      <c r="I43">
        <f>$C$12*(ReDiarioFert!G70+ReDiarioFert!G71)</f>
        <v>25.941125118343013</v>
      </c>
      <c r="K43">
        <f>$C$12*(ReDiarioFert!I70+ReDiarioFert!I71)</f>
        <v>10.077856686616839</v>
      </c>
      <c r="M43">
        <f>$C$12*(ReDiarioFert!K70+ReDiarioFert!K71)</f>
        <v>27.697433878369065</v>
      </c>
      <c r="O43">
        <f>$C$12*(ReDiarioFert!M70+ReDiarioFert!M71)</f>
        <v>288.4559726829268</v>
      </c>
      <c r="Q43">
        <f>$C$12*Main!$D$63</f>
        <v>20.019999999999996</v>
      </c>
      <c r="S43">
        <f>((E43/100)*$G$74+(G43/100)*$G$75+(I43/100)*$G$76+(K43/100)*$G$77+(M43/100)*$G$78+(O43)*$G$79+(Q43*$G$80))</f>
        <v>648.6402236414277</v>
      </c>
    </row>
    <row r="44">
      <c r="B44">
        <f>B43+2</f>
        <v>66</v>
      </c>
      <c r="C44">
        <f>$I$11+B44</f>
        <v>39305</v>
      </c>
      <c r="E44">
        <f>IF(($C$12*(ReDiarioFert!C72+ReDiarioFert!C73))&lt;=0,"0",($C$12*(ReDiarioFert!C72+ReDiarioFert!C73)))</f>
        <v>41.358927569055126</v>
      </c>
      <c r="G44">
        <f>$C$12*(ReDiarioFert!E72+ReDiarioFert!E73)</f>
        <v>15.79840564769894</v>
      </c>
      <c r="I44">
        <f>$C$12*(ReDiarioFert!G72+ReDiarioFert!G73)</f>
        <v>25.941125118343013</v>
      </c>
      <c r="K44">
        <f>$C$12*(ReDiarioFert!I72+ReDiarioFert!I73)</f>
        <v>10.077856686616839</v>
      </c>
      <c r="M44">
        <f>$C$12*(ReDiarioFert!K72+ReDiarioFert!K73)</f>
        <v>27.697433878369065</v>
      </c>
      <c r="O44">
        <f>$C$12*(ReDiarioFert!M72+ReDiarioFert!M73)</f>
        <v>288.4559726829268</v>
      </c>
      <c r="S44">
        <f>((E44/100)*$G$74+(G44/100)*$G$75+(I44/100)*$G$76+(K44/100)*$G$77+(M44/100)*$G$78+(O44)*$G$79+(Q44*$G$80))</f>
        <v>598.5902236414278</v>
      </c>
    </row>
    <row r="45">
      <c r="B45">
        <f>B44+2</f>
        <v>68</v>
      </c>
      <c r="C45">
        <f>$I$11+B45</f>
        <v>39307</v>
      </c>
      <c r="E45">
        <f>IF(($C$12*(ReDiarioFert!C74+ReDiarioFert!C75+ReDiarioFert!C76))&lt;=0,"0",($C$12*(ReDiarioFert!C74+ReDiarioFert!C75+ReDiarioFert!C76)))</f>
        <v>62.03839135358268</v>
      </c>
      <c r="G45">
        <f>$C$12*(ReDiarioFert!E74+ReDiarioFert!E75+ReDiarioFert!E76)</f>
        <v>23.69760847154841</v>
      </c>
      <c r="I45">
        <f>$C$12*(ReDiarioFert!G74+ReDiarioFert!G75+ReDiarioFert!G76)</f>
        <v>38.91168767751452</v>
      </c>
      <c r="K45">
        <f>$C$12*(ReDiarioFert!I74+ReDiarioFert!I75+ReDiarioFert!I76)</f>
        <v>15.116785029925259</v>
      </c>
      <c r="M45">
        <f>$C$12*(ReDiarioFert!K74+ReDiarioFert!K75+ReDiarioFert!K76)</f>
        <v>41.546150817553595</v>
      </c>
      <c r="O45">
        <f>$C$12*(ReDiarioFert!M74+ReDiarioFert!M75+ReDiarioFert!M76)</f>
        <v>432.6839590243902</v>
      </c>
      <c r="S45">
        <f>((E45/100)*$G$74+(G45/100)*$G$75+(I45/100)*$G$76+(K45/100)*$G$77+(M45/100)*$G$78+(O45)*$G$79+(Q45*$G$80))</f>
        <v>897.8853354621415</v>
      </c>
    </row>
    <row r="46">
      <c r="A46">
        <v>11</v>
      </c>
      <c r="B46">
        <f>B45+3</f>
        <v>71</v>
      </c>
      <c r="C46">
        <f>$I$11+B46</f>
        <v>39310</v>
      </c>
      <c r="E46">
        <f>IF(($C$12*(ReDiarioFert!C77+ReDiarioFert!C78))&lt;=0,"0",($C$12*(ReDiarioFert!C77+ReDiarioFert!C78)))</f>
        <v>41.358927569055126</v>
      </c>
      <c r="G46">
        <f>$C$12*(ReDiarioFert!E77+ReDiarioFert!E78)</f>
        <v>15.79840564769894</v>
      </c>
      <c r="I46">
        <f>$C$12*(ReDiarioFert!G77+ReDiarioFert!G78)</f>
        <v>25.941125118343013</v>
      </c>
      <c r="K46">
        <f>$C$12*(ReDiarioFert!I77+ReDiarioFert!I78)</f>
        <v>10.077856686616839</v>
      </c>
      <c r="M46">
        <f>$C$12*(ReDiarioFert!K77+ReDiarioFert!K78)</f>
        <v>27.697433878369065</v>
      </c>
      <c r="O46">
        <f>$C$12*(ReDiarioFert!M77+ReDiarioFert!M78)</f>
        <v>288.4559726829268</v>
      </c>
      <c r="Q46">
        <f>$C$12*Main!$D$63</f>
        <v>20.019999999999996</v>
      </c>
      <c r="S46">
        <f>((E46/100)*$G$74+(G46/100)*$G$75+(I46/100)*$G$76+(K46/100)*$G$77+(M46/100)*$G$78+(O46)*$G$79+(Q46*$G$80))</f>
        <v>648.6402236414277</v>
      </c>
    </row>
    <row r="47">
      <c r="B47">
        <f>B46+2</f>
        <v>73</v>
      </c>
      <c r="C47">
        <f>$I$11+B47</f>
        <v>39312</v>
      </c>
      <c r="E47">
        <f>IF(($C$12*(ReDiarioFert!C79+ReDiarioFert!C80))&lt;=0,"0",($C$12*(ReDiarioFert!C79+ReDiarioFert!C80)))</f>
        <v>41.358927569055126</v>
      </c>
      <c r="G47">
        <f>$C$12*(ReDiarioFert!E79+ReDiarioFert!E80)</f>
        <v>15.79840564769894</v>
      </c>
      <c r="I47">
        <f>$C$12*(ReDiarioFert!G79+ReDiarioFert!G80)</f>
        <v>25.941125118343013</v>
      </c>
      <c r="K47">
        <f>$C$12*(ReDiarioFert!I79+ReDiarioFert!I80)</f>
        <v>10.077856686616839</v>
      </c>
      <c r="M47">
        <f>$C$12*(ReDiarioFert!K79+ReDiarioFert!K80)</f>
        <v>27.697433878369065</v>
      </c>
      <c r="O47">
        <f>$C$12*(ReDiarioFert!M79+ReDiarioFert!M80)</f>
        <v>288.4559726829268</v>
      </c>
      <c r="S47">
        <f>((E47/100)*$G$74+(G47/100)*$G$75+(I47/100)*$G$76+(K47/100)*$G$77+(M47/100)*$G$78+(O47)*$G$79+(Q47*$G$80))</f>
        <v>598.5902236414278</v>
      </c>
    </row>
    <row r="48">
      <c r="B48">
        <f>B47+2</f>
        <v>75</v>
      </c>
      <c r="C48">
        <f>$I$11+B48</f>
        <v>39314</v>
      </c>
      <c r="E48">
        <f>IF(($C$12*(ReDiarioFert!C81+ReDiarioFert!C82+ReDiarioFert!C83))&lt;=0,"0",($C$12*(ReDiarioFert!C81+ReDiarioFert!C82+ReDiarioFert!C83)))</f>
        <v>52.490586935161765</v>
      </c>
      <c r="G48">
        <f>$C$12*(ReDiarioFert!E81+ReDiarioFert!E82+ReDiarioFert!E83)</f>
        <v>23.69760847154841</v>
      </c>
      <c r="I48">
        <f>$C$12*(ReDiarioFert!G81+ReDiarioFert!G82+ReDiarioFert!G83)</f>
        <v>38.91168767751452</v>
      </c>
      <c r="K48">
        <f>$C$12*(ReDiarioFert!I81+ReDiarioFert!I82+ReDiarioFert!I83)</f>
        <v>15.116785029925259</v>
      </c>
      <c r="M48">
        <f>$C$12*(ReDiarioFert!K81+ReDiarioFert!K82+ReDiarioFert!K83)</f>
        <v>41.546150817553595</v>
      </c>
      <c r="O48">
        <f>$C$12*(ReDiarioFert!M81+ReDiarioFert!M82+ReDiarioFert!M83)</f>
        <v>432.6839590243902</v>
      </c>
      <c r="S48">
        <f>((E48/100)*$G$74+(G48/100)*$G$75+(I48/100)*$G$76+(K48/100)*$G$77+(M48/100)*$G$78+(O48)*$G$79+(Q48*$G$80))</f>
        <v>867.3323613231946</v>
      </c>
    </row>
    <row r="49">
      <c r="A49">
        <v>12</v>
      </c>
      <c r="B49">
        <f>B48+3</f>
        <v>78</v>
      </c>
      <c r="C49">
        <f>$I$11+B49</f>
        <v>39317</v>
      </c>
      <c r="E49">
        <f>IF(($C$12*(ReDiarioFert!C84+ReDiarioFert!C85))&lt;=0,"0",($C$12*(ReDiarioFert!C84+ReDiarioFert!C85)))</f>
        <v>34.993724623441175</v>
      </c>
      <c r="G49">
        <f>$C$12*(ReDiarioFert!E84+ReDiarioFert!E85)</f>
        <v>15.79840564769894</v>
      </c>
      <c r="I49">
        <f>$C$12*(ReDiarioFert!G84+ReDiarioFert!G85)</f>
        <v>25.941125118343013</v>
      </c>
      <c r="K49">
        <f>$C$12*(ReDiarioFert!I84+ReDiarioFert!I85)</f>
        <v>10.077856686616839</v>
      </c>
      <c r="M49">
        <f>$C$12*(ReDiarioFert!K84+ReDiarioFert!K85)</f>
        <v>27.697433878369065</v>
      </c>
      <c r="O49">
        <f>$C$12*(ReDiarioFert!M84+ReDiarioFert!M85)</f>
        <v>288.4559726829268</v>
      </c>
      <c r="Q49">
        <f>$C$12*Main!$D$63</f>
        <v>20.019999999999996</v>
      </c>
      <c r="S49">
        <f>((E49/100)*$G$74+(G49/100)*$G$75+(I49/100)*$G$76+(K49/100)*$G$77+(M49/100)*$G$78+(O49)*$G$79+(Q49*$G$80))</f>
        <v>628.271574215463</v>
      </c>
    </row>
    <row r="50">
      <c r="B50">
        <f>B49+2</f>
        <v>80</v>
      </c>
      <c r="C50">
        <f>$I$11+B50</f>
        <v>39319</v>
      </c>
      <c r="E50">
        <f>IF(($C$12*(ReDiarioFert!C86+ReDiarioFert!C87))&lt;=0,"0",($C$12*(ReDiarioFert!C86+ReDiarioFert!C87)))</f>
        <v>34.993724623441175</v>
      </c>
      <c r="G50">
        <f>$C$12*(ReDiarioFert!E86+ReDiarioFert!E87)</f>
        <v>15.79840564769894</v>
      </c>
      <c r="I50">
        <f>$C$12*(ReDiarioFert!G86+ReDiarioFert!G87)</f>
        <v>25.941125118343013</v>
      </c>
      <c r="K50">
        <f>$C$12*(ReDiarioFert!I86+ReDiarioFert!I87)</f>
        <v>10.077856686616839</v>
      </c>
      <c r="M50">
        <f>$C$12*(ReDiarioFert!K86+ReDiarioFert!K87)</f>
        <v>27.697433878369065</v>
      </c>
      <c r="O50">
        <f>$C$12*(ReDiarioFert!M86+ReDiarioFert!M87)</f>
        <v>318.29602682926827</v>
      </c>
      <c r="S50">
        <f>((E50/100)*$G$74+(G50/100)*$G$75+(I50/100)*$G$76+(K50/100)*$G$77+(M50/100)*$G$78+(O50)*$G$79+(Q50*$G$80))</f>
        <v>579.1645199264875</v>
      </c>
    </row>
    <row r="51">
      <c r="B51">
        <f>B50+2</f>
        <v>82</v>
      </c>
      <c r="C51">
        <f>$I$11+B51</f>
        <v>39321</v>
      </c>
      <c r="E51">
        <f>IF(($C$12*(ReDiarioFert!C88+ReDiarioFert!C89+ReDiarioFert!C90))&lt;=0,"0",($C$12*(ReDiarioFert!C88+ReDiarioFert!C89+ReDiarioFert!C90)))</f>
        <v>52.490586935161765</v>
      </c>
      <c r="G51">
        <f>$C$12*(ReDiarioFert!E88+ReDiarioFert!E89+ReDiarioFert!E90)</f>
        <v>23.69760847154841</v>
      </c>
      <c r="I51">
        <f>$C$12*(ReDiarioFert!G88+ReDiarioFert!G89+ReDiarioFert!G90)</f>
        <v>38.91168767751452</v>
      </c>
      <c r="K51">
        <f>$C$12*(ReDiarioFert!I88+ReDiarioFert!I89+ReDiarioFert!I90)</f>
        <v>15.116785029925259</v>
      </c>
      <c r="M51">
        <f>$C$12*(ReDiarioFert!K88+ReDiarioFert!K89+ReDiarioFert!K90)</f>
        <v>41.546150817553595</v>
      </c>
      <c r="O51">
        <f>$C$12*(ReDiarioFert!M88+ReDiarioFert!M89+ReDiarioFert!M90)</f>
        <v>522.2041214634146</v>
      </c>
      <c r="S51">
        <f>((E51/100)*$G$74+(G51/100)*$G$75+(I51/100)*$G$76+(K51/100)*$G$77+(M51/100)*$G$78+(O51)*$G$79+(Q51*$G$80))</f>
        <v>870.1611984562678</v>
      </c>
    </row>
    <row r="52" ht="18" customHeight="1">
      <c r="A52">
        <v>13</v>
      </c>
      <c r="B52">
        <f>B51+3</f>
        <v>85</v>
      </c>
      <c r="C52">
        <f>$I$11+B52</f>
        <v>39324</v>
      </c>
      <c r="E52">
        <f>IF(($C$12*(ReDiarioFert!C91+ReDiarioFert!C92))&lt;=0,"0",($C$12*(ReDiarioFert!C91+ReDiarioFert!C92)))</f>
        <v>27.22476939956058</v>
      </c>
      <c r="G52">
        <f>$C$12*(ReDiarioFert!E91+ReDiarioFert!E92)</f>
        <v>15.79840564769894</v>
      </c>
      <c r="I52">
        <f>$C$12*(ReDiarioFert!G91+ReDiarioFert!G92)</f>
        <v>25.941125118343013</v>
      </c>
      <c r="K52">
        <f>$C$12*(ReDiarioFert!I91+ReDiarioFert!I92)</f>
        <v>10.077856686616839</v>
      </c>
      <c r="M52">
        <f>$C$12*(ReDiarioFert!K91+ReDiarioFert!K92)</f>
        <v>27.697433878369065</v>
      </c>
      <c r="O52">
        <f>$C$12*(ReDiarioFert!M91+ReDiarioFert!M92)</f>
        <v>348.13608097560973</v>
      </c>
      <c r="Q52">
        <f>$C$12*Main!$D$63</f>
        <v>20.019999999999996</v>
      </c>
      <c r="S52">
        <f>((E52/100)*$G$74+(G52/100)*$G$75+(I52/100)*$G$76+(K52/100)*$G$77+(M52/100)*$G$78+(O52)*$G$79+(Q52*$G$80))</f>
        <v>605.2968089210939</v>
      </c>
    </row>
    <row r="53" ht="18" customHeight="1">
      <c r="B53">
        <f>B52+2</f>
        <v>87</v>
      </c>
      <c r="C53">
        <f>$I$11+B53</f>
        <v>39326</v>
      </c>
      <c r="E53">
        <f>IF(($C$12*(ReDiarioFert!C93+ReDiarioFert!C94))&lt;=0,"0",($C$12*(ReDiarioFert!C93+ReDiarioFert!C94)))</f>
        <v>27.22476939956058</v>
      </c>
      <c r="G53">
        <f>$C$12*(ReDiarioFert!E93+ReDiarioFert!E94)</f>
        <v>15.79840564769894</v>
      </c>
      <c r="I53">
        <f>$C$12*(ReDiarioFert!G93+ReDiarioFert!G94)</f>
        <v>25.941125118343013</v>
      </c>
      <c r="K53">
        <f>$C$12*(ReDiarioFert!I93+ReDiarioFert!I94)</f>
        <v>10.077856686616839</v>
      </c>
      <c r="M53">
        <f>$C$12*(ReDiarioFert!K93+ReDiarioFert!K94)</f>
        <v>27.697433878369065</v>
      </c>
      <c r="O53">
        <f>$C$12*(ReDiarioFert!M93+ReDiarioFert!M94)</f>
        <v>348.13608097560973</v>
      </c>
      <c r="S53">
        <f>((E53/100)*$G$74+(G53/100)*$G$75+(I53/100)*$G$76+(K53/100)*$G$77+(M53/100)*$G$78+(O53)*$G$79+(Q53*$G$80))</f>
        <v>555.2468089210939</v>
      </c>
    </row>
    <row r="54" ht="18" customHeight="1">
      <c r="B54">
        <f>B53+2</f>
        <v>89</v>
      </c>
      <c r="C54">
        <f>$I$11+B54</f>
        <v>39328</v>
      </c>
      <c r="E54">
        <f>IF(($C$12*(ReDiarioFert!C95+ReDiarioFert!C96+ReDiarioFert!C97))&lt;=0,"0",($C$12*(ReDiarioFert!C95+ReDiarioFert!C96+ReDiarioFert!C97)))</f>
        <v>40.837154099340864</v>
      </c>
      <c r="G54">
        <f>$C$12*(ReDiarioFert!E95+ReDiarioFert!E96+ReDiarioFert!E97)</f>
        <v>23.69760847154841</v>
      </c>
      <c r="I54">
        <f>$C$12*(ReDiarioFert!G95+ReDiarioFert!G96+ReDiarioFert!G97)</f>
        <v>38.91168767751452</v>
      </c>
      <c r="K54">
        <f>$C$12*(ReDiarioFert!I95+ReDiarioFert!I96+ReDiarioFert!I97)</f>
        <v>15.116785029925259</v>
      </c>
      <c r="M54">
        <f>$C$12*(ReDiarioFert!K95+ReDiarioFert!K96+ReDiarioFert!K97)</f>
        <v>41.546150817553595</v>
      </c>
      <c r="O54">
        <f>$C$12*(ReDiarioFert!M95+ReDiarioFert!M96+ReDiarioFert!M97)</f>
        <v>522.2041214634146</v>
      </c>
      <c r="S54">
        <f>((E54/100)*$G$74+(G54/100)*$G$75+(I54/100)*$G$76+(K54/100)*$G$77+(M54/100)*$G$78+(O54)*$G$79+(Q54*$G$80))</f>
        <v>832.870213381641</v>
      </c>
    </row>
    <row r="55">
      <c r="A55">
        <v>14</v>
      </c>
      <c r="B55">
        <f>B54+3</f>
        <v>92</v>
      </c>
      <c r="C55">
        <f>$I$11+B55</f>
        <v>39331</v>
      </c>
      <c r="E55">
        <f>IF(($C$12*(ReDiarioFert!C98+ReDiarioFert!C99))&lt;=0,"0",($C$12*(ReDiarioFert!C98+ReDiarioFert!C99)))</f>
        <v>20.590422277172514</v>
      </c>
      <c r="G55">
        <f>$C$12*(ReDiarioFert!E98+ReDiarioFert!E99)</f>
        <v>15.79840564769894</v>
      </c>
      <c r="I55">
        <f>$C$12*(ReDiarioFert!G98+ReDiarioFert!G99)</f>
        <v>25.941125118343013</v>
      </c>
      <c r="K55">
        <f>$C$12*(ReDiarioFert!I98+ReDiarioFert!I99)</f>
        <v>10.077856686616839</v>
      </c>
      <c r="M55">
        <f>$C$12*(ReDiarioFert!K98+ReDiarioFert!K99)</f>
        <v>27.697433878369065</v>
      </c>
      <c r="O55">
        <f>$C$12*(ReDiarioFert!M98+ReDiarioFert!M99)</f>
        <v>348.13608097560973</v>
      </c>
      <c r="Q55">
        <f>$C$12*Main!$D$63</f>
        <v>20.019999999999996</v>
      </c>
      <c r="S55">
        <f>((E55/100)*$G$74+(G55/100)*$G$75+(I55/100)*$G$76+(K55/100)*$G$77+(M55/100)*$G$78+(O55)*$G$79+(Q55*$G$80))</f>
        <v>584.066898129452</v>
      </c>
    </row>
    <row r="56">
      <c r="B56">
        <f>B55+2</f>
        <v>94</v>
      </c>
      <c r="C56">
        <f>$I$11+B56</f>
        <v>39333</v>
      </c>
      <c r="E56">
        <f>IF(($C$12*(ReDiarioFert!C100+ReDiarioFert!C101))&lt;=0,"0",($C$12*(ReDiarioFert!C100+ReDiarioFert!C101)))</f>
        <v>20.590422277172514</v>
      </c>
      <c r="G56">
        <f>$C$12*(ReDiarioFert!E100+ReDiarioFert!E101)</f>
        <v>15.79840564769894</v>
      </c>
      <c r="I56">
        <f>$C$12*(ReDiarioFert!G100+ReDiarioFert!G101)</f>
        <v>25.941125118343013</v>
      </c>
      <c r="K56">
        <f>$C$12*(ReDiarioFert!I100+ReDiarioFert!I101)</f>
        <v>10.077856686616839</v>
      </c>
      <c r="M56">
        <f>$C$12*(ReDiarioFert!K100+ReDiarioFert!K101)</f>
        <v>27.697433878369065</v>
      </c>
      <c r="O56">
        <f>$C$12*(ReDiarioFert!M100+ReDiarioFert!M101)</f>
        <v>348.13608097560973</v>
      </c>
      <c r="S56">
        <f>((E56/100)*$G$74+(G56/100)*$G$75+(I56/100)*$G$76+(K56/100)*$G$77+(M56/100)*$G$78+(O56)*$G$79+(Q56*$G$80))</f>
        <v>534.0168981294521</v>
      </c>
    </row>
    <row r="57">
      <c r="B57">
        <f>B56+2</f>
        <v>96</v>
      </c>
      <c r="C57">
        <f>$I$11+B57</f>
        <v>39335</v>
      </c>
      <c r="E57">
        <f>IF(($C$12*(ReDiarioFert!C102+ReDiarioFert!C103+ReDiarioFert!C104))&lt;=0,"0",($C$12*(ReDiarioFert!C102+ReDiarioFert!C103+ReDiarioFert!C104)))</f>
        <v>30.88563341575877</v>
      </c>
      <c r="G57">
        <f>$C$12*(ReDiarioFert!E102+ReDiarioFert!E103+ReDiarioFert!E104)</f>
        <v>23.69760847154841</v>
      </c>
      <c r="I57">
        <f>$C$12*(ReDiarioFert!G102+ReDiarioFert!G103+ReDiarioFert!G104)</f>
        <v>38.91168767751452</v>
      </c>
      <c r="K57">
        <f>$C$12*(ReDiarioFert!I102+ReDiarioFert!I103+ReDiarioFert!I104)</f>
        <v>15.116785029925259</v>
      </c>
      <c r="M57">
        <f>$C$12*(ReDiarioFert!K102+ReDiarioFert!K103+ReDiarioFert!K104)</f>
        <v>41.546150817553595</v>
      </c>
      <c r="O57">
        <f>$C$12*(ReDiarioFert!M102+ReDiarioFert!M103+ReDiarioFert!M104)</f>
        <v>522.2041214634146</v>
      </c>
      <c r="S57">
        <f>((E57/100)*$G$74+(G57/100)*$G$75+(I57/100)*$G$76+(K57/100)*$G$77+(M57/100)*$G$78+(O57)*$G$79+(Q57*$G$80))</f>
        <v>801.0253471941783</v>
      </c>
    </row>
    <row r="58">
      <c r="A58">
        <v>15</v>
      </c>
      <c r="B58">
        <f>B57+3</f>
        <v>99</v>
      </c>
      <c r="C58">
        <f>$I$11+B58</f>
        <v>39338</v>
      </c>
      <c r="E58">
        <f>IF(($C$12*(ReDiarioFert!C105+ReDiarioFert!C106))&lt;=0,"0",($C$12*(ReDiarioFert!C105+ReDiarioFert!C106)))</f>
        <v>14.76413315179938</v>
      </c>
      <c r="G58">
        <f>$C$12*(ReDiarioFert!E105+ReDiarioFert!E106)</f>
        <v>15.79840564769894</v>
      </c>
      <c r="I58">
        <f>$C$12*(ReDiarioFert!G105+ReDiarioFert!G106)</f>
        <v>25.941125118343013</v>
      </c>
      <c r="K58">
        <f>$C$12*(ReDiarioFert!I105+ReDiarioFert!I106)</f>
        <v>10.077856686616839</v>
      </c>
      <c r="M58">
        <f>$C$12*(ReDiarioFert!K105+ReDiarioFert!K106)</f>
        <v>27.697433878369065</v>
      </c>
      <c r="O58">
        <f>$C$12*(ReDiarioFert!M105+ReDiarioFert!M106)</f>
        <v>348.13608097560973</v>
      </c>
      <c r="Q58">
        <f>$C$12*Main!$D$63</f>
        <v>20.019999999999996</v>
      </c>
      <c r="S58">
        <f>((E58/100)*$G$74+(G58/100)*$G$75+(I58/100)*$G$76+(K58/100)*$G$77+(M58/100)*$G$78+(O58)*$G$79+(Q58*$G$80))</f>
        <v>565.422772928258</v>
      </c>
    </row>
    <row r="59">
      <c r="B59">
        <f>B58+2</f>
        <v>101</v>
      </c>
      <c r="C59">
        <f>$I$11+B59</f>
        <v>39340</v>
      </c>
      <c r="E59">
        <f>IF(($C$12*(ReDiarioFert!C107+ReDiarioFert!C108))&lt;=0,"0",($C$12*(ReDiarioFert!C107+ReDiarioFert!C108)))</f>
        <v>14.76413315179938</v>
      </c>
      <c r="G59">
        <f>$C$12*(ReDiarioFert!E107+ReDiarioFert!E108)</f>
        <v>15.79840564769894</v>
      </c>
      <c r="I59">
        <f>$C$12*(ReDiarioFert!G107+ReDiarioFert!G108)</f>
        <v>25.941125118343013</v>
      </c>
      <c r="K59">
        <f>$C$12*(ReDiarioFert!I107+ReDiarioFert!I108)</f>
        <v>10.077856686616839</v>
      </c>
      <c r="M59">
        <f>$C$12*(ReDiarioFert!K107+ReDiarioFert!K108)</f>
        <v>27.697433878369065</v>
      </c>
      <c r="O59">
        <f>$C$12*(ReDiarioFert!M107+ReDiarioFert!M108)</f>
        <v>348.13608097560973</v>
      </c>
      <c r="S59">
        <f>((E59/100)*$G$74+(G59/100)*$G$75+(I59/100)*$G$76+(K59/100)*$G$77+(M59/100)*$G$78+(O59)*$G$79+(Q59*$G$80))</f>
        <v>515.3727729282581</v>
      </c>
    </row>
    <row r="60">
      <c r="B60">
        <f>B59+2</f>
        <v>103</v>
      </c>
      <c r="C60">
        <f>$I$11+B60</f>
        <v>39342</v>
      </c>
      <c r="E60">
        <f>IF(($C$12*(ReDiarioFert!C109+ReDiarioFert!C110+ReDiarioFert!C111))&lt;=0,"0",($C$12*(ReDiarioFert!C109+ReDiarioFert!C110+ReDiarioFert!C111)))</f>
        <v>22.14619972769907</v>
      </c>
      <c r="G60">
        <f>$C$12*(ReDiarioFert!E109+ReDiarioFert!E110+ReDiarioFert!E111)</f>
        <v>23.69760847154841</v>
      </c>
      <c r="I60">
        <f>$C$12*(ReDiarioFert!G109+ReDiarioFert!G110+ReDiarioFert!G111)</f>
        <v>38.91168767751452</v>
      </c>
      <c r="K60">
        <f>$C$12*(ReDiarioFert!I109+ReDiarioFert!I110+ReDiarioFert!I111)</f>
        <v>15.116785029925259</v>
      </c>
      <c r="M60">
        <f>$C$12*(ReDiarioFert!K109+ReDiarioFert!K110+ReDiarioFert!K111)</f>
        <v>41.546150817553595</v>
      </c>
      <c r="O60">
        <f>$C$12*(ReDiarioFert!M109+ReDiarioFert!M110+ReDiarioFert!M111)</f>
        <v>522.2041214634146</v>
      </c>
      <c r="S60">
        <f>((E60/100)*$G$74+(G60/100)*$G$75+(I60/100)*$G$76+(K60/100)*$G$77+(M60/100)*$G$78+(O60)*$G$79+(Q60*$G$80))</f>
        <v>773.0591593923873</v>
      </c>
    </row>
    <row r="61">
      <c r="A61">
        <v>16</v>
      </c>
      <c r="B61">
        <f>B60+3</f>
        <v>106</v>
      </c>
      <c r="C61">
        <f>$I$11+B61</f>
        <v>39345</v>
      </c>
      <c r="E61">
        <f>IF(($C$12*(ReDiarioFert!C112+ReDiarioFert!C113))&lt;=0,"0",($C$12*(ReDiarioFert!C112+ReDiarioFert!C113)))</f>
        <v>14.76413315179938</v>
      </c>
      <c r="G61">
        <f>$C$12*(ReDiarioFert!E112+ReDiarioFert!E113)</f>
        <v>15.79840564769894</v>
      </c>
      <c r="I61">
        <f>$C$12*(ReDiarioFert!G112+ReDiarioFert!G113)</f>
        <v>25.941125118343013</v>
      </c>
      <c r="K61">
        <f>$C$12*(ReDiarioFert!I112+ReDiarioFert!I113)</f>
        <v>10.077856686616839</v>
      </c>
      <c r="M61">
        <f>$C$12*(ReDiarioFert!K112+ReDiarioFert!K113)</f>
        <v>27.697433878369065</v>
      </c>
      <c r="O61">
        <f>$C$12*(ReDiarioFert!M112+ReDiarioFert!M113)</f>
        <v>348.13608097560973</v>
      </c>
      <c r="Q61">
        <f>$C$12*Main!$D$63</f>
        <v>20.019999999999996</v>
      </c>
      <c r="S61">
        <f>((E61/100)*$G$74+(G61/100)*$G$75+(I61/100)*$G$76+(K61/100)*$G$77+(M61/100)*$G$78+(O61)*$G$79+(Q61*$G$80))</f>
        <v>565.422772928258</v>
      </c>
    </row>
    <row r="62">
      <c r="B62">
        <f>B61+2</f>
        <v>108</v>
      </c>
      <c r="C62">
        <f>$I$11+B62</f>
        <v>39347</v>
      </c>
      <c r="E62">
        <f>IF(($C$12*(ReDiarioFert!C114+ReDiarioFert!C115))&lt;=0,"0",($C$12*(ReDiarioFert!C114+ReDiarioFert!C115)))</f>
        <v>14.76413315179938</v>
      </c>
      <c r="G62">
        <f>$C$12*(ReDiarioFert!E114+ReDiarioFert!E115)</f>
        <v>15.79840564769894</v>
      </c>
      <c r="I62">
        <f>$C$12*(ReDiarioFert!G114+ReDiarioFert!G115)</f>
        <v>25.941125118343013</v>
      </c>
      <c r="K62">
        <f>$C$12*(ReDiarioFert!I114+ReDiarioFert!I115)</f>
        <v>10.077856686616839</v>
      </c>
      <c r="M62">
        <f>$C$12*(ReDiarioFert!K114+ReDiarioFert!K115)</f>
        <v>27.697433878369065</v>
      </c>
      <c r="O62">
        <f>$C$12*(ReDiarioFert!M114+ReDiarioFert!M115)</f>
        <v>348.13608097560973</v>
      </c>
      <c r="S62">
        <f>((E62/100)*$G$74+(G62/100)*$G$75+(I62/100)*$G$76+(K62/100)*$G$77+(M62/100)*$G$78+(O62)*$G$79+(Q62*$G$80))</f>
        <v>515.3727729282581</v>
      </c>
    </row>
    <row r="63">
      <c r="B63">
        <f>B62+2</f>
        <v>110</v>
      </c>
      <c r="C63">
        <f>$I$11+B63</f>
        <v>39349</v>
      </c>
      <c r="E63">
        <f>IF(($C$12*(ReDiarioFert!C116+ReDiarioFert!C117+ReDiarioFert!C118))&lt;=0,"0",($C$12*(ReDiarioFert!C116+ReDiarioFert!C117+ReDiarioFert!C118)))</f>
        <v>22.14619972769907</v>
      </c>
      <c r="G63">
        <f>$C$12*(ReDiarioFert!E116+ReDiarioFert!E117+ReDiarioFert!E118)</f>
        <v>23.69760847154841</v>
      </c>
      <c r="I63">
        <f>$C$12*(ReDiarioFert!G116+ReDiarioFert!G117+ReDiarioFert!G118)</f>
        <v>38.91168767751452</v>
      </c>
      <c r="K63">
        <f>$C$12*(ReDiarioFert!I116+ReDiarioFert!I117+ReDiarioFert!I118)</f>
        <v>15.116785029925259</v>
      </c>
      <c r="M63">
        <f>$C$12*(ReDiarioFert!K116+ReDiarioFert!K117+ReDiarioFert!K118)</f>
        <v>41.546150817553595</v>
      </c>
      <c r="O63">
        <f>$C$12*(ReDiarioFert!M116+ReDiarioFert!M117+ReDiarioFert!M118)</f>
        <v>522.2041214634146</v>
      </c>
      <c r="S63">
        <f>((E63/100)*$G$74+(G63/100)*$G$75+(I63/100)*$G$76+(K63/100)*$G$77+(M63/100)*$G$78+(O63)*$G$79+(Q63*$G$80))</f>
        <v>773.0591593923873</v>
      </c>
    </row>
    <row r="64">
      <c r="A64">
        <v>17</v>
      </c>
      <c r="B64">
        <f>B63+3</f>
        <v>113</v>
      </c>
      <c r="C64">
        <f>$I$11+B64</f>
        <v>39352</v>
      </c>
      <c r="E64">
        <f>IF(($C$12*(ReDiarioFert!C119+ReDiarioFert!C120))&lt;=0,"0",($C$12*(ReDiarioFert!C119+ReDiarioFert!C120)))</f>
        <v>14.76413315179938</v>
      </c>
      <c r="G64">
        <f>$C$12*(ReDiarioFert!E119+ReDiarioFert!E120)</f>
        <v>15.79840564769894</v>
      </c>
      <c r="I64">
        <f>$C$12*(ReDiarioFert!G119+ReDiarioFert!G120)</f>
        <v>25.941125118343013</v>
      </c>
      <c r="K64">
        <f>$C$12*(ReDiarioFert!I119+ReDiarioFert!I120)</f>
        <v>10.077856686616839</v>
      </c>
      <c r="M64">
        <f>$C$12*(ReDiarioFert!K119+ReDiarioFert!K120)</f>
        <v>27.697433878369065</v>
      </c>
      <c r="O64">
        <f>$C$12*(ReDiarioFert!M119+ReDiarioFert!M120)</f>
        <v>348.13608097560973</v>
      </c>
      <c r="Q64">
        <f>$C$12*Main!$D$63</f>
        <v>20.019999999999996</v>
      </c>
      <c r="S64">
        <f>((E64/100)*$G$74+(G64/100)*$G$75+(I64/100)*$G$76+(K64/100)*$G$77+(M64/100)*$G$78+(O64)*$G$79+(Q64*$G$80))</f>
        <v>565.422772928258</v>
      </c>
    </row>
    <row r="65">
      <c r="B65">
        <f>B64+2</f>
        <v>115</v>
      </c>
      <c r="C65">
        <f>$I$11+B65</f>
        <v>39354</v>
      </c>
      <c r="E65">
        <f>IF(($C$12*(ReDiarioFert!C121+ReDiarioFert!C122))&lt;=0,"0",($C$12*(ReDiarioFert!C121+ReDiarioFert!C122)))</f>
        <v>14.76413315179938</v>
      </c>
      <c r="G65">
        <f>$C$12*(ReDiarioFert!E121+ReDiarioFert!E122)</f>
        <v>15.79840564769894</v>
      </c>
      <c r="I65">
        <f>$C$12*(ReDiarioFert!G121+ReDiarioFert!G122)</f>
        <v>25.941125118343013</v>
      </c>
      <c r="K65">
        <f>$C$12*(ReDiarioFert!I121+ReDiarioFert!I122)</f>
        <v>10.077856686616839</v>
      </c>
      <c r="M65">
        <f>$C$12*(ReDiarioFert!K121+ReDiarioFert!K122)</f>
        <v>27.697433878369065</v>
      </c>
      <c r="O65">
        <f>$C$12*(ReDiarioFert!M121+ReDiarioFert!M122)</f>
        <v>348.13608097560973</v>
      </c>
      <c r="S65">
        <f>((E65/100)*$G$74+(G65/100)*$G$75+(I65/100)*$G$76+(K65/100)*$G$77+(M65/100)*$G$78+(O65)*$G$79+(Q65*$G$80))</f>
        <v>515.3727729282581</v>
      </c>
    </row>
    <row r="66">
      <c r="B66">
        <f>B65+2</f>
        <v>117</v>
      </c>
      <c r="C66">
        <f>$I$11+B66</f>
        <v>39356</v>
      </c>
      <c r="E66">
        <f>IF(($C$12*(ReDiarioFert!C123+ReDiarioFert!C124+ReDiarioFert!C125))&lt;=0,"0",($C$12*(ReDiarioFert!C123+ReDiarioFert!C124+ReDiarioFert!C125)))</f>
        <v>22.14619972769907</v>
      </c>
      <c r="G66">
        <f>$C$12*(ReDiarioFert!E123+ReDiarioFert!E124+ReDiarioFert!E125)</f>
        <v>23.69760847154841</v>
      </c>
      <c r="I66">
        <f>$C$12*(ReDiarioFert!G123+ReDiarioFert!G124+ReDiarioFert!G125)</f>
        <v>38.91168767751452</v>
      </c>
      <c r="K66">
        <f>$C$12*(ReDiarioFert!I123+ReDiarioFert!I124+ReDiarioFert!I125)</f>
        <v>15.116785029925259</v>
      </c>
      <c r="M66">
        <f>$C$12*(ReDiarioFert!K123+ReDiarioFert!K124+ReDiarioFert!K125)</f>
        <v>41.546150817553595</v>
      </c>
      <c r="O66">
        <f>$C$12*(ReDiarioFert!M123+ReDiarioFert!M124+ReDiarioFert!M125)</f>
        <v>522.2041214634146</v>
      </c>
      <c r="S66">
        <f>((E66/100)*$G$74+(G66/100)*$G$75+(I66/100)*$G$76+(K66/100)*$G$77+(M66/100)*$G$78+(O66)*$G$79+(Q66*$G$80))</f>
        <v>773.0591593923873</v>
      </c>
    </row>
    <row r="67">
      <c r="A67">
        <v>18</v>
      </c>
      <c r="B67">
        <f>B66+3</f>
        <v>120</v>
      </c>
      <c r="C67">
        <f>$I$11+B67</f>
        <v>39359</v>
      </c>
      <c r="E67">
        <f>IF(($C$12*(ReDiarioFert!C126+ReDiarioFert!C127))&lt;=0,"0",($C$12*(ReDiarioFert!C126+ReDiarioFert!C127)))</f>
        <v>14.76413315179938</v>
      </c>
      <c r="G67">
        <f>$C$12*(ReDiarioFert!E126+ReDiarioFert!E127)</f>
        <v>15.79840564769894</v>
      </c>
      <c r="I67">
        <f>$C$12*(ReDiarioFert!G126+ReDiarioFert!G127)</f>
        <v>25.941125118343013</v>
      </c>
      <c r="K67">
        <f>$C$12*(ReDiarioFert!I126+ReDiarioFert!I127)</f>
        <v>10.077856686616839</v>
      </c>
      <c r="M67">
        <f>$C$12*(ReDiarioFert!K126+ReDiarioFert!K127)</f>
        <v>27.697433878369065</v>
      </c>
      <c r="O67">
        <f>$C$12*(ReDiarioFert!M126+ReDiarioFert!M127)</f>
        <v>348.13608097560973</v>
      </c>
      <c r="Q67">
        <f>$C$12*Main!$D$63</f>
        <v>20.019999999999996</v>
      </c>
      <c r="S67">
        <f>((E67/100)*$G$74+(G67/100)*$G$75+(I67/100)*$G$76+(K67/100)*$G$77+(M67/100)*$G$78+(O67)*$G$79+(Q67*$G$80))</f>
        <v>565.422772928258</v>
      </c>
    </row>
    <row r="68">
      <c r="B68">
        <f>B67+2</f>
        <v>122</v>
      </c>
      <c r="C68">
        <f>$I$11+B68</f>
        <v>39361</v>
      </c>
      <c r="E68">
        <f>IF(($C$12*(ReDiarioFert!C128+ReDiarioFert!C129))&lt;=0,"0",($C$12*(ReDiarioFert!C128+ReDiarioFert!C129)))</f>
        <v>14.76413315179938</v>
      </c>
      <c r="G68">
        <f>$C$12*(ReDiarioFert!E128+ReDiarioFert!E129)</f>
        <v>15.79840564769894</v>
      </c>
      <c r="I68">
        <f>$C$12*(ReDiarioFert!G128+ReDiarioFert!G129)</f>
        <v>25.941125118343013</v>
      </c>
      <c r="K68">
        <f>$C$12*(ReDiarioFert!I128+ReDiarioFert!I129)</f>
        <v>10.077856686616839</v>
      </c>
      <c r="M68">
        <f>$C$12*(ReDiarioFert!K128+ReDiarioFert!K129)</f>
        <v>27.697433878369065</v>
      </c>
      <c r="O68">
        <f>$C$12*(ReDiarioFert!M128+ReDiarioFert!M129)</f>
        <v>348.13608097560973</v>
      </c>
      <c r="S68">
        <f>((E68/100)*$G$74+(G68/100)*$G$75+(I68/100)*$G$76+(K68/100)*$G$77+(M68/100)*$G$78+(O68)*$G$79+(Q68*$G$80))</f>
        <v>515.3727729282581</v>
      </c>
    </row>
    <row r="69">
      <c r="B69">
        <f>B68+2</f>
        <v>124</v>
      </c>
      <c r="C69">
        <f>$I$11+B69</f>
        <v>39363</v>
      </c>
      <c r="E69">
        <f>IF(($C$12*(ReDiarioFert!C130+ReDiarioFert!C131+ReDiarioFert!C132))&lt;=0,"0",($C$12*(ReDiarioFert!C130+ReDiarioFert!C131+ReDiarioFert!C132)))</f>
        <v>22.14619972769907</v>
      </c>
      <c r="G69">
        <f>$C$12*(ReDiarioFert!E130+ReDiarioFert!E131+ReDiarioFert!E132)</f>
        <v>23.69760847154841</v>
      </c>
      <c r="I69">
        <f>$C$12*(ReDiarioFert!G130+ReDiarioFert!G131+ReDiarioFert!G132)</f>
        <v>38.91168767751452</v>
      </c>
      <c r="K69">
        <f>$C$12*(ReDiarioFert!I130+ReDiarioFert!I131+ReDiarioFert!I132)</f>
        <v>15.116785029925259</v>
      </c>
      <c r="M69">
        <f>$C$12*(ReDiarioFert!K130+ReDiarioFert!K131+ReDiarioFert!K132)</f>
        <v>41.546150817553595</v>
      </c>
      <c r="O69">
        <f>$C$12*(ReDiarioFert!M130+ReDiarioFert!M131+ReDiarioFert!M132)</f>
        <v>522.2041214634146</v>
      </c>
      <c r="S69">
        <f>((E69/100)*$G$74+(G69/100)*$G$75+(I69/100)*$G$76+(K69/100)*$G$77+(M69/100)*$G$78+(O69)*$G$79+(Q69*$G$80))</f>
        <v>773.0591593923873</v>
      </c>
    </row>
    <row r="70">
      <c r="C70" t="str">
        <v>Total</v>
      </c>
      <c r="E70">
        <f>SUM(E16:E69)</f>
        <v>1314.1592806254746</v>
      </c>
      <c r="G70">
        <f>SUM(G16:G69)</f>
        <v>747.3422879689803</v>
      </c>
      <c r="I70">
        <f>SUM(I16:I69)</f>
        <v>1129.253840065719</v>
      </c>
      <c r="K70">
        <f>SUM(K16:K69)</f>
        <v>448.46017661868433</v>
      </c>
      <c r="M70">
        <f>SUM(M16:M69)</f>
        <v>1232.5235886190753</v>
      </c>
      <c r="O70">
        <f>SUM(O16:O69)</f>
        <v>15044.447955121952</v>
      </c>
      <c r="Q70">
        <f>SUM(Q16:Q69)</f>
        <v>360.3599999999998</v>
      </c>
      <c r="S70">
        <f>SUM(S16:S69)</f>
        <v>26338.672063994483</v>
      </c>
    </row>
    <row r="72" ht="39.75" customHeight="1">
      <c r="B72" t="str">
        <v>Producto</v>
      </c>
      <c r="F72" t="str">
        <v>Lbs/Ha</v>
      </c>
      <c r="G72" t="str">
        <v>Costo por qq</v>
      </c>
    </row>
    <row r="73" ht="24" customHeight="1">
      <c r="G73" t="str">
        <f>Main!$E$25</f>
        <v>Lempiras</v>
      </c>
    </row>
    <row r="74">
      <c r="B74" t="str">
        <f>Main!D42</f>
        <v>Nitrato de Amonio</v>
      </c>
      <c r="F74">
        <f>E70/C12</f>
        <v>1312.8464341912834</v>
      </c>
      <c r="G74">
        <f>Main!D43</f>
        <v>320</v>
      </c>
    </row>
    <row r="75">
      <c r="B75" t="str">
        <f>Main!D32</f>
        <v>FofatoMonoPotasico</v>
      </c>
      <c r="F75">
        <f>G70/C12</f>
        <v>746.5956922767036</v>
      </c>
      <c r="G75">
        <f>Main!D33</f>
        <v>1169</v>
      </c>
    </row>
    <row r="76">
      <c r="B76" t="str">
        <f>Main!D37</f>
        <v>Kcl Soluble</v>
      </c>
      <c r="F76">
        <f>I70/C12</f>
        <v>1128.1257143513678</v>
      </c>
      <c r="G76">
        <f>Main!D38</f>
        <v>410</v>
      </c>
      <c r="I76" t="str">
        <v xml:space="preserve">Preparado y Autorizado Por </v>
      </c>
    </row>
    <row r="77">
      <c r="B77" t="str">
        <f>Main!D47</f>
        <v>Sulfato de Magnesio</v>
      </c>
      <c r="F77">
        <f>K70/C12</f>
        <v>448.0121644542302</v>
      </c>
      <c r="G77">
        <f>Main!D48</f>
        <v>425</v>
      </c>
      <c r="I77" t="str">
        <v>MSc Ricardo D. Lardizábal</v>
      </c>
    </row>
    <row r="78">
      <c r="B78" t="str">
        <f>Main!D52</f>
        <v>Nitrato de Calcio</v>
      </c>
      <c r="F78">
        <f>M70/C12</f>
        <v>1231.2922963227527</v>
      </c>
      <c r="G78">
        <f>Main!D53</f>
        <v>445</v>
      </c>
    </row>
    <row r="79">
      <c r="B79" t="str">
        <f>Main!D57</f>
        <v>Solubor</v>
      </c>
      <c r="F79">
        <f>O70/C12</f>
        <v>15029.418536585368</v>
      </c>
      <c r="G79">
        <f>Main!D58</f>
        <v>0.0316</v>
      </c>
    </row>
    <row r="80" ht="18" customHeight="1">
      <c r="B80" t="str">
        <f>Main!D61</f>
        <v>Melaza</v>
      </c>
      <c r="F80">
        <f>Q70/C12</f>
        <v>359.99999999999983</v>
      </c>
      <c r="G80">
        <f>Main!D62</f>
        <v>2.5</v>
      </c>
    </row>
    <row r="81" ht="17.4" customHeight="1">
      <c r="B81" t="str">
        <v>NOTA: El Nitrato de Calcio se debe de diluir en un barril aparte para inyectarse al sistema</v>
      </c>
    </row>
    <row r="83" ht="18" customHeight="1">
      <c r="B83" t="str">
        <v>,@ La Melaza del calendario de fertilización se usan para la limpieza de la cinta y mejorar la estructura de suelo. La aplicación de ellos es después de la fertilización y en la ultima media hora de riego. Ver boletín técnico de USAID-RED sobre melaza.</v>
      </c>
    </row>
    <row r="86">
      <c r="B86" t="str">
        <v>Abreviaciones usadas</v>
      </c>
    </row>
    <row r="87">
      <c r="B87" t="str">
        <v>Mz-Manzanas, Ha-Hectáreas, Lbs-Libras, Lts-Litros y DDT-Días después de Transplante</v>
      </c>
    </row>
  </sheetData>
  <sheetProtection sheet="1"/>
  <mergeCells count="54">
    <mergeCell ref="B87:S87"/>
    <mergeCell ref="P2:S3"/>
    <mergeCell ref="A8:M8"/>
    <mergeCell ref="P5:S7"/>
    <mergeCell ref="P9:S12"/>
    <mergeCell ref="F10:H10"/>
    <mergeCell ref="F11:H11"/>
    <mergeCell ref="C9:E9"/>
    <mergeCell ref="A9:B9"/>
    <mergeCell ref="F9:H9"/>
    <mergeCell ref="A10:B10"/>
    <mergeCell ref="C10:E10"/>
    <mergeCell ref="C11:E11"/>
    <mergeCell ref="B86:C86"/>
    <mergeCell ref="B80:E80"/>
    <mergeCell ref="B78:E78"/>
    <mergeCell ref="B83:S84"/>
    <mergeCell ref="B81:I82"/>
    <mergeCell ref="B79:E79"/>
    <mergeCell ref="G80:H80"/>
    <mergeCell ref="G78:H78"/>
    <mergeCell ref="G79:H79"/>
    <mergeCell ref="F12:H12"/>
    <mergeCell ref="A14:A15"/>
    <mergeCell ref="B14:B15"/>
    <mergeCell ref="C14:D14"/>
    <mergeCell ref="E14:F14"/>
    <mergeCell ref="G14:H14"/>
    <mergeCell ref="A12:B12"/>
    <mergeCell ref="C12:E12"/>
    <mergeCell ref="A11:B11"/>
    <mergeCell ref="B77:E77"/>
    <mergeCell ref="B72:E72"/>
    <mergeCell ref="B74:E74"/>
    <mergeCell ref="B75:E75"/>
    <mergeCell ref="B76:E76"/>
    <mergeCell ref="S14:S15"/>
    <mergeCell ref="M14:N14"/>
    <mergeCell ref="Q14:R14"/>
    <mergeCell ref="O14:P14"/>
    <mergeCell ref="G74:H74"/>
    <mergeCell ref="G75:H75"/>
    <mergeCell ref="I14:J14"/>
    <mergeCell ref="K14:L14"/>
    <mergeCell ref="G76:H76"/>
    <mergeCell ref="G77:H77"/>
    <mergeCell ref="I77:Q77"/>
    <mergeCell ref="I9:M9"/>
    <mergeCell ref="I10:M10"/>
    <mergeCell ref="I11:M11"/>
    <mergeCell ref="I12:M12"/>
    <mergeCell ref="I76:Q76"/>
    <mergeCell ref="G72:H72"/>
    <mergeCell ref="G73:H73"/>
  </mergeCells>
  <pageMargins left="0.25" right="0.25" top="0.39" bottom="0.5" header="0.27" footer="0.25"/>
  <ignoredErrors>
    <ignoredError numberStoredAsText="1" sqref="A1:V96"/>
  </ignoredErrors>
  <legacyDrawing r:id="rId1"/>
</worksheet>
</file>

<file path=xl/worksheets/sheet5.xml><?xml version="1.0" encoding="utf-8"?>
<worksheet xmlns="http://schemas.openxmlformats.org/spreadsheetml/2006/main" xmlns:r="http://schemas.openxmlformats.org/officeDocument/2006/relationships">
  <dimension ref="A1:V78"/>
  <sheetViews>
    <sheetView workbookViewId="0" rightToLeft="0"/>
  </sheetViews>
  <sheetData>
    <row r="1" ht="32.7" customHeight="1"/>
    <row r="2" ht="32.7" customHeight="1">
      <c r="P2" t="str">
        <v>Calendario de Fertilización para Goteo 2 Veces Por Semana</v>
      </c>
    </row>
    <row r="3" ht="32.7" customHeight="1"/>
    <row r="5">
      <c r="P5" t="str">
        <f>Main!$E$21</f>
        <v>Zanahoria</v>
      </c>
    </row>
    <row r="6" ht="29.25" customHeight="1"/>
    <row r="7" ht="26.25" customHeight="1"/>
    <row r="8" ht="25.95" customHeight="1">
      <c r="A8" t="str">
        <f>Main!$C$13</f>
        <v>"Sin Fertilización Base"Para mas de 75,000 Lbs por Hectarea</v>
      </c>
    </row>
    <row r="9" ht="20.1" customHeight="1">
      <c r="A9" t="str">
        <v>Productor</v>
      </c>
      <c r="C9" t="str">
        <f>Main!E17</f>
        <v>Pancho Pérez</v>
      </c>
      <c r="G9" t="str">
        <v>Parcela</v>
      </c>
      <c r="J9" t="str">
        <f>Main!E19</f>
        <v>La Frondosa</v>
      </c>
      <c r="P9" t="str">
        <f>Main!$G$21</f>
        <v>Bangor</v>
      </c>
    </row>
    <row r="10" ht="20.1" customHeight="1">
      <c r="A10" t="str">
        <v>Zona</v>
      </c>
      <c r="C10" t="str">
        <f>Main!E18</f>
        <v>La Flecha</v>
      </c>
      <c r="G10" t="str">
        <v>Técnico</v>
      </c>
      <c r="J10" t="str">
        <f>Main!E20</f>
        <v>Luís Torres</v>
      </c>
    </row>
    <row r="11" ht="20.1" customHeight="1">
      <c r="A11" t="str">
        <v>Área Mz.</v>
      </c>
      <c r="C11">
        <f>Main!E22</f>
        <v>1.43</v>
      </c>
      <c r="G11" t="str">
        <v>Fecha:</v>
      </c>
      <c r="J11">
        <f>Main!E23</f>
        <v>39239</v>
      </c>
    </row>
    <row r="12" ht="20.1" customHeight="1">
      <c r="A12" t="str">
        <v>Área Ha.</v>
      </c>
      <c r="C12">
        <f>Main!I22</f>
        <v>1.001</v>
      </c>
      <c r="G12" t="str">
        <v>Fecha de Cosecha:</v>
      </c>
      <c r="J12">
        <f>J11+Main!E24</f>
        <v>39359</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39242</v>
      </c>
      <c r="D16" t="str">
        <f>Main!$H$81</f>
        <v>Furadan 48 SC</v>
      </c>
      <c r="E16">
        <f>IF(((SUM(ReDiarioFert!C7:C13)/2)*$C$12)&lt;=0,"0",(((SUM(ReDiarioFert!C7:C13)/2)*$C$12)))</f>
        <v>9.650158552680256</v>
      </c>
      <c r="G16">
        <f>IF(((SUM(ReDiarioFert!E7:E13)/2)*$C$12)&lt;=0,"0",(((SUM(ReDiarioFert!E7:E13)/2)*$C$12)))</f>
        <v>4.593576800312499</v>
      </c>
      <c r="I16">
        <f>IF(((SUM(ReDiarioFert!G7:G13)/2)*$C$12)&lt;=0,"0",(((SUM(ReDiarioFert!G7:G13)/2)*$C$12)))</f>
        <v>5.5350810410729165</v>
      </c>
      <c r="K16">
        <f>IF(((SUM(ReDiarioFert!I7:I13)/2)*$C$12)&lt;=0,"0",(((SUM(ReDiarioFert!I7:I13)/2)*$C$12)))</f>
        <v>2.350425031104368</v>
      </c>
      <c r="M16">
        <f>IF(((SUM(ReDiarioFert!K7:K13)/2)*$C$12)&lt;=0,"0",(((SUM(ReDiarioFert!K7:K13)/2)*$C$12)))</f>
        <v>6.459780478078148</v>
      </c>
      <c r="O16">
        <f>IF(((SUM(ReDiarioFert!M7:M13)/2)*$C$12)&lt;=0,"0",(((SUM(ReDiarioFert!M7:M13)/2)*$C$12)))</f>
        <v>87.03377609756097</v>
      </c>
      <c r="Q16">
        <f>$C$12*Main!$D$63</f>
        <v>20.019999999999996</v>
      </c>
      <c r="R16">
        <f>Main!$K$81*Main!$I$22</f>
        <v>3.788785</v>
      </c>
      <c r="S16">
        <f>((E16/100)*$G$56+(G16/100)*$G$57+(I16/100)*$G$58+(K16/100)*$G$59+(M16/100)*$G$60+(O16)*$G$61+(Q16*$G$62)+(R16*Main!$J$81))</f>
        <v>1649.913504266953</v>
      </c>
    </row>
    <row r="17" ht="18.75" customHeight="1">
      <c r="B17">
        <v>7</v>
      </c>
      <c r="C17">
        <f>$J$11+B17</f>
        <v>39246</v>
      </c>
      <c r="D17" t="str">
        <f>Main!$H$84</f>
        <v>Acido Fosforoso</v>
      </c>
      <c r="E17">
        <f>E16</f>
        <v>9.650158552680256</v>
      </c>
      <c r="G17">
        <f>G16</f>
        <v>4.593576800312499</v>
      </c>
      <c r="I17">
        <f>I16</f>
        <v>5.5350810410729165</v>
      </c>
      <c r="K17">
        <f>K16</f>
        <v>2.350425031104368</v>
      </c>
      <c r="M17">
        <f>M16</f>
        <v>6.459780478078148</v>
      </c>
      <c r="O17">
        <f>O16</f>
        <v>87.03377609756097</v>
      </c>
      <c r="R17">
        <f>Main!$K$84*Main!$I$22</f>
        <v>5.004999999999999</v>
      </c>
      <c r="S17">
        <f>((E17/100)*$G$56+(G17/100)*$G$57+(I17/100)*$G$58+(K17/100)*$G$59+(M17/100)*$G$60+(O17)*$G$61+(Q17*$G$62)+(R17*Main!$J$84))</f>
        <v>549.1588492669531</v>
      </c>
    </row>
    <row r="18">
      <c r="A18">
        <v>2</v>
      </c>
      <c r="B18">
        <f>B17+3</f>
        <v>10</v>
      </c>
      <c r="C18">
        <f>$J$11+B18</f>
        <v>39249</v>
      </c>
      <c r="E18">
        <f>IF(((SUM(ReDiarioFert!C14:C20)/2)*$C$12)&lt;=0,"0",(((SUM(ReDiarioFert!C14:C20)/2)*$C$12)))</f>
        <v>9.650158552680256</v>
      </c>
      <c r="G18">
        <f>IF(((SUM(ReDiarioFert!E14:E20)/2)*$C$12)&lt;=0,"0",(((SUM(ReDiarioFert!E14:E20)/2)*$C$12)))</f>
        <v>4.593576800312499</v>
      </c>
      <c r="I18">
        <f>IF(((SUM(ReDiarioFert!G14:G20)/2)*$C$12)&lt;=0,"0",(((SUM(ReDiarioFert!G14:G20)/2)*$C$12)))</f>
        <v>5.5350810410729165</v>
      </c>
      <c r="K18">
        <f>IF(((SUM(ReDiarioFert!I14:I20)/2)*$C$12)&lt;=0,"0",(((SUM(ReDiarioFert!I14:I20)/2)*$C$12)))</f>
        <v>2.350425031104368</v>
      </c>
      <c r="M18">
        <f>IF(((SUM(ReDiarioFert!K14:K20)/2)*$C$12)&lt;=0,"0",(((SUM(ReDiarioFert!K14:K20)/2)*$C$12)))</f>
        <v>6.459780478078148</v>
      </c>
      <c r="O18">
        <f>IF(((SUM(ReDiarioFert!M14:M20)/2)*$C$12)&lt;=0,"0",(((SUM(ReDiarioFert!M14:M20)/2)*$C$12)))</f>
        <v>126.82084048780487</v>
      </c>
      <c r="Q18">
        <f>$C$12*Main!$D$63</f>
        <v>20.019999999999996</v>
      </c>
      <c r="S18">
        <f>((E18/100)*$G$56+(G18/100)*$G$57+(I18/100)*$G$58+(K18/100)*$G$59+(M18/100)*$G$60+(O18)*$G$61+(Q18*$G$62)+(R18*Main!$J$82))</f>
        <v>200.06612050168482</v>
      </c>
    </row>
    <row r="19">
      <c r="B19">
        <f>B18+4</f>
        <v>14</v>
      </c>
      <c r="C19">
        <f>$J$11+B19</f>
        <v>39253</v>
      </c>
      <c r="D19" t="str">
        <f>Main!$H$83</f>
        <v>Acido Salicílico</v>
      </c>
      <c r="E19">
        <f>E18</f>
        <v>9.650158552680256</v>
      </c>
      <c r="G19">
        <f>G18</f>
        <v>4.593576800312499</v>
      </c>
      <c r="I19">
        <f>I18</f>
        <v>5.5350810410729165</v>
      </c>
      <c r="K19">
        <f>K18</f>
        <v>2.350425031104368</v>
      </c>
      <c r="M19">
        <f>M18</f>
        <v>6.459780478078148</v>
      </c>
      <c r="O19">
        <f>O18</f>
        <v>126.82084048780487</v>
      </c>
      <c r="R19">
        <f>Main!$K$83*Main!$I$22</f>
        <v>250.24999999999997</v>
      </c>
      <c r="S19">
        <f>((E19/100)*$G$56+(G19/100)*$G$57+(I19/100)*$G$58+(K19/100)*$G$59+(M19/100)*$G$60+(O19)*$G$61+(Q19*$G$62)+(R19*Main!$J$83))</f>
        <v>192.55862050168483</v>
      </c>
    </row>
    <row r="20">
      <c r="A20">
        <v>3</v>
      </c>
      <c r="B20">
        <f>B19+3</f>
        <v>17</v>
      </c>
      <c r="C20">
        <f>$J$11+B20</f>
        <v>39256</v>
      </c>
      <c r="E20">
        <f>IF(((SUM(ReDiarioFert!C21:C27)/2)*$C$12)&lt;=0,"0",(((SUM(ReDiarioFert!C21:C27)/2)*$C$12)))</f>
        <v>13.786385887154362</v>
      </c>
      <c r="G20">
        <f>IF(((SUM(ReDiarioFert!E21:E27)/2)*$C$12)&lt;=0,"0",(((SUM(ReDiarioFert!E21:E27)/2)*$C$12)))</f>
        <v>6.550723867187499</v>
      </c>
      <c r="I20">
        <f>IF(((SUM(ReDiarioFert!G21:G27)/2)*$C$12)&lt;=0,"0",(((SUM(ReDiarioFert!G21:G27)/2)*$C$12)))</f>
        <v>7.918687704010417</v>
      </c>
      <c r="K20">
        <f>IF(((SUM(ReDiarioFert!I21:I27)/2)*$C$12)&lt;=0,"0",(((SUM(ReDiarioFert!I21:I27)/2)*$C$12)))</f>
        <v>3.3591641339380334</v>
      </c>
      <c r="M20">
        <f>IF(((SUM(ReDiarioFert!K21:K27)/2)*$C$12)&lt;=0,"0",(((SUM(ReDiarioFert!K21:K27)/2)*$C$12)))</f>
        <v>9.232144232601847</v>
      </c>
      <c r="O20">
        <f>IF(((SUM(ReDiarioFert!M21:M27)/2)*$C$12)&lt;=0,"0",(((SUM(ReDiarioFert!M21:M27)/2)*$C$12)))</f>
        <v>186.50070463414633</v>
      </c>
      <c r="Q20">
        <f>$C$12*Main!$D$63</f>
        <v>20.019999999999996</v>
      </c>
      <c r="S20">
        <f>((E20/100)*$G$56+(G20/100)*$G$57+(I20/100)*$G$58+(K20/100)*$G$59+(M20/100)*$G$60+(O20)*$G$61+(Q20*$G$62))</f>
        <v>264.46392810351244</v>
      </c>
    </row>
    <row r="21">
      <c r="B21">
        <f>B20+4</f>
        <v>21</v>
      </c>
      <c r="C21">
        <f>$J$11+B21</f>
        <v>39260</v>
      </c>
      <c r="E21">
        <f>E20</f>
        <v>13.786385887154362</v>
      </c>
      <c r="G21">
        <f>G20</f>
        <v>6.550723867187499</v>
      </c>
      <c r="I21">
        <f>I20</f>
        <v>7.918687704010417</v>
      </c>
      <c r="K21">
        <f>K20</f>
        <v>3.3591641339380334</v>
      </c>
      <c r="M21">
        <f>M20</f>
        <v>9.232144232601847</v>
      </c>
      <c r="O21">
        <f>O20</f>
        <v>186.50070463414633</v>
      </c>
      <c r="S21">
        <f>((E21/100)*$G$56+(G21/100)*$G$57+(I21/100)*$G$58+(K21/100)*$G$59+(M21/100)*$G$60+(O21)*$G$61+(Q21*$G$62)+(R21*Main!$J$84))</f>
        <v>214.41392810351243</v>
      </c>
    </row>
    <row r="22">
      <c r="A22">
        <v>4</v>
      </c>
      <c r="B22">
        <f>B21+3</f>
        <v>24</v>
      </c>
      <c r="C22">
        <f>$J$11+B22</f>
        <v>39263</v>
      </c>
      <c r="E22">
        <f>IF(((SUM(ReDiarioFert!C28:C34)/2)*$C$12)&lt;=0,"0",(((SUM(ReDiarioFert!C28:C34)/2)*$C$12)))</f>
        <v>14.475757109566713</v>
      </c>
      <c r="G22">
        <f>IF(((SUM(ReDiarioFert!E28:E34)/2)*$C$12)&lt;=0,"0",(((SUM(ReDiarioFert!E28:E34)/2)*$C$12)))</f>
        <v>6.876915045</v>
      </c>
      <c r="I22">
        <f>IF(((SUM(ReDiarioFert!G28:G34)/2)*$C$12)&lt;=0,"0",(((SUM(ReDiarioFert!G28:G34)/2)*$C$12)))</f>
        <v>8.315955481166666</v>
      </c>
      <c r="K22">
        <f>IF(((SUM(ReDiarioFert!I28:I34)/2)*$C$12)&lt;=0,"0",(((SUM(ReDiarioFert!I28:I34)/2)*$C$12)))</f>
        <v>3.5272873177436446</v>
      </c>
      <c r="M22">
        <f>IF(((SUM(ReDiarioFert!K28:K34)/2)*$C$12)&lt;=0,"0",(((SUM(ReDiarioFert!K28:K34)/2)*$C$12)))</f>
        <v>9.694204858355794</v>
      </c>
      <c r="O22">
        <f>IF(((SUM(ReDiarioFert!M28:M34)/2)*$C$12)&lt;=0,"0",(((SUM(ReDiarioFert!M28:M34)/2)*$C$12)))</f>
        <v>208.88037902439024</v>
      </c>
      <c r="Q22">
        <f>$C$12*Main!$D$63</f>
        <v>20.019999999999996</v>
      </c>
      <c r="S22">
        <f>((E22/100)*$G$56+(G22/100)*$G$57+(I22/100)*$G$58+(K22/100)*$G$59+(M22/100)*$G$60+(O22)*$G$61+(Q22*$G$62)+(R22*Main!$J$82))</f>
        <v>275.5897797967113</v>
      </c>
    </row>
    <row r="23">
      <c r="B23">
        <f>B22+4</f>
        <v>28</v>
      </c>
      <c r="C23">
        <f>$J$11+B23</f>
        <v>39267</v>
      </c>
      <c r="E23">
        <f>E22</f>
        <v>14.475757109566713</v>
      </c>
      <c r="G23">
        <f>G22</f>
        <v>6.876915045</v>
      </c>
      <c r="I23">
        <f>I22</f>
        <v>8.315955481166666</v>
      </c>
      <c r="K23">
        <f>K22</f>
        <v>3.5272873177436446</v>
      </c>
      <c r="M23">
        <f>M22</f>
        <v>9.694204858355794</v>
      </c>
      <c r="O23">
        <f>O22</f>
        <v>208.88037902439024</v>
      </c>
      <c r="S23">
        <f>((E23/100)*$G$56+(G23/100)*$G$57+(I23/100)*$G$58+(K23/100)*$G$59+(M23/100)*$G$60+(O23)*$G$61+(Q23*$G$62)+(R23*Main!$J$83))</f>
        <v>225.53977979671131</v>
      </c>
    </row>
    <row r="24">
      <c r="A24">
        <v>5</v>
      </c>
      <c r="B24">
        <f>B23+3</f>
        <v>31</v>
      </c>
      <c r="C24">
        <f>$J$11+B24</f>
        <v>39270</v>
      </c>
      <c r="D24" t="str">
        <f>Main!$H$86</f>
        <v>BaZam</v>
      </c>
      <c r="E24">
        <f>IF(((SUM(ReDiarioFert!C35:C41)/2)*$C$12)&lt;=0,"0",(((SUM(ReDiarioFert!C35:C41)/2)*$C$12)))</f>
        <v>35.15512627952468</v>
      </c>
      <c r="G24">
        <f>IF(((SUM(ReDiarioFert!E35:E41)/2)*$C$12)&lt;=0,"0",(((SUM(ReDiarioFert!E35:E41)/2)*$C$12)))</f>
        <v>16.70113710577421</v>
      </c>
      <c r="I24">
        <f>IF(((SUM(ReDiarioFert!G35:G41)/2)*$C$12)&lt;=0,"0",(((SUM(ReDiarioFert!G35:G41)/2)*$C$12)))</f>
        <v>20.19558111909059</v>
      </c>
      <c r="K24">
        <f>IF(((SUM(ReDiarioFert!I35:I41)/2)*$C$12)&lt;=0,"0",(((SUM(ReDiarioFert!I35:I41)/2)*$C$12)))</f>
        <v>8.566188891460813</v>
      </c>
      <c r="M24">
        <f>IF(((SUM(ReDiarioFert!K35:K41)/2)*$C$12)&lt;=0,"0",(((SUM(ReDiarioFert!K35:K41)/2)*$C$12)))</f>
        <v>23.542848225449887</v>
      </c>
      <c r="O24">
        <f>IF(((SUM(ReDiarioFert!M35:M41)/2)*$C$12)&lt;=0,"0",(((SUM(ReDiarioFert!M35:M41)/2)*$C$12)))</f>
        <v>246.18130121951222</v>
      </c>
      <c r="Q24">
        <f>$C$12*Main!$D$63</f>
        <v>20.019999999999996</v>
      </c>
      <c r="R24">
        <f>Main!$K$86*Main!$I$22</f>
        <v>1.001</v>
      </c>
      <c r="S24">
        <f>((E24/100)*$G$56+(G24/100)*$G$57+(I24/100)*$G$58+(K24/100)*$G$59+(M24/100)*$G$60+(O24)*$G$61+(Q24*$G$62)+(R24*Main!$J$86))</f>
        <v>969.9158859597478</v>
      </c>
    </row>
    <row r="25">
      <c r="B25">
        <f>B24+4</f>
        <v>35</v>
      </c>
      <c r="C25">
        <f>$J$11+B25</f>
        <v>39274</v>
      </c>
      <c r="D25" t="str">
        <f>Main!$H$84</f>
        <v>Acido Fosforoso</v>
      </c>
      <c r="E25">
        <f>E24</f>
        <v>35.15512627952468</v>
      </c>
      <c r="G25">
        <f>G24</f>
        <v>16.70113710577421</v>
      </c>
      <c r="I25">
        <f>I24</f>
        <v>20.19558111909059</v>
      </c>
      <c r="K25">
        <f>K24</f>
        <v>8.566188891460813</v>
      </c>
      <c r="M25">
        <f>M24</f>
        <v>23.542848225449887</v>
      </c>
      <c r="O25">
        <f>O24</f>
        <v>246.18130121951222</v>
      </c>
      <c r="R25">
        <f>Main!$K$84*Main!$I$22</f>
        <v>5.004999999999999</v>
      </c>
      <c r="S25">
        <f>((E25/100)*$G$56+(G25/100)*$G$57+(I25/100)*$G$58+(K25/100)*$G$59+(M25/100)*$G$60+(O25)*$G$61+(Q25*$G$62)+(R25*Main!$J$84))</f>
        <v>939.8858859597478</v>
      </c>
    </row>
    <row r="26">
      <c r="A26">
        <v>6</v>
      </c>
      <c r="B26">
        <f>B25+3</f>
        <v>38</v>
      </c>
      <c r="C26">
        <f>$J$11+B26</f>
        <v>39277</v>
      </c>
      <c r="E26">
        <f>IF(((SUM(ReDiarioFert!C42:C48)/2)*$C$12)&lt;=0,"0",(((SUM(ReDiarioFert!C42:C48)/2)*$C$12)))</f>
        <v>43.42687394750787</v>
      </c>
      <c r="G26">
        <f>IF(((SUM(ReDiarioFert!E42:E48)/2)*$C$12)&lt;=0,"0",(((SUM(ReDiarioFert!E42:E48)/2)*$C$12)))</f>
        <v>20.630825930083894</v>
      </c>
      <c r="I26">
        <f>IF(((SUM(ReDiarioFert!G42:G48)/2)*$C$12)&lt;=0,"0",(((SUM(ReDiarioFert!G42:G48)/2)*$C$12)))</f>
        <v>24.947431374260162</v>
      </c>
      <c r="K26">
        <f>IF(((SUM(ReDiarioFert!I42:I48)/2)*$C$12)&lt;=0,"0",(((SUM(ReDiarioFert!I42:I48)/2)*$C$12)))</f>
        <v>10.58174952094768</v>
      </c>
      <c r="M26">
        <f>IF(((SUM(ReDiarioFert!K42:K48)/2)*$C$12)&lt;=0,"0",(((SUM(ReDiarioFert!K42:K48)/2)*$C$12)))</f>
        <v>29.082305572287524</v>
      </c>
      <c r="O26">
        <f>IF(((SUM(ReDiarioFert!M42:M48)/2)*$C$12)&lt;=0,"0",(((SUM(ReDiarioFert!M42:M48)/2)*$C$12)))</f>
        <v>295.9158641463415</v>
      </c>
      <c r="Q26">
        <f>$C$12*Main!$D$63</f>
        <v>20.019999999999996</v>
      </c>
      <c r="S26">
        <f>((E26/100)*$G$56+(G26/100)*$G$57+(I26/100)*$G$58+(K26/100)*$G$59+(M26/100)*$G$60+(O26)*$G$61+(Q26*$G$62))</f>
        <v>716.214456956904</v>
      </c>
    </row>
    <row r="27">
      <c r="B27">
        <f>B26+4</f>
        <v>42</v>
      </c>
      <c r="C27">
        <f>$J$11+B27</f>
        <v>39281</v>
      </c>
      <c r="D27" t="str">
        <f>Main!$H$83</f>
        <v>Acido Salicílico</v>
      </c>
      <c r="E27">
        <f>E26</f>
        <v>43.42687394750787</v>
      </c>
      <c r="G27">
        <f>G26</f>
        <v>20.630825930083894</v>
      </c>
      <c r="I27">
        <f>I26</f>
        <v>24.947431374260162</v>
      </c>
      <c r="K27">
        <f>K26</f>
        <v>10.58174952094768</v>
      </c>
      <c r="M27">
        <f>M26</f>
        <v>29.082305572287524</v>
      </c>
      <c r="O27">
        <f>O26</f>
        <v>295.9158641463415</v>
      </c>
      <c r="R27">
        <f>Main!$K$83*Main!$I$22</f>
        <v>250.24999999999997</v>
      </c>
      <c r="S27">
        <f>((E27/100)*$G$56+(G27/100)*$G$57+(I27/100)*$G$58+(K27/100)*$G$59+(M27/100)*$G$60+(O27)*$G$61+(Q27*$G$62)+(R27*Main!$J$83))</f>
        <v>708.706956956904</v>
      </c>
    </row>
    <row r="28">
      <c r="A28">
        <v>7</v>
      </c>
      <c r="B28">
        <f>B27+3</f>
        <v>45</v>
      </c>
      <c r="C28">
        <f>$J$11+B28</f>
        <v>39284</v>
      </c>
      <c r="E28">
        <f>IF(((SUM(ReDiarioFert!C49:C55)/2)*$C$12)&lt;=0,"0",(((SUM(ReDiarioFert!C49:C55)/2)*$C$12)))</f>
        <v>43.42687394750787</v>
      </c>
      <c r="G28">
        <f>IF(((SUM(ReDiarioFert!E49:E55)/2)*$C$12)&lt;=0,"0",(((SUM(ReDiarioFert!E49:E55)/2)*$C$12)))</f>
        <v>20.630825930083894</v>
      </c>
      <c r="I28">
        <f>IF(((SUM(ReDiarioFert!G49:G55)/2)*$C$12)&lt;=0,"0",(((SUM(ReDiarioFert!G49:G55)/2)*$C$12)))</f>
        <v>24.947431374260162</v>
      </c>
      <c r="K28">
        <f>IF(((SUM(ReDiarioFert!I49:I55)/2)*$C$12)&lt;=0,"0",(((SUM(ReDiarioFert!I49:I55)/2)*$C$12)))</f>
        <v>10.58174952094768</v>
      </c>
      <c r="M28">
        <f>IF(((SUM(ReDiarioFert!K49:K55)/2)*$C$12)&lt;=0,"0",(((SUM(ReDiarioFert!K49:K55)/2)*$C$12)))</f>
        <v>29.082305572287524</v>
      </c>
      <c r="O28">
        <f>IF(((SUM(ReDiarioFert!M49:M55)/2)*$C$12)&lt;=0,"0",(((SUM(ReDiarioFert!M49:M55)/2)*$C$12)))</f>
        <v>325.75591829268296</v>
      </c>
      <c r="Q28">
        <f>$C$12*Main!$D$63</f>
        <v>20.019999999999996</v>
      </c>
      <c r="S28">
        <f>((E28/100)*$G$56+(G28/100)*$G$57+(I28/100)*$G$58+(K28/100)*$G$59+(M28/100)*$G$60+(O28)*$G$61+(Q28*$G$62))</f>
        <v>717.1574026679283</v>
      </c>
    </row>
    <row r="29">
      <c r="B29">
        <f>B28+4</f>
        <v>49</v>
      </c>
      <c r="C29">
        <f>$J$11+B29</f>
        <v>39288</v>
      </c>
      <c r="E29">
        <f>E28</f>
        <v>43.42687394750787</v>
      </c>
      <c r="G29">
        <f>G28</f>
        <v>20.630825930083894</v>
      </c>
      <c r="I29">
        <f>I28</f>
        <v>24.947431374260162</v>
      </c>
      <c r="K29">
        <f>K28</f>
        <v>10.58174952094768</v>
      </c>
      <c r="M29">
        <f>M28</f>
        <v>29.082305572287524</v>
      </c>
      <c r="O29">
        <f>O28</f>
        <v>325.75591829268296</v>
      </c>
      <c r="S29">
        <f>((E29/100)*$G$56+(G29/100)*$G$57+(I29/100)*$G$58+(K29/100)*$G$59+(M29/100)*$G$60+(O29)*$G$61+(Q29*$G$62)+(R29*Main!$J$84))</f>
        <v>667.1074026679283</v>
      </c>
    </row>
    <row r="30">
      <c r="A30">
        <v>8</v>
      </c>
      <c r="B30">
        <f>B29+3</f>
        <v>52</v>
      </c>
      <c r="C30">
        <f>$J$11+B30</f>
        <v>39291</v>
      </c>
      <c r="E30">
        <f>IF(((SUM(ReDiarioFert!C56:C62)/2)*$C$12)&lt;=0,"0",(((SUM(ReDiarioFert!C56:C62)/2)*$C$12)))</f>
        <v>43.42687394750787</v>
      </c>
      <c r="G30">
        <f>IF(((SUM(ReDiarioFert!E56:E62)/2)*$C$12)&lt;=0,"0",(((SUM(ReDiarioFert!E56:E62)/2)*$C$12)))</f>
        <v>20.630825930083894</v>
      </c>
      <c r="I30">
        <f>IF(((SUM(ReDiarioFert!G56:G62)/2)*$C$12)&lt;=0,"0",(((SUM(ReDiarioFert!G56:G62)/2)*$C$12)))</f>
        <v>24.947431374260162</v>
      </c>
      <c r="K30">
        <f>IF(((SUM(ReDiarioFert!I56:I62)/2)*$C$12)&lt;=0,"0",(((SUM(ReDiarioFert!I56:I62)/2)*$C$12)))</f>
        <v>10.58174952094768</v>
      </c>
      <c r="M30">
        <f>IF(((SUM(ReDiarioFert!K56:K62)/2)*$C$12)&lt;=0,"0",(((SUM(ReDiarioFert!K56:K62)/2)*$C$12)))</f>
        <v>29.082305572287524</v>
      </c>
      <c r="O30">
        <f>IF(((SUM(ReDiarioFert!M56:M62)/2)*$C$12)&lt;=0,"0",(((SUM(ReDiarioFert!M56:M62)/2)*$C$12)))</f>
        <v>400.35605365853655</v>
      </c>
      <c r="Q30">
        <f>$C$12*Main!$D$63</f>
        <v>20.019999999999996</v>
      </c>
      <c r="S30">
        <f>((E30/100)*$G$56+(G30/100)*$G$57+(I30/100)*$G$58+(K30/100)*$G$59+(M30/100)*$G$60+(O30)*$G$61+(Q30*$G$62))</f>
        <v>719.5147669454893</v>
      </c>
    </row>
    <row r="31">
      <c r="B31">
        <f>B30+4</f>
        <v>56</v>
      </c>
      <c r="C31">
        <f>$J$11+B31</f>
        <v>39295</v>
      </c>
      <c r="E31">
        <f>E30</f>
        <v>43.42687394750787</v>
      </c>
      <c r="G31">
        <f>G30</f>
        <v>20.630825930083894</v>
      </c>
      <c r="I31">
        <f>I30</f>
        <v>24.947431374260162</v>
      </c>
      <c r="K31">
        <f>K30</f>
        <v>10.58174952094768</v>
      </c>
      <c r="M31">
        <f>M30</f>
        <v>29.082305572287524</v>
      </c>
      <c r="O31">
        <f>O30</f>
        <v>400.35605365853655</v>
      </c>
      <c r="S31">
        <f>((E31/100)*$G$56+(G31/100)*$G$57+(I31/100)*$G$58+(K31/100)*$G$59+(M31/100)*$G$60+(O31)*$G$61+(Q31*$G$62)+(R31*Main!$J$83))</f>
        <v>669.4647669454894</v>
      </c>
    </row>
    <row r="32">
      <c r="A32">
        <v>9</v>
      </c>
      <c r="B32">
        <f>B31+3</f>
        <v>59</v>
      </c>
      <c r="C32">
        <f>$J$11+B32</f>
        <v>39298</v>
      </c>
      <c r="D32" t="str">
        <f>Main!$H$85</f>
        <v>TricoZam</v>
      </c>
      <c r="E32">
        <f>IF(((SUM(ReDiarioFert!C63:C69)/2)*$C$12)&lt;=0,"0",(((SUM(ReDiarioFert!C63:C69)/2)*$C$12)))</f>
        <v>55.83455221822442</v>
      </c>
      <c r="G32">
        <f>IF(((SUM(ReDiarioFert!E63:E69)/2)*$C$12)&lt;=0,"0",(((SUM(ReDiarioFert!E63:E69)/2)*$C$12)))</f>
        <v>23.637847624393576</v>
      </c>
      <c r="I32">
        <f>IF(((SUM(ReDiarioFert!G63:G69)/2)*$C$12)&lt;=0,"0",(((SUM(ReDiarioFert!G63:G69)/2)*$C$12)))</f>
        <v>33.711518909763065</v>
      </c>
      <c r="K32">
        <f>IF(((SUM(ReDiarioFert!I63:I69)/2)*$C$12)&lt;=0,"0",(((SUM(ReDiarioFert!I63:I69)/2)*$C$12)))</f>
        <v>13.605106526932731</v>
      </c>
      <c r="M32">
        <f>IF(((SUM(ReDiarioFert!K63:K69)/2)*$C$12)&lt;=0,"0",(((SUM(ReDiarioFert!K63:K69)/2)*$C$12)))</f>
        <v>37.39153573579824</v>
      </c>
      <c r="O32">
        <f>IF(((SUM(ReDiarioFert!M63:M69)/2)*$C$12)&lt;=0,"0",(((SUM(ReDiarioFert!M63:M69)/2)*$C$12)))</f>
        <v>415.27632487804874</v>
      </c>
      <c r="Q32">
        <f>$C$12*Main!$D$63</f>
        <v>20.019999999999996</v>
      </c>
      <c r="R32">
        <f>Main!$K$85*Main!$I$22</f>
        <v>1.001</v>
      </c>
      <c r="S32">
        <f>((E32/100)*$G$56+(G32/100)*$G$57+(I32/100)*$G$58+(K32/100)*$G$59+(M32/100)*$G$60+(O32)*$G$61+(Q32*$G$62)+(R32*Main!J85))</f>
        <v>1260.98100198742</v>
      </c>
    </row>
    <row r="33">
      <c r="B33">
        <f>B32+4</f>
        <v>63</v>
      </c>
      <c r="C33">
        <f>$J$11+B33</f>
        <v>39302</v>
      </c>
      <c r="D33" t="str">
        <f>Main!$H$84</f>
        <v>Acido Fosforoso</v>
      </c>
      <c r="E33">
        <f>E32</f>
        <v>55.83455221822442</v>
      </c>
      <c r="G33">
        <f>G32</f>
        <v>23.637847624393576</v>
      </c>
      <c r="I33">
        <f>I32</f>
        <v>33.711518909763065</v>
      </c>
      <c r="K33">
        <f>K32</f>
        <v>13.605106526932731</v>
      </c>
      <c r="M33">
        <f>M32</f>
        <v>37.39153573579824</v>
      </c>
      <c r="O33">
        <f>O32</f>
        <v>415.27632487804874</v>
      </c>
      <c r="R33">
        <f>Main!$K$84*Main!$I$22</f>
        <v>5.004999999999999</v>
      </c>
      <c r="S33">
        <f>((E33/100)*$G$56+(G33/100)*$G$57+(I33/100)*$G$58+(K33/100)*$G$59+(M33/100)*$G$60+(O33)*$G$61+(Q33*$G$62)+(R33*Main!$J$84))</f>
        <v>1230.95100198742</v>
      </c>
    </row>
    <row r="34">
      <c r="A34">
        <v>10</v>
      </c>
      <c r="B34">
        <f>B33+3</f>
        <v>66</v>
      </c>
      <c r="C34">
        <f>$J$11+B34</f>
        <v>39305</v>
      </c>
      <c r="E34">
        <f>IF(((SUM(ReDiarioFert!C70:C76)/2)*$C$12)&lt;=0,"0",(((SUM(ReDiarioFert!C70:C76)/2)*$C$12)))</f>
        <v>72.37812324584648</v>
      </c>
      <c r="G34">
        <f>IF(((SUM(ReDiarioFert!E70:E76)/2)*$C$12)&lt;=0,"0",(((SUM(ReDiarioFert!E70:E76)/2)*$C$12)))</f>
        <v>27.647209883473145</v>
      </c>
      <c r="I34">
        <f>IF(((SUM(ReDiarioFert!G70:G76)/2)*$C$12)&lt;=0,"0",(((SUM(ReDiarioFert!G70:G76)/2)*$C$12)))</f>
        <v>45.39696895710027</v>
      </c>
      <c r="K34">
        <f>IF(((SUM(ReDiarioFert!I70:I76)/2)*$C$12)&lt;=0,"0",(((SUM(ReDiarioFert!I70:I76)/2)*$C$12)))</f>
        <v>17.636249201579467</v>
      </c>
      <c r="M34">
        <f>IF(((SUM(ReDiarioFert!K70:K76)/2)*$C$12)&lt;=0,"0",(((SUM(ReDiarioFert!K70:K76)/2)*$C$12)))</f>
        <v>48.47050928714586</v>
      </c>
      <c r="O34">
        <f>IF(((SUM(ReDiarioFert!M70:M76)/2)*$C$12)&lt;=0,"0",(((SUM(ReDiarioFert!M70:M76)/2)*$C$12)))</f>
        <v>504.797952195122</v>
      </c>
      <c r="Q34">
        <f>$C$12*Main!$D$63</f>
        <v>20.019999999999996</v>
      </c>
      <c r="S34">
        <f>((E34/100)*$G$56+(G34/100)*$G$57+(I34/100)*$G$58+(K34/100)*$G$59+(M34/100)*$G$60+(O34)*$G$61+(Q34*$G$62))</f>
        <v>1097.5828913724986</v>
      </c>
    </row>
    <row r="35">
      <c r="B35">
        <f>B34+4</f>
        <v>70</v>
      </c>
      <c r="C35">
        <f>$J$11+B35</f>
        <v>39309</v>
      </c>
      <c r="D35" t="str">
        <f>Main!$H$83</f>
        <v>Acido Salicílico</v>
      </c>
      <c r="E35">
        <f>E34</f>
        <v>72.37812324584648</v>
      </c>
      <c r="G35">
        <f>G34</f>
        <v>27.647209883473145</v>
      </c>
      <c r="I35">
        <f>I34</f>
        <v>45.39696895710027</v>
      </c>
      <c r="K35">
        <f>K34</f>
        <v>17.636249201579467</v>
      </c>
      <c r="M35">
        <f>M34</f>
        <v>48.47050928714586</v>
      </c>
      <c r="O35">
        <f>O34</f>
        <v>504.797952195122</v>
      </c>
      <c r="R35">
        <f>Main!$K$83*Main!$I$22</f>
        <v>250.24999999999997</v>
      </c>
      <c r="S35">
        <f>((E35/100)*$G$56+(G35/100)*$G$57+(I35/100)*$G$58+(K35/100)*$G$59+(M35/100)*$G$60+(O35)*$G$61+(Q35*$G$62)+(R35*Main!$J$83))</f>
        <v>1090.0753913724986</v>
      </c>
    </row>
    <row r="36">
      <c r="A36">
        <v>11</v>
      </c>
      <c r="B36">
        <f>B35+3</f>
        <v>73</v>
      </c>
      <c r="C36">
        <f>$J$11+B36</f>
        <v>39312</v>
      </c>
      <c r="E36">
        <f>IF(((SUM(ReDiarioFert!C77:C83)/2)*$C$12)&lt;=0,"0",(((SUM(ReDiarioFert!C77:C83)/2)*$C$12)))</f>
        <v>67.604221036636</v>
      </c>
      <c r="G36">
        <f>IF(((SUM(ReDiarioFert!E77:E83)/2)*$C$12)&lt;=0,"0",(((SUM(ReDiarioFert!E77:E83)/2)*$C$12)))</f>
        <v>27.647209883473145</v>
      </c>
      <c r="I36">
        <f>IF(((SUM(ReDiarioFert!G77:G83)/2)*$C$12)&lt;=0,"0",(((SUM(ReDiarioFert!G77:G83)/2)*$C$12)))</f>
        <v>45.39696895710027</v>
      </c>
      <c r="K36">
        <f>IF(((SUM(ReDiarioFert!I77:I83)/2)*$C$12)&lt;=0,"0",(((SUM(ReDiarioFert!I77:I83)/2)*$C$12)))</f>
        <v>17.636249201579467</v>
      </c>
      <c r="M36">
        <f>IF(((SUM(ReDiarioFert!K77:K83)/2)*$C$12)&lt;=0,"0",(((SUM(ReDiarioFert!K77:K83)/2)*$C$12)))</f>
        <v>48.47050928714586</v>
      </c>
      <c r="O36">
        <f>IF(((SUM(ReDiarioFert!M77:M83)/2)*$C$12)&lt;=0,"0",(((SUM(ReDiarioFert!M77:M83)/2)*$C$12)))</f>
        <v>504.797952195122</v>
      </c>
      <c r="Q36">
        <f>$C$12*Main!$D$63</f>
        <v>20.019999999999996</v>
      </c>
      <c r="S36">
        <f>((E36/100)*$G$56+(G36/100)*$G$57+(I36/100)*$G$58+(K36/100)*$G$59+(M36/100)*$G$60+(O36)*$G$61+(Q36*$G$62))</f>
        <v>1082.3064043030251</v>
      </c>
    </row>
    <row r="37">
      <c r="B37">
        <f>B36+4</f>
        <v>77</v>
      </c>
      <c r="C37">
        <f>$J$11+B37</f>
        <v>39316</v>
      </c>
      <c r="E37">
        <f>E36</f>
        <v>67.604221036636</v>
      </c>
      <c r="G37">
        <f>G36</f>
        <v>27.647209883473145</v>
      </c>
      <c r="I37">
        <f>I36</f>
        <v>45.39696895710027</v>
      </c>
      <c r="K37">
        <f>K36</f>
        <v>17.636249201579467</v>
      </c>
      <c r="M37">
        <f>M36</f>
        <v>48.47050928714586</v>
      </c>
      <c r="O37">
        <f>O36</f>
        <v>504.797952195122</v>
      </c>
      <c r="S37">
        <f>((E37/100)*$G$56+(G37/100)*$G$57+(I37/100)*$G$58+(K37/100)*$G$59+(M37/100)*$G$60+(O37)*$G$61+(Q37*$G$62)+(R37*Main!$J$84))</f>
        <v>1032.2564043030252</v>
      </c>
    </row>
    <row r="38">
      <c r="A38">
        <v>12</v>
      </c>
      <c r="B38">
        <f>B37+3</f>
        <v>80</v>
      </c>
      <c r="C38">
        <f>$J$11+B38</f>
        <v>39319</v>
      </c>
      <c r="E38">
        <f>IF(((SUM(ReDiarioFert!C84:C90)/2)*$C$12)&lt;=0,"0",(((SUM(ReDiarioFert!C84:C90)/2)*$C$12)))</f>
        <v>61.23901809102205</v>
      </c>
      <c r="G38">
        <f>IF(((SUM(ReDiarioFert!E84:E90)/2)*$C$12)&lt;=0,"0",(((SUM(ReDiarioFert!E84:E90)/2)*$C$12)))</f>
        <v>27.647209883473145</v>
      </c>
      <c r="I38">
        <f>IF(((SUM(ReDiarioFert!G84:G90)/2)*$C$12)&lt;=0,"0",(((SUM(ReDiarioFert!G84:G90)/2)*$C$12)))</f>
        <v>45.39696895710027</v>
      </c>
      <c r="K38">
        <f>IF(((SUM(ReDiarioFert!I84:I90)/2)*$C$12)&lt;=0,"0",(((SUM(ReDiarioFert!I84:I90)/2)*$C$12)))</f>
        <v>17.636249201579467</v>
      </c>
      <c r="M38">
        <f>IF(((SUM(ReDiarioFert!K84:K90)/2)*$C$12)&lt;=0,"0",(((SUM(ReDiarioFert!K84:K90)/2)*$C$12)))</f>
        <v>48.47050928714586</v>
      </c>
      <c r="O38">
        <f>IF(((SUM(ReDiarioFert!M84:M90)/2)*$C$12)&lt;=0,"0",(((SUM(ReDiarioFert!M84:M90)/2)*$C$12)))</f>
        <v>564.4780604878048</v>
      </c>
      <c r="Q38">
        <f>$C$12*Main!$D$63</f>
        <v>20.019999999999996</v>
      </c>
      <c r="S38">
        <f>((E38/100)*$G$56+(G38/100)*$G$57+(I38/100)*$G$58+(K38/100)*$G$59+(M38/100)*$G$60+(O38)*$G$61+(Q38*$G$62))</f>
        <v>1063.8236462991092</v>
      </c>
    </row>
    <row r="39">
      <c r="B39">
        <f>B38+4</f>
        <v>84</v>
      </c>
      <c r="C39">
        <f>$J$11+B39</f>
        <v>39323</v>
      </c>
      <c r="E39">
        <f>E38</f>
        <v>61.23901809102205</v>
      </c>
      <c r="G39">
        <f>G38</f>
        <v>27.647209883473145</v>
      </c>
      <c r="I39">
        <f>I38</f>
        <v>45.39696895710027</v>
      </c>
      <c r="K39">
        <f>K38</f>
        <v>17.636249201579467</v>
      </c>
      <c r="M39">
        <f>M38</f>
        <v>48.47050928714586</v>
      </c>
      <c r="O39">
        <f>O38</f>
        <v>564.4780604878048</v>
      </c>
      <c r="S39">
        <f>((E39/100)*$G$56+(G39/100)*$G$57+(I39/100)*$G$58+(K39/100)*$G$59+(M39/100)*$G$60+(O39)*$G$61+(Q39*$G$62)+(R39*Main!$J$83))</f>
        <v>1013.7736462991093</v>
      </c>
    </row>
    <row r="40" ht="18" customHeight="1">
      <c r="A40">
        <v>13</v>
      </c>
      <c r="B40">
        <f>B39+3</f>
        <v>87</v>
      </c>
      <c r="C40">
        <f>$J$11+B40</f>
        <v>39326</v>
      </c>
      <c r="D40" t="str">
        <f>Main!$H$86</f>
        <v>BaZam</v>
      </c>
      <c r="E40">
        <f>IF(((SUM(ReDiarioFert!C91:C97)/2)*$C$12)&lt;=0,"0",(((SUM(ReDiarioFert!C91:C97)/2)*$C$12)))</f>
        <v>47.64334644923101</v>
      </c>
      <c r="G40">
        <f>IF(((SUM(ReDiarioFert!E91:E97)/2)*$C$12)&lt;=0,"0",(((SUM(ReDiarioFert!E91:E97)/2)*$C$12)))</f>
        <v>27.647209883473145</v>
      </c>
      <c r="I40">
        <f>IF(((SUM(ReDiarioFert!G91:G97)/2)*$C$12)&lt;=0,"0",(((SUM(ReDiarioFert!G91:G97)/2)*$C$12)))</f>
        <v>45.39696895710027</v>
      </c>
      <c r="K40">
        <f>IF(((SUM(ReDiarioFert!I91:I97)/2)*$C$12)&lt;=0,"0",(((SUM(ReDiarioFert!I91:I97)/2)*$C$12)))</f>
        <v>17.636249201579467</v>
      </c>
      <c r="M40">
        <f>IF(((SUM(ReDiarioFert!K91:K97)/2)*$C$12)&lt;=0,"0",(((SUM(ReDiarioFert!K91:K97)/2)*$C$12)))</f>
        <v>48.47050928714586</v>
      </c>
      <c r="O40">
        <f>IF(((SUM(ReDiarioFert!M91:M97)/2)*$C$12)&lt;=0,"0",(((SUM(ReDiarioFert!M91:M97)/2)*$C$12)))</f>
        <v>609.2381417073171</v>
      </c>
      <c r="Q40">
        <f>$C$12*Main!$D$63</f>
        <v>20.019999999999996</v>
      </c>
      <c r="R40">
        <f>Main!$K$86*Main!$I$22</f>
        <v>1.001</v>
      </c>
      <c r="S40">
        <f>((E40/100)*$G$56+(G40/100)*$G$57+(I40/100)*$G$58+(K40/100)*$G$59+(M40/100)*$G$60+(O40)*$G$61+(Q40*$G$62)+(R40*Main!$J$86))</f>
        <v>1402.1119156119144</v>
      </c>
    </row>
    <row r="41" ht="18" customHeight="1">
      <c r="B41">
        <f>B40+4</f>
        <v>91</v>
      </c>
      <c r="C41">
        <f>$J$11+B41</f>
        <v>39330</v>
      </c>
      <c r="D41" t="str">
        <f>Main!$H$84</f>
        <v>Acido Fosforoso</v>
      </c>
      <c r="E41">
        <f>E40</f>
        <v>47.64334644923101</v>
      </c>
      <c r="G41">
        <f>G40</f>
        <v>27.647209883473145</v>
      </c>
      <c r="I41">
        <f>I40</f>
        <v>45.39696895710027</v>
      </c>
      <c r="K41">
        <f>K40</f>
        <v>17.636249201579467</v>
      </c>
      <c r="M41">
        <f>M40</f>
        <v>48.47050928714586</v>
      </c>
      <c r="O41">
        <f>O40</f>
        <v>609.2381417073171</v>
      </c>
      <c r="R41">
        <f>Main!$K$84*Main!$I$22</f>
        <v>5.004999999999999</v>
      </c>
      <c r="S41">
        <f>((E41/100)*$G$56+(G41/100)*$G$57+(I41/100)*$G$58+(K41/100)*$G$59+(M41/100)*$G$60+(O41)*$G$61+(Q41*$G$62)+(R41*Main!$J$84))</f>
        <v>1372.0819156119144</v>
      </c>
    </row>
    <row r="42">
      <c r="A42">
        <v>14</v>
      </c>
      <c r="B42">
        <f>B41+3</f>
        <v>94</v>
      </c>
      <c r="C42">
        <f>$J$11+B42</f>
        <v>39333</v>
      </c>
      <c r="E42">
        <f>IF(((SUM(ReDiarioFert!C98:C104)/2)*$C$12)&lt;=0,"0",(((SUM(ReDiarioFert!C98:C104)/2)*$C$12)))</f>
        <v>36.033238985051895</v>
      </c>
      <c r="G42">
        <f>IF(((SUM(ReDiarioFert!E98:E104)/2)*$C$12)&lt;=0,"0",(((SUM(ReDiarioFert!E98:E104)/2)*$C$12)))</f>
        <v>27.647209883473145</v>
      </c>
      <c r="I42">
        <f>IF(((SUM(ReDiarioFert!G98:G104)/2)*$C$12)&lt;=0,"0",(((SUM(ReDiarioFert!G98:G104)/2)*$C$12)))</f>
        <v>45.39696895710027</v>
      </c>
      <c r="K42">
        <f>IF(((SUM(ReDiarioFert!I98:I104)/2)*$C$12)&lt;=0,"0",(((SUM(ReDiarioFert!I98:I104)/2)*$C$12)))</f>
        <v>17.636249201579467</v>
      </c>
      <c r="M42">
        <f>IF(((SUM(ReDiarioFert!K98:K104)/2)*$C$12)&lt;=0,"0",(((SUM(ReDiarioFert!K98:K104)/2)*$C$12)))</f>
        <v>48.47050928714586</v>
      </c>
      <c r="O42">
        <f>IF(((SUM(ReDiarioFert!M98:M104)/2)*$C$12)&lt;=0,"0",(((SUM(ReDiarioFert!M98:M104)/2)*$C$12)))</f>
        <v>609.2381417073171</v>
      </c>
      <c r="Q42">
        <f>$C$12*Main!$D$63</f>
        <v>20.019999999999996</v>
      </c>
      <c r="S42">
        <f>((E42/100)*$G$56+(G42/100)*$G$57+(I42/100)*$G$58+(K42/100)*$G$59+(M42/100)*$G$60+(O42)*$G$61+(Q42*$G$62))</f>
        <v>984.5795717265413</v>
      </c>
    </row>
    <row r="43">
      <c r="B43">
        <f>B42+4</f>
        <v>98</v>
      </c>
      <c r="C43">
        <f>$J$11+B43</f>
        <v>39337</v>
      </c>
      <c r="D43" t="str">
        <f>Main!$H$83</f>
        <v>Acido Salicílico</v>
      </c>
      <c r="E43">
        <f>E42</f>
        <v>36.033238985051895</v>
      </c>
      <c r="G43">
        <f>G42</f>
        <v>27.647209883473145</v>
      </c>
      <c r="I43">
        <f>I42</f>
        <v>45.39696895710027</v>
      </c>
      <c r="K43">
        <f>K42</f>
        <v>17.636249201579467</v>
      </c>
      <c r="M43">
        <f>M42</f>
        <v>48.47050928714586</v>
      </c>
      <c r="O43">
        <f>O42</f>
        <v>609.2381417073171</v>
      </c>
      <c r="R43">
        <f>Main!$K$83*Main!$I$22</f>
        <v>250.24999999999997</v>
      </c>
      <c r="S43">
        <f>((E43/100)*$G$56+(G43/100)*$G$57+(I43/100)*$G$58+(K43/100)*$G$59+(M43/100)*$G$60+(O43)*$G$61+(Q43*$G$62)+(R43*Main!$J$83))</f>
        <v>977.0720717265414</v>
      </c>
    </row>
    <row r="44">
      <c r="A44">
        <v>15</v>
      </c>
      <c r="B44">
        <f>B43+3</f>
        <v>101</v>
      </c>
      <c r="C44">
        <f>$J$11+B44</f>
        <v>39340</v>
      </c>
      <c r="E44">
        <f>IF(((SUM(ReDiarioFert!C105:C111)/2)*$C$12)&lt;=0,"0",(((SUM(ReDiarioFert!C105:C111)/2)*$C$12)))</f>
        <v>25.837233015648916</v>
      </c>
      <c r="G44">
        <f>IF(((SUM(ReDiarioFert!E105:E111)/2)*$C$12)&lt;=0,"0",(((SUM(ReDiarioFert!E105:E111)/2)*$C$12)))</f>
        <v>27.647209883473145</v>
      </c>
      <c r="I44">
        <f>IF(((SUM(ReDiarioFert!G105:G111)/2)*$C$12)&lt;=0,"0",(((SUM(ReDiarioFert!G105:G111)/2)*$C$12)))</f>
        <v>45.39696895710027</v>
      </c>
      <c r="K44">
        <f>IF(((SUM(ReDiarioFert!I105:I111)/2)*$C$12)&lt;=0,"0",(((SUM(ReDiarioFert!I105:I111)/2)*$C$12)))</f>
        <v>17.636249201579467</v>
      </c>
      <c r="M44">
        <f>IF(((SUM(ReDiarioFert!K105:K111)/2)*$C$12)&lt;=0,"0",(((SUM(ReDiarioFert!K105:K111)/2)*$C$12)))</f>
        <v>48.47050928714586</v>
      </c>
      <c r="O44">
        <f>IF(((SUM(ReDiarioFert!M105:M111)/2)*$C$12)&lt;=0,"0",(((SUM(ReDiarioFert!M105:M111)/2)*$C$12)))</f>
        <v>609.2381417073171</v>
      </c>
      <c r="Q44">
        <f>$C$12*Main!$D$63</f>
        <v>20.019999999999996</v>
      </c>
      <c r="S44">
        <f>((E44/100)*$G$56+(G44/100)*$G$57+(I44/100)*$G$58+(K44/100)*$G$59+(M44/100)*$G$60+(O44)*$G$61+(Q44*$G$62))</f>
        <v>951.9523526244517</v>
      </c>
    </row>
    <row r="45">
      <c r="B45">
        <f>B44+4</f>
        <v>105</v>
      </c>
      <c r="C45">
        <f>$J$11+B45</f>
        <v>39344</v>
      </c>
      <c r="E45">
        <f>E44</f>
        <v>25.837233015648916</v>
      </c>
      <c r="G45">
        <f>G44</f>
        <v>27.647209883473145</v>
      </c>
      <c r="I45">
        <f>I44</f>
        <v>45.39696895710027</v>
      </c>
      <c r="K45">
        <f>K44</f>
        <v>17.636249201579467</v>
      </c>
      <c r="M45">
        <f>M44</f>
        <v>48.47050928714586</v>
      </c>
      <c r="O45">
        <f>O44</f>
        <v>609.2381417073171</v>
      </c>
      <c r="S45">
        <f>((E45/100)*$G$56+(G45/100)*$G$57+(I45/100)*$G$58+(K45/100)*$G$59+(M45/100)*$G$60+(O45)*$G$61+(Q45*$G$62)+(R45*Main!$J$84))</f>
        <v>901.9023526244517</v>
      </c>
    </row>
    <row r="46">
      <c r="A46">
        <v>16</v>
      </c>
      <c r="B46">
        <f>B45+3</f>
        <v>108</v>
      </c>
      <c r="C46">
        <f>$J$11+B46</f>
        <v>39347</v>
      </c>
      <c r="E46">
        <f>IF(((SUM(ReDiarioFert!C112:C118)/2)*$C$12)&lt;=0,"0",(((SUM(ReDiarioFert!C112:C118)/2)*$C$12)))</f>
        <v>25.837233015648916</v>
      </c>
      <c r="G46">
        <f>IF(((SUM(ReDiarioFert!E112:E118)/2)*$C$12)&lt;=0,"0",(((SUM(ReDiarioFert!E112:E118)/2)*$C$12)))</f>
        <v>27.647209883473145</v>
      </c>
      <c r="I46">
        <f>IF(((SUM(ReDiarioFert!G112:G118)/2)*$C$12)&lt;=0,"0",(((SUM(ReDiarioFert!G112:G118)/2)*$C$12)))</f>
        <v>45.39696895710027</v>
      </c>
      <c r="K46">
        <f>IF(((SUM(ReDiarioFert!I112:I118)/2)*$C$12)&lt;=0,"0",(((SUM(ReDiarioFert!I112:I118)/2)*$C$12)))</f>
        <v>17.636249201579467</v>
      </c>
      <c r="M46">
        <f>IF(((SUM(ReDiarioFert!K112:K118)/2)*$C$12)&lt;=0,"0",(((SUM(ReDiarioFert!K112:K118)/2)*$C$12)))</f>
        <v>48.47050928714586</v>
      </c>
      <c r="O46">
        <f>IF(((SUM(ReDiarioFert!M112:M118)/2)*$C$12)&lt;=0,"0",(((SUM(ReDiarioFert!M112:M118)/2)*$C$12)))</f>
        <v>609.2381417073171</v>
      </c>
      <c r="Q46">
        <f>$C$12*Main!$D$63</f>
        <v>20.019999999999996</v>
      </c>
      <c r="S46">
        <f>((E46/100)*$G$56+(G46/100)*$G$57+(I46/100)*$G$58+(K46/100)*$G$59+(M46/100)*$G$60+(O46)*$G$61+(Q46*$G$62))</f>
        <v>951.9523526244517</v>
      </c>
    </row>
    <row r="47">
      <c r="B47">
        <f>B46+4</f>
        <v>112</v>
      </c>
      <c r="C47">
        <f>$J$11+B47</f>
        <v>39351</v>
      </c>
      <c r="E47">
        <f>E46</f>
        <v>25.837233015648916</v>
      </c>
      <c r="G47">
        <f>G46</f>
        <v>27.647209883473145</v>
      </c>
      <c r="I47">
        <f>I46</f>
        <v>45.39696895710027</v>
      </c>
      <c r="K47">
        <f>K46</f>
        <v>17.636249201579467</v>
      </c>
      <c r="M47">
        <f>M46</f>
        <v>48.47050928714586</v>
      </c>
      <c r="O47">
        <f>O46</f>
        <v>609.2381417073171</v>
      </c>
      <c r="S47">
        <f>((E47/100)*$G$56+(G47/100)*$G$57+(I47/100)*$G$58+(K47/100)*$G$59+(M47/100)*$G$60+(O47)*$G$61+(Q47*$G$62)+(R47*Main!$J$83))</f>
        <v>901.9023526244517</v>
      </c>
    </row>
    <row r="48">
      <c r="A48">
        <v>17</v>
      </c>
      <c r="B48">
        <f>B47+3</f>
        <v>115</v>
      </c>
      <c r="C48">
        <f>$J$11+B48</f>
        <v>39354</v>
      </c>
      <c r="E48">
        <f>IF(((SUM(ReDiarioFert!C119:C125)/2)*$C$12)&lt;=0,"0",(((SUM(ReDiarioFert!C119:C125)/2)*$C$12)))</f>
        <v>25.837233015648916</v>
      </c>
      <c r="G48">
        <f>IF(((SUM(ReDiarioFert!E119:E125)/2)*$C$12)&lt;=0,"0",(((SUM(ReDiarioFert!E119:E125)/2)*$C$12)))</f>
        <v>27.647209883473145</v>
      </c>
      <c r="I48">
        <f>IF(((SUM(ReDiarioFert!G119:G125)/2)*$C$12)&lt;=0,"0",(((SUM(ReDiarioFert!G119:G125)/2)*$C$12)))</f>
        <v>45.39696895710027</v>
      </c>
      <c r="K48">
        <f>IF(((SUM(ReDiarioFert!I119:I125)/2)*$C$12)&lt;=0,"0",(((SUM(ReDiarioFert!I119:I125)/2)*$C$12)))</f>
        <v>17.636249201579467</v>
      </c>
      <c r="M48">
        <f>IF(((SUM(ReDiarioFert!K119:K125)/2)*$C$12)&lt;=0,"0",(((SUM(ReDiarioFert!K119:K125)/2)*$C$12)))</f>
        <v>48.47050928714586</v>
      </c>
      <c r="O48">
        <f>IF(((SUM(ReDiarioFert!M119:M125)/2)*$C$12)&lt;=0,"0",(((SUM(ReDiarioFert!M119:M125)/2)*$C$12)))</f>
        <v>609.2381417073171</v>
      </c>
      <c r="Q48">
        <f>$C$12*Main!$D$63</f>
        <v>20.019999999999996</v>
      </c>
      <c r="S48">
        <f>((E48/100)*$G$56+(G48/100)*$G$57+(I48/100)*$G$58+(K48/100)*$G$59+(M48/100)*$G$60+(O48)*$G$61+(Q48*$G$62))</f>
        <v>951.9523526244517</v>
      </c>
    </row>
    <row r="49">
      <c r="B49">
        <f>B48+4</f>
        <v>119</v>
      </c>
      <c r="C49">
        <f>$J$11+B49</f>
        <v>39358</v>
      </c>
      <c r="E49">
        <f>E48</f>
        <v>25.837233015648916</v>
      </c>
      <c r="G49">
        <f>G48</f>
        <v>27.647209883473145</v>
      </c>
      <c r="I49">
        <f>I48</f>
        <v>45.39696895710027</v>
      </c>
      <c r="K49">
        <f>K48</f>
        <v>17.636249201579467</v>
      </c>
      <c r="M49">
        <f>M48</f>
        <v>48.47050928714586</v>
      </c>
      <c r="O49">
        <f>O48</f>
        <v>609.2381417073171</v>
      </c>
      <c r="S49">
        <f>((E49/100)*$G$56+(G49/100)*$G$57+(I49/100)*$G$58+(K49/100)*$G$59+(M49/100)*$G$60+(O49)*$G$61+(Q49*$G$62)+(R49*Main!$J$84))</f>
        <v>901.9023526244517</v>
      </c>
    </row>
    <row r="50">
      <c r="A50">
        <v>18</v>
      </c>
      <c r="B50">
        <f>B49+3</f>
        <v>122</v>
      </c>
      <c r="C50">
        <f>$J$11+B50</f>
        <v>39361</v>
      </c>
      <c r="E50">
        <f>IF(((SUM(ReDiarioFert!C126:C132)/2)*$C$12)&lt;=0,"0",(((SUM(ReDiarioFert!C126:C132)/2)*$C$12)))</f>
        <v>25.837233015648916</v>
      </c>
      <c r="G50">
        <f>IF(((SUM(ReDiarioFert!E126:E132)/2)*$C$12)&lt;=0,"0",(((SUM(ReDiarioFert!E126:E132)/2)*$C$12)))</f>
        <v>27.647209883473145</v>
      </c>
      <c r="I50">
        <f>IF(((SUM(ReDiarioFert!G126:G132)/2)*$C$12)&lt;=0,"0",(((SUM(ReDiarioFert!G126:G132)/2)*$C$12)))</f>
        <v>45.39696895710027</v>
      </c>
      <c r="K50">
        <f>IF(((SUM(ReDiarioFert!I126:I132)/2)*$C$12)&lt;=0,"0",(((SUM(ReDiarioFert!I126:I132)/2)*$C$12)))</f>
        <v>17.636249201579467</v>
      </c>
      <c r="M50">
        <f>IF(((SUM(ReDiarioFert!K126:K132)/2)*$C$12)&lt;=0,"0",(((SUM(ReDiarioFert!K126:K132)/2)*$C$12)))</f>
        <v>48.47050928714586</v>
      </c>
      <c r="O50">
        <f>IF(((SUM(ReDiarioFert!M126:M132)/2)*$C$12)&lt;=0,"0",(((SUM(ReDiarioFert!M126:M132)/2)*$C$12)))</f>
        <v>609.2381417073171</v>
      </c>
      <c r="Q50">
        <f>$C$12*Main!$D$63</f>
        <v>20.019999999999996</v>
      </c>
      <c r="S50">
        <f>((E50/100)*$G$56+(G50/100)*$G$57+(I50/100)*$G$58+(K50/100)*$G$59+(M50/100)*$G$60+(O50)*$G$61+(Q50*$G$62))</f>
        <v>951.9523526244517</v>
      </c>
    </row>
    <row r="51">
      <c r="B51">
        <f>B50+4</f>
        <v>126</v>
      </c>
      <c r="C51">
        <f>$J$11+B51</f>
        <v>39365</v>
      </c>
      <c r="E51">
        <f>E50</f>
        <v>25.837233015648916</v>
      </c>
      <c r="G51">
        <f>G50</f>
        <v>27.647209883473145</v>
      </c>
      <c r="I51">
        <f>I50</f>
        <v>45.39696895710027</v>
      </c>
      <c r="K51">
        <f>K50</f>
        <v>17.636249201579467</v>
      </c>
      <c r="M51">
        <f>M50</f>
        <v>48.47050928714586</v>
      </c>
      <c r="O51">
        <f>O50</f>
        <v>609.2381417073171</v>
      </c>
      <c r="S51">
        <f>((E51/100)*$G$56+(G51/100)*$G$57+(I51/100)*$G$58+(K51/100)*$G$59+(M51/100)*$G$60+(O51)*$G$61+(Q51*$G$62)+(R51*Main!$J$83))</f>
        <v>901.9023526244517</v>
      </c>
    </row>
    <row r="52">
      <c r="C52" t="str">
        <v>Total</v>
      </c>
      <c r="E52">
        <f>SUM(E16:E51)</f>
        <v>1314.159280625475</v>
      </c>
      <c r="G52">
        <f>SUM(G16:G51)</f>
        <v>747.3422879689801</v>
      </c>
      <c r="I52">
        <f>SUM(I16:I51)</f>
        <v>1129.253840065719</v>
      </c>
      <c r="K52">
        <f>SUM(K16:K51)</f>
        <v>448.46017661868433</v>
      </c>
      <c r="M52">
        <f>SUM(M16:M51)</f>
        <v>1232.523588619075</v>
      </c>
      <c r="O52">
        <f>SUM(O16:O51)</f>
        <v>15044.447955121956</v>
      </c>
      <c r="Q52">
        <f>SUM(Q16:Q51)</f>
        <v>360.3599999999998</v>
      </c>
      <c r="S52">
        <f>SUM(S16:S51)</f>
        <v>30702.686718994497</v>
      </c>
    </row>
    <row r="54" ht="39.75" customHeight="1">
      <c r="B54" t="str">
        <v>Producto</v>
      </c>
      <c r="F54" t="str">
        <v>Lbs/Ha</v>
      </c>
      <c r="G54" t="str">
        <v>Costo por qq</v>
      </c>
    </row>
    <row r="55" ht="24" customHeight="1">
      <c r="G55" t="str">
        <f>Main!$E$25</f>
        <v>Lempiras</v>
      </c>
    </row>
    <row r="56">
      <c r="B56" t="str">
        <f>Main!D42</f>
        <v>Nitrato de Amonio</v>
      </c>
      <c r="F56">
        <f>E52/C12</f>
        <v>1312.8464341912838</v>
      </c>
      <c r="G56">
        <f>Main!D43</f>
        <v>320</v>
      </c>
    </row>
    <row r="57">
      <c r="B57" t="str">
        <f>Main!D32</f>
        <v>FofatoMonoPotasico</v>
      </c>
      <c r="F57">
        <f>G52/C12</f>
        <v>746.5956922767035</v>
      </c>
      <c r="G57">
        <f>Main!D33</f>
        <v>1169</v>
      </c>
    </row>
    <row r="58">
      <c r="B58" t="str">
        <f>Main!D37</f>
        <v>Kcl Soluble</v>
      </c>
      <c r="F58">
        <f>I52/C12</f>
        <v>1128.1257143513678</v>
      </c>
      <c r="G58">
        <f>Main!D38</f>
        <v>410</v>
      </c>
      <c r="I58" t="str">
        <v xml:space="preserve">Preparado y Autorizado Por </v>
      </c>
    </row>
    <row r="59">
      <c r="B59" t="str">
        <f>Main!D47</f>
        <v>Sulfato de Magnesio</v>
      </c>
      <c r="F59">
        <f>K52/C12</f>
        <v>448.0121644542302</v>
      </c>
      <c r="G59">
        <f>Main!D48</f>
        <v>425</v>
      </c>
      <c r="I59" t="str">
        <v>MSc Ricardo D. Lardizábal</v>
      </c>
    </row>
    <row r="60">
      <c r="B60" t="str">
        <f>Main!D52</f>
        <v>Nitrato de Calcio</v>
      </c>
      <c r="F60">
        <f>M52/C12</f>
        <v>1231.2922963227525</v>
      </c>
      <c r="G60">
        <f>Main!D53</f>
        <v>445</v>
      </c>
    </row>
    <row r="61">
      <c r="B61" t="str">
        <f>Main!D57</f>
        <v>Solubor</v>
      </c>
      <c r="F61">
        <f>O52/C12</f>
        <v>15029.418536585372</v>
      </c>
      <c r="G61">
        <f>Main!D58</f>
        <v>0.0316</v>
      </c>
    </row>
    <row r="62" ht="18" customHeight="1">
      <c r="B62" t="str">
        <f>Main!D61</f>
        <v>Melaza</v>
      </c>
      <c r="F62">
        <f>Q52/C12</f>
        <v>359.99999999999983</v>
      </c>
      <c r="G62">
        <f>Main!D62</f>
        <v>2.5</v>
      </c>
    </row>
    <row r="63" ht="17.4" customHeight="1">
      <c r="B63" t="str">
        <v>NOTA: El Nitrato de Calcio se debe de diluir en un barril aparte para inyectarse al sistema</v>
      </c>
    </row>
    <row r="65" ht="17.4" customHeight="1">
      <c r="B65" t="str">
        <v>,@ La Melaza del calendario de fertilización se usan para la limpieza de la cinta y mejorar la estructura de suelo. La aplicación de ellos es después de la fertilización y en la ultima media hora de riego. Ver boletín técnico de USAID-RED sobre melaza.</v>
      </c>
    </row>
    <row r="68">
      <c r="B68" t="str">
        <v>Abreviaciones usadas</v>
      </c>
    </row>
    <row r="69">
      <c r="B69" t="str">
        <v>Mz-Manzanas, Ha-Hectáreas, Lbs-Libras, Lts-Litros y DDT-Días después de Transplante</v>
      </c>
    </row>
  </sheetData>
  <sheetProtection sheet="1"/>
  <mergeCells count="54">
    <mergeCell ref="G54:H54"/>
    <mergeCell ref="G55:H55"/>
    <mergeCell ref="G56:H56"/>
    <mergeCell ref="G57:H57"/>
    <mergeCell ref="J9:N9"/>
    <mergeCell ref="J10:N10"/>
    <mergeCell ref="J11:N11"/>
    <mergeCell ref="J12:N12"/>
    <mergeCell ref="S14:S15"/>
    <mergeCell ref="O14:P14"/>
    <mergeCell ref="Q14:R14"/>
    <mergeCell ref="G14:H14"/>
    <mergeCell ref="I14:J14"/>
    <mergeCell ref="K14:L14"/>
    <mergeCell ref="M14:N14"/>
    <mergeCell ref="I58:Q58"/>
    <mergeCell ref="A14:A15"/>
    <mergeCell ref="B14:B15"/>
    <mergeCell ref="A11:B11"/>
    <mergeCell ref="A12:B12"/>
    <mergeCell ref="C11:F11"/>
    <mergeCell ref="C12:F12"/>
    <mergeCell ref="G11:I11"/>
    <mergeCell ref="G12:I12"/>
    <mergeCell ref="G58:H58"/>
    <mergeCell ref="B69:S69"/>
    <mergeCell ref="E14:F14"/>
    <mergeCell ref="B68:C68"/>
    <mergeCell ref="B65:S66"/>
    <mergeCell ref="B62:E62"/>
    <mergeCell ref="B54:E54"/>
    <mergeCell ref="B56:E56"/>
    <mergeCell ref="B57:E57"/>
    <mergeCell ref="B58:E58"/>
    <mergeCell ref="C14:D14"/>
    <mergeCell ref="B63:I64"/>
    <mergeCell ref="B60:E60"/>
    <mergeCell ref="B59:E59"/>
    <mergeCell ref="I59:Q59"/>
    <mergeCell ref="B61:E61"/>
    <mergeCell ref="G62:H62"/>
    <mergeCell ref="G61:H61"/>
    <mergeCell ref="G59:H59"/>
    <mergeCell ref="G60:H60"/>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78"/>
  </ignoredErrors>
  <legacyDrawing r:id="rId1"/>
</worksheet>
</file>

<file path=xl/worksheets/sheet6.xml><?xml version="1.0" encoding="utf-8"?>
<worksheet xmlns="http://schemas.openxmlformats.org/spreadsheetml/2006/main" xmlns:r="http://schemas.openxmlformats.org/officeDocument/2006/relationships">
  <dimension ref="A1:V78"/>
  <sheetViews>
    <sheetView workbookViewId="0" rightToLeft="0"/>
  </sheetViews>
  <sheetData>
    <row r="1" ht="32.7" customHeight="1"/>
    <row r="2" ht="32.7" customHeight="1">
      <c r="P2" t="str">
        <v>Calendario de Fertilización para Goteo 2 Veces Por Semana</v>
      </c>
    </row>
    <row r="3" ht="32.7" customHeight="1"/>
    <row r="5">
      <c r="P5" t="str">
        <f>Main!$E$21</f>
        <v>Zanahoria</v>
      </c>
    </row>
    <row r="6" ht="29.25" customHeight="1"/>
    <row r="7" ht="26.25" customHeight="1"/>
    <row r="8" ht="25.95" customHeight="1">
      <c r="A8" t="str">
        <f>Main!$C$13</f>
        <v>"Sin Fertilización Base"Para mas de 75,000 Lbs por Hectarea</v>
      </c>
    </row>
    <row r="9" ht="20.1" customHeight="1">
      <c r="A9" t="str">
        <v>Productor</v>
      </c>
      <c r="C9" t="str">
        <f>Main!E17</f>
        <v>Pancho Pérez</v>
      </c>
      <c r="G9" t="str">
        <v>Parcela</v>
      </c>
      <c r="J9" t="str">
        <f>Main!E19</f>
        <v>La Frondosa</v>
      </c>
      <c r="P9" t="str">
        <f>Main!$G$21</f>
        <v>Bangor</v>
      </c>
    </row>
    <row r="10" ht="20.1" customHeight="1">
      <c r="A10" t="str">
        <v>Zona</v>
      </c>
      <c r="C10" t="str">
        <f>Main!E18</f>
        <v>La Flecha</v>
      </c>
      <c r="G10" t="str">
        <v>Técnico</v>
      </c>
      <c r="J10" t="str">
        <f>Main!E20</f>
        <v>Luís Torres</v>
      </c>
    </row>
    <row r="11" ht="20.1" customHeight="1">
      <c r="A11" t="str">
        <v>Área Mz.</v>
      </c>
      <c r="C11">
        <f>Main!E22</f>
        <v>1.43</v>
      </c>
      <c r="G11" t="str">
        <v>Fecha:</v>
      </c>
      <c r="J11">
        <f>Main!E23</f>
        <v>39239</v>
      </c>
    </row>
    <row r="12" ht="20.1" customHeight="1">
      <c r="A12" t="str">
        <v>Área Ha.</v>
      </c>
      <c r="C12">
        <f>Main!I22</f>
        <v>1.001</v>
      </c>
      <c r="G12" t="str">
        <v>Fecha de Cosecha:</v>
      </c>
      <c r="J12">
        <f>J11+Main!E24</f>
        <v>39359</v>
      </c>
    </row>
    <row r="13" ht="19.5" customHeight="1"/>
    <row r="14" ht="28.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39242</v>
      </c>
      <c r="E16">
        <f>IF(((SUM(ReDiarioFert!C7:C13)/2)*$C$12)&lt;=0,"0",(((SUM(ReDiarioFert!C7:C13)/2)*$C$12)))</f>
        <v>9.650158552680256</v>
      </c>
      <c r="G16">
        <f>IF(((SUM(ReDiarioFert!E7:E13)/2)*$C$12)&lt;=0,"0",(((SUM(ReDiarioFert!E7:E13)/2)*$C$12)))</f>
        <v>4.593576800312499</v>
      </c>
      <c r="I16">
        <f>IF(((SUM(ReDiarioFert!G7:G13)/2)*$C$12)&lt;=0,"0",(((SUM(ReDiarioFert!G7:G13)/2)*$C$12)))</f>
        <v>5.5350810410729165</v>
      </c>
      <c r="K16">
        <f>IF(((SUM(ReDiarioFert!I7:I13)/2)*$C$12)&lt;=0,"0",(((SUM(ReDiarioFert!I7:I13)/2)*$C$12)))</f>
        <v>2.350425031104368</v>
      </c>
      <c r="M16">
        <f>IF(((SUM(ReDiarioFert!K7:K13)/2)*$C$12)&lt;=0,"0",(((SUM(ReDiarioFert!K7:K13)/2)*$C$12)))</f>
        <v>6.459780478078148</v>
      </c>
      <c r="O16">
        <f>IF(((SUM(ReDiarioFert!M7:M13)/2)*$C$12)&lt;=0,"0",(((SUM(ReDiarioFert!M7:M13)/2)*$C$12)))</f>
        <v>87.03377609756097</v>
      </c>
      <c r="Q16">
        <f>$C$12*Main!$D$63</f>
        <v>20.019999999999996</v>
      </c>
      <c r="S16">
        <f>((E16/100)*$G$56+(G16/100)*$G$57+(I16/100)*$G$58+(K16/100)*$G$59+(M16/100)*$G$60+(O16)*$G$61+(Q16*$G$62))</f>
        <v>198.80884926695313</v>
      </c>
    </row>
    <row r="17" ht="18.75" customHeight="1">
      <c r="B17">
        <v>7</v>
      </c>
      <c r="C17">
        <f>$J$11+B17</f>
        <v>39246</v>
      </c>
      <c r="E17">
        <f>E16</f>
        <v>9.650158552680256</v>
      </c>
      <c r="G17">
        <f>G16</f>
        <v>4.593576800312499</v>
      </c>
      <c r="I17">
        <f>I16</f>
        <v>5.5350810410729165</v>
      </c>
      <c r="K17">
        <f>K16</f>
        <v>2.350425031104368</v>
      </c>
      <c r="M17">
        <f>M16</f>
        <v>6.459780478078148</v>
      </c>
      <c r="O17">
        <f>O16</f>
        <v>87.03377609756097</v>
      </c>
      <c r="S17">
        <f>((E17/100)*$G$56+(G17/100)*$G$57+(I17/100)*$G$58+(K17/100)*$G$59+(M17/100)*$G$60+(O17)*$G$61+(Q17*$G$62))</f>
        <v>148.75884926695315</v>
      </c>
    </row>
    <row r="18">
      <c r="A18">
        <v>2</v>
      </c>
      <c r="B18">
        <f>B17+3</f>
        <v>10</v>
      </c>
      <c r="C18">
        <f>$J$11+B18</f>
        <v>39249</v>
      </c>
      <c r="E18">
        <f>IF(((SUM(ReDiarioFert!C14:C20)/2)*$C$12)&lt;=0,"0",(((SUM(ReDiarioFert!C14:C20)/2)*$C$12)))</f>
        <v>9.650158552680256</v>
      </c>
      <c r="G18">
        <f>IF(((SUM(ReDiarioFert!E14:E20)/2)*$C$12)&lt;=0,"0",(((SUM(ReDiarioFert!E14:E20)/2)*$C$12)))</f>
        <v>4.593576800312499</v>
      </c>
      <c r="I18">
        <f>IF(((SUM(ReDiarioFert!G14:G20)/2)*$C$12)&lt;=0,"0",(((SUM(ReDiarioFert!G14:G20)/2)*$C$12)))</f>
        <v>5.5350810410729165</v>
      </c>
      <c r="K18">
        <f>IF(((SUM(ReDiarioFert!I14:I20)/2)*$C$12)&lt;=0,"0",(((SUM(ReDiarioFert!I14:I20)/2)*$C$12)))</f>
        <v>2.350425031104368</v>
      </c>
      <c r="M18">
        <f>IF(((SUM(ReDiarioFert!K14:K20)/2)*$C$12)&lt;=0,"0",(((SUM(ReDiarioFert!K14:K20)/2)*$C$12)))</f>
        <v>6.459780478078148</v>
      </c>
      <c r="O18">
        <f>IF(((SUM(ReDiarioFert!M14:M20)/2)*$C$12)&lt;=0,"0",(((SUM(ReDiarioFert!M14:M20)/2)*$C$12)))</f>
        <v>126.82084048780487</v>
      </c>
      <c r="Q18">
        <f>$C$12*Main!$D$63</f>
        <v>20.019999999999996</v>
      </c>
      <c r="S18">
        <f>((E18/100)*$G$56+(G18/100)*$G$57+(I18/100)*$G$58+(K18/100)*$G$59+(M18/100)*$G$60+(O18)*$G$61+(Q18*$G$62))</f>
        <v>200.06612050168482</v>
      </c>
    </row>
    <row r="19">
      <c r="B19">
        <f>B18+4</f>
        <v>14</v>
      </c>
      <c r="C19">
        <f>$J$11+B19</f>
        <v>39253</v>
      </c>
      <c r="E19">
        <f>E18</f>
        <v>9.650158552680256</v>
      </c>
      <c r="G19">
        <f>G18</f>
        <v>4.593576800312499</v>
      </c>
      <c r="I19">
        <f>I18</f>
        <v>5.5350810410729165</v>
      </c>
      <c r="K19">
        <f>K18</f>
        <v>2.350425031104368</v>
      </c>
      <c r="M19">
        <f>M18</f>
        <v>6.459780478078148</v>
      </c>
      <c r="O19">
        <f>O18</f>
        <v>126.82084048780487</v>
      </c>
      <c r="S19">
        <f>((E19/100)*$G$56+(G19/100)*$G$57+(I19/100)*$G$58+(K19/100)*$G$59+(M19/100)*$G$60+(O19)*$G$61+(Q19*$G$62))</f>
        <v>150.01612050168484</v>
      </c>
    </row>
    <row r="20">
      <c r="A20">
        <v>3</v>
      </c>
      <c r="B20">
        <f>B19+3</f>
        <v>17</v>
      </c>
      <c r="C20">
        <f>$J$11+B20</f>
        <v>39256</v>
      </c>
      <c r="E20">
        <f>IF(((SUM(ReDiarioFert!C21:C27)/2)*$C$12)&lt;=0,"0",(((SUM(ReDiarioFert!C21:C27)/2)*$C$12)))</f>
        <v>13.786385887154362</v>
      </c>
      <c r="G20">
        <f>IF(((SUM(ReDiarioFert!E21:E27)/2)*$C$12)&lt;=0,"0",(((SUM(ReDiarioFert!E21:E27)/2)*$C$12)))</f>
        <v>6.550723867187499</v>
      </c>
      <c r="I20">
        <f>IF(((SUM(ReDiarioFert!G21:G27)/2)*$C$12)&lt;=0,"0",(((SUM(ReDiarioFert!G21:G27)/2)*$C$12)))</f>
        <v>7.918687704010417</v>
      </c>
      <c r="K20">
        <f>IF(((SUM(ReDiarioFert!I21:I27)/2)*$C$12)&lt;=0,"0",(((SUM(ReDiarioFert!I21:I27)/2)*$C$12)))</f>
        <v>3.3591641339380334</v>
      </c>
      <c r="M20">
        <f>IF(((SUM(ReDiarioFert!K21:K27)/2)*$C$12)&lt;=0,"0",(((SUM(ReDiarioFert!K21:K27)/2)*$C$12)))</f>
        <v>9.232144232601847</v>
      </c>
      <c r="O20">
        <f>IF(((SUM(ReDiarioFert!M21:M27)/2)*$C$12)&lt;=0,"0",(((SUM(ReDiarioFert!M21:M27)/2)*$C$12)))</f>
        <v>186.50070463414633</v>
      </c>
      <c r="Q20">
        <f>$C$12*Main!$D$63</f>
        <v>20.019999999999996</v>
      </c>
      <c r="S20">
        <f>((E20/100)*$G$56+(G20/100)*$G$57+(I20/100)*$G$58+(K20/100)*$G$59+(M20/100)*$G$60+(O20)*$G$61+(Q20*$G$62))</f>
        <v>264.46392810351244</v>
      </c>
    </row>
    <row r="21">
      <c r="B21">
        <f>B20+4</f>
        <v>21</v>
      </c>
      <c r="C21">
        <f>$J$11+B21</f>
        <v>39260</v>
      </c>
      <c r="E21">
        <f>E20</f>
        <v>13.786385887154362</v>
      </c>
      <c r="G21">
        <f>G20</f>
        <v>6.550723867187499</v>
      </c>
      <c r="I21">
        <f>I20</f>
        <v>7.918687704010417</v>
      </c>
      <c r="K21">
        <f>K20</f>
        <v>3.3591641339380334</v>
      </c>
      <c r="M21">
        <f>M20</f>
        <v>9.232144232601847</v>
      </c>
      <c r="O21">
        <f>O20</f>
        <v>186.50070463414633</v>
      </c>
      <c r="S21">
        <f>((E21/100)*$G$56+(G21/100)*$G$57+(I21/100)*$G$58+(K21/100)*$G$59+(M21/100)*$G$60+(O21)*$G$61+(Q21*$G$62))</f>
        <v>214.41392810351243</v>
      </c>
    </row>
    <row r="22">
      <c r="A22">
        <v>4</v>
      </c>
      <c r="B22">
        <f>B21+3</f>
        <v>24</v>
      </c>
      <c r="C22">
        <f>$J$11+B22</f>
        <v>39263</v>
      </c>
      <c r="E22">
        <f>IF(((SUM(ReDiarioFert!C28:C34)/2)*$C$12)&lt;=0,"0",(((SUM(ReDiarioFert!C28:C34)/2)*$C$12)))</f>
        <v>14.475757109566713</v>
      </c>
      <c r="G22">
        <f>IF(((SUM(ReDiarioFert!E28:E34)/2)*$C$12)&lt;=0,"0",(((SUM(ReDiarioFert!E28:E34)/2)*$C$12)))</f>
        <v>6.876915045</v>
      </c>
      <c r="I22">
        <f>IF(((SUM(ReDiarioFert!G28:G34)/2)*$C$12)&lt;=0,"0",(((SUM(ReDiarioFert!G28:G34)/2)*$C$12)))</f>
        <v>8.315955481166666</v>
      </c>
      <c r="K22">
        <f>IF(((SUM(ReDiarioFert!I28:I34)/2)*$C$12)&lt;=0,"0",(((SUM(ReDiarioFert!I28:I34)/2)*$C$12)))</f>
        <v>3.5272873177436446</v>
      </c>
      <c r="M22">
        <f>IF(((SUM(ReDiarioFert!K28:K34)/2)*$C$12)&lt;=0,"0",(((SUM(ReDiarioFert!K28:K34)/2)*$C$12)))</f>
        <v>9.694204858355794</v>
      </c>
      <c r="O22">
        <f>IF(((SUM(ReDiarioFert!M28:M34)/2)*$C$12)&lt;=0,"0",(((SUM(ReDiarioFert!M28:M34)/2)*$C$12)))</f>
        <v>208.88037902439024</v>
      </c>
      <c r="Q22">
        <f>$C$12*Main!$D$63</f>
        <v>20.019999999999996</v>
      </c>
      <c r="S22">
        <f>((E22/100)*$G$56+(G22/100)*$G$57+(I22/100)*$G$58+(K22/100)*$G$59+(M22/100)*$G$60+(O22)*$G$61+(Q22*$G$62))</f>
        <v>275.5897797967113</v>
      </c>
    </row>
    <row r="23">
      <c r="B23">
        <f>B22+4</f>
        <v>28</v>
      </c>
      <c r="C23">
        <f>$J$11+B23</f>
        <v>39267</v>
      </c>
      <c r="E23">
        <f>E22</f>
        <v>14.475757109566713</v>
      </c>
      <c r="G23">
        <f>G22</f>
        <v>6.876915045</v>
      </c>
      <c r="I23">
        <f>I22</f>
        <v>8.315955481166666</v>
      </c>
      <c r="K23">
        <f>K22</f>
        <v>3.5272873177436446</v>
      </c>
      <c r="M23">
        <f>M22</f>
        <v>9.694204858355794</v>
      </c>
      <c r="O23">
        <f>O22</f>
        <v>208.88037902439024</v>
      </c>
      <c r="S23">
        <f>((E23/100)*$G$56+(G23/100)*$G$57+(I23/100)*$G$58+(K23/100)*$G$59+(M23/100)*$G$60+(O23)*$G$61+(Q23*$G$62))</f>
        <v>225.53977979671131</v>
      </c>
    </row>
    <row r="24">
      <c r="A24">
        <v>5</v>
      </c>
      <c r="B24">
        <f>B23+3</f>
        <v>31</v>
      </c>
      <c r="C24">
        <f>$J$11+B24</f>
        <v>39270</v>
      </c>
      <c r="E24">
        <f>IF(((SUM(ReDiarioFert!C35:C41)/2)*$C$12)&lt;=0,"0",(((SUM(ReDiarioFert!C35:C41)/2)*$C$12)))</f>
        <v>35.15512627952468</v>
      </c>
      <c r="G24">
        <f>IF(((SUM(ReDiarioFert!E35:E41)/2)*$C$12)&lt;=0,"0",(((SUM(ReDiarioFert!E35:E41)/2)*$C$12)))</f>
        <v>16.70113710577421</v>
      </c>
      <c r="I24">
        <f>IF(((SUM(ReDiarioFert!G35:G41)/2)*$C$12)&lt;=0,"0",(((SUM(ReDiarioFert!G35:G41)/2)*$C$12)))</f>
        <v>20.19558111909059</v>
      </c>
      <c r="K24">
        <f>IF(((SUM(ReDiarioFert!I35:I41)/2)*$C$12)&lt;=0,"0",(((SUM(ReDiarioFert!I35:I41)/2)*$C$12)))</f>
        <v>8.566188891460813</v>
      </c>
      <c r="M24">
        <f>IF(((SUM(ReDiarioFert!K35:K41)/2)*$C$12)&lt;=0,"0",(((SUM(ReDiarioFert!K35:K41)/2)*$C$12)))</f>
        <v>23.542848225449887</v>
      </c>
      <c r="O24">
        <f>IF(((SUM(ReDiarioFert!M35:M41)/2)*$C$12)&lt;=0,"0",(((SUM(ReDiarioFert!M35:M41)/2)*$C$12)))</f>
        <v>246.18130121951222</v>
      </c>
      <c r="Q24">
        <f>$C$12*Main!$D$63</f>
        <v>20.019999999999996</v>
      </c>
      <c r="S24">
        <f>((E24/100)*$G$56+(G24/100)*$G$57+(I24/100)*$G$58+(K24/100)*$G$59+(M24/100)*$G$60+(O24)*$G$61+(Q24*$G$62))</f>
        <v>589.5358859597479</v>
      </c>
    </row>
    <row r="25">
      <c r="B25">
        <f>B24+4</f>
        <v>35</v>
      </c>
      <c r="C25">
        <f>$J$11+B25</f>
        <v>39274</v>
      </c>
      <c r="E25">
        <f>E24</f>
        <v>35.15512627952468</v>
      </c>
      <c r="G25">
        <f>G24</f>
        <v>16.70113710577421</v>
      </c>
      <c r="I25">
        <f>I24</f>
        <v>20.19558111909059</v>
      </c>
      <c r="K25">
        <f>K24</f>
        <v>8.566188891460813</v>
      </c>
      <c r="M25">
        <f>M24</f>
        <v>23.542848225449887</v>
      </c>
      <c r="O25">
        <f>O24</f>
        <v>246.18130121951222</v>
      </c>
      <c r="S25">
        <f>((E25/100)*$G$56+(G25/100)*$G$57+(I25/100)*$G$58+(K25/100)*$G$59+(M25/100)*$G$60+(O25)*$G$61+(Q25*$G$62))</f>
        <v>539.485885959748</v>
      </c>
    </row>
    <row r="26">
      <c r="A26">
        <v>6</v>
      </c>
      <c r="B26">
        <f>B25+3</f>
        <v>38</v>
      </c>
      <c r="C26">
        <f>$J$11+B26</f>
        <v>39277</v>
      </c>
      <c r="E26">
        <f>IF(((SUM(ReDiarioFert!C42:C48)/2)*$C$12)&lt;=0,"0",(((SUM(ReDiarioFert!C42:C48)/2)*$C$12)))</f>
        <v>43.42687394750787</v>
      </c>
      <c r="G26">
        <f>IF(((SUM(ReDiarioFert!E42:E48)/2)*$C$12)&lt;=0,"0",(((SUM(ReDiarioFert!E42:E48)/2)*$C$12)))</f>
        <v>20.630825930083894</v>
      </c>
      <c r="I26">
        <f>IF(((SUM(ReDiarioFert!G42:G48)/2)*$C$12)&lt;=0,"0",(((SUM(ReDiarioFert!G42:G48)/2)*$C$12)))</f>
        <v>24.947431374260162</v>
      </c>
      <c r="K26">
        <f>IF(((SUM(ReDiarioFert!I42:I48)/2)*$C$12)&lt;=0,"0",(((SUM(ReDiarioFert!I42:I48)/2)*$C$12)))</f>
        <v>10.58174952094768</v>
      </c>
      <c r="M26">
        <f>IF(((SUM(ReDiarioFert!K42:K48)/2)*$C$12)&lt;=0,"0",(((SUM(ReDiarioFert!K42:K48)/2)*$C$12)))</f>
        <v>29.082305572287524</v>
      </c>
      <c r="O26">
        <f>IF(((SUM(ReDiarioFert!M42:M48)/2)*$C$12)&lt;=0,"0",(((SUM(ReDiarioFert!M42:M48)/2)*$C$12)))</f>
        <v>295.9158641463415</v>
      </c>
      <c r="Q26">
        <f>$C$12*Main!$D$63</f>
        <v>20.019999999999996</v>
      </c>
      <c r="S26">
        <f>((E26/100)*$G$56+(G26/100)*$G$57+(I26/100)*$G$58+(K26/100)*$G$59+(M26/100)*$G$60+(O26)*$G$61+(Q26*$G$62))</f>
        <v>716.214456956904</v>
      </c>
    </row>
    <row r="27">
      <c r="B27">
        <f>B26+4</f>
        <v>42</v>
      </c>
      <c r="C27">
        <f>$J$11+B27</f>
        <v>39281</v>
      </c>
      <c r="E27">
        <f>E26</f>
        <v>43.42687394750787</v>
      </c>
      <c r="G27">
        <f>G26</f>
        <v>20.630825930083894</v>
      </c>
      <c r="I27">
        <f>I26</f>
        <v>24.947431374260162</v>
      </c>
      <c r="K27">
        <f>K26</f>
        <v>10.58174952094768</v>
      </c>
      <c r="M27">
        <f>M26</f>
        <v>29.082305572287524</v>
      </c>
      <c r="O27">
        <f>O26</f>
        <v>295.9158641463415</v>
      </c>
      <c r="S27">
        <f>((E27/100)*$G$56+(G27/100)*$G$57+(I27/100)*$G$58+(K27/100)*$G$59+(M27/100)*$G$60+(O27)*$G$61+(Q27*$G$62))</f>
        <v>666.164456956904</v>
      </c>
    </row>
    <row r="28">
      <c r="A28">
        <v>7</v>
      </c>
      <c r="B28">
        <f>B27+3</f>
        <v>45</v>
      </c>
      <c r="C28">
        <f>$J$11+B28</f>
        <v>39284</v>
      </c>
      <c r="E28">
        <f>IF(((SUM(ReDiarioFert!C49:C55)/2)*$C$12)&lt;=0,"0",(((SUM(ReDiarioFert!C49:C55)/2)*$C$12)))</f>
        <v>43.42687394750787</v>
      </c>
      <c r="G28">
        <f>IF(((SUM(ReDiarioFert!E49:E55)/2)*$C$12)&lt;=0,"0",(((SUM(ReDiarioFert!E49:E55)/2)*$C$12)))</f>
        <v>20.630825930083894</v>
      </c>
      <c r="I28">
        <f>IF(((SUM(ReDiarioFert!G49:G55)/2)*$C$12)&lt;=0,"0",(((SUM(ReDiarioFert!G49:G55)/2)*$C$12)))</f>
        <v>24.947431374260162</v>
      </c>
      <c r="K28">
        <f>IF(((SUM(ReDiarioFert!I49:I55)/2)*$C$12)&lt;=0,"0",(((SUM(ReDiarioFert!I49:I55)/2)*$C$12)))</f>
        <v>10.58174952094768</v>
      </c>
      <c r="M28">
        <f>IF(((SUM(ReDiarioFert!K49:K55)/2)*$C$12)&lt;=0,"0",(((SUM(ReDiarioFert!K49:K55)/2)*$C$12)))</f>
        <v>29.082305572287524</v>
      </c>
      <c r="O28">
        <f>IF(((SUM(ReDiarioFert!M49:M55)/2)*$C$12)&lt;=0,"0",(((SUM(ReDiarioFert!M49:M55)/2)*$C$12)))</f>
        <v>325.75591829268296</v>
      </c>
      <c r="Q28">
        <f>$C$12*Main!$D$63</f>
        <v>20.019999999999996</v>
      </c>
      <c r="S28">
        <f>((E28/100)*$G$56+(G28/100)*$G$57+(I28/100)*$G$58+(K28/100)*$G$59+(M28/100)*$G$60+(O28)*$G$61+(Q28*$G$62))</f>
        <v>717.1574026679283</v>
      </c>
    </row>
    <row r="29">
      <c r="B29">
        <f>B28+4</f>
        <v>49</v>
      </c>
      <c r="C29">
        <f>$J$11+B29</f>
        <v>39288</v>
      </c>
      <c r="E29">
        <f>E28</f>
        <v>43.42687394750787</v>
      </c>
      <c r="G29">
        <f>G28</f>
        <v>20.630825930083894</v>
      </c>
      <c r="I29">
        <f>I28</f>
        <v>24.947431374260162</v>
      </c>
      <c r="K29">
        <f>K28</f>
        <v>10.58174952094768</v>
      </c>
      <c r="M29">
        <f>M28</f>
        <v>29.082305572287524</v>
      </c>
      <c r="O29">
        <f>O28</f>
        <v>325.75591829268296</v>
      </c>
      <c r="S29">
        <f>((E29/100)*$G$56+(G29/100)*$G$57+(I29/100)*$G$58+(K29/100)*$G$59+(M29/100)*$G$60+(O29)*$G$61+(Q29*$G$62))</f>
        <v>667.1074026679283</v>
      </c>
    </row>
    <row r="30">
      <c r="A30">
        <v>8</v>
      </c>
      <c r="B30">
        <f>B29+3</f>
        <v>52</v>
      </c>
      <c r="C30">
        <f>$J$11+B30</f>
        <v>39291</v>
      </c>
      <c r="E30">
        <f>IF(((SUM(ReDiarioFert!C56:C62)/2)*$C$12)&lt;=0,"0",(((SUM(ReDiarioFert!C56:C62)/2)*$C$12)))</f>
        <v>43.42687394750787</v>
      </c>
      <c r="G30">
        <f>IF(((SUM(ReDiarioFert!E56:E62)/2)*$C$12)&lt;=0,"0",(((SUM(ReDiarioFert!E56:E62)/2)*$C$12)))</f>
        <v>20.630825930083894</v>
      </c>
      <c r="I30">
        <f>IF(((SUM(ReDiarioFert!G56:G62)/2)*$C$12)&lt;=0,"0",(((SUM(ReDiarioFert!G56:G62)/2)*$C$12)))</f>
        <v>24.947431374260162</v>
      </c>
      <c r="K30">
        <f>IF(((SUM(ReDiarioFert!I56:I62)/2)*$C$12)&lt;=0,"0",(((SUM(ReDiarioFert!I56:I62)/2)*$C$12)))</f>
        <v>10.58174952094768</v>
      </c>
      <c r="M30">
        <f>IF(((SUM(ReDiarioFert!K56:K62)/2)*$C$12)&lt;=0,"0",(((SUM(ReDiarioFert!K56:K62)/2)*$C$12)))</f>
        <v>29.082305572287524</v>
      </c>
      <c r="O30">
        <f>IF(((SUM(ReDiarioFert!M56:M62)/2)*$C$12)&lt;=0,"0",(((SUM(ReDiarioFert!M56:M62)/2)*$C$12)))</f>
        <v>400.35605365853655</v>
      </c>
      <c r="Q30">
        <f>$C$12*Main!$D$63</f>
        <v>20.019999999999996</v>
      </c>
      <c r="S30">
        <f>((E30/100)*$G$56+(G30/100)*$G$57+(I30/100)*$G$58+(K30/100)*$G$59+(M30/100)*$G$60+(O30)*$G$61+(Q30*$G$62))</f>
        <v>719.5147669454893</v>
      </c>
    </row>
    <row r="31">
      <c r="B31">
        <f>B30+4</f>
        <v>56</v>
      </c>
      <c r="C31">
        <f>$J$11+B31</f>
        <v>39295</v>
      </c>
      <c r="E31">
        <f>E30</f>
        <v>43.42687394750787</v>
      </c>
      <c r="G31">
        <f>G30</f>
        <v>20.630825930083894</v>
      </c>
      <c r="I31">
        <f>I30</f>
        <v>24.947431374260162</v>
      </c>
      <c r="K31">
        <f>K30</f>
        <v>10.58174952094768</v>
      </c>
      <c r="M31">
        <f>M30</f>
        <v>29.082305572287524</v>
      </c>
      <c r="O31">
        <f>O30</f>
        <v>400.35605365853655</v>
      </c>
      <c r="S31">
        <f>((E31/100)*$G$56+(G31/100)*$G$57+(I31/100)*$G$58+(K31/100)*$G$59+(M31/100)*$G$60+(O31)*$G$61+(Q31*$G$62))</f>
        <v>669.4647669454894</v>
      </c>
    </row>
    <row r="32">
      <c r="A32">
        <v>9</v>
      </c>
      <c r="B32">
        <f>B31+3</f>
        <v>59</v>
      </c>
      <c r="C32">
        <f>$J$11+B32</f>
        <v>39298</v>
      </c>
      <c r="E32">
        <f>IF(((SUM(ReDiarioFert!C63:C69)/2)*$C$12)&lt;=0,"0",(((SUM(ReDiarioFert!C63:C69)/2)*$C$12)))</f>
        <v>55.83455221822442</v>
      </c>
      <c r="G32">
        <f>IF(((SUM(ReDiarioFert!E63:E69)/2)*$C$12)&lt;=0,"0",(((SUM(ReDiarioFert!E63:E69)/2)*$C$12)))</f>
        <v>23.637847624393576</v>
      </c>
      <c r="I32">
        <f>IF(((SUM(ReDiarioFert!G63:G69)/2)*$C$12)&lt;=0,"0",(((SUM(ReDiarioFert!G63:G69)/2)*$C$12)))</f>
        <v>33.711518909763065</v>
      </c>
      <c r="K32">
        <f>IF(((SUM(ReDiarioFert!I63:I69)/2)*$C$12)&lt;=0,"0",(((SUM(ReDiarioFert!I63:I69)/2)*$C$12)))</f>
        <v>13.605106526932731</v>
      </c>
      <c r="M32">
        <f>IF(((SUM(ReDiarioFert!K63:K69)/2)*$C$12)&lt;=0,"0",(((SUM(ReDiarioFert!K63:K69)/2)*$C$12)))</f>
        <v>37.39153573579824</v>
      </c>
      <c r="O32">
        <f>IF(((SUM(ReDiarioFert!M63:M69)/2)*$C$12)&lt;=0,"0",(((SUM(ReDiarioFert!M63:M69)/2)*$C$12)))</f>
        <v>415.27632487804874</v>
      </c>
      <c r="Q32">
        <f>$C$12*Main!$D$63</f>
        <v>20.019999999999996</v>
      </c>
      <c r="S32">
        <f>((E32/100)*$G$56+(G32/100)*$G$57+(I32/100)*$G$58+(K32/100)*$G$59+(M32/100)*$G$60+(O32)*$G$61+(Q32*$G$62))</f>
        <v>880.6010019874201</v>
      </c>
    </row>
    <row r="33">
      <c r="B33">
        <f>B32+4</f>
        <v>63</v>
      </c>
      <c r="C33">
        <f>$J$11+B33</f>
        <v>39302</v>
      </c>
      <c r="E33">
        <f>E32</f>
        <v>55.83455221822442</v>
      </c>
      <c r="G33">
        <f>G32</f>
        <v>23.637847624393576</v>
      </c>
      <c r="I33">
        <f>I32</f>
        <v>33.711518909763065</v>
      </c>
      <c r="K33">
        <f>K32</f>
        <v>13.605106526932731</v>
      </c>
      <c r="M33">
        <f>M32</f>
        <v>37.39153573579824</v>
      </c>
      <c r="O33">
        <f>O32</f>
        <v>415.27632487804874</v>
      </c>
      <c r="S33">
        <f>((E33/100)*$G$56+(G33/100)*$G$57+(I33/100)*$G$58+(K33/100)*$G$59+(M33/100)*$G$60+(O33)*$G$61+(Q33*$G$62))</f>
        <v>830.5510019874201</v>
      </c>
    </row>
    <row r="34">
      <c r="A34">
        <v>10</v>
      </c>
      <c r="B34">
        <f>B33+3</f>
        <v>66</v>
      </c>
      <c r="C34">
        <f>$J$11+B34</f>
        <v>39305</v>
      </c>
      <c r="E34">
        <f>IF(((SUM(ReDiarioFert!C70:C76)/2)*$C$12)&lt;=0,"0",(((SUM(ReDiarioFert!C70:C76)/2)*$C$12)))</f>
        <v>72.37812324584648</v>
      </c>
      <c r="G34">
        <f>IF(((SUM(ReDiarioFert!E70:E76)/2)*$C$12)&lt;=0,"0",(((SUM(ReDiarioFert!E70:E76)/2)*$C$12)))</f>
        <v>27.647209883473145</v>
      </c>
      <c r="I34">
        <f>IF(((SUM(ReDiarioFert!G70:G76)/2)*$C$12)&lt;=0,"0",(((SUM(ReDiarioFert!G70:G76)/2)*$C$12)))</f>
        <v>45.39696895710027</v>
      </c>
      <c r="K34">
        <f>IF(((SUM(ReDiarioFert!I70:I76)/2)*$C$12)&lt;=0,"0",(((SUM(ReDiarioFert!I70:I76)/2)*$C$12)))</f>
        <v>17.636249201579467</v>
      </c>
      <c r="M34">
        <f>IF(((SUM(ReDiarioFert!K70:K76)/2)*$C$12)&lt;=0,"0",(((SUM(ReDiarioFert!K70:K76)/2)*$C$12)))</f>
        <v>48.47050928714586</v>
      </c>
      <c r="O34">
        <f>IF(((SUM(ReDiarioFert!M70:M76)/2)*$C$12)&lt;=0,"0",(((SUM(ReDiarioFert!M70:M76)/2)*$C$12)))</f>
        <v>504.797952195122</v>
      </c>
      <c r="Q34">
        <f>$C$12*Main!$D$63</f>
        <v>20.019999999999996</v>
      </c>
      <c r="S34">
        <f>((E34/100)*$G$56+(G34/100)*$G$57+(I34/100)*$G$58+(K34/100)*$G$59+(M34/100)*$G$60+(O34)*$G$61+(Q34*$G$62))</f>
        <v>1097.5828913724986</v>
      </c>
    </row>
    <row r="35">
      <c r="B35">
        <f>B34+4</f>
        <v>70</v>
      </c>
      <c r="C35">
        <f>$J$11+B35</f>
        <v>39309</v>
      </c>
      <c r="E35">
        <f>E34</f>
        <v>72.37812324584648</v>
      </c>
      <c r="G35">
        <f>G34</f>
        <v>27.647209883473145</v>
      </c>
      <c r="I35">
        <f>I34</f>
        <v>45.39696895710027</v>
      </c>
      <c r="K35">
        <f>K34</f>
        <v>17.636249201579467</v>
      </c>
      <c r="M35">
        <f>M34</f>
        <v>48.47050928714586</v>
      </c>
      <c r="O35">
        <f>O34</f>
        <v>504.797952195122</v>
      </c>
      <c r="S35">
        <f>((E35/100)*$G$56+(G35/100)*$G$57+(I35/100)*$G$58+(K35/100)*$G$59+(M35/100)*$G$60+(O35)*$G$61+(Q35*$G$62))</f>
        <v>1047.5328913724986</v>
      </c>
    </row>
    <row r="36">
      <c r="A36">
        <v>11</v>
      </c>
      <c r="B36">
        <f>B35+3</f>
        <v>73</v>
      </c>
      <c r="C36">
        <f>$J$11+B36</f>
        <v>39312</v>
      </c>
      <c r="E36">
        <f>IF(((SUM(ReDiarioFert!C77:C83)/2)*$C$12)&lt;=0,"0",(((SUM(ReDiarioFert!C77:C83)/2)*$C$12)))</f>
        <v>67.604221036636</v>
      </c>
      <c r="G36">
        <f>IF(((SUM(ReDiarioFert!E77:E83)/2)*$C$12)&lt;=0,"0",(((SUM(ReDiarioFert!E77:E83)/2)*$C$12)))</f>
        <v>27.647209883473145</v>
      </c>
      <c r="I36">
        <f>IF(((SUM(ReDiarioFert!G77:G83)/2)*$C$12)&lt;=0,"0",(((SUM(ReDiarioFert!G77:G83)/2)*$C$12)))</f>
        <v>45.39696895710027</v>
      </c>
      <c r="K36">
        <f>IF(((SUM(ReDiarioFert!I77:I83)/2)*$C$12)&lt;=0,"0",(((SUM(ReDiarioFert!I77:I83)/2)*$C$12)))</f>
        <v>17.636249201579467</v>
      </c>
      <c r="M36">
        <f>IF(((SUM(ReDiarioFert!K77:K83)/2)*$C$12)&lt;=0,"0",(((SUM(ReDiarioFert!K77:K83)/2)*$C$12)))</f>
        <v>48.47050928714586</v>
      </c>
      <c r="O36">
        <f>IF(((SUM(ReDiarioFert!M77:M83)/2)*$C$12)&lt;=0,"0",(((SUM(ReDiarioFert!M77:M83)/2)*$C$12)))</f>
        <v>504.797952195122</v>
      </c>
      <c r="Q36">
        <f>$C$12*Main!$D$63</f>
        <v>20.019999999999996</v>
      </c>
      <c r="S36">
        <f>((E36/100)*$G$56+(G36/100)*$G$57+(I36/100)*$G$58+(K36/100)*$G$59+(M36/100)*$G$60+(O36)*$G$61+(Q36*$G$62))</f>
        <v>1082.3064043030251</v>
      </c>
    </row>
    <row r="37">
      <c r="B37">
        <f>B36+4</f>
        <v>77</v>
      </c>
      <c r="C37">
        <f>$J$11+B37</f>
        <v>39316</v>
      </c>
      <c r="E37">
        <f>E36</f>
        <v>67.604221036636</v>
      </c>
      <c r="G37">
        <f>G36</f>
        <v>27.647209883473145</v>
      </c>
      <c r="I37">
        <f>I36</f>
        <v>45.39696895710027</v>
      </c>
      <c r="K37">
        <f>K36</f>
        <v>17.636249201579467</v>
      </c>
      <c r="M37">
        <f>M36</f>
        <v>48.47050928714586</v>
      </c>
      <c r="O37">
        <f>O36</f>
        <v>504.797952195122</v>
      </c>
      <c r="S37">
        <f>((E37/100)*$G$56+(G37/100)*$G$57+(I37/100)*$G$58+(K37/100)*$G$59+(M37/100)*$G$60+(O37)*$G$61+(Q37*$G$62))</f>
        <v>1032.2564043030252</v>
      </c>
    </row>
    <row r="38">
      <c r="A38">
        <v>12</v>
      </c>
      <c r="B38">
        <f>B37+3</f>
        <v>80</v>
      </c>
      <c r="C38">
        <f>$J$11+B38</f>
        <v>39319</v>
      </c>
      <c r="E38">
        <f>IF(((SUM(ReDiarioFert!C84:C90)/2)*$C$12)&lt;=0,"0",(((SUM(ReDiarioFert!C84:C90)/2)*$C$12)))</f>
        <v>61.23901809102205</v>
      </c>
      <c r="G38">
        <f>IF(((SUM(ReDiarioFert!E84:E90)/2)*$C$12)&lt;=0,"0",(((SUM(ReDiarioFert!E84:E90)/2)*$C$12)))</f>
        <v>27.647209883473145</v>
      </c>
      <c r="I38">
        <f>IF(((SUM(ReDiarioFert!G84:G90)/2)*$C$12)&lt;=0,"0",(((SUM(ReDiarioFert!G84:G90)/2)*$C$12)))</f>
        <v>45.39696895710027</v>
      </c>
      <c r="K38">
        <f>IF(((SUM(ReDiarioFert!I84:I90)/2)*$C$12)&lt;=0,"0",(((SUM(ReDiarioFert!I84:I90)/2)*$C$12)))</f>
        <v>17.636249201579467</v>
      </c>
      <c r="M38">
        <f>IF(((SUM(ReDiarioFert!K84:K90)/2)*$C$12)&lt;=0,"0",(((SUM(ReDiarioFert!K84:K90)/2)*$C$12)))</f>
        <v>48.47050928714586</v>
      </c>
      <c r="O38">
        <f>IF(((SUM(ReDiarioFert!M84:M90)/2)*$C$12)&lt;=0,"0",(((SUM(ReDiarioFert!M84:M90)/2)*$C$12)))</f>
        <v>564.4780604878048</v>
      </c>
      <c r="Q38">
        <f>$C$12*Main!$D$63</f>
        <v>20.019999999999996</v>
      </c>
      <c r="S38">
        <f>((E38/100)*$G$56+(G38/100)*$G$57+(I38/100)*$G$58+(K38/100)*$G$59+(M38/100)*$G$60+(O38)*$G$61+(Q38*$G$62))</f>
        <v>1063.8236462991092</v>
      </c>
    </row>
    <row r="39">
      <c r="B39">
        <f>B38+4</f>
        <v>84</v>
      </c>
      <c r="C39">
        <f>$J$11+B39</f>
        <v>39323</v>
      </c>
      <c r="E39">
        <f>E38</f>
        <v>61.23901809102205</v>
      </c>
      <c r="G39">
        <f>G38</f>
        <v>27.647209883473145</v>
      </c>
      <c r="I39">
        <f>I38</f>
        <v>45.39696895710027</v>
      </c>
      <c r="K39">
        <f>K38</f>
        <v>17.636249201579467</v>
      </c>
      <c r="M39">
        <f>M38</f>
        <v>48.47050928714586</v>
      </c>
      <c r="O39">
        <f>O38</f>
        <v>564.4780604878048</v>
      </c>
      <c r="S39">
        <f>((E39/100)*$G$56+(G39/100)*$G$57+(I39/100)*$G$58+(K39/100)*$G$59+(M39/100)*$G$60+(O39)*$G$61+(Q39*$G$62))</f>
        <v>1013.7736462991093</v>
      </c>
    </row>
    <row r="40" ht="18" customHeight="1">
      <c r="A40">
        <v>13</v>
      </c>
      <c r="B40">
        <f>B39+3</f>
        <v>87</v>
      </c>
      <c r="C40">
        <f>$J$11+B40</f>
        <v>39326</v>
      </c>
      <c r="E40">
        <f>IF(((SUM(ReDiarioFert!C91:C97)/2)*$C$12)&lt;=0,"0",(((SUM(ReDiarioFert!C91:C97)/2)*$C$12)))</f>
        <v>47.64334644923101</v>
      </c>
      <c r="G40">
        <f>IF(((SUM(ReDiarioFert!E91:E97)/2)*$C$12)&lt;=0,"0",(((SUM(ReDiarioFert!E91:E97)/2)*$C$12)))</f>
        <v>27.647209883473145</v>
      </c>
      <c r="I40">
        <f>IF(((SUM(ReDiarioFert!G91:G97)/2)*$C$12)&lt;=0,"0",(((SUM(ReDiarioFert!G91:G97)/2)*$C$12)))</f>
        <v>45.39696895710027</v>
      </c>
      <c r="K40">
        <f>IF(((SUM(ReDiarioFert!I91:I97)/2)*$C$12)&lt;=0,"0",(((SUM(ReDiarioFert!I91:I97)/2)*$C$12)))</f>
        <v>17.636249201579467</v>
      </c>
      <c r="M40">
        <f>IF(((SUM(ReDiarioFert!K91:K97)/2)*$C$12)&lt;=0,"0",(((SUM(ReDiarioFert!K91:K97)/2)*$C$12)))</f>
        <v>48.47050928714586</v>
      </c>
      <c r="O40">
        <f>IF(((SUM(ReDiarioFert!M91:M97)/2)*$C$12)&lt;=0,"0",(((SUM(ReDiarioFert!M91:M97)/2)*$C$12)))</f>
        <v>609.2381417073171</v>
      </c>
      <c r="Q40">
        <f>$C$12*Main!$D$63</f>
        <v>20.019999999999996</v>
      </c>
      <c r="S40">
        <f>((E40/100)*$G$56+(G40/100)*$G$57+(I40/100)*$G$58+(K40/100)*$G$59+(M40/100)*$G$60+(O40)*$G$61+(Q40*$G$62))</f>
        <v>1021.7319156119145</v>
      </c>
    </row>
    <row r="41" ht="18" customHeight="1">
      <c r="B41">
        <f>B40+4</f>
        <v>91</v>
      </c>
      <c r="C41">
        <f>$J$11+B41</f>
        <v>39330</v>
      </c>
      <c r="E41">
        <f>E40</f>
        <v>47.64334644923101</v>
      </c>
      <c r="G41">
        <f>G40</f>
        <v>27.647209883473145</v>
      </c>
      <c r="I41">
        <f>I40</f>
        <v>45.39696895710027</v>
      </c>
      <c r="K41">
        <f>K40</f>
        <v>17.636249201579467</v>
      </c>
      <c r="M41">
        <f>M40</f>
        <v>48.47050928714586</v>
      </c>
      <c r="O41">
        <f>O40</f>
        <v>609.2381417073171</v>
      </c>
      <c r="S41">
        <f>((E41/100)*$G$56+(G41/100)*$G$57+(I41/100)*$G$58+(K41/100)*$G$59+(M41/100)*$G$60+(O41)*$G$61+(Q41*$G$62))</f>
        <v>971.6819156119145</v>
      </c>
    </row>
    <row r="42">
      <c r="A42">
        <v>14</v>
      </c>
      <c r="B42">
        <f>B41+3</f>
        <v>94</v>
      </c>
      <c r="C42">
        <f>$J$11+B42</f>
        <v>39333</v>
      </c>
      <c r="E42">
        <f>IF(((SUM(ReDiarioFert!C98:C104)/2)*$C$12)&lt;=0,"0",(((SUM(ReDiarioFert!C98:C104)/2)*$C$12)))</f>
        <v>36.033238985051895</v>
      </c>
      <c r="G42">
        <f>IF(((SUM(ReDiarioFert!E98:E104)/2)*$C$12)&lt;=0,"0",(((SUM(ReDiarioFert!E98:E104)/2)*$C$12)))</f>
        <v>27.647209883473145</v>
      </c>
      <c r="I42">
        <f>IF(((SUM(ReDiarioFert!G98:G104)/2)*$C$12)&lt;=0,"0",(((SUM(ReDiarioFert!G98:G104)/2)*$C$12)))</f>
        <v>45.39696895710027</v>
      </c>
      <c r="K42">
        <f>IF(((SUM(ReDiarioFert!I98:I104)/2)*$C$12)&lt;=0,"0",(((SUM(ReDiarioFert!I98:I104)/2)*$C$12)))</f>
        <v>17.636249201579467</v>
      </c>
      <c r="M42">
        <f>IF(((SUM(ReDiarioFert!K98:K104)/2)*$C$12)&lt;=0,"0",(((SUM(ReDiarioFert!K98:K104)/2)*$C$12)))</f>
        <v>48.47050928714586</v>
      </c>
      <c r="O42">
        <f>IF(((SUM(ReDiarioFert!M98:M104)/2)*$C$12)&lt;=0,"0",(((SUM(ReDiarioFert!M98:M104)/2)*$C$12)))</f>
        <v>609.2381417073171</v>
      </c>
      <c r="Q42">
        <f>$C$12*Main!$D$63</f>
        <v>20.019999999999996</v>
      </c>
      <c r="S42">
        <f>((E42/100)*$G$56+(G42/100)*$G$57+(I42/100)*$G$58+(K42/100)*$G$59+(M42/100)*$G$60+(O42)*$G$61+(Q42*$G$62))</f>
        <v>984.5795717265413</v>
      </c>
    </row>
    <row r="43">
      <c r="B43">
        <f>B42+4</f>
        <v>98</v>
      </c>
      <c r="C43">
        <f>$J$11+B43</f>
        <v>39337</v>
      </c>
      <c r="E43">
        <f>E42</f>
        <v>36.033238985051895</v>
      </c>
      <c r="G43">
        <f>G42</f>
        <v>27.647209883473145</v>
      </c>
      <c r="I43">
        <f>I42</f>
        <v>45.39696895710027</v>
      </c>
      <c r="K43">
        <f>K42</f>
        <v>17.636249201579467</v>
      </c>
      <c r="M43">
        <f>M42</f>
        <v>48.47050928714586</v>
      </c>
      <c r="O43">
        <f>O42</f>
        <v>609.2381417073171</v>
      </c>
      <c r="S43">
        <f>((E43/100)*$G$56+(G43/100)*$G$57+(I43/100)*$G$58+(K43/100)*$G$59+(M43/100)*$G$60+(O43)*$G$61+(Q43*$G$62))</f>
        <v>934.5295717265413</v>
      </c>
    </row>
    <row r="44">
      <c r="A44">
        <v>15</v>
      </c>
      <c r="B44">
        <f>B43+3</f>
        <v>101</v>
      </c>
      <c r="C44">
        <f>$J$11+B44</f>
        <v>39340</v>
      </c>
      <c r="E44">
        <f>IF(((SUM(ReDiarioFert!C105:C111)/2)*$C$12)&lt;=0,"0",(((SUM(ReDiarioFert!C105:C111)/2)*$C$12)))</f>
        <v>25.837233015648916</v>
      </c>
      <c r="G44">
        <f>IF(((SUM(ReDiarioFert!E105:E111)/2)*$C$12)&lt;=0,"0",(((SUM(ReDiarioFert!E105:E111)/2)*$C$12)))</f>
        <v>27.647209883473145</v>
      </c>
      <c r="I44">
        <f>IF(((SUM(ReDiarioFert!G105:G111)/2)*$C$12)&lt;=0,"0",(((SUM(ReDiarioFert!G105:G111)/2)*$C$12)))</f>
        <v>45.39696895710027</v>
      </c>
      <c r="K44">
        <f>IF(((SUM(ReDiarioFert!I105:I111)/2)*$C$12)&lt;=0,"0",(((SUM(ReDiarioFert!I105:I111)/2)*$C$12)))</f>
        <v>17.636249201579467</v>
      </c>
      <c r="M44">
        <f>IF(((SUM(ReDiarioFert!K105:K111)/2)*$C$12)&lt;=0,"0",(((SUM(ReDiarioFert!K105:K111)/2)*$C$12)))</f>
        <v>48.47050928714586</v>
      </c>
      <c r="O44">
        <f>IF(((SUM(ReDiarioFert!M105:M111)/2)*$C$12)&lt;=0,"0",(((SUM(ReDiarioFert!M105:M111)/2)*$C$12)))</f>
        <v>609.2381417073171</v>
      </c>
      <c r="Q44">
        <f>$C$12*Main!$D$63</f>
        <v>20.019999999999996</v>
      </c>
      <c r="S44">
        <f>((E44/100)*$G$56+(G44/100)*$G$57+(I44/100)*$G$58+(K44/100)*$G$59+(M44/100)*$G$60+(O44)*$G$61+(Q44*$G$62))</f>
        <v>951.9523526244517</v>
      </c>
    </row>
    <row r="45">
      <c r="B45">
        <f>B44+4</f>
        <v>105</v>
      </c>
      <c r="C45">
        <f>$J$11+B45</f>
        <v>39344</v>
      </c>
      <c r="E45">
        <f>E44</f>
        <v>25.837233015648916</v>
      </c>
      <c r="G45">
        <f>G44</f>
        <v>27.647209883473145</v>
      </c>
      <c r="I45">
        <f>I44</f>
        <v>45.39696895710027</v>
      </c>
      <c r="K45">
        <f>K44</f>
        <v>17.636249201579467</v>
      </c>
      <c r="M45">
        <f>M44</f>
        <v>48.47050928714586</v>
      </c>
      <c r="O45">
        <f>O44</f>
        <v>609.2381417073171</v>
      </c>
      <c r="S45">
        <f>((E45/100)*$G$56+(G45/100)*$G$57+(I45/100)*$G$58+(K45/100)*$G$59+(M45/100)*$G$60+(O45)*$G$61+(Q45*$G$62))</f>
        <v>901.9023526244517</v>
      </c>
    </row>
    <row r="46">
      <c r="A46">
        <v>16</v>
      </c>
      <c r="B46">
        <f>B45+3</f>
        <v>108</v>
      </c>
      <c r="C46">
        <f>$J$11+B46</f>
        <v>39347</v>
      </c>
      <c r="E46">
        <f>IF(((SUM(ReDiarioFert!C112:C118)/2)*$C$12)&lt;=0,"0",(((SUM(ReDiarioFert!C112:C118)/2)*$C$12)))</f>
        <v>25.837233015648916</v>
      </c>
      <c r="G46">
        <f>IF(((SUM(ReDiarioFert!E112:E118)/2)*$C$12)&lt;=0,"0",(((SUM(ReDiarioFert!E112:E118)/2)*$C$12)))</f>
        <v>27.647209883473145</v>
      </c>
      <c r="I46">
        <f>IF(((SUM(ReDiarioFert!G112:G118)/2)*$C$12)&lt;=0,"0",(((SUM(ReDiarioFert!G112:G118)/2)*$C$12)))</f>
        <v>45.39696895710027</v>
      </c>
      <c r="K46">
        <f>IF(((SUM(ReDiarioFert!I112:I118)/2)*$C$12)&lt;=0,"0",(((SUM(ReDiarioFert!I112:I118)/2)*$C$12)))</f>
        <v>17.636249201579467</v>
      </c>
      <c r="M46">
        <f>IF(((SUM(ReDiarioFert!K112:K118)/2)*$C$12)&lt;=0,"0",(((SUM(ReDiarioFert!K112:K118)/2)*$C$12)))</f>
        <v>48.47050928714586</v>
      </c>
      <c r="O46">
        <f>IF(((SUM(ReDiarioFert!M112:M118)/2)*$C$12)&lt;=0,"0",(((SUM(ReDiarioFert!M112:M118)/2)*$C$12)))</f>
        <v>609.2381417073171</v>
      </c>
      <c r="Q46">
        <f>$C$12*Main!$D$63</f>
        <v>20.019999999999996</v>
      </c>
      <c r="S46">
        <f>((E46/100)*$G$56+(G46/100)*$G$57+(I46/100)*$G$58+(K46/100)*$G$59+(M46/100)*$G$60+(O46)*$G$61+(Q46*$G$62))</f>
        <v>951.9523526244517</v>
      </c>
    </row>
    <row r="47">
      <c r="B47">
        <f>B46+4</f>
        <v>112</v>
      </c>
      <c r="C47">
        <f>$J$11+B47</f>
        <v>39351</v>
      </c>
      <c r="E47">
        <f>E46</f>
        <v>25.837233015648916</v>
      </c>
      <c r="G47">
        <f>G46</f>
        <v>27.647209883473145</v>
      </c>
      <c r="I47">
        <f>I46</f>
        <v>45.39696895710027</v>
      </c>
      <c r="K47">
        <f>K46</f>
        <v>17.636249201579467</v>
      </c>
      <c r="M47">
        <f>M46</f>
        <v>48.47050928714586</v>
      </c>
      <c r="O47">
        <f>O46</f>
        <v>609.2381417073171</v>
      </c>
      <c r="S47">
        <f>((E47/100)*$G$56+(G47/100)*$G$57+(I47/100)*$G$58+(K47/100)*$G$59+(M47/100)*$G$60+(O47)*$G$61+(Q47*$G$62))</f>
        <v>901.9023526244517</v>
      </c>
    </row>
    <row r="48">
      <c r="A48">
        <v>17</v>
      </c>
      <c r="B48">
        <f>B47+3</f>
        <v>115</v>
      </c>
      <c r="C48">
        <f>$J$11+B48</f>
        <v>39354</v>
      </c>
      <c r="E48">
        <f>IF(((SUM(ReDiarioFert!C119:C125)/2)*$C$12)&lt;=0,"0",(((SUM(ReDiarioFert!C119:C125)/2)*$C$12)))</f>
        <v>25.837233015648916</v>
      </c>
      <c r="G48">
        <f>IF(((SUM(ReDiarioFert!E119:E125)/2)*$C$12)&lt;=0,"0",(((SUM(ReDiarioFert!E119:E125)/2)*$C$12)))</f>
        <v>27.647209883473145</v>
      </c>
      <c r="I48">
        <f>IF(((SUM(ReDiarioFert!G119:G125)/2)*$C$12)&lt;=0,"0",(((SUM(ReDiarioFert!G119:G125)/2)*$C$12)))</f>
        <v>45.39696895710027</v>
      </c>
      <c r="K48">
        <f>IF(((SUM(ReDiarioFert!I119:I125)/2)*$C$12)&lt;=0,"0",(((SUM(ReDiarioFert!I119:I125)/2)*$C$12)))</f>
        <v>17.636249201579467</v>
      </c>
      <c r="M48">
        <f>IF(((SUM(ReDiarioFert!K119:K125)/2)*$C$12)&lt;=0,"0",(((SUM(ReDiarioFert!K119:K125)/2)*$C$12)))</f>
        <v>48.47050928714586</v>
      </c>
      <c r="O48">
        <f>IF(((SUM(ReDiarioFert!M119:M125)/2)*$C$12)&lt;=0,"0",(((SUM(ReDiarioFert!M119:M125)/2)*$C$12)))</f>
        <v>609.2381417073171</v>
      </c>
      <c r="Q48">
        <f>$C$12*Main!$D$63</f>
        <v>20.019999999999996</v>
      </c>
      <c r="S48">
        <f>((E48/100)*$G$56+(G48/100)*$G$57+(I48/100)*$G$58+(K48/100)*$G$59+(M48/100)*$G$60+(O48)*$G$61+(Q48*$G$62))</f>
        <v>951.9523526244517</v>
      </c>
    </row>
    <row r="49">
      <c r="B49">
        <f>B48+4</f>
        <v>119</v>
      </c>
      <c r="C49">
        <f>$J$11+B49</f>
        <v>39358</v>
      </c>
      <c r="E49">
        <f>E48</f>
        <v>25.837233015648916</v>
      </c>
      <c r="G49">
        <f>G48</f>
        <v>27.647209883473145</v>
      </c>
      <c r="I49">
        <f>I48</f>
        <v>45.39696895710027</v>
      </c>
      <c r="K49">
        <f>K48</f>
        <v>17.636249201579467</v>
      </c>
      <c r="M49">
        <f>M48</f>
        <v>48.47050928714586</v>
      </c>
      <c r="O49">
        <f>O48</f>
        <v>609.2381417073171</v>
      </c>
      <c r="S49">
        <f>((E49/100)*$G$56+(G49/100)*$G$57+(I49/100)*$G$58+(K49/100)*$G$59+(M49/100)*$G$60+(O49)*$G$61+(Q49*$G$62))</f>
        <v>901.9023526244517</v>
      </c>
    </row>
    <row r="50">
      <c r="A50">
        <v>18</v>
      </c>
      <c r="B50">
        <f>B49+3</f>
        <v>122</v>
      </c>
      <c r="C50">
        <f>$J$11+B50</f>
        <v>39361</v>
      </c>
      <c r="E50">
        <f>IF(((SUM(ReDiarioFert!C126:C132)/2)*$C$12)&lt;=0,"0",(((SUM(ReDiarioFert!C126:C132)/2)*$C$12)))</f>
        <v>25.837233015648916</v>
      </c>
      <c r="G50">
        <f>IF(((SUM(ReDiarioFert!E126:E132)/2)*$C$12)&lt;=0,"0",(((SUM(ReDiarioFert!E126:E132)/2)*$C$12)))</f>
        <v>27.647209883473145</v>
      </c>
      <c r="I50">
        <f>IF(((SUM(ReDiarioFert!G126:G132)/2)*$C$12)&lt;=0,"0",(((SUM(ReDiarioFert!G126:G132)/2)*$C$12)))</f>
        <v>45.39696895710027</v>
      </c>
      <c r="K50">
        <f>IF(((SUM(ReDiarioFert!I126:I132)/2)*$C$12)&lt;=0,"0",(((SUM(ReDiarioFert!I126:I132)/2)*$C$12)))</f>
        <v>17.636249201579467</v>
      </c>
      <c r="M50">
        <f>IF(((SUM(ReDiarioFert!K126:K132)/2)*$C$12)&lt;=0,"0",(((SUM(ReDiarioFert!K126:K132)/2)*$C$12)))</f>
        <v>48.47050928714586</v>
      </c>
      <c r="O50">
        <f>IF(((SUM(ReDiarioFert!M126:M132)/2)*$C$12)&lt;=0,"0",(((SUM(ReDiarioFert!M126:M132)/2)*$C$12)))</f>
        <v>609.2381417073171</v>
      </c>
      <c r="Q50">
        <f>$C$12*Main!$D$63</f>
        <v>20.019999999999996</v>
      </c>
      <c r="S50">
        <f>((E50/100)*$G$56+(G50/100)*$G$57+(I50/100)*$G$58+(K50/100)*$G$59+(M50/100)*$G$60+(O50)*$G$61+(Q50*$G$62))</f>
        <v>951.9523526244517</v>
      </c>
    </row>
    <row r="51">
      <c r="B51">
        <f>B50+4</f>
        <v>126</v>
      </c>
      <c r="C51">
        <f>$J$11+B51</f>
        <v>39365</v>
      </c>
      <c r="E51">
        <f>E50</f>
        <v>25.837233015648916</v>
      </c>
      <c r="G51">
        <f>G50</f>
        <v>27.647209883473145</v>
      </c>
      <c r="I51">
        <f>I50</f>
        <v>45.39696895710027</v>
      </c>
      <c r="K51">
        <f>K50</f>
        <v>17.636249201579467</v>
      </c>
      <c r="M51">
        <f>M50</f>
        <v>48.47050928714586</v>
      </c>
      <c r="O51">
        <f>O50</f>
        <v>609.2381417073171</v>
      </c>
      <c r="S51">
        <f>((E51/100)*$G$56+(G51/100)*$G$57+(I51/100)*$G$58+(K51/100)*$G$59+(M51/100)*$G$60+(O51)*$G$61+(Q51*$G$62))</f>
        <v>901.9023526244517</v>
      </c>
    </row>
    <row r="52">
      <c r="C52" t="str">
        <v>Total</v>
      </c>
      <c r="E52">
        <f>SUM(E16:E51)</f>
        <v>1314.159280625475</v>
      </c>
      <c r="G52">
        <f>SUM(G16:G51)</f>
        <v>747.3422879689801</v>
      </c>
      <c r="I52">
        <f>SUM(I16:I51)</f>
        <v>1129.253840065719</v>
      </c>
      <c r="K52">
        <f>SUM(K16:K51)</f>
        <v>448.46017661868433</v>
      </c>
      <c r="M52">
        <f>SUM(M16:M51)</f>
        <v>1232.523588619075</v>
      </c>
      <c r="O52">
        <f>SUM(O16:O51)</f>
        <v>15044.447955121956</v>
      </c>
      <c r="Q52">
        <f>SUM(Q16:Q51)</f>
        <v>360.3599999999998</v>
      </c>
      <c r="S52">
        <f>SUM(S16:S51)</f>
        <v>26338.672063994498</v>
      </c>
    </row>
    <row r="54" ht="39.75" customHeight="1">
      <c r="B54" t="str">
        <v>Producto</v>
      </c>
      <c r="F54" t="str">
        <v>Lbs/Ha</v>
      </c>
      <c r="G54" t="str">
        <v>Costo por qq</v>
      </c>
    </row>
    <row r="55" ht="24" customHeight="1">
      <c r="G55" t="str">
        <f>Main!$E$25</f>
        <v>Lempiras</v>
      </c>
    </row>
    <row r="56">
      <c r="B56" t="str">
        <f>Main!D42</f>
        <v>Nitrato de Amonio</v>
      </c>
      <c r="F56">
        <f>E52/C12</f>
        <v>1312.8464341912838</v>
      </c>
      <c r="G56">
        <f>Main!D43</f>
        <v>320</v>
      </c>
    </row>
    <row r="57">
      <c r="B57" t="str">
        <f>Main!D32</f>
        <v>FofatoMonoPotasico</v>
      </c>
      <c r="F57">
        <f>G52/C12</f>
        <v>746.5956922767035</v>
      </c>
      <c r="G57">
        <f>Main!D33</f>
        <v>1169</v>
      </c>
    </row>
    <row r="58">
      <c r="B58" t="str">
        <f>Main!D37</f>
        <v>Kcl Soluble</v>
      </c>
      <c r="F58">
        <f>I52/C12</f>
        <v>1128.1257143513678</v>
      </c>
      <c r="G58">
        <f>Main!D38</f>
        <v>410</v>
      </c>
      <c r="I58" t="str">
        <v xml:space="preserve">Preparado y Autorizado Por </v>
      </c>
    </row>
    <row r="59">
      <c r="B59" t="str">
        <f>Main!D47</f>
        <v>Sulfato de Magnesio</v>
      </c>
      <c r="F59">
        <f>K52/C12</f>
        <v>448.0121644542302</v>
      </c>
      <c r="G59">
        <f>Main!D48</f>
        <v>425</v>
      </c>
      <c r="I59" t="str">
        <v>MSc Ricardo D. Lardizábal</v>
      </c>
    </row>
    <row r="60">
      <c r="B60" t="str">
        <f>Main!D52</f>
        <v>Nitrato de Calcio</v>
      </c>
      <c r="F60">
        <f>M52/C12</f>
        <v>1231.2922963227525</v>
      </c>
      <c r="G60">
        <f>Main!D53</f>
        <v>445</v>
      </c>
    </row>
    <row r="61">
      <c r="B61" t="str">
        <f>Main!D57</f>
        <v>Solubor</v>
      </c>
      <c r="F61">
        <f>O52/C12</f>
        <v>15029.418536585372</v>
      </c>
      <c r="G61">
        <f>Main!D58</f>
        <v>0.0316</v>
      </c>
    </row>
    <row r="62" ht="18" customHeight="1">
      <c r="B62" t="str">
        <f>Main!D61</f>
        <v>Melaza</v>
      </c>
      <c r="F62">
        <f>Q52/C12</f>
        <v>359.99999999999983</v>
      </c>
      <c r="G62">
        <f>Main!D62</f>
        <v>2.5</v>
      </c>
    </row>
    <row r="63" ht="17.4" customHeight="1">
      <c r="B63" t="str">
        <v>NOTA: El Nitrato de Calcio se debe de diluir en un barril aparte para inyectarse al sistema</v>
      </c>
    </row>
    <row r="65" ht="17.4" customHeight="1">
      <c r="B65" t="str">
        <v>,@ La Melaza del calendario de fertilización se usan para la limpieza de la cinta y mejorar la estructura de suelo. La aplicación de ellos es después de la fertilización y en la ultima media hora de riego. Ver boletín técnico de USAID-RED sobre melaza.</v>
      </c>
    </row>
    <row r="68">
      <c r="B68" t="str">
        <v>Abreviaciones usadas</v>
      </c>
    </row>
    <row r="69">
      <c r="B69" t="str">
        <v>Mz-Manzanas, Ha-Hectáreas, Lbs-Libras, Lts-Litros y DDT-Días después de Transplante</v>
      </c>
    </row>
  </sheetData>
  <sheetProtection sheet="1"/>
  <mergeCells count="54">
    <mergeCell ref="P9:S12"/>
    <mergeCell ref="P5:S7"/>
    <mergeCell ref="A8:N8"/>
    <mergeCell ref="P2:S3"/>
    <mergeCell ref="A10:B10"/>
    <mergeCell ref="G9:I9"/>
    <mergeCell ref="G10:I10"/>
    <mergeCell ref="A9:B9"/>
    <mergeCell ref="C9:F9"/>
    <mergeCell ref="C10:F10"/>
    <mergeCell ref="B63:I64"/>
    <mergeCell ref="B60:E60"/>
    <mergeCell ref="B59:E59"/>
    <mergeCell ref="I59:Q59"/>
    <mergeCell ref="B61:E61"/>
    <mergeCell ref="G62:H62"/>
    <mergeCell ref="G61:H61"/>
    <mergeCell ref="G59:H59"/>
    <mergeCell ref="G60:H60"/>
    <mergeCell ref="B69:S69"/>
    <mergeCell ref="E14:F14"/>
    <mergeCell ref="B68:C68"/>
    <mergeCell ref="B65:S66"/>
    <mergeCell ref="B62:E62"/>
    <mergeCell ref="B54:E54"/>
    <mergeCell ref="B56:E56"/>
    <mergeCell ref="B57:E57"/>
    <mergeCell ref="B58:E58"/>
    <mergeCell ref="C14:D14"/>
    <mergeCell ref="I58:Q58"/>
    <mergeCell ref="A14:A15"/>
    <mergeCell ref="B14:B15"/>
    <mergeCell ref="A11:B11"/>
    <mergeCell ref="A12:B12"/>
    <mergeCell ref="C11:F11"/>
    <mergeCell ref="C12:F12"/>
    <mergeCell ref="G11:I11"/>
    <mergeCell ref="G12:I12"/>
    <mergeCell ref="G58:H58"/>
    <mergeCell ref="S14:S15"/>
    <mergeCell ref="O14:P14"/>
    <mergeCell ref="Q14:R14"/>
    <mergeCell ref="G14:H14"/>
    <mergeCell ref="I14:J14"/>
    <mergeCell ref="K14:L14"/>
    <mergeCell ref="M14:N14"/>
    <mergeCell ref="J9:N9"/>
    <mergeCell ref="J10:N10"/>
    <mergeCell ref="J11:N11"/>
    <mergeCell ref="J12:N12"/>
    <mergeCell ref="G54:H54"/>
    <mergeCell ref="G55:H55"/>
    <mergeCell ref="G56:H56"/>
    <mergeCell ref="G57:H57"/>
  </mergeCells>
  <pageMargins left="0.25" right="0.25" top="0.48" bottom="0.8" header="0.25" footer="0.25"/>
  <ignoredErrors>
    <ignoredError numberStoredAsText="1" sqref="A1:V78"/>
  </ignoredErrors>
  <legacyDrawing r:id="rId1"/>
</worksheet>
</file>

<file path=xl/worksheets/sheet7.xml><?xml version="1.0" encoding="utf-8"?>
<worksheet xmlns="http://schemas.openxmlformats.org/spreadsheetml/2006/main" xmlns:r="http://schemas.openxmlformats.org/officeDocument/2006/relationships">
  <dimension ref="A1:V58"/>
  <sheetViews>
    <sheetView workbookViewId="0" rightToLeft="0"/>
  </sheetViews>
  <sheetData>
    <row r="1" ht="32.7" customHeight="1"/>
    <row r="2" ht="32.7" customHeight="1">
      <c r="P2" t="str">
        <v>Calendario de Fertilización para Goteo 1 Vez Por Semana</v>
      </c>
    </row>
    <row r="3" ht="32.7" customHeight="1"/>
    <row r="5">
      <c r="P5" t="str">
        <f>Main!$E$21</f>
        <v>Zanahoria</v>
      </c>
    </row>
    <row r="6" ht="29.25" customHeight="1"/>
    <row r="7" ht="26.25" customHeight="1"/>
    <row r="8" ht="27.600000000000005" customHeight="1">
      <c r="A8" t="str">
        <f>Main!$C$13</f>
        <v>"Sin Fertilización Base"Para mas de 75,000 Lbs por Hectarea</v>
      </c>
    </row>
    <row r="9" ht="20.1" customHeight="1">
      <c r="A9" t="str">
        <v>Productor</v>
      </c>
      <c r="C9" t="str">
        <f>Main!E17</f>
        <v>Pancho Pérez</v>
      </c>
      <c r="G9" t="str">
        <v>Parcela</v>
      </c>
      <c r="J9" t="str">
        <f>Main!E19</f>
        <v>La Frondosa</v>
      </c>
      <c r="P9" t="str">
        <f>Main!$G$21</f>
        <v>Bangor</v>
      </c>
    </row>
    <row r="10" ht="20.1" customHeight="1">
      <c r="A10" t="str">
        <v>Zona</v>
      </c>
      <c r="C10" t="str">
        <f>Main!E18</f>
        <v>La Flecha</v>
      </c>
      <c r="G10" t="str">
        <v>Técnico</v>
      </c>
      <c r="J10" t="str">
        <f>Main!E20</f>
        <v>Luís Torres</v>
      </c>
    </row>
    <row r="11" ht="20.1" customHeight="1">
      <c r="A11" t="str">
        <v>Área Mz.</v>
      </c>
      <c r="C11">
        <f>Main!E22</f>
        <v>1.43</v>
      </c>
      <c r="G11" t="str">
        <v>Fecha:</v>
      </c>
      <c r="J11">
        <f>Main!E23</f>
        <v>39239</v>
      </c>
    </row>
    <row r="12" ht="20.1" customHeight="1">
      <c r="A12" t="str">
        <v>Área Ha.</v>
      </c>
      <c r="C12">
        <f>Main!I22</f>
        <v>1.001</v>
      </c>
      <c r="G12" t="str">
        <v>Fecha de Cosecha:</v>
      </c>
      <c r="J12">
        <f>J11+Main!E24</f>
        <v>39359</v>
      </c>
    </row>
    <row r="13" ht="19.5" customHeight="1"/>
    <row r="14" ht="26.3999999999999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39240</v>
      </c>
      <c r="E16">
        <f>IF((SUM(ReDiarioFert!C7:C13)*$C$12)&lt;=0,"0",((SUM(ReDiarioFert!C7:C13)*$C$12)))</f>
        <v>19.300317105360513</v>
      </c>
      <c r="G16">
        <f>IF((SUM(ReDiarioFert!E7:E13)*$C$12)&lt;=0,"0",((SUM(ReDiarioFert!E7:E13)*$C$12)))</f>
        <v>9.187153600624997</v>
      </c>
      <c r="I16">
        <f>IF((SUM(ReDiarioFert!G7:G13)*$C$12)&lt;=0,"0",((SUM(ReDiarioFert!G7:G13)*$C$12)))</f>
        <v>11.070162082145833</v>
      </c>
      <c r="K16">
        <f>IF((SUM(ReDiarioFert!I7:I13)*$C$12)&lt;=0,"0",((SUM(ReDiarioFert!I7:I13)*$C$12)))</f>
        <v>4.700850062208736</v>
      </c>
      <c r="M16">
        <f>IF((SUM(ReDiarioFert!K7:K13)*$C$12)&lt;=0,"0",((SUM(ReDiarioFert!K7:K13)*$C$12)))</f>
        <v>12.919560956156296</v>
      </c>
      <c r="O16">
        <f>IF((SUM(ReDiarioFert!M7:M13)*$C$12)&lt;=0,"0",((SUM(ReDiarioFert!M7:M13)*$C$12)))</f>
        <v>174.06755219512195</v>
      </c>
      <c r="Q16">
        <f>$C$12*Main!$D$63</f>
        <v>20.019999999999996</v>
      </c>
      <c r="S16">
        <f>((E16/100)*$G$38+(G16/100)*$G$39+(I16/100)*$G$40+(K16/100)*$G$41+(M16/100)*$G$42+(O16)*$G$43+(Q16*$G$44))</f>
        <v>347.5676985339063</v>
      </c>
    </row>
    <row r="17">
      <c r="A17">
        <v>2</v>
      </c>
      <c r="B17">
        <v>8</v>
      </c>
      <c r="C17">
        <f>$J$11+B17</f>
        <v>39247</v>
      </c>
      <c r="E17">
        <f>IF((SUM(ReDiarioFert!C14:C20)*$C$12)&lt;=0,"0",((SUM(ReDiarioFert!C14:C20)*$C$12)))</f>
        <v>19.300317105360513</v>
      </c>
      <c r="G17">
        <f>IF((SUM(ReDiarioFert!E14:E20)*$C$12)&lt;=0,"0",((SUM(ReDiarioFert!E14:E20)*$C$12)))</f>
        <v>9.187153600624997</v>
      </c>
      <c r="I17">
        <f>IF((SUM(ReDiarioFert!G14:G20)*$C$12)&lt;=0,"0",((SUM(ReDiarioFert!G14:G20)*$C$12)))</f>
        <v>11.070162082145833</v>
      </c>
      <c r="K17">
        <f>IF((SUM(ReDiarioFert!I14:I20)*$C$12)&lt;=0,"0",((SUM(ReDiarioFert!I14:I20)*$C$12)))</f>
        <v>4.700850062208736</v>
      </c>
      <c r="M17">
        <f>IF((SUM(ReDiarioFert!K14:K20)*$C$12)&lt;=0,"0",((SUM(ReDiarioFert!K14:K20)*$C$12)))</f>
        <v>12.919560956156296</v>
      </c>
      <c r="O17">
        <f>IF((SUM(ReDiarioFert!M14:M20)*$C$12)&lt;=0,"0",((SUM(ReDiarioFert!M14:M20)*$C$12)))</f>
        <v>253.64168097560975</v>
      </c>
      <c r="Q17">
        <f>$C$12*Main!$D$63</f>
        <v>20.019999999999996</v>
      </c>
      <c r="S17">
        <f>((E17/100)*$G$38+(G17/100)*$G$39+(I17/100)*$G$40+(K17/100)*$G$41+(M17/100)*$G$42+(O17)*$G$43+(Q17*$G$44))</f>
        <v>350.0822410033697</v>
      </c>
    </row>
    <row r="18">
      <c r="A18">
        <v>3</v>
      </c>
      <c r="B18">
        <v>15</v>
      </c>
      <c r="C18">
        <f>$J$11+B18</f>
        <v>39254</v>
      </c>
      <c r="E18">
        <f>IF((SUM(ReDiarioFert!C21:C27)*$C$12)&lt;=0,"0",((SUM(ReDiarioFert!C21:C27)*$C$12)))</f>
        <v>27.572771774308723</v>
      </c>
      <c r="G18">
        <f>IF((SUM(ReDiarioFert!E21:E27)*$C$12)&lt;=0,"0",((SUM(ReDiarioFert!E21:E27)*$C$12)))</f>
        <v>13.101447734374998</v>
      </c>
      <c r="I18">
        <f>IF((SUM(ReDiarioFert!G21:G27)*$C$12)&lt;=0,"0",((SUM(ReDiarioFert!G21:G27)*$C$12)))</f>
        <v>15.837375408020835</v>
      </c>
      <c r="K18">
        <f>IF((SUM(ReDiarioFert!I21:I27)*$C$12)&lt;=0,"0",((SUM(ReDiarioFert!I21:I27)*$C$12)))</f>
        <v>6.718328267876067</v>
      </c>
      <c r="M18">
        <f>IF((SUM(ReDiarioFert!K21:K27)*$C$12)&lt;=0,"0",((SUM(ReDiarioFert!K21:K27)*$C$12)))</f>
        <v>18.464288465203694</v>
      </c>
      <c r="O18">
        <f>IF((SUM(ReDiarioFert!M21:M27)*$C$12)&lt;=0,"0",((SUM(ReDiarioFert!M21:M27)*$C$12)))</f>
        <v>373.00140926829266</v>
      </c>
      <c r="Q18">
        <f>$C$12*Main!$D$63</f>
        <v>20.019999999999996</v>
      </c>
      <c r="S18">
        <f>((E18/100)*$G$38+(G18/100)*$G$39+(I18/100)*$G$40+(K18/100)*$G$41+(M18/100)*$G$42+(O18)*$G$43+(Q18*$G$44))</f>
        <v>478.8778562070249</v>
      </c>
    </row>
    <row r="19">
      <c r="A19">
        <v>4</v>
      </c>
      <c r="B19">
        <v>22</v>
      </c>
      <c r="C19">
        <f>$J$11+B19</f>
        <v>39261</v>
      </c>
      <c r="E19">
        <f>IF((SUM(ReDiarioFert!C28:C34)*$C$12)&lt;=0,"0",((SUM(ReDiarioFert!C28:C34)*$C$12)))</f>
        <v>28.951514219133426</v>
      </c>
      <c r="G19">
        <f>IF((SUM(ReDiarioFert!E28:E34)*$C$12)&lt;=0,"0",((SUM(ReDiarioFert!E28:E34)*$C$12)))</f>
        <v>13.75383009</v>
      </c>
      <c r="I19">
        <f>IF((SUM(ReDiarioFert!G28:G34)*$C$12)&lt;=0,"0",((SUM(ReDiarioFert!G28:G34)*$C$12)))</f>
        <v>16.631910962333333</v>
      </c>
      <c r="K19">
        <f>IF((SUM(ReDiarioFert!I28:I34)*$C$12)&lt;=0,"0",((SUM(ReDiarioFert!I28:I34)*$C$12)))</f>
        <v>7.054574635487289</v>
      </c>
      <c r="M19">
        <f>IF((SUM(ReDiarioFert!K28:K34)*$C$12)&lt;=0,"0",((SUM(ReDiarioFert!K28:K34)*$C$12)))</f>
        <v>19.38840971671159</v>
      </c>
      <c r="O19">
        <f>IF((SUM(ReDiarioFert!M28:M34)*$C$12)&lt;=0,"0",((SUM(ReDiarioFert!M28:M34)*$C$12)))</f>
        <v>417.7607580487805</v>
      </c>
      <c r="Q19">
        <f>$C$12*Main!$D$63</f>
        <v>20.019999999999996</v>
      </c>
      <c r="S19">
        <f>((E19/100)*$G$38+(G19/100)*$G$39+(I19/100)*$G$40+(K19/100)*$G$41+(M19/100)*$G$42+(O19)*$G$43+(Q19*$G$44))</f>
        <v>501.12955959342264</v>
      </c>
    </row>
    <row r="20">
      <c r="A20">
        <v>5</v>
      </c>
      <c r="B20">
        <v>29</v>
      </c>
      <c r="C20">
        <f>$J$11+B20</f>
        <v>39268</v>
      </c>
      <c r="E20">
        <f>IF((SUM(ReDiarioFert!C35:C41)*$C$12)&lt;=0,"0",((SUM(ReDiarioFert!C35:C41)*$C$12)))</f>
        <v>70.31025255904936</v>
      </c>
      <c r="G20">
        <f>IF((SUM(ReDiarioFert!E35:E41)*$C$12)&lt;=0,"0",((SUM(ReDiarioFert!E35:E41)*$C$12)))</f>
        <v>33.40227421154842</v>
      </c>
      <c r="I20">
        <f>IF((SUM(ReDiarioFert!G35:G41)*$C$12)&lt;=0,"0",((SUM(ReDiarioFert!G35:G41)*$C$12)))</f>
        <v>40.39116223818118</v>
      </c>
      <c r="K20">
        <f>IF((SUM(ReDiarioFert!I35:I41)*$C$12)&lt;=0,"0",((SUM(ReDiarioFert!I35:I41)*$C$12)))</f>
        <v>17.132377782921626</v>
      </c>
      <c r="M20">
        <f>IF((SUM(ReDiarioFert!K35:K41)*$C$12)&lt;=0,"0",((SUM(ReDiarioFert!K35:K41)*$C$12)))</f>
        <v>47.085696450899775</v>
      </c>
      <c r="O20">
        <f>IF((SUM(ReDiarioFert!M35:M41)*$C$12)&lt;=0,"0",((SUM(ReDiarioFert!M35:M41)*$C$12)))</f>
        <v>492.36260243902444</v>
      </c>
      <c r="Q20">
        <f>$C$12*Main!$D$63</f>
        <v>20.019999999999996</v>
      </c>
      <c r="S20">
        <f>((E20/100)*$G$38+(G20/100)*$G$39+(I20/100)*$G$40+(K20/100)*$G$41+(M20/100)*$G$42+(O20)*$G$43+(Q20*$G$44))</f>
        <v>1129.021771919496</v>
      </c>
    </row>
    <row r="21">
      <c r="A21">
        <v>6</v>
      </c>
      <c r="B21">
        <v>36</v>
      </c>
      <c r="C21">
        <f>$J$11+B21</f>
        <v>39275</v>
      </c>
      <c r="E21">
        <f>IF((SUM(ReDiarioFert!C42:C48)*$C$12)&lt;=0,"0",((SUM(ReDiarioFert!C42:C48)*$C$12)))</f>
        <v>86.85374789501574</v>
      </c>
      <c r="G21">
        <f>IF((SUM(ReDiarioFert!E42:E48)*$C$12)&lt;=0,"0",((SUM(ReDiarioFert!E42:E48)*$C$12)))</f>
        <v>41.26165186016779</v>
      </c>
      <c r="I21">
        <f>IF((SUM(ReDiarioFert!G42:G48)*$C$12)&lt;=0,"0",((SUM(ReDiarioFert!G42:G48)*$C$12)))</f>
        <v>49.894862748520325</v>
      </c>
      <c r="K21">
        <f>IF((SUM(ReDiarioFert!I42:I48)*$C$12)&lt;=0,"0",((SUM(ReDiarioFert!I42:I48)*$C$12)))</f>
        <v>21.16349904189536</v>
      </c>
      <c r="M21">
        <f>IF((SUM(ReDiarioFert!K42:K48)*$C$12)&lt;=0,"0",((SUM(ReDiarioFert!K42:K48)*$C$12)))</f>
        <v>58.16461114457505</v>
      </c>
      <c r="O21">
        <f>IF((SUM(ReDiarioFert!M42:M48)*$C$12)&lt;=0,"0",((SUM(ReDiarioFert!M42:M48)*$C$12)))</f>
        <v>591.831728292683</v>
      </c>
      <c r="Q21">
        <f>$C$12*Main!$D$63</f>
        <v>20.019999999999996</v>
      </c>
      <c r="S21">
        <f>((E21/100)*$G$38+(G21/100)*$G$39+(I21/100)*$G$40+(K21/100)*$G$41+(M21/100)*$G$42+(O21)*$G$43+(Q21*$G$44))</f>
        <v>1382.378913913808</v>
      </c>
    </row>
    <row r="22">
      <c r="A22">
        <v>7</v>
      </c>
      <c r="B22">
        <v>43</v>
      </c>
      <c r="C22">
        <f>$J$11+B22</f>
        <v>39282</v>
      </c>
      <c r="E22">
        <f>IF((SUM(ReDiarioFert!C49:C55)*$C$12)&lt;=0,"0",((SUM(ReDiarioFert!C49:C55)*$C$12)))</f>
        <v>86.85374789501574</v>
      </c>
      <c r="G22">
        <f>IF((SUM(ReDiarioFert!E49:E55)*$C$12)&lt;=0,"0",((SUM(ReDiarioFert!E49:E55)*$C$12)))</f>
        <v>41.26165186016779</v>
      </c>
      <c r="I22">
        <f>IF((SUM(ReDiarioFert!G49:G55)*$C$12)&lt;=0,"0",((SUM(ReDiarioFert!G49:G55)*$C$12)))</f>
        <v>49.894862748520325</v>
      </c>
      <c r="K22">
        <f>IF((SUM(ReDiarioFert!I49:I55)*$C$12)&lt;=0,"0",((SUM(ReDiarioFert!I49:I55)*$C$12)))</f>
        <v>21.16349904189536</v>
      </c>
      <c r="M22">
        <f>IF((SUM(ReDiarioFert!K49:K55)*$C$12)&lt;=0,"0",((SUM(ReDiarioFert!K49:K55)*$C$12)))</f>
        <v>58.16461114457505</v>
      </c>
      <c r="O22">
        <f>IF((SUM(ReDiarioFert!M49:M55)*$C$12)&lt;=0,"0",((SUM(ReDiarioFert!M49:M55)*$C$12)))</f>
        <v>651.5118365853659</v>
      </c>
      <c r="Q22">
        <f>$C$12*Main!$D$63</f>
        <v>20.019999999999996</v>
      </c>
      <c r="S22">
        <f>((E22/100)*$G$38+(G22/100)*$G$39+(I22/100)*$G$40+(K22/100)*$G$41+(M22/100)*$G$42+(O22)*$G$43+(Q22*$G$44))</f>
        <v>1384.2648053358566</v>
      </c>
    </row>
    <row r="23">
      <c r="A23">
        <v>8</v>
      </c>
      <c r="B23">
        <v>50</v>
      </c>
      <c r="C23">
        <f>$J$11+B23</f>
        <v>39289</v>
      </c>
      <c r="E23">
        <f>IF((SUM(ReDiarioFert!C56:C62)*$C$12)&lt;=0,"0",((SUM(ReDiarioFert!C56:C62)*$C$12)))</f>
        <v>86.85374789501574</v>
      </c>
      <c r="G23">
        <f>IF((SUM(ReDiarioFert!E56:E62)*$C$12)&lt;=0,"0",((SUM(ReDiarioFert!E56:E62)*$C$12)))</f>
        <v>41.26165186016779</v>
      </c>
      <c r="I23">
        <f>IF((SUM(ReDiarioFert!G56:G62)*$C$12)&lt;=0,"0",((SUM(ReDiarioFert!G56:G62)*$C$12)))</f>
        <v>49.894862748520325</v>
      </c>
      <c r="K23">
        <f>IF((SUM(ReDiarioFert!I56:I62)*$C$12)&lt;=0,"0",((SUM(ReDiarioFert!I56:I62)*$C$12)))</f>
        <v>21.16349904189536</v>
      </c>
      <c r="M23">
        <f>IF((SUM(ReDiarioFert!K56:K62)*$C$12)&lt;=0,"0",((SUM(ReDiarioFert!K56:K62)*$C$12)))</f>
        <v>58.16461114457505</v>
      </c>
      <c r="O23">
        <f>IF((SUM(ReDiarioFert!M56:M62)*$C$12)&lt;=0,"0",((SUM(ReDiarioFert!M56:M62)*$C$12)))</f>
        <v>800.7121073170731</v>
      </c>
      <c r="Q23">
        <f>$C$12*Main!$D$63</f>
        <v>20.019999999999996</v>
      </c>
      <c r="S23">
        <f>((E23/100)*$G$38+(G23/100)*$G$39+(I23/100)*$G$40+(K23/100)*$G$41+(M23/100)*$G$42+(O23)*$G$43+(Q23*$G$44))</f>
        <v>1388.9795338909787</v>
      </c>
    </row>
    <row r="24">
      <c r="A24">
        <v>9</v>
      </c>
      <c r="B24">
        <v>57</v>
      </c>
      <c r="C24">
        <f>$J$11+B24</f>
        <v>39296</v>
      </c>
      <c r="E24">
        <f>IF((SUM(ReDiarioFert!C63:C69)*$C$12)&lt;=0,"0",((SUM(ReDiarioFert!C63:C69)*$C$12)))</f>
        <v>111.66910443644883</v>
      </c>
      <c r="G24">
        <f>IF((SUM(ReDiarioFert!E63:E69)*$C$12)&lt;=0,"0",((SUM(ReDiarioFert!E63:E69)*$C$12)))</f>
        <v>47.27569524878715</v>
      </c>
      <c r="I24">
        <f>IF((SUM(ReDiarioFert!G63:G69)*$C$12)&lt;=0,"0",((SUM(ReDiarioFert!G63:G69)*$C$12)))</f>
        <v>67.42303781952613</v>
      </c>
      <c r="K24">
        <f>IF((SUM(ReDiarioFert!I63:I69)*$C$12)&lt;=0,"0",((SUM(ReDiarioFert!I63:I69)*$C$12)))</f>
        <v>27.210213053865463</v>
      </c>
      <c r="M24">
        <f>IF((SUM(ReDiarioFert!K63:K69)*$C$12)&lt;=0,"0",((SUM(ReDiarioFert!K63:K69)*$C$12)))</f>
        <v>74.78307147159649</v>
      </c>
      <c r="O24">
        <f>IF((SUM(ReDiarioFert!M63:M69)*$C$12)&lt;=0,"0",((SUM(ReDiarioFert!M63:M69)*$C$12)))</f>
        <v>830.5526497560975</v>
      </c>
      <c r="Q24">
        <f>$C$12*Main!$D$63</f>
        <v>20.019999999999996</v>
      </c>
      <c r="S24">
        <f>((E24/100)*$G$38+(G24/100)*$G$39+(I24/100)*$G$40+(K24/100)*$G$41+(M24/100)*$G$42+(O24)*$G$43+(Q24*$G$44))</f>
        <v>1711.1520039748402</v>
      </c>
    </row>
    <row r="25">
      <c r="A25">
        <v>10</v>
      </c>
      <c r="B25">
        <v>64</v>
      </c>
      <c r="C25">
        <f>$J$11+B25</f>
        <v>39303</v>
      </c>
      <c r="E25">
        <f>IF((SUM(ReDiarioFert!C70:C76)*$C$12)&lt;=0,"0",((SUM(ReDiarioFert!C70:C76)*$C$12)))</f>
        <v>144.75624649169296</v>
      </c>
      <c r="G25">
        <f>IF((SUM(ReDiarioFert!E70:E76)*$C$12)&lt;=0,"0",((SUM(ReDiarioFert!E70:E76)*$C$12)))</f>
        <v>55.29441976694629</v>
      </c>
      <c r="I25">
        <f>IF((SUM(ReDiarioFert!G70:G76)*$C$12)&lt;=0,"0",((SUM(ReDiarioFert!G70:G76)*$C$12)))</f>
        <v>90.79393791420054</v>
      </c>
      <c r="K25">
        <f>IF((SUM(ReDiarioFert!I70:I76)*$C$12)&lt;=0,"0",((SUM(ReDiarioFert!I70:I76)*$C$12)))</f>
        <v>35.272498403158934</v>
      </c>
      <c r="M25">
        <f>IF((SUM(ReDiarioFert!K70:K76)*$C$12)&lt;=0,"0",((SUM(ReDiarioFert!K70:K76)*$C$12)))</f>
        <v>96.94101857429172</v>
      </c>
      <c r="O25">
        <f>IF((SUM(ReDiarioFert!M70:M76)*$C$12)&lt;=0,"0",((SUM(ReDiarioFert!M70:M76)*$C$12)))</f>
        <v>1009.595904390244</v>
      </c>
      <c r="Q25">
        <f>$C$12*Main!$D$63</f>
        <v>20.019999999999996</v>
      </c>
      <c r="S25">
        <f>((E25/100)*$G$38+(G25/100)*$G$39+(I25/100)*$G$40+(K25/100)*$G$41+(M25/100)*$G$42+(O25)*$G$43+(Q25*$G$44))</f>
        <v>2145.1157827449974</v>
      </c>
    </row>
    <row r="26">
      <c r="A26">
        <v>11</v>
      </c>
      <c r="B26">
        <v>71</v>
      </c>
      <c r="C26">
        <f>$J$11+B26</f>
        <v>39310</v>
      </c>
      <c r="E26">
        <f>IF((SUM(ReDiarioFert!C77:C83)*$C$12)&lt;=0,"0",((SUM(ReDiarioFert!C77:C83)*$C$12)))</f>
        <v>135.208442073272</v>
      </c>
      <c r="G26">
        <f>IF((SUM(ReDiarioFert!E77:E83)*$C$12)&lt;=0,"0",((SUM(ReDiarioFert!E77:E83)*$C$12)))</f>
        <v>55.29441976694629</v>
      </c>
      <c r="I26">
        <f>IF((SUM(ReDiarioFert!G77:G83)*$C$12)&lt;=0,"0",((SUM(ReDiarioFert!G77:G83)*$C$12)))</f>
        <v>90.79393791420054</v>
      </c>
      <c r="K26">
        <f>IF((SUM(ReDiarioFert!I77:I83)*$C$12)&lt;=0,"0",((SUM(ReDiarioFert!I77:I83)*$C$12)))</f>
        <v>35.272498403158934</v>
      </c>
      <c r="M26">
        <f>IF((SUM(ReDiarioFert!K77:K83)*$C$12)&lt;=0,"0",((SUM(ReDiarioFert!K77:K83)*$C$12)))</f>
        <v>96.94101857429172</v>
      </c>
      <c r="O26">
        <f>IF((SUM(ReDiarioFert!M77:M83)*$C$12)&lt;=0,"0",((SUM(ReDiarioFert!M77:M83)*$C$12)))</f>
        <v>1009.595904390244</v>
      </c>
      <c r="Q26">
        <f>$C$12*Main!$D$63</f>
        <v>20.019999999999996</v>
      </c>
      <c r="S26">
        <f>((E26/100)*$G$38+(G26/100)*$G$39+(I26/100)*$G$40+(K26/100)*$G$41+(M26/100)*$G$42+(O26)*$G$43+(Q26*$G$44))</f>
        <v>2114.5628086060506</v>
      </c>
    </row>
    <row r="27">
      <c r="A27">
        <v>12</v>
      </c>
      <c r="B27">
        <v>78</v>
      </c>
      <c r="C27">
        <f>$J$11+B27</f>
        <v>39317</v>
      </c>
      <c r="E27">
        <f>IF((SUM(ReDiarioFert!C84:C90)*$C$12)&lt;=0,"0",((SUM(ReDiarioFert!C84:C90)*$C$12)))</f>
        <v>122.4780361820441</v>
      </c>
      <c r="G27">
        <f>IF((SUM(ReDiarioFert!E84:E90)*$C$12)&lt;=0,"0",((SUM(ReDiarioFert!E84:E90)*$C$12)))</f>
        <v>55.29441976694629</v>
      </c>
      <c r="I27">
        <f>IF((SUM(ReDiarioFert!G84:G90)*$C$12)&lt;=0,"0",((SUM(ReDiarioFert!G84:G90)*$C$12)))</f>
        <v>90.79393791420054</v>
      </c>
      <c r="K27">
        <f>IF((SUM(ReDiarioFert!I84:I90)*$C$12)&lt;=0,"0",((SUM(ReDiarioFert!I84:I90)*$C$12)))</f>
        <v>35.272498403158934</v>
      </c>
      <c r="M27">
        <f>IF((SUM(ReDiarioFert!K84:K90)*$C$12)&lt;=0,"0",((SUM(ReDiarioFert!K84:K90)*$C$12)))</f>
        <v>96.94101857429172</v>
      </c>
      <c r="O27">
        <f>IF((SUM(ReDiarioFert!M84:M90)*$C$12)&lt;=0,"0",((SUM(ReDiarioFert!M84:M90)*$C$12)))</f>
        <v>1128.9561209756096</v>
      </c>
      <c r="Q27">
        <f>$C$12*Main!$D$63</f>
        <v>20.019999999999996</v>
      </c>
      <c r="S27">
        <f>((E27/100)*$G$38+(G27/100)*$G$39+(I27/100)*$G$40+(K27/100)*$G$41+(M27/100)*$G$42+(O27)*$G$43+(Q27*$G$44))</f>
        <v>2077.5972925982187</v>
      </c>
    </row>
    <row r="28" ht="18" customHeight="1">
      <c r="A28">
        <v>13</v>
      </c>
      <c r="B28">
        <v>85</v>
      </c>
      <c r="C28">
        <f>$J$11+B28</f>
        <v>39324</v>
      </c>
      <c r="E28">
        <f>IF((SUM(ReDiarioFert!C91:C97)*$C$12)&lt;=0,"0",((SUM(ReDiarioFert!C91:C97)*$C$12)))</f>
        <v>95.28669289846202</v>
      </c>
      <c r="G28">
        <f>IF((SUM(ReDiarioFert!E91:E97)*$C$12)&lt;=0,"0",((SUM(ReDiarioFert!E91:E97)*$C$12)))</f>
        <v>55.29441976694629</v>
      </c>
      <c r="I28">
        <f>IF((SUM(ReDiarioFert!G91:G97)*$C$12)&lt;=0,"0",((SUM(ReDiarioFert!G91:G97)*$C$12)))</f>
        <v>90.79393791420054</v>
      </c>
      <c r="K28">
        <f>IF((SUM(ReDiarioFert!I91:I97)*$C$12)&lt;=0,"0",((SUM(ReDiarioFert!I91:I97)*$C$12)))</f>
        <v>35.272498403158934</v>
      </c>
      <c r="M28">
        <f>IF((SUM(ReDiarioFert!K91:K97)*$C$12)&lt;=0,"0",((SUM(ReDiarioFert!K91:K97)*$C$12)))</f>
        <v>96.94101857429172</v>
      </c>
      <c r="O28">
        <f>IF((SUM(ReDiarioFert!M91:M97)*$C$12)&lt;=0,"0",((SUM(ReDiarioFert!M91:M97)*$C$12)))</f>
        <v>1218.4762834146343</v>
      </c>
      <c r="Q28">
        <f>$C$12*Main!$D$63</f>
        <v>20.019999999999996</v>
      </c>
      <c r="S28">
        <f>((E28/100)*$G$38+(G28/100)*$G$39+(I28/100)*$G$40+(K28/100)*$G$41+(M28/100)*$G$42+(O28)*$G$43+(Q28*$G$44))</f>
        <v>1993.413831223829</v>
      </c>
    </row>
    <row r="29">
      <c r="A29">
        <v>14</v>
      </c>
      <c r="B29">
        <v>92</v>
      </c>
      <c r="C29">
        <f>$J$11+B29</f>
        <v>39331</v>
      </c>
      <c r="E29">
        <f>IF((SUM(ReDiarioFert!C98:C104)*$C$12)&lt;=0,"0",((SUM(ReDiarioFert!C98:C104)*$C$12)))</f>
        <v>72.06647797010379</v>
      </c>
      <c r="G29">
        <f>IF((SUM(ReDiarioFert!E98:E104)*$C$12)&lt;=0,"0",((SUM(ReDiarioFert!E98:E104)*$C$12)))</f>
        <v>55.29441976694629</v>
      </c>
      <c r="I29">
        <f>IF((SUM(ReDiarioFert!G98:G104)*$C$12)&lt;=0,"0",((SUM(ReDiarioFert!G98:G104)*$C$12)))</f>
        <v>90.79393791420054</v>
      </c>
      <c r="K29">
        <f>IF((SUM(ReDiarioFert!I98:I104)*$C$12)&lt;=0,"0",((SUM(ReDiarioFert!I98:I104)*$C$12)))</f>
        <v>35.272498403158934</v>
      </c>
      <c r="M29">
        <f>IF((SUM(ReDiarioFert!K98:K104)*$C$12)&lt;=0,"0",((SUM(ReDiarioFert!K98:K104)*$C$12)))</f>
        <v>96.94101857429172</v>
      </c>
      <c r="O29">
        <f>IF((SUM(ReDiarioFert!M98:M104)*$C$12)&lt;=0,"0",((SUM(ReDiarioFert!M98:M104)*$C$12)))</f>
        <v>1218.4762834146343</v>
      </c>
      <c r="Q29">
        <f>$C$12*Main!$D$63</f>
        <v>20.019999999999996</v>
      </c>
      <c r="S29">
        <f>((E29/100)*$G$38+(G29/100)*$G$39+(I29/100)*$G$40+(K29/100)*$G$41+(M29/100)*$G$42+(O29)*$G$43+(Q29*$G$44))</f>
        <v>1919.1091434530827</v>
      </c>
    </row>
    <row r="30">
      <c r="A30">
        <v>15</v>
      </c>
      <c r="B30">
        <v>99</v>
      </c>
      <c r="C30">
        <f>$J$11+B30</f>
        <v>39338</v>
      </c>
      <c r="E30">
        <f>IF((SUM(ReDiarioFert!C105:C111)*$C$12)&lt;=0,"0",((SUM(ReDiarioFert!C105:C111)*$C$12)))</f>
        <v>51.67446603129783</v>
      </c>
      <c r="G30">
        <f>IF((SUM(ReDiarioFert!E105:E111)*$C$12)&lt;=0,"0",((SUM(ReDiarioFert!E105:E111)*$C$12)))</f>
        <v>55.29441976694629</v>
      </c>
      <c r="I30">
        <f>IF((SUM(ReDiarioFert!G105:G111)*$C$12)&lt;=0,"0",((SUM(ReDiarioFert!G105:G111)*$C$12)))</f>
        <v>90.79393791420054</v>
      </c>
      <c r="K30">
        <f>IF((SUM(ReDiarioFert!I105:I111)*$C$12)&lt;=0,"0",((SUM(ReDiarioFert!I105:I111)*$C$12)))</f>
        <v>35.272498403158934</v>
      </c>
      <c r="M30">
        <f>IF((SUM(ReDiarioFert!K105:K111)*$C$12)&lt;=0,"0",((SUM(ReDiarioFert!K105:K111)*$C$12)))</f>
        <v>96.94101857429172</v>
      </c>
      <c r="O30">
        <f>IF((SUM(ReDiarioFert!M105:M111)*$C$12)&lt;=0,"0",((SUM(ReDiarioFert!M105:M111)*$C$12)))</f>
        <v>1218.4762834146343</v>
      </c>
      <c r="Q30">
        <f>$C$12*Main!$D$63</f>
        <v>20.019999999999996</v>
      </c>
      <c r="S30">
        <f>((E30/100)*$G$38+(G30/100)*$G$39+(I30/100)*$G$40+(K30/100)*$G$41+(M30/100)*$G$42+(O30)*$G$43+(Q30*$G$44))</f>
        <v>1853.8547052489034</v>
      </c>
    </row>
    <row r="31">
      <c r="A31">
        <v>16</v>
      </c>
      <c r="B31">
        <v>106</v>
      </c>
      <c r="C31">
        <f>$J$11+B31</f>
        <v>39345</v>
      </c>
      <c r="E31">
        <f>IF((SUM(ReDiarioFert!C112:C118)*$C$12)&lt;=0,"0",((SUM(ReDiarioFert!C112:C118)*$C$12)))</f>
        <v>51.67446603129783</v>
      </c>
      <c r="G31">
        <f>IF((SUM(ReDiarioFert!E112:E118)*$C$12)&lt;=0,"0",((SUM(ReDiarioFert!E112:E118)*$C$12)))</f>
        <v>55.29441976694629</v>
      </c>
      <c r="I31">
        <f>IF((SUM(ReDiarioFert!G112:G118)*$C$12)&lt;=0,"0",((SUM(ReDiarioFert!G112:G118)*$C$12)))</f>
        <v>90.79393791420054</v>
      </c>
      <c r="K31">
        <f>IF((SUM(ReDiarioFert!I112:I118)*$C$12)&lt;=0,"0",((SUM(ReDiarioFert!I112:I118)*$C$12)))</f>
        <v>35.272498403158934</v>
      </c>
      <c r="M31">
        <f>IF((SUM(ReDiarioFert!K112:K118)*$C$12)&lt;=0,"0",((SUM(ReDiarioFert!K112:K118)*$C$12)))</f>
        <v>96.94101857429172</v>
      </c>
      <c r="O31">
        <f>IF((SUM(ReDiarioFert!M112:M118)*$C$12)&lt;=0,"0",((SUM(ReDiarioFert!M112:M118)*$C$12)))</f>
        <v>1218.4762834146343</v>
      </c>
      <c r="Q31">
        <f>$C$12*Main!$D$63</f>
        <v>20.019999999999996</v>
      </c>
      <c r="S31">
        <f>((E31/100)*$G$38+(G31/100)*$G$39+(I31/100)*$G$40+(K31/100)*$G$41+(M31/100)*$G$42+(O31)*$G$43+(Q31*$G$44))</f>
        <v>1853.8547052489034</v>
      </c>
    </row>
    <row r="32">
      <c r="A32">
        <v>17</v>
      </c>
      <c r="B32">
        <v>113</v>
      </c>
      <c r="C32">
        <f>$J$11+B32</f>
        <v>39352</v>
      </c>
      <c r="E32">
        <f>IF((SUM(ReDiarioFert!C119:C125)*$C$12)&lt;=0,"0",((SUM(ReDiarioFert!C119:C125)*$C$12)))</f>
        <v>51.67446603129783</v>
      </c>
      <c r="G32">
        <f>IF((SUM(ReDiarioFert!E119:E125)*$C$12)&lt;=0,"0",((SUM(ReDiarioFert!E119:E125)*$C$12)))</f>
        <v>55.29441976694629</v>
      </c>
      <c r="I32">
        <f>IF((SUM(ReDiarioFert!G119:G125)*$C$12)&lt;=0,"0",((SUM(ReDiarioFert!G119:G125)*$C$12)))</f>
        <v>90.79393791420054</v>
      </c>
      <c r="K32">
        <f>IF((SUM(ReDiarioFert!I119:I125)*$C$12)&lt;=0,"0",((SUM(ReDiarioFert!I119:I125)*$C$12)))</f>
        <v>35.272498403158934</v>
      </c>
      <c r="M32">
        <f>IF((SUM(ReDiarioFert!K119:K125)*$C$12)&lt;=0,"0",((SUM(ReDiarioFert!K119:K125)*$C$12)))</f>
        <v>96.94101857429172</v>
      </c>
      <c r="O32">
        <f>IF((SUM(ReDiarioFert!M119:M125)*$C$12)&lt;=0,"0",((SUM(ReDiarioFert!M119:M125)*$C$12)))</f>
        <v>1218.4762834146343</v>
      </c>
      <c r="Q32">
        <f>$C$12*Main!$D$63</f>
        <v>20.019999999999996</v>
      </c>
      <c r="S32">
        <f>((E32/100)*$G$38+(G32/100)*$G$39+(I32/100)*$G$40+(K32/100)*$G$41+(M32/100)*$G$42+(O32)*$G$43+(Q32*$G$44))</f>
        <v>1853.8547052489034</v>
      </c>
    </row>
    <row r="33">
      <c r="A33">
        <v>18</v>
      </c>
      <c r="B33">
        <v>120</v>
      </c>
      <c r="C33">
        <f>$J$11+B33</f>
        <v>39359</v>
      </c>
      <c r="E33">
        <f>IF((SUM(ReDiarioFert!C126:C132)*$C$12)&lt;=0,"0",((SUM(ReDiarioFert!C126:C132)*$C$12)))</f>
        <v>51.67446603129783</v>
      </c>
      <c r="G33">
        <f>IF((SUM(ReDiarioFert!E126:E132)*$C$12)&lt;=0,"0",((SUM(ReDiarioFert!E126:E132)*$C$12)))</f>
        <v>55.29441976694629</v>
      </c>
      <c r="I33">
        <f>IF((SUM(ReDiarioFert!G126:G132)*$C$12)&lt;=0,"0",((SUM(ReDiarioFert!G126:G132)*$C$12)))</f>
        <v>90.79393791420054</v>
      </c>
      <c r="K33">
        <f>IF((SUM(ReDiarioFert!I126:I132)*$C$12)&lt;=0,"0",((SUM(ReDiarioFert!I126:I132)*$C$12)))</f>
        <v>35.272498403158934</v>
      </c>
      <c r="M33">
        <f>IF((SUM(ReDiarioFert!K126:K132)*$C$12)&lt;=0,"0",((SUM(ReDiarioFert!K126:K132)*$C$12)))</f>
        <v>96.94101857429172</v>
      </c>
      <c r="O33">
        <f>IF((SUM(ReDiarioFert!M126:M132)*$C$12)&lt;=0,"0",((SUM(ReDiarioFert!M126:M132)*$C$12)))</f>
        <v>1218.4762834146343</v>
      </c>
      <c r="Q33">
        <f>$C$12*Main!$D$63</f>
        <v>20.019999999999996</v>
      </c>
      <c r="S33">
        <f>((E33/100)*$G$38+(G33/100)*$G$39+(I33/100)*$G$40+(K33/100)*$G$41+(M33/100)*$G$42+(O33)*$G$43+(Q33*$G$44))</f>
        <v>1853.8547052489034</v>
      </c>
    </row>
    <row r="34">
      <c r="C34" t="str">
        <v>Total</v>
      </c>
      <c r="E34">
        <f>SUM(E16:E33)</f>
        <v>1314.1592806254753</v>
      </c>
      <c r="G34">
        <f>SUM(G16:G33)</f>
        <v>747.3422879689804</v>
      </c>
      <c r="I34">
        <f>SUM(I16:I33)</f>
        <v>1129.2538400657193</v>
      </c>
      <c r="K34">
        <f>SUM(K16:K33)</f>
        <v>448.46017661868433</v>
      </c>
      <c r="M34">
        <f>SUM(M16:M33)</f>
        <v>1232.523588619075</v>
      </c>
      <c r="O34">
        <f>SUM(O16:O33)</f>
        <v>15044.447955121956</v>
      </c>
      <c r="Q34">
        <f>SUM(Q16:Q33)</f>
        <v>360.3599999999998</v>
      </c>
      <c r="S34">
        <f>SUM(S16:S33)</f>
        <v>26338.6720639945</v>
      </c>
    </row>
    <row r="36" ht="39.75" customHeight="1">
      <c r="B36" t="str">
        <v>Producto</v>
      </c>
      <c r="F36" t="str">
        <v>Lbs/Ha</v>
      </c>
      <c r="G36" t="str">
        <v>Costo por qq</v>
      </c>
    </row>
    <row r="37" ht="24" customHeight="1">
      <c r="G37" t="str">
        <f>Main!$E$25</f>
        <v>Lempiras</v>
      </c>
    </row>
    <row r="38">
      <c r="B38" t="str">
        <f>Main!D42</f>
        <v>Nitrato de Amonio</v>
      </c>
      <c r="F38">
        <f>E34/C12</f>
        <v>1312.846434191284</v>
      </c>
      <c r="G38">
        <f>Main!D43</f>
        <v>320</v>
      </c>
    </row>
    <row r="39">
      <c r="B39" t="str">
        <f>Main!D32</f>
        <v>FofatoMonoPotasico</v>
      </c>
      <c r="F39">
        <f>G34/C12</f>
        <v>746.5956922767037</v>
      </c>
      <c r="G39">
        <f>Main!D33</f>
        <v>1169</v>
      </c>
    </row>
    <row r="40">
      <c r="B40" t="str">
        <f>Main!D37</f>
        <v>Kcl Soluble</v>
      </c>
      <c r="F40">
        <f>I34/C12</f>
        <v>1128.125714351368</v>
      </c>
      <c r="G40">
        <f>Main!D38</f>
        <v>410</v>
      </c>
      <c r="I40" t="str">
        <v xml:space="preserve">Preparado y Autorizado Por </v>
      </c>
    </row>
    <row r="41">
      <c r="B41" t="str">
        <f>Main!D47</f>
        <v>Sulfato de Magnesio</v>
      </c>
      <c r="F41">
        <f>K34/C12</f>
        <v>448.0121644542302</v>
      </c>
      <c r="G41">
        <f>Main!D48</f>
        <v>425</v>
      </c>
      <c r="I41" t="str">
        <v>MSc Ricardo D. Lardizábal</v>
      </c>
    </row>
    <row r="42">
      <c r="B42" t="str">
        <f>Main!D52</f>
        <v>Nitrato de Calcio</v>
      </c>
      <c r="F42">
        <f>M34/C12</f>
        <v>1231.2922963227525</v>
      </c>
      <c r="G42">
        <f>Main!D53</f>
        <v>445</v>
      </c>
    </row>
    <row r="43">
      <c r="B43" t="str">
        <f>Main!D57</f>
        <v>Solubor</v>
      </c>
      <c r="F43">
        <f>O34/C12</f>
        <v>15029.418536585372</v>
      </c>
      <c r="G43">
        <f>Main!D58</f>
        <v>0.0316</v>
      </c>
    </row>
    <row r="44" ht="18" customHeight="1">
      <c r="B44" t="str">
        <f>Main!D61</f>
        <v>Melaza</v>
      </c>
      <c r="F44">
        <f>Q34/C12</f>
        <v>359.99999999999983</v>
      </c>
      <c r="G44">
        <f>Main!D62</f>
        <v>2.5</v>
      </c>
    </row>
    <row r="45" ht="17.4" customHeight="1">
      <c r="B45" t="str">
        <v>NOTA: El Nitrato de Calcio se debe de diluir en un barril aparte para inyectarse al sistema</v>
      </c>
    </row>
    <row r="47" ht="17.4" customHeight="1">
      <c r="B47" t="str">
        <v>,@ La Melaza del calendario de fertilización se usan para la limpieza de la cinta y mejorar la estructura de suelo. La aplicación de ellos es después de la fertilización y en la ultima media hora de riego. Ver boletín técnico de USAID-RED sobre melaza.</v>
      </c>
    </row>
    <row r="48" ht="27.75" customHeight="1"/>
    <row r="49">
      <c r="B49" t="str">
        <v>Abreviaciones usadas</v>
      </c>
    </row>
    <row r="50">
      <c r="B50" t="str">
        <v>Mz-Manzanas, Ha-Hectáreas, Lbs-Libras, Lts-Litros y DDT-Días después de Transplante</v>
      </c>
    </row>
  </sheetData>
  <sheetProtection sheet="1"/>
  <mergeCells count="54">
    <mergeCell ref="B50:S50"/>
    <mergeCell ref="P5:S7"/>
    <mergeCell ref="P2:S3"/>
    <mergeCell ref="A8:M8"/>
    <mergeCell ref="C11:F11"/>
    <mergeCell ref="C10:F10"/>
    <mergeCell ref="G10:I10"/>
    <mergeCell ref="A9:B9"/>
    <mergeCell ref="G9:I9"/>
    <mergeCell ref="J11:M11"/>
    <mergeCell ref="B49:C49"/>
    <mergeCell ref="B39:E39"/>
    <mergeCell ref="B40:E40"/>
    <mergeCell ref="P9:S12"/>
    <mergeCell ref="G11:I11"/>
    <mergeCell ref="J10:M10"/>
    <mergeCell ref="B44:E44"/>
    <mergeCell ref="B42:E42"/>
    <mergeCell ref="B47:S48"/>
    <mergeCell ref="B45:I46"/>
    <mergeCell ref="G44:H44"/>
    <mergeCell ref="G42:H42"/>
    <mergeCell ref="G43:H43"/>
    <mergeCell ref="G38:H38"/>
    <mergeCell ref="I14:J14"/>
    <mergeCell ref="J9:M9"/>
    <mergeCell ref="A14:A15"/>
    <mergeCell ref="B14:B15"/>
    <mergeCell ref="A10:B10"/>
    <mergeCell ref="A12:B12"/>
    <mergeCell ref="A11:B11"/>
    <mergeCell ref="K14:L14"/>
    <mergeCell ref="C14:D14"/>
    <mergeCell ref="C9:F9"/>
    <mergeCell ref="S14:S15"/>
    <mergeCell ref="M14:N14"/>
    <mergeCell ref="O14:P14"/>
    <mergeCell ref="Q14:R14"/>
    <mergeCell ref="B43:E43"/>
    <mergeCell ref="E14:F14"/>
    <mergeCell ref="C12:F12"/>
    <mergeCell ref="B41:E41"/>
    <mergeCell ref="B36:E36"/>
    <mergeCell ref="B38:E38"/>
    <mergeCell ref="G12:I12"/>
    <mergeCell ref="J12:M12"/>
    <mergeCell ref="I41:Q41"/>
    <mergeCell ref="I40:Q40"/>
    <mergeCell ref="G40:H40"/>
    <mergeCell ref="G41:H41"/>
    <mergeCell ref="G39:H39"/>
    <mergeCell ref="G14:H14"/>
    <mergeCell ref="G36:H36"/>
    <mergeCell ref="G37:H37"/>
  </mergeCells>
  <pageMargins left="0.35" right="0.25" top="0.32" bottom="0.53" header="0.17" footer="0.16"/>
  <ignoredErrors>
    <ignoredError numberStoredAsText="1" sqref="A1:V58"/>
  </ignoredErrors>
  <legacyDrawing r:id="rId1"/>
</worksheet>
</file>

<file path=xl/worksheets/sheet8.xml><?xml version="1.0" encoding="utf-8"?>
<worksheet xmlns="http://schemas.openxmlformats.org/spreadsheetml/2006/main" xmlns:r="http://schemas.openxmlformats.org/officeDocument/2006/relationships">
  <dimension ref="A1:T42"/>
  <sheetViews>
    <sheetView workbookViewId="0" rightToLeft="0"/>
  </sheetViews>
  <sheetData>
    <row r="1" ht="32.7" customHeight="1"/>
    <row r="2" ht="32.7" customHeight="1">
      <c r="P2" t="str">
        <v>Calendario de Fertilización Cada 14 Días o a Mano</v>
      </c>
    </row>
    <row r="3" ht="32.4" customHeight="1"/>
    <row r="5">
      <c r="P5" t="str">
        <f>Main!$E$21</f>
        <v>Zanahoria</v>
      </c>
    </row>
    <row r="6" ht="31.2" customHeight="1"/>
    <row r="7" ht="27" customHeight="1"/>
    <row r="8" ht="28.95" customHeight="1">
      <c r="A8" t="str">
        <f>Main!$C$13</f>
        <v>"Sin Fertilización Base"Para mas de 75,000 Lbs por Hectarea</v>
      </c>
    </row>
    <row r="9" ht="19.95" customHeight="1">
      <c r="A9" t="str">
        <v>Productor</v>
      </c>
      <c r="C9" t="str">
        <f>'1 Por Sem'!C9</f>
        <v>Pancho Pérez</v>
      </c>
      <c r="F9" t="str">
        <v>Parcela</v>
      </c>
      <c r="I9" t="str">
        <f>'1 Por Sem'!J9</f>
        <v>La Frondosa</v>
      </c>
      <c r="P9" t="str">
        <f>Main!$G$21</f>
        <v>Bangor</v>
      </c>
    </row>
    <row r="10" ht="19.95" customHeight="1">
      <c r="A10" t="str">
        <v>Zona</v>
      </c>
      <c r="C10" t="str">
        <f>'1 Por Sem'!C10</f>
        <v>La Flecha</v>
      </c>
      <c r="F10" t="str">
        <v>Técnico</v>
      </c>
      <c r="I10" t="str">
        <f>'1 Por Sem'!J10</f>
        <v>Luís Torres</v>
      </c>
    </row>
    <row r="11" ht="19.95" customHeight="1">
      <c r="A11" t="str">
        <v>Área Mz.</v>
      </c>
      <c r="C11">
        <f>'1 Por Sem'!C11</f>
        <v>1.43</v>
      </c>
      <c r="F11" t="str">
        <v>Fecha</v>
      </c>
      <c r="I11">
        <f>'1 Por Sem'!J11</f>
        <v>39239</v>
      </c>
    </row>
    <row r="12" ht="19.95" customHeight="1">
      <c r="A12" t="str">
        <v>Área Ha.</v>
      </c>
      <c r="C12">
        <f>Main!I22</f>
        <v>1.001</v>
      </c>
      <c r="F12" t="str">
        <v>Fecha  de Cosecha</v>
      </c>
      <c r="I12">
        <f>'1 Por Sem'!J12</f>
        <v>39359</v>
      </c>
    </row>
    <row r="14" ht="28.95" customHeight="1">
      <c r="A14" t="str">
        <v>Semana</v>
      </c>
      <c r="B14" t="str">
        <v>DDT</v>
      </c>
      <c r="C14" t="str">
        <v>FECHA</v>
      </c>
      <c r="E14" t="str">
        <f>Main!$D$42</f>
        <v>Nitrato de Amonio</v>
      </c>
      <c r="G14" t="str">
        <f>Main!$D$32</f>
        <v>FofatoMonoPotasico</v>
      </c>
      <c r="I14" t="str">
        <f>Main!$D$37</f>
        <v>Kcl Soluble</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39240</v>
      </c>
      <c r="E16">
        <f>IF((SUM(ReDiarioFert!C7:C20)*$C$12)&lt;=0,"0",((SUM(ReDiarioFert!C7:C20)*$C$12)))</f>
        <v>38.60063421072101</v>
      </c>
      <c r="G16">
        <f>IF((SUM(ReDiarioFert!E7:E20)*$C$12)&lt;=0,"0",((SUM(ReDiarioFert!E7:E20)*$C$12)))</f>
        <v>18.374307201249994</v>
      </c>
      <c r="I16">
        <f>IF((SUM(ReDiarioFert!G7:G20)*$C$12)&lt;=0,"0",((SUM(ReDiarioFert!G7:G20)*$C$12)))</f>
        <v>22.140324164291663</v>
      </c>
      <c r="K16">
        <f>IF((SUM(ReDiarioFert!I7:I20)*$C$12)&lt;=0,"0",((SUM(ReDiarioFert!I7:I20)*$C$12)))</f>
        <v>9.401700124417472</v>
      </c>
      <c r="M16">
        <f>IF((SUM(ReDiarioFert!K7:K20)*$C$12)&lt;=0,"0",((SUM(ReDiarioFert!K7:K20)*$C$12)))</f>
        <v>25.839121912312592</v>
      </c>
      <c r="O16">
        <f>IF((SUM(ReDiarioFert!M7:M20)*$C$12)&lt;=0,"0",((SUM(ReDiarioFert!M7:M20)*$C$12)))</f>
        <v>427.70923317073175</v>
      </c>
      <c r="Q16">
        <f>$C$12*Main!$D$63</f>
        <v>20.019999999999996</v>
      </c>
      <c r="S16">
        <f>((E16/100)*$F$29+(G16/100)*$F$30+(I16/100)*$F$31+(K16/100)*$F$32+(M16/100)*$F$33+(O16)*$F$34+(Q16*$F$35))</f>
        <v>647.5999395372759</v>
      </c>
    </row>
    <row r="17">
      <c r="A17">
        <v>4</v>
      </c>
      <c r="B17">
        <v>15</v>
      </c>
      <c r="C17">
        <f>$I$11+B17</f>
        <v>39254</v>
      </c>
      <c r="E17">
        <f>IF((SUM(ReDiarioFert!C21:C34)*$C$12)&lt;=0,"0",((SUM(ReDiarioFert!C21:C34)*$C$12)))</f>
        <v>56.52428599344217</v>
      </c>
      <c r="G17">
        <f>IF((SUM(ReDiarioFert!E21:E34)*$C$12)&lt;=0,"0",((SUM(ReDiarioFert!E21:E34)*$C$12)))</f>
        <v>26.85527782437499</v>
      </c>
      <c r="I17">
        <f>IF((SUM(ReDiarioFert!G21:G34)*$C$12)&lt;=0,"0",((SUM(ReDiarioFert!G21:G34)*$C$12)))</f>
        <v>32.46928637035417</v>
      </c>
      <c r="K17">
        <f>IF((SUM(ReDiarioFert!I21:I34)*$C$12)&lt;=0,"0",((SUM(ReDiarioFert!I21:I34)*$C$12)))</f>
        <v>13.772902903363354</v>
      </c>
      <c r="M17">
        <f>IF((SUM(ReDiarioFert!K21:K34)*$C$12)&lt;=0,"0",((SUM(ReDiarioFert!K21:K34)*$C$12)))</f>
        <v>37.85269818191529</v>
      </c>
      <c r="O17">
        <f>IF((SUM(ReDiarioFert!M21:M34)*$C$12)&lt;=0,"0",((SUM(ReDiarioFert!M21:M34)*$C$12)))</f>
        <v>790.7621673170731</v>
      </c>
      <c r="Q17">
        <f>$C$12*Main!$D$63</f>
        <v>20.019999999999996</v>
      </c>
      <c r="S17">
        <f>((E17/100)*$F$29+(G17/100)*$F$30+(I17/100)*$F$31+(K17/100)*$F$32+(M17/100)*$F$33+(O17)*$F$34+(Q17*$F$35))</f>
        <v>929.9574158004474</v>
      </c>
    </row>
    <row r="18">
      <c r="A18">
        <v>6</v>
      </c>
      <c r="B18">
        <v>29</v>
      </c>
      <c r="C18">
        <f>$I$11+B18</f>
        <v>39268</v>
      </c>
      <c r="E18">
        <f>IF((SUM(ReDiarioFert!C35:C48)*$C$12)&lt;=0,"0",((SUM(ReDiarioFert!C35:C48)*$C$12)))</f>
        <v>157.16400045406513</v>
      </c>
      <c r="G18">
        <f>IF((SUM(ReDiarioFert!E35:E48)*$C$12)&lt;=0,"0",((SUM(ReDiarioFert!E35:E48)*$C$12)))</f>
        <v>74.6639260717162</v>
      </c>
      <c r="I18">
        <f>IF((SUM(ReDiarioFert!G35:G48)*$C$12)&lt;=0,"0",((SUM(ReDiarioFert!G35:G48)*$C$12)))</f>
        <v>90.2860249867015</v>
      </c>
      <c r="K18">
        <f>IF((SUM(ReDiarioFert!I35:I48)*$C$12)&lt;=0,"0",((SUM(ReDiarioFert!I35:I48)*$C$12)))</f>
        <v>38.29587682481699</v>
      </c>
      <c r="M18">
        <f>IF((SUM(ReDiarioFert!K35:K48)*$C$12)&lt;=0,"0",((SUM(ReDiarioFert!K35:K48)*$C$12)))</f>
        <v>105.25030759547484</v>
      </c>
      <c r="O18">
        <f>IF((SUM(ReDiarioFert!M35:M48)*$C$12)&lt;=0,"0",((SUM(ReDiarioFert!M35:M48)*$C$12)))</f>
        <v>1084.1943307317076</v>
      </c>
      <c r="Q18">
        <f>$C$12*Main!$D$63</f>
        <v>20.019999999999996</v>
      </c>
      <c r="S18">
        <f>((E18/100)*$F$29+(G18/100)*$F$30+(I18/100)*$F$31+(K18/100)*$F$32+(M18/100)*$F$33+(O18)*$F$34+(Q18*$F$35))</f>
        <v>2461.3506858333044</v>
      </c>
    </row>
    <row r="19">
      <c r="A19">
        <v>8</v>
      </c>
      <c r="B19">
        <v>43</v>
      </c>
      <c r="C19">
        <f>$I$11+B19</f>
        <v>39282</v>
      </c>
      <c r="E19">
        <f>IF((SUM(ReDiarioFert!C49:C62)*$C$12)&lt;=0,"0",((SUM(ReDiarioFert!C49:C62)*$C$12)))</f>
        <v>173.70749579003152</v>
      </c>
      <c r="G19">
        <f>IF((SUM(ReDiarioFert!E49:E62)*$C$12)&lt;=0,"0",((SUM(ReDiarioFert!E49:E62)*$C$12)))</f>
        <v>82.52330372033559</v>
      </c>
      <c r="I19">
        <f>IF((SUM(ReDiarioFert!G49:G62)*$C$12)&lt;=0,"0",((SUM(ReDiarioFert!G49:G62)*$C$12)))</f>
        <v>99.78972549704062</v>
      </c>
      <c r="K19">
        <f>IF((SUM(ReDiarioFert!I49:I62)*$C$12)&lt;=0,"0",((SUM(ReDiarioFert!I49:I62)*$C$12)))</f>
        <v>42.32699808379073</v>
      </c>
      <c r="M19">
        <f>IF((SUM(ReDiarioFert!K49:K62)*$C$12)&lt;=0,"0",((SUM(ReDiarioFert!K49:K62)*$C$12)))</f>
        <v>116.32922228915014</v>
      </c>
      <c r="O19">
        <f>IF((SUM(ReDiarioFert!M49:M62)*$C$12)&lt;=0,"0",((SUM(ReDiarioFert!M49:M62)*$C$12)))</f>
        <v>1452.2239439024388</v>
      </c>
      <c r="Q19">
        <f>$C$12*Main!$D$63</f>
        <v>20.019999999999996</v>
      </c>
      <c r="S19">
        <f>((E19/100)*$F$29+(G19/100)*$F$30+(I19/100)*$F$31+(K19/100)*$F$32+(M19/100)*$F$33+(O19)*$F$34+(Q19*$F$35))</f>
        <v>2723.1943392268363</v>
      </c>
    </row>
    <row r="20">
      <c r="A20">
        <v>10</v>
      </c>
      <c r="B20">
        <v>57</v>
      </c>
      <c r="C20">
        <f>$I$11+B20</f>
        <v>39296</v>
      </c>
      <c r="E20">
        <f>IF((SUM(ReDiarioFert!C63:C76)*$C$12)&lt;=0,"0",((SUM(ReDiarioFert!C63:C76)*$C$12)))</f>
        <v>256.4253509281418</v>
      </c>
      <c r="G20">
        <f>IF((SUM(ReDiarioFert!E63:E76)*$C$12)&lt;=0,"0",((SUM(ReDiarioFert!E63:E76)*$C$12)))</f>
        <v>102.57011501573346</v>
      </c>
      <c r="I20">
        <f>IF((SUM(ReDiarioFert!G63:G76)*$C$12)&lt;=0,"0",((SUM(ReDiarioFert!G63:G76)*$C$12)))</f>
        <v>158.21697573372666</v>
      </c>
      <c r="K20">
        <f>IF((SUM(ReDiarioFert!I63:I76)*$C$12)&lt;=0,"0",((SUM(ReDiarioFert!I63:I76)*$C$12)))</f>
        <v>62.482711457024415</v>
      </c>
      <c r="M20">
        <f>IF((SUM(ReDiarioFert!K63:K76)*$C$12)&lt;=0,"0",((SUM(ReDiarioFert!K63:K76)*$C$12)))</f>
        <v>171.72409004588818</v>
      </c>
      <c r="O20">
        <f>IF((SUM(ReDiarioFert!M63:M76)*$C$12)&lt;=0,"0",((SUM(ReDiarioFert!M63:M76)*$C$12)))</f>
        <v>1840.148554146341</v>
      </c>
      <c r="Q20">
        <f>$C$12*Main!$D$63</f>
        <v>20.019999999999996</v>
      </c>
      <c r="S20">
        <f>((E20/100)*$F$29+(G20/100)*$F$30+(I20/100)*$F$31+(K20/100)*$F$32+(M20/100)*$F$33+(O20)*$F$34+(Q20*$F$35))</f>
        <v>3806.2177867198384</v>
      </c>
    </row>
    <row r="21">
      <c r="A21">
        <v>12</v>
      </c>
      <c r="B21">
        <v>71</v>
      </c>
      <c r="C21">
        <f>$I$11+B21</f>
        <v>39310</v>
      </c>
      <c r="E21">
        <f>IF((SUM(ReDiarioFert!C77:C90)*$C$12)&lt;=0,"0",((SUM(ReDiarioFert!C77:C90)*$C$12)))</f>
        <v>257.6864782553162</v>
      </c>
      <c r="G21">
        <f>IF((SUM(ReDiarioFert!E77:E90)*$C$12)&lt;=0,"0",((SUM(ReDiarioFert!E77:E90)*$C$12)))</f>
        <v>110.58883953389261</v>
      </c>
      <c r="I21">
        <f>IF((SUM(ReDiarioFert!G77:G90)*$C$12)&lt;=0,"0",((SUM(ReDiarioFert!G77:G90)*$C$12)))</f>
        <v>181.58787582840108</v>
      </c>
      <c r="K21">
        <f>IF((SUM(ReDiarioFert!I77:I90)*$C$12)&lt;=0,"0",((SUM(ReDiarioFert!I77:I90)*$C$12)))</f>
        <v>70.54499680631788</v>
      </c>
      <c r="M21">
        <f>IF((SUM(ReDiarioFert!K77:K90)*$C$12)&lt;=0,"0",((SUM(ReDiarioFert!K77:K90)*$C$12)))</f>
        <v>193.8820371485834</v>
      </c>
      <c r="O21">
        <f>IF((SUM(ReDiarioFert!M77:M90)*$C$12)&lt;=0,"0",((SUM(ReDiarioFert!M77:M90)*$C$12)))</f>
        <v>2138.5520253658533</v>
      </c>
      <c r="Q21">
        <f>$C$12*Main!$D$63</f>
        <v>20.019999999999996</v>
      </c>
      <c r="S21">
        <f>((E21/100)*$F$29+(G21/100)*$F$30+(I21/100)*$F$31+(K21/100)*$F$32+(M21/100)*$F$33+(O21)*$F$34+(Q21*$F$35))</f>
        <v>4142.110101204269</v>
      </c>
    </row>
    <row r="22">
      <c r="A22">
        <v>14</v>
      </c>
      <c r="B22">
        <v>85</v>
      </c>
      <c r="C22">
        <f>$I$11+B22</f>
        <v>39324</v>
      </c>
      <c r="E22">
        <f>IF((SUM(ReDiarioFert!C91:C104)*$C$12)&lt;=0,"0",((SUM(ReDiarioFert!C91:C104)*$C$12)))</f>
        <v>167.35317086856583</v>
      </c>
      <c r="G22">
        <f>IF((SUM(ReDiarioFert!E91:E104)*$C$12)&lt;=0,"0",((SUM(ReDiarioFert!E91:E104)*$C$12)))</f>
        <v>110.58883953389261</v>
      </c>
      <c r="I22">
        <f>IF((SUM(ReDiarioFert!G91:G104)*$C$12)&lt;=0,"0",((SUM(ReDiarioFert!G91:G104)*$C$12)))</f>
        <v>181.58787582840108</v>
      </c>
      <c r="K22">
        <f>IF((SUM(ReDiarioFert!I91:I104)*$C$12)&lt;=0,"0",((SUM(ReDiarioFert!I91:I104)*$C$12)))</f>
        <v>70.54499680631788</v>
      </c>
      <c r="M22">
        <f>IF((SUM(ReDiarioFert!K91:K104)*$C$12)&lt;=0,"0",((SUM(ReDiarioFert!K91:K104)*$C$12)))</f>
        <v>193.8820371485834</v>
      </c>
      <c r="O22">
        <f>IF((SUM(ReDiarioFert!M91:M104)*$C$12)&lt;=0,"0",((SUM(ReDiarioFert!M91:M104)*$C$12)))</f>
        <v>2436.952566829269</v>
      </c>
      <c r="Q22">
        <f>$C$12*Main!$D$63</f>
        <v>20.019999999999996</v>
      </c>
      <c r="S22">
        <f>((E22/100)*$F$29+(G22/100)*$F$30+(I22/100)*$F$31+(K22/100)*$F$32+(M22/100)*$F$33+(O22)*$F$34+(Q22*$F$35))</f>
        <v>3862.472974676912</v>
      </c>
    </row>
    <row r="23">
      <c r="A23">
        <v>16</v>
      </c>
      <c r="B23">
        <v>99</v>
      </c>
      <c r="C23">
        <f>$I$11+B23</f>
        <v>39338</v>
      </c>
      <c r="E23">
        <f>IF((SUM(ReDiarioFert!C105:C118)*$C$12)&lt;=0,"0",((SUM(ReDiarioFert!C105:C118)*$C$12)))</f>
        <v>103.34893206259567</v>
      </c>
      <c r="G23">
        <f>IF((SUM(ReDiarioFert!E105:E118)*$C$12)&lt;=0,"0",((SUM(ReDiarioFert!E105:E118)*$C$12)))</f>
        <v>110.58883953389261</v>
      </c>
      <c r="I23">
        <f>IF((SUM(ReDiarioFert!G105:G118)*$C$12)&lt;=0,"0",((SUM(ReDiarioFert!G105:G118)*$C$12)))</f>
        <v>181.58787582840108</v>
      </c>
      <c r="K23">
        <f>IF((SUM(ReDiarioFert!I105:I118)*$C$12)&lt;=0,"0",((SUM(ReDiarioFert!I105:I118)*$C$12)))</f>
        <v>70.54499680631788</v>
      </c>
      <c r="M23">
        <f>IF((SUM(ReDiarioFert!K105:K118)*$C$12)&lt;=0,"0",((SUM(ReDiarioFert!K105:K118)*$C$12)))</f>
        <v>193.8820371485834</v>
      </c>
      <c r="O23">
        <f>IF((SUM(ReDiarioFert!M105:M118)*$C$12)&lt;=0,"0",((SUM(ReDiarioFert!M105:M118)*$C$12)))</f>
        <v>2436.952566829269</v>
      </c>
      <c r="Q23">
        <f>$C$12*Main!$D$63</f>
        <v>20.019999999999996</v>
      </c>
      <c r="S23">
        <f>((E23/100)*$F$29+(G23/100)*$F$30+(I23/100)*$F$31+(K23/100)*$F$32+(M23/100)*$F$33+(O23)*$F$34+(Q23*$F$35))</f>
        <v>3657.6594104978076</v>
      </c>
    </row>
    <row r="24">
      <c r="A24">
        <v>18</v>
      </c>
      <c r="B24">
        <v>113</v>
      </c>
      <c r="C24">
        <f>$I$11+B24</f>
        <v>39352</v>
      </c>
      <c r="E24">
        <f>IF((SUM(ReDiarioFert!C119:C132)*$C$12)&lt;=0,"0",((SUM(ReDiarioFert!C119:C132)*$C$12)))</f>
        <v>103.34893206259567</v>
      </c>
      <c r="G24">
        <f>IF((SUM(ReDiarioFert!E119:E132)*$C$12)&lt;=0,"0",((SUM(ReDiarioFert!E119:E132)*$C$12)))</f>
        <v>110.58883953389261</v>
      </c>
      <c r="I24">
        <f>IF((SUM(ReDiarioFert!G119:G132)*$C$12)&lt;=0,"0",((SUM(ReDiarioFert!G119:G132)*$C$12)))</f>
        <v>181.58787582840108</v>
      </c>
      <c r="K24">
        <f>IF((SUM(ReDiarioFert!I119:I132)*$C$12)&lt;=0,"0",((SUM(ReDiarioFert!I119:I132)*$C$12)))</f>
        <v>70.54499680631788</v>
      </c>
      <c r="M24">
        <f>IF((SUM(ReDiarioFert!K119:K132)*$C$12)&lt;=0,"0",((SUM(ReDiarioFert!K119:K132)*$C$12)))</f>
        <v>193.8820371485834</v>
      </c>
      <c r="O24">
        <f>IF((SUM(ReDiarioFert!M119:M132)*$C$12)&lt;=0,"0",((SUM(ReDiarioFert!M119:M132)*$C$12)))</f>
        <v>2436.952566829269</v>
      </c>
      <c r="Q24">
        <f>$C$12*Main!$D$63</f>
        <v>20.019999999999996</v>
      </c>
      <c r="S24">
        <f>((E24/100)*$F$29+(G24/100)*$F$30+(I24/100)*$F$31+(K24/100)*$F$32+(M24/100)*$F$33+(O24)*$F$34+(Q24*$F$35))</f>
        <v>3657.6594104978076</v>
      </c>
    </row>
    <row r="25">
      <c r="C25" t="str">
        <v>Total</v>
      </c>
      <c r="E25">
        <f>SUM(E16:E24)</f>
        <v>1314.1592806254748</v>
      </c>
      <c r="G25">
        <f>SUM(G16:G24)</f>
        <v>747.3422879689806</v>
      </c>
      <c r="I25">
        <f>SUM(I16:I24)</f>
        <v>1129.253840065719</v>
      </c>
      <c r="K25">
        <f>SUM(K16:K24)</f>
        <v>448.46017661868456</v>
      </c>
      <c r="M25">
        <f>SUM(M16:M24)</f>
        <v>1232.5235886190746</v>
      </c>
      <c r="O25">
        <f>SUM(O16:O24)</f>
        <v>15044.447955121956</v>
      </c>
      <c r="Q25">
        <f>SUM(Q16:Q24)</f>
        <v>180.17999999999995</v>
      </c>
      <c r="S25">
        <f>SUM(S16:S24)</f>
        <v>25888.222063994497</v>
      </c>
    </row>
    <row r="26" ht="31.5" customHeight="1"/>
    <row r="27" ht="33.75" customHeight="1">
      <c r="B27" t="str">
        <v>Producto</v>
      </c>
      <c r="E27" t="str">
        <v>Lbs/Ha</v>
      </c>
      <c r="F27" t="str">
        <v>Costo por qq</v>
      </c>
    </row>
    <row r="28" ht="24" customHeight="1">
      <c r="F28" t="str">
        <f>Main!$E$25</f>
        <v>Lempiras</v>
      </c>
    </row>
    <row r="29">
      <c r="B29" t="str">
        <f>Main!D42</f>
        <v>Nitrato de Amonio</v>
      </c>
      <c r="E29">
        <f>E25/$C$12</f>
        <v>1312.8464341912836</v>
      </c>
      <c r="F29">
        <f>Main!D43</f>
        <v>320</v>
      </c>
    </row>
    <row r="30">
      <c r="B30" t="str">
        <f>Main!D32</f>
        <v>FofatoMonoPotasico</v>
      </c>
      <c r="E30">
        <f>G25/$C$12</f>
        <v>746.595692276704</v>
      </c>
      <c r="F30">
        <f>Main!D33</f>
        <v>1169</v>
      </c>
    </row>
    <row r="31">
      <c r="B31" t="str">
        <f>Main!D37</f>
        <v>Kcl Soluble</v>
      </c>
      <c r="E31">
        <f>I25/$C$12</f>
        <v>1128.1257143513678</v>
      </c>
      <c r="F31">
        <f>Main!D38</f>
        <v>410</v>
      </c>
      <c r="I31" t="str">
        <v xml:space="preserve">Preparado y Autorizado Por </v>
      </c>
    </row>
    <row r="32">
      <c r="B32" t="str">
        <f>Main!D47</f>
        <v>Sulfato de Magnesio</v>
      </c>
      <c r="E32">
        <f>K25/$C$12</f>
        <v>448.0121644542304</v>
      </c>
      <c r="F32">
        <f>Main!D48</f>
        <v>425</v>
      </c>
      <c r="I32" t="str">
        <v>MSc Ricardo D. Lardizábal</v>
      </c>
    </row>
    <row r="33">
      <c r="B33" t="str">
        <f>Main!D52</f>
        <v>Nitrato de Calcio</v>
      </c>
      <c r="E33">
        <f>M25/$C$12</f>
        <v>1231.292296322752</v>
      </c>
      <c r="F33">
        <f>Main!D53</f>
        <v>445</v>
      </c>
    </row>
    <row r="34">
      <c r="B34" t="str">
        <f>Main!D57</f>
        <v>Solubor</v>
      </c>
      <c r="E34">
        <f>O25/$C$12</f>
        <v>15029.418536585372</v>
      </c>
      <c r="F34">
        <f>Main!D58</f>
        <v>0.0316</v>
      </c>
    </row>
    <row r="35">
      <c r="B35" t="str">
        <f>Main!D61</f>
        <v>Melaza</v>
      </c>
      <c r="E35">
        <f>Q25/$C$12</f>
        <v>179.99999999999997</v>
      </c>
      <c r="F35">
        <f>Main!D62</f>
        <v>2.5</v>
      </c>
    </row>
    <row r="36">
      <c r="B36" t="str">
        <v>NOTA: El Nitrato de Calcio se debe de diluir en un barril aparte para inyectarse al sistema</v>
      </c>
    </row>
    <row r="37" ht="18.6" customHeight="1"/>
    <row r="38">
      <c r="B38" t="str">
        <v>,@ La Melaza del calendario de fertilización se usan para la limpieza de la cinta y mejorar la estructura de suelo. La aplicación de ellos es después de la fertilización y en la ultima media hora de riego. Ver boletín técnico de USAID-RED sobre melaza.</v>
      </c>
    </row>
    <row r="39" ht="27" customHeight="1"/>
    <row r="41">
      <c r="B41" t="str">
        <v>Abreviaciones usadas</v>
      </c>
    </row>
    <row r="42">
      <c r="B42" t="str">
        <v>Mz-Manzanas, Ha-Hectáreas, Lbs-Libras, Lts-Litros y DDT-Días después de Transplante</v>
      </c>
    </row>
  </sheetData>
  <sheetProtection sheet="1"/>
  <mergeCells count="53">
    <mergeCell ref="P5:S7"/>
    <mergeCell ref="P2:S3"/>
    <mergeCell ref="A8:M8"/>
    <mergeCell ref="P9:S12"/>
    <mergeCell ref="A7:K7"/>
    <mergeCell ref="A9:B9"/>
    <mergeCell ref="C9:E9"/>
    <mergeCell ref="F9:H9"/>
    <mergeCell ref="I9:M9"/>
    <mergeCell ref="I10:M10"/>
    <mergeCell ref="B30:D30"/>
    <mergeCell ref="B31:D31"/>
    <mergeCell ref="B32:D32"/>
    <mergeCell ref="F10:H10"/>
    <mergeCell ref="F11:H11"/>
    <mergeCell ref="F12:H12"/>
    <mergeCell ref="A12:B12"/>
    <mergeCell ref="A11:B11"/>
    <mergeCell ref="B14:B15"/>
    <mergeCell ref="F27:G27"/>
    <mergeCell ref="B42:Q42"/>
    <mergeCell ref="B38:T39"/>
    <mergeCell ref="B41:C41"/>
    <mergeCell ref="B36:I37"/>
    <mergeCell ref="F28:G28"/>
    <mergeCell ref="F29:G29"/>
    <mergeCell ref="B29:D29"/>
    <mergeCell ref="S14:S15"/>
    <mergeCell ref="Q14:R14"/>
    <mergeCell ref="O14:P14"/>
    <mergeCell ref="G14:H14"/>
    <mergeCell ref="I11:M11"/>
    <mergeCell ref="I12:M12"/>
    <mergeCell ref="I14:J14"/>
    <mergeCell ref="K14:L14"/>
    <mergeCell ref="M14:N14"/>
    <mergeCell ref="B33:D33"/>
    <mergeCell ref="B34:D34"/>
    <mergeCell ref="B35:D35"/>
    <mergeCell ref="F32:G32"/>
    <mergeCell ref="F33:G33"/>
    <mergeCell ref="F34:G34"/>
    <mergeCell ref="F35:G35"/>
    <mergeCell ref="F30:G30"/>
    <mergeCell ref="F31:G31"/>
    <mergeCell ref="C12:E12"/>
    <mergeCell ref="A10:B10"/>
    <mergeCell ref="C11:E11"/>
    <mergeCell ref="C10:E10"/>
    <mergeCell ref="A14:A15"/>
    <mergeCell ref="C14:D14"/>
    <mergeCell ref="E14:F14"/>
    <mergeCell ref="B27:D27"/>
  </mergeCells>
  <pageMargins left="0.81" right="0.47" top="0.26" bottom="0.37" header="0.18" footer="0.16"/>
  <ignoredErrors>
    <ignoredError numberStoredAsText="1" sqref="A1:T42"/>
  </ignoredErrors>
  <legacyDrawing r:id="rId1"/>
</worksheet>
</file>

<file path=xl/worksheets/sheet9.xml><?xml version="1.0" encoding="utf-8"?>
<worksheet xmlns="http://schemas.openxmlformats.org/spreadsheetml/2006/main" xmlns:r="http://schemas.openxmlformats.org/officeDocument/2006/relationships">
  <dimension ref="A1:Q134"/>
  <sheetViews>
    <sheetView workbookViewId="0" rightToLeft="0"/>
  </sheetViews>
  <sheetData>
    <row r="1">
      <c r="A1" t="str">
        <v>Requerimientos Diario para:</v>
      </c>
      <c r="E1" t="str">
        <f>Main!E21</f>
        <v>Zanahoria</v>
      </c>
    </row>
    <row r="4" ht="30" customHeight="1">
      <c r="A4" t="str">
        <v>Semana</v>
      </c>
      <c r="B4" t="str">
        <v>N</v>
      </c>
      <c r="C4" t="str">
        <f>Main!D42</f>
        <v>Nitrato de Amonio</v>
      </c>
      <c r="D4" t="str">
        <v>P2O5</v>
      </c>
      <c r="E4" t="str">
        <f>Main!D32</f>
        <v>FofatoMonoPotasico</v>
      </c>
      <c r="F4" t="str">
        <v>K2O</v>
      </c>
      <c r="G4" t="str">
        <f>Main!D37</f>
        <v>Kcl Soluble</v>
      </c>
      <c r="H4" t="str">
        <v>MgO</v>
      </c>
      <c r="I4" t="str">
        <f>Main!D47</f>
        <v>Sulfato de Magnesio</v>
      </c>
      <c r="J4" t="str">
        <v>Ca</v>
      </c>
      <c r="K4" t="str">
        <f>Main!D52</f>
        <v>Nitrato de Calcio</v>
      </c>
      <c r="L4" t="str">
        <v>B</v>
      </c>
      <c r="M4" t="str">
        <f>Main!D57</f>
        <v>Solubor</v>
      </c>
    </row>
    <row r="5" ht="17.25" customHeight="1">
      <c r="A5" t="str">
        <v>Porcentaje de Elemento</v>
      </c>
      <c r="C5">
        <f>Main!E41</f>
        <v>33.5</v>
      </c>
      <c r="E5">
        <f>Main!F31</f>
        <v>52</v>
      </c>
      <c r="G5">
        <f>Main!G36</f>
        <v>60</v>
      </c>
      <c r="I5">
        <f>Main!I46</f>
        <v>16</v>
      </c>
      <c r="K5">
        <f>Main!H51</f>
        <v>27</v>
      </c>
      <c r="M5">
        <f>Main!K56</f>
        <v>20.5</v>
      </c>
    </row>
    <row r="6">
      <c r="C6">
        <f>Main!E41/100</f>
        <v>0.335</v>
      </c>
      <c r="E6">
        <f>(Main!F31/100)/Main!F72</f>
        <v>0.52</v>
      </c>
      <c r="G6">
        <f>(Main!G36/100)/Main!F73</f>
        <v>0.6</v>
      </c>
      <c r="I6">
        <f>(I5/100)/Main!F74</f>
        <v>0.16</v>
      </c>
      <c r="K6">
        <f>(K5/100)/Main!F75</f>
        <v>0.27</v>
      </c>
      <c r="M6">
        <f>M5/100</f>
        <v>0.205</v>
      </c>
    </row>
    <row r="7">
      <c r="A7">
        <v>1</v>
      </c>
      <c r="B7">
        <f>'Req. Diario'!D5</f>
        <v>1.2085255</v>
      </c>
      <c r="C7">
        <f>(B7-((E7*(Main!$E$31/100))+(G7*(Main!$E$36/100))+(I7*(Main!$E$46/100))+(K7*(Main!$E$51/100))))/$C$6</f>
        <v>2.7544337241844605</v>
      </c>
      <c r="D7">
        <f>'Req. Diario'!E5</f>
        <v>0.681792475</v>
      </c>
      <c r="E7">
        <f>(D7-((C7*(Main!$F$41/100))+(G7*(Main!$F$36/100))+(I7*(Main!$F$46/100))+(K7*(Main!$F$51/100))))/$E$6</f>
        <v>1.3111393749999998</v>
      </c>
      <c r="F7">
        <f>'Req. Diario'!F5</f>
        <v>1.3937104999999999</v>
      </c>
      <c r="G7">
        <f>(F7-((C7*(Main!$G$41/100))+(E7*(Main!$G$31/100))+(I7*(Main!$G$46/100))+(K7*(Main!$G$51/100))))/$G$6</f>
        <v>1.5798718541666665</v>
      </c>
      <c r="H7">
        <f>'Req. Diario'!G5</f>
        <v>0.10734066076115283</v>
      </c>
      <c r="I7">
        <f>H7/$I$6</f>
        <v>0.6708791297572051</v>
      </c>
      <c r="J7">
        <f>'Req. Diario'!H5</f>
        <v>0.49782809450009996</v>
      </c>
      <c r="K7">
        <f>J7/$K$6</f>
        <v>1.8438077574077776</v>
      </c>
      <c r="L7">
        <f>'Req. Diario'!I5</f>
        <v>5.0926</v>
      </c>
      <c r="M7">
        <f>L7/$M$6</f>
        <v>24.841951219512197</v>
      </c>
    </row>
    <row r="8">
      <c r="B8">
        <f>'Req. Diario'!D6</f>
        <v>1.2085255</v>
      </c>
      <c r="C8">
        <f>(B8-((E8*(Main!$E$31/100))+(G8*(Main!$E$36/100))+(I8*(Main!$E$46/100))+(K8*(Main!$E$51/100))))/$C$6</f>
        <v>2.7544337241844605</v>
      </c>
      <c r="D8">
        <f>'Req. Diario'!E6</f>
        <v>0.681792475</v>
      </c>
      <c r="E8">
        <f>(D8-((C8*(Main!$F$41/100))+(G8*(Main!$F$36/100))+(I8*(Main!$F$46/100))+(K8*(Main!$F$51/100))))/$E$6</f>
        <v>1.3111393749999998</v>
      </c>
      <c r="F8">
        <f>'Req. Diario'!F6</f>
        <v>1.3937104999999999</v>
      </c>
      <c r="G8">
        <f>(F8-((C8*(Main!$G$41/100))+(E8*(Main!$G$31/100))+(I8*(Main!$G$46/100))+(K8*(Main!$G$51/100))))/$G$6</f>
        <v>1.5798718541666665</v>
      </c>
      <c r="H8">
        <f>'Req. Diario'!G6</f>
        <v>0.10734066076115283</v>
      </c>
      <c r="I8">
        <f>H8/$I$6</f>
        <v>0.6708791297572051</v>
      </c>
      <c r="J8">
        <f>'Req. Diario'!H6</f>
        <v>0.49782809450009996</v>
      </c>
      <c r="K8">
        <f>J8/$K$6</f>
        <v>1.8438077574077776</v>
      </c>
      <c r="L8">
        <f>'Req. Diario'!I6</f>
        <v>5.0926</v>
      </c>
      <c r="M8">
        <f>L8/$M$6</f>
        <v>24.841951219512197</v>
      </c>
    </row>
    <row r="9">
      <c r="B9">
        <f>'Req. Diario'!D7</f>
        <v>1.2085255</v>
      </c>
      <c r="C9">
        <f>(B9-((E9*(Main!$E$31/100))+(G9*(Main!$E$36/100))+(I9*(Main!$E$46/100))+(K9*(Main!$E$51/100))))/$C$6</f>
        <v>2.7544337241844605</v>
      </c>
      <c r="D9">
        <f>'Req. Diario'!E7</f>
        <v>0.681792475</v>
      </c>
      <c r="E9">
        <f>(D9-((C9*(Main!$F$41/100))+(G9*(Main!$F$36/100))+(I9*(Main!$F$46/100))+(K9*(Main!$F$51/100))))/$E$6</f>
        <v>1.3111393749999998</v>
      </c>
      <c r="F9">
        <f>'Req. Diario'!F7</f>
        <v>1.3937104999999999</v>
      </c>
      <c r="G9">
        <f>(F9-((C9*(Main!$G$41/100))+(E9*(Main!$G$31/100))+(I9*(Main!$G$46/100))+(K9*(Main!$G$51/100))))/$G$6</f>
        <v>1.5798718541666665</v>
      </c>
      <c r="H9">
        <f>'Req. Diario'!G7</f>
        <v>0.10734066076115283</v>
      </c>
      <c r="I9">
        <f>H9/$I$6</f>
        <v>0.6708791297572051</v>
      </c>
      <c r="J9">
        <f>'Req. Diario'!H7</f>
        <v>0.49782809450009996</v>
      </c>
      <c r="K9">
        <f>J9/$K$6</f>
        <v>1.8438077574077776</v>
      </c>
      <c r="L9">
        <f>'Req. Diario'!I7</f>
        <v>5.0926</v>
      </c>
      <c r="M9">
        <f>L9/$M$6</f>
        <v>24.841951219512197</v>
      </c>
    </row>
    <row r="10">
      <c r="B10">
        <f>'Req. Diario'!D8</f>
        <v>1.2085255</v>
      </c>
      <c r="C10">
        <f>(B10-((E10*(Main!$E$31/100))+(G10*(Main!$E$36/100))+(I10*(Main!$E$46/100))+(K10*(Main!$E$51/100))))/$C$6</f>
        <v>2.7544337241844605</v>
      </c>
      <c r="D10">
        <f>'Req. Diario'!E8</f>
        <v>0.681792475</v>
      </c>
      <c r="E10">
        <f>(D10-((C10*(Main!$F$41/100))+(G10*(Main!$F$36/100))+(I10*(Main!$F$46/100))+(K10*(Main!$F$51/100))))/$E$6</f>
        <v>1.3111393749999998</v>
      </c>
      <c r="F10">
        <f>'Req. Diario'!F8</f>
        <v>1.3937104999999999</v>
      </c>
      <c r="G10">
        <f>(F10-((C10*(Main!$G$41/100))+(E10*(Main!$G$31/100))+(I10*(Main!$G$46/100))+(K10*(Main!$G$51/100))))/$G$6</f>
        <v>1.5798718541666665</v>
      </c>
      <c r="H10">
        <f>'Req. Diario'!G8</f>
        <v>0.10734066076115283</v>
      </c>
      <c r="I10">
        <f>H10/$I$6</f>
        <v>0.6708791297572051</v>
      </c>
      <c r="J10">
        <f>'Req. Diario'!H8</f>
        <v>0.49782809450009996</v>
      </c>
      <c r="K10">
        <f>J10/$K$6</f>
        <v>1.8438077574077776</v>
      </c>
      <c r="L10">
        <f>'Req. Diario'!I8</f>
        <v>5.0926</v>
      </c>
      <c r="M10">
        <f>L10/$M$6</f>
        <v>24.841951219512197</v>
      </c>
    </row>
    <row r="11">
      <c r="B11">
        <f>'Req. Diario'!D9</f>
        <v>1.2085255</v>
      </c>
      <c r="C11">
        <f>(B11-((E11*(Main!$E$31/100))+(G11*(Main!$E$36/100))+(I11*(Main!$E$46/100))+(K11*(Main!$E$51/100))))/$C$6</f>
        <v>2.7544337241844605</v>
      </c>
      <c r="D11">
        <f>'Req. Diario'!E9</f>
        <v>0.681792475</v>
      </c>
      <c r="E11">
        <f>(D11-((C11*(Main!$F$41/100))+(G11*(Main!$F$36/100))+(I11*(Main!$F$46/100))+(K11*(Main!$F$51/100))))/$E$6</f>
        <v>1.3111393749999998</v>
      </c>
      <c r="F11">
        <f>'Req. Diario'!F9</f>
        <v>1.3937104999999999</v>
      </c>
      <c r="G11">
        <f>(F11-((C11*(Main!$G$41/100))+(E11*(Main!$G$31/100))+(I11*(Main!$G$46/100))+(K11*(Main!$G$51/100))))/$G$6</f>
        <v>1.5798718541666665</v>
      </c>
      <c r="H11">
        <f>'Req. Diario'!G9</f>
        <v>0.10734066076115283</v>
      </c>
      <c r="I11">
        <f>H11/$I$6</f>
        <v>0.6708791297572051</v>
      </c>
      <c r="J11">
        <f>'Req. Diario'!H9</f>
        <v>0.49782809450009996</v>
      </c>
      <c r="K11">
        <f>J11/$K$6</f>
        <v>1.8438077574077776</v>
      </c>
      <c r="L11">
        <f>'Req. Diario'!I9</f>
        <v>5.0926</v>
      </c>
      <c r="M11">
        <f>L11/$M$6</f>
        <v>24.841951219512197</v>
      </c>
    </row>
    <row r="12">
      <c r="B12">
        <f>'Req. Diario'!D10</f>
        <v>1.2085255</v>
      </c>
      <c r="C12">
        <f>(B12-((E12*(Main!$E$31/100))+(G12*(Main!$E$36/100))+(I12*(Main!$E$46/100))+(K12*(Main!$E$51/100))))/$C$6</f>
        <v>2.7544337241844605</v>
      </c>
      <c r="D12">
        <f>'Req. Diario'!E10</f>
        <v>0.681792475</v>
      </c>
      <c r="E12">
        <f>(D12-((C12*(Main!$F$41/100))+(G12*(Main!$F$36/100))+(I12*(Main!$F$46/100))+(K12*(Main!$F$51/100))))/$E$6</f>
        <v>1.3111393749999998</v>
      </c>
      <c r="F12">
        <f>'Req. Diario'!F10</f>
        <v>1.3937104999999999</v>
      </c>
      <c r="G12">
        <f>(F12-((C12*(Main!$G$41/100))+(E12*(Main!$G$31/100))+(I12*(Main!$G$46/100))+(K12*(Main!$G$51/100))))/$G$6</f>
        <v>1.5798718541666665</v>
      </c>
      <c r="H12">
        <f>'Req. Diario'!G10</f>
        <v>0.10734066076115283</v>
      </c>
      <c r="I12">
        <f>H12/$I$6</f>
        <v>0.6708791297572051</v>
      </c>
      <c r="J12">
        <f>'Req. Diario'!H10</f>
        <v>0.49782809450009996</v>
      </c>
      <c r="K12">
        <f>J12/$K$6</f>
        <v>1.8438077574077776</v>
      </c>
      <c r="L12">
        <f>'Req. Diario'!I10</f>
        <v>5.0926</v>
      </c>
      <c r="M12">
        <f>L12/$M$6</f>
        <v>24.841951219512197</v>
      </c>
    </row>
    <row r="13">
      <c r="B13">
        <f>'Req. Diario'!D11</f>
        <v>1.2085255</v>
      </c>
      <c r="C13">
        <f>(B13-((E13*(Main!$E$31/100))+(G13*(Main!$E$36/100))+(I13*(Main!$E$46/100))+(K13*(Main!$E$51/100))))/$C$6</f>
        <v>2.7544337241844605</v>
      </c>
      <c r="D13">
        <f>'Req. Diario'!E11</f>
        <v>0.681792475</v>
      </c>
      <c r="E13">
        <f>(D13-((C13*(Main!$F$41/100))+(G13*(Main!$F$36/100))+(I13*(Main!$F$46/100))+(K13*(Main!$F$51/100))))/$E$6</f>
        <v>1.3111393749999998</v>
      </c>
      <c r="F13">
        <f>'Req. Diario'!F11</f>
        <v>1.3937104999999999</v>
      </c>
      <c r="G13">
        <f>(F13-((C13*(Main!$G$41/100))+(E13*(Main!$G$31/100))+(I13*(Main!$G$46/100))+(K13*(Main!$G$51/100))))/$G$6</f>
        <v>1.5798718541666665</v>
      </c>
      <c r="H13">
        <f>'Req. Diario'!G11</f>
        <v>0.10734066076115283</v>
      </c>
      <c r="I13">
        <f>H13/$I$6</f>
        <v>0.6708791297572051</v>
      </c>
      <c r="J13">
        <f>'Req. Diario'!H11</f>
        <v>0.49782809450009996</v>
      </c>
      <c r="K13">
        <f>J13/$K$6</f>
        <v>1.8438077574077776</v>
      </c>
      <c r="L13">
        <f>'Req. Diario'!I11</f>
        <v>5.0926</v>
      </c>
      <c r="M13">
        <f>L13/$M$6</f>
        <v>24.841951219512197</v>
      </c>
    </row>
    <row r="14">
      <c r="A14">
        <v>2</v>
      </c>
      <c r="B14">
        <f>'Req. Diario'!D12</f>
        <v>1.2085255</v>
      </c>
      <c r="C14">
        <f>(B14-((E14*(Main!$E$31/100))+(G14*(Main!$E$36/100))+(I14*(Main!$E$46/100))+(K14*(Main!$E$51/100))))/$C$6</f>
        <v>2.7544337241844605</v>
      </c>
      <c r="D14">
        <f>'Req. Diario'!E12</f>
        <v>0.681792475</v>
      </c>
      <c r="E14">
        <f>(D14-((C14*(Main!$F$41/100))+(G14*(Main!$F$36/100))+(I14*(Main!$F$46/100))+(K14*(Main!$F$51/100))))/$E$6</f>
        <v>1.3111393749999998</v>
      </c>
      <c r="F14">
        <f>'Req. Diario'!F12</f>
        <v>1.3937104999999999</v>
      </c>
      <c r="G14">
        <f>(F14-((C14*(Main!$G$41/100))+(E14*(Main!$G$31/100))+(I14*(Main!$G$46/100))+(K14*(Main!$G$51/100))))/$G$6</f>
        <v>1.5798718541666665</v>
      </c>
      <c r="H14">
        <f>'Req. Diario'!G12</f>
        <v>0.10734066076115283</v>
      </c>
      <c r="I14">
        <f>H14/$I$6</f>
        <v>0.6708791297572051</v>
      </c>
      <c r="J14">
        <f>'Req. Diario'!H12</f>
        <v>0.49782809450009996</v>
      </c>
      <c r="K14">
        <f>J14/$K$6</f>
        <v>1.8438077574077776</v>
      </c>
      <c r="L14">
        <f>'Req. Diario'!I12</f>
        <v>5.0926</v>
      </c>
      <c r="M14">
        <f>L14/$M$6</f>
        <v>24.841951219512197</v>
      </c>
    </row>
    <row r="15">
      <c r="B15">
        <f>'Req. Diario'!D13</f>
        <v>1.2085255</v>
      </c>
      <c r="C15">
        <f>(B15-((E15*(Main!$E$31/100))+(G15*(Main!$E$36/100))+(I15*(Main!$E$46/100))+(K15*(Main!$E$51/100))))/$C$6</f>
        <v>2.7544337241844605</v>
      </c>
      <c r="D15">
        <f>'Req. Diario'!E13</f>
        <v>0.681792475</v>
      </c>
      <c r="E15">
        <f>(D15-((C15*(Main!$F$41/100))+(G15*(Main!$F$36/100))+(I15*(Main!$F$46/100))+(K15*(Main!$F$51/100))))/$E$6</f>
        <v>1.3111393749999998</v>
      </c>
      <c r="F15">
        <f>'Req. Diario'!F13</f>
        <v>1.3937104999999999</v>
      </c>
      <c r="G15">
        <f>(F15-((C15*(Main!$G$41/100))+(E15*(Main!$G$31/100))+(I15*(Main!$G$46/100))+(K15*(Main!$G$51/100))))/$G$6</f>
        <v>1.5798718541666665</v>
      </c>
      <c r="H15">
        <f>'Req. Diario'!G13</f>
        <v>0.10734066076115283</v>
      </c>
      <c r="I15">
        <f>H15/$I$6</f>
        <v>0.6708791297572051</v>
      </c>
      <c r="J15">
        <f>'Req. Diario'!H13</f>
        <v>0.49782809450009996</v>
      </c>
      <c r="K15">
        <f>J15/$K$6</f>
        <v>1.8438077574077776</v>
      </c>
      <c r="L15">
        <f>'Req. Diario'!I13</f>
        <v>5.0926</v>
      </c>
      <c r="M15">
        <f>L15/$M$6</f>
        <v>24.841951219512197</v>
      </c>
    </row>
    <row r="16">
      <c r="B16">
        <f>'Req. Diario'!D14</f>
        <v>1.2085255</v>
      </c>
      <c r="C16">
        <f>(B16-((E16*(Main!$E$31/100))+(G16*(Main!$E$36/100))+(I16*(Main!$E$46/100))+(K16*(Main!$E$51/100))))/$C$6</f>
        <v>2.7544337241844605</v>
      </c>
      <c r="D16">
        <f>'Req. Diario'!E14</f>
        <v>0.681792475</v>
      </c>
      <c r="E16">
        <f>(D16-((C16*(Main!$F$41/100))+(G16*(Main!$F$36/100))+(I16*(Main!$F$46/100))+(K16*(Main!$F$51/100))))/$E$6</f>
        <v>1.3111393749999998</v>
      </c>
      <c r="F16">
        <f>'Req. Diario'!F14</f>
        <v>1.3937104999999999</v>
      </c>
      <c r="G16">
        <f>(F16-((C16*(Main!$G$41/100))+(E16*(Main!$G$31/100))+(I16*(Main!$G$46/100))+(K16*(Main!$G$51/100))))/$G$6</f>
        <v>1.5798718541666665</v>
      </c>
      <c r="H16">
        <f>'Req. Diario'!G14</f>
        <v>0.10734066076115283</v>
      </c>
      <c r="I16">
        <f>H16/$I$6</f>
        <v>0.6708791297572051</v>
      </c>
      <c r="J16">
        <f>'Req. Diario'!H14</f>
        <v>0.49782809450009996</v>
      </c>
      <c r="K16">
        <f>J16/$K$6</f>
        <v>1.8438077574077776</v>
      </c>
      <c r="L16">
        <f>'Req. Diario'!I14</f>
        <v>5.0926</v>
      </c>
      <c r="M16">
        <f>L16/$M$6</f>
        <v>24.841951219512197</v>
      </c>
    </row>
    <row r="17">
      <c r="B17">
        <f>'Req. Diario'!D15</f>
        <v>1.2085255</v>
      </c>
      <c r="C17">
        <f>(B17-((E17*(Main!$E$31/100))+(G17*(Main!$E$36/100))+(I17*(Main!$E$46/100))+(K17*(Main!$E$51/100))))/$C$6</f>
        <v>2.7544337241844605</v>
      </c>
      <c r="D17">
        <f>'Req. Diario'!E15</f>
        <v>0.681792475</v>
      </c>
      <c r="E17">
        <f>(D17-((C17*(Main!$F$41/100))+(G17*(Main!$F$36/100))+(I17*(Main!$F$46/100))+(K17*(Main!$F$51/100))))/$E$6</f>
        <v>1.3111393749999998</v>
      </c>
      <c r="F17">
        <f>'Req. Diario'!F15</f>
        <v>1.3937104999999999</v>
      </c>
      <c r="G17">
        <f>(F17-((C17*(Main!$G$41/100))+(E17*(Main!$G$31/100))+(I17*(Main!$G$46/100))+(K17*(Main!$G$51/100))))/$G$6</f>
        <v>1.5798718541666665</v>
      </c>
      <c r="H17">
        <f>'Req. Diario'!G15</f>
        <v>0.10734066076115283</v>
      </c>
      <c r="I17">
        <f>H17/$I$6</f>
        <v>0.6708791297572051</v>
      </c>
      <c r="J17">
        <f>'Req. Diario'!H15</f>
        <v>0.49782809450009996</v>
      </c>
      <c r="K17">
        <f>J17/$K$6</f>
        <v>1.8438077574077776</v>
      </c>
      <c r="L17">
        <f>'Req. Diario'!I15</f>
        <v>9.1667</v>
      </c>
      <c r="M17">
        <f>L17/$M$6</f>
        <v>44.715609756097564</v>
      </c>
    </row>
    <row r="18">
      <c r="B18">
        <f>'Req. Diario'!D16</f>
        <v>1.2085255</v>
      </c>
      <c r="C18">
        <f>(B18-((E18*(Main!$E$31/100))+(G18*(Main!$E$36/100))+(I18*(Main!$E$46/100))+(K18*(Main!$E$51/100))))/$C$6</f>
        <v>2.7544337241844605</v>
      </c>
      <c r="D18">
        <f>'Req. Diario'!E16</f>
        <v>0.681792475</v>
      </c>
      <c r="E18">
        <f>(D18-((C18*(Main!$F$41/100))+(G18*(Main!$F$36/100))+(I18*(Main!$F$46/100))+(K18*(Main!$F$51/100))))/$E$6</f>
        <v>1.3111393749999998</v>
      </c>
      <c r="F18">
        <f>'Req. Diario'!F16</f>
        <v>1.3937104999999999</v>
      </c>
      <c r="G18">
        <f>(F18-((C18*(Main!$G$41/100))+(E18*(Main!$G$31/100))+(I18*(Main!$G$46/100))+(K18*(Main!$G$51/100))))/$G$6</f>
        <v>1.5798718541666665</v>
      </c>
      <c r="H18">
        <f>'Req. Diario'!G16</f>
        <v>0.10734066076115283</v>
      </c>
      <c r="I18">
        <f>H18/$I$6</f>
        <v>0.6708791297572051</v>
      </c>
      <c r="J18">
        <f>'Req. Diario'!H16</f>
        <v>0.49782809450009996</v>
      </c>
      <c r="K18">
        <f>J18/$K$6</f>
        <v>1.8438077574077776</v>
      </c>
      <c r="L18">
        <f>'Req. Diario'!I16</f>
        <v>9.1667</v>
      </c>
      <c r="M18">
        <f>L18/$M$6</f>
        <v>44.715609756097564</v>
      </c>
    </row>
    <row r="19">
      <c r="B19">
        <f>'Req. Diario'!D17</f>
        <v>1.2085255</v>
      </c>
      <c r="C19">
        <f>(B19-((E19*(Main!$E$31/100))+(G19*(Main!$E$36/100))+(I19*(Main!$E$46/100))+(K19*(Main!$E$51/100))))/$C$6</f>
        <v>2.7544337241844605</v>
      </c>
      <c r="D19">
        <f>'Req. Diario'!E17</f>
        <v>0.681792475</v>
      </c>
      <c r="E19">
        <f>(D19-((C19*(Main!$F$41/100))+(G19*(Main!$F$36/100))+(I19*(Main!$F$46/100))+(K19*(Main!$F$51/100))))/$E$6</f>
        <v>1.3111393749999998</v>
      </c>
      <c r="F19">
        <f>'Req. Diario'!F17</f>
        <v>1.3937104999999999</v>
      </c>
      <c r="G19">
        <f>(F19-((C19*(Main!$G$41/100))+(E19*(Main!$G$31/100))+(I19*(Main!$G$46/100))+(K19*(Main!$G$51/100))))/$G$6</f>
        <v>1.5798718541666665</v>
      </c>
      <c r="H19">
        <f>'Req. Diario'!G17</f>
        <v>0.10734066076115283</v>
      </c>
      <c r="I19">
        <f>H19/$I$6</f>
        <v>0.6708791297572051</v>
      </c>
      <c r="J19">
        <f>'Req. Diario'!H17</f>
        <v>0.49782809450009996</v>
      </c>
      <c r="K19">
        <f>J19/$K$6</f>
        <v>1.8438077574077776</v>
      </c>
      <c r="L19">
        <f>'Req. Diario'!I17</f>
        <v>9.1667</v>
      </c>
      <c r="M19">
        <f>L19/$M$6</f>
        <v>44.715609756097564</v>
      </c>
    </row>
    <row r="20">
      <c r="B20">
        <f>'Req. Diario'!D18</f>
        <v>1.2085255</v>
      </c>
      <c r="C20">
        <f>(B20-((E20*(Main!$E$31/100))+(G20*(Main!$E$36/100))+(I20*(Main!$E$46/100))+(K20*(Main!$E$51/100))))/$C$6</f>
        <v>2.7544337241844605</v>
      </c>
      <c r="D20">
        <f>'Req. Diario'!E18</f>
        <v>0.681792475</v>
      </c>
      <c r="E20">
        <f>(D20-((C20*(Main!$F$41/100))+(G20*(Main!$F$36/100))+(I20*(Main!$F$46/100))+(K20*(Main!$F$51/100))))/$E$6</f>
        <v>1.3111393749999998</v>
      </c>
      <c r="F20">
        <f>'Req. Diario'!F18</f>
        <v>1.3937104999999999</v>
      </c>
      <c r="G20">
        <f>(F20-((C20*(Main!$G$41/100))+(E20*(Main!$G$31/100))+(I20*(Main!$G$46/100))+(K20*(Main!$G$51/100))))/$G$6</f>
        <v>1.5798718541666665</v>
      </c>
      <c r="H20">
        <f>'Req. Diario'!G18</f>
        <v>0.10734066076115283</v>
      </c>
      <c r="I20">
        <f>H20/$I$6</f>
        <v>0.6708791297572051</v>
      </c>
      <c r="J20">
        <f>'Req. Diario'!H18</f>
        <v>0.49782809450009996</v>
      </c>
      <c r="K20">
        <f>J20/$K$6</f>
        <v>1.8438077574077776</v>
      </c>
      <c r="L20">
        <f>'Req. Diario'!I18</f>
        <v>9.1667</v>
      </c>
      <c r="M20">
        <f>L20/$M$6</f>
        <v>44.715609756097564</v>
      </c>
    </row>
    <row r="21">
      <c r="A21">
        <v>3</v>
      </c>
      <c r="B21">
        <f>'Req. Diario'!D19</f>
        <v>1.2085255</v>
      </c>
      <c r="C21">
        <f>(B21-((E21*(Main!$E$31/100))+(G21*(Main!$E$36/100))+(I21*(Main!$E$46/100))+(K21*(Main!$E$51/100))))/$C$6</f>
        <v>2.7544337241844605</v>
      </c>
      <c r="D21">
        <f>'Req. Diario'!E19</f>
        <v>0.681792475</v>
      </c>
      <c r="E21">
        <f>(D21-((C21*(Main!$F$41/100))+(G21*(Main!$F$36/100))+(I21*(Main!$F$46/100))+(K21*(Main!$F$51/100))))/$E$6</f>
        <v>1.3111393749999998</v>
      </c>
      <c r="F21">
        <f>'Req. Diario'!F19</f>
        <v>1.3937104999999999</v>
      </c>
      <c r="G21">
        <f>(F21-((C21*(Main!$G$41/100))+(E21*(Main!$G$31/100))+(I21*(Main!$G$46/100))+(K21*(Main!$G$51/100))))/$G$6</f>
        <v>1.5798718541666665</v>
      </c>
      <c r="H21">
        <f>'Req. Diario'!G19</f>
        <v>0.10734066076115283</v>
      </c>
      <c r="I21">
        <f>H21/$I$6</f>
        <v>0.6708791297572051</v>
      </c>
      <c r="J21">
        <f>'Req. Diario'!H19</f>
        <v>0.49782809450009996</v>
      </c>
      <c r="K21">
        <f>J21/$K$6</f>
        <v>1.8438077574077776</v>
      </c>
      <c r="L21">
        <f>'Req. Diario'!I19</f>
        <v>9.1667</v>
      </c>
      <c r="M21">
        <f>L21/$M$6</f>
        <v>44.715609756097564</v>
      </c>
    </row>
    <row r="22">
      <c r="B22">
        <f>'Req. Diario'!D20</f>
        <v>1.8130384999999998</v>
      </c>
      <c r="C22">
        <f>(B22-((E22*(Main!$E$31/100))+(G22*(Main!$E$36/100))+(I22*(Main!$E$46/100))+(K22*(Main!$E$51/100))))/$C$6</f>
        <v>4.131798803929418</v>
      </c>
      <c r="D22">
        <f>'Req. Diario'!E20</f>
        <v>1.0206924</v>
      </c>
      <c r="E22">
        <f>(D22-((C22*(Main!$F$41/100))+(G22*(Main!$F$36/100))+(I22*(Main!$F$46/100))+(K22*(Main!$F$51/100))))/$E$6</f>
        <v>1.96287</v>
      </c>
      <c r="F22">
        <f>'Req. Diario'!F20</f>
        <v>2.091544</v>
      </c>
      <c r="G22">
        <f>(F22-((C22*(Main!$G$41/100))+(E22*(Main!$G$31/100))+(I22*(Main!$G$46/100))+(K22*(Main!$G$51/100))))/$G$6</f>
        <v>2.373613666666667</v>
      </c>
      <c r="H22">
        <f>'Req. Diario'!G20</f>
        <v>0.1610863339058037</v>
      </c>
      <c r="I22">
        <f>H22/$I$6</f>
        <v>1.006789586911273</v>
      </c>
      <c r="J22">
        <f>'Req. Diario'!H20</f>
        <v>0.7470915689328</v>
      </c>
      <c r="K22">
        <f>J22/$K$6</f>
        <v>2.7670058108622224</v>
      </c>
      <c r="L22">
        <f>'Req. Diario'!I20</f>
        <v>9.1667</v>
      </c>
      <c r="M22">
        <f>L22/$M$6</f>
        <v>44.715609756097564</v>
      </c>
    </row>
    <row r="23">
      <c r="B23">
        <f>'Req. Diario'!D21</f>
        <v>1.8130384999999998</v>
      </c>
      <c r="C23">
        <f>(B23-((E23*(Main!$E$31/100))+(G23*(Main!$E$36/100))+(I23*(Main!$E$46/100))+(K23*(Main!$E$51/100))))/$C$6</f>
        <v>4.131798803929418</v>
      </c>
      <c r="D23">
        <f>'Req. Diario'!E21</f>
        <v>1.0206924</v>
      </c>
      <c r="E23">
        <f>(D23-((C23*(Main!$F$41/100))+(G23*(Main!$F$36/100))+(I23*(Main!$F$46/100))+(K23*(Main!$F$51/100))))/$E$6</f>
        <v>1.96287</v>
      </c>
      <c r="F23">
        <f>'Req. Diario'!F21</f>
        <v>2.091544</v>
      </c>
      <c r="G23">
        <f>(F23-((C23*(Main!$G$41/100))+(E23*(Main!$G$31/100))+(I23*(Main!$G$46/100))+(K23*(Main!$G$51/100))))/$G$6</f>
        <v>2.373613666666667</v>
      </c>
      <c r="H23">
        <f>'Req. Diario'!G21</f>
        <v>0.1610863339058037</v>
      </c>
      <c r="I23">
        <f>H23/$I$6</f>
        <v>1.006789586911273</v>
      </c>
      <c r="J23">
        <f>'Req. Diario'!H21</f>
        <v>0.7470915689328</v>
      </c>
      <c r="K23">
        <f>J23/$K$6</f>
        <v>2.7670058108622224</v>
      </c>
      <c r="L23">
        <f>'Req. Diario'!I21</f>
        <v>9.1667</v>
      </c>
      <c r="M23">
        <f>L23/$M$6</f>
        <v>44.715609756097564</v>
      </c>
    </row>
    <row r="24">
      <c r="B24">
        <f>'Req. Diario'!D22</f>
        <v>1.8130384999999998</v>
      </c>
      <c r="C24">
        <f>(B24-((E24*(Main!$E$31/100))+(G24*(Main!$E$36/100))+(I24*(Main!$E$46/100))+(K24*(Main!$E$51/100))))/$C$6</f>
        <v>4.131798803929418</v>
      </c>
      <c r="D24">
        <f>'Req. Diario'!E22</f>
        <v>1.0206924</v>
      </c>
      <c r="E24">
        <f>(D24-((C24*(Main!$F$41/100))+(G24*(Main!$F$36/100))+(I24*(Main!$F$46/100))+(K24*(Main!$F$51/100))))/$E$6</f>
        <v>1.96287</v>
      </c>
      <c r="F24">
        <f>'Req. Diario'!F22</f>
        <v>2.091544</v>
      </c>
      <c r="G24">
        <f>(F24-((C24*(Main!$G$41/100))+(E24*(Main!$G$31/100))+(I24*(Main!$G$46/100))+(K24*(Main!$G$51/100))))/$G$6</f>
        <v>2.373613666666667</v>
      </c>
      <c r="H24">
        <f>'Req. Diario'!G22</f>
        <v>0.1610863339058037</v>
      </c>
      <c r="I24">
        <f>H24/$I$6</f>
        <v>1.006789586911273</v>
      </c>
      <c r="J24">
        <f>'Req. Diario'!H22</f>
        <v>0.7470915689328</v>
      </c>
      <c r="K24">
        <f>J24/$K$6</f>
        <v>2.7670058108622224</v>
      </c>
      <c r="L24">
        <f>'Req. Diario'!I22</f>
        <v>12.2222</v>
      </c>
      <c r="M24">
        <f>L24/$M$6</f>
        <v>59.62048780487805</v>
      </c>
    </row>
    <row r="25">
      <c r="B25">
        <f>'Req. Diario'!D23</f>
        <v>1.8130384999999998</v>
      </c>
      <c r="C25">
        <f>(B25-((E25*(Main!$E$31/100))+(G25*(Main!$E$36/100))+(I25*(Main!$E$46/100))+(K25*(Main!$E$51/100))))/$C$6</f>
        <v>4.131798803929418</v>
      </c>
      <c r="D25">
        <f>'Req. Diario'!E23</f>
        <v>1.0206924</v>
      </c>
      <c r="E25">
        <f>(D25-((C25*(Main!$F$41/100))+(G25*(Main!$F$36/100))+(I25*(Main!$F$46/100))+(K25*(Main!$F$51/100))))/$E$6</f>
        <v>1.96287</v>
      </c>
      <c r="F25">
        <f>'Req. Diario'!F23</f>
        <v>2.091544</v>
      </c>
      <c r="G25">
        <f>(F25-((C25*(Main!$G$41/100))+(E25*(Main!$G$31/100))+(I25*(Main!$G$46/100))+(K25*(Main!$G$51/100))))/$G$6</f>
        <v>2.373613666666667</v>
      </c>
      <c r="H25">
        <f>'Req. Diario'!G23</f>
        <v>0.1610863339058037</v>
      </c>
      <c r="I25">
        <f>H25/$I$6</f>
        <v>1.006789586911273</v>
      </c>
      <c r="J25">
        <f>'Req. Diario'!H23</f>
        <v>0.7470915689328</v>
      </c>
      <c r="K25">
        <f>J25/$K$6</f>
        <v>2.7670058108622224</v>
      </c>
      <c r="L25">
        <f>'Req. Diario'!I23</f>
        <v>12.2222</v>
      </c>
      <c r="M25">
        <f>L25/$M$6</f>
        <v>59.62048780487805</v>
      </c>
    </row>
    <row r="26">
      <c r="B26">
        <f>'Req. Diario'!D24</f>
        <v>1.8130384999999998</v>
      </c>
      <c r="C26">
        <f>(B26-((E26*(Main!$E$31/100))+(G26*(Main!$E$36/100))+(I26*(Main!$E$46/100))+(K26*(Main!$E$51/100))))/$C$6</f>
        <v>4.131798803929418</v>
      </c>
      <c r="D26">
        <f>'Req. Diario'!E24</f>
        <v>1.0206924</v>
      </c>
      <c r="E26">
        <f>(D26-((C26*(Main!$F$41/100))+(G26*(Main!$F$36/100))+(I26*(Main!$F$46/100))+(K26*(Main!$F$51/100))))/$E$6</f>
        <v>1.96287</v>
      </c>
      <c r="F26">
        <f>'Req. Diario'!F24</f>
        <v>2.091544</v>
      </c>
      <c r="G26">
        <f>(F26-((C26*(Main!$G$41/100))+(E26*(Main!$G$31/100))+(I26*(Main!$G$46/100))+(K26*(Main!$G$51/100))))/$G$6</f>
        <v>2.373613666666667</v>
      </c>
      <c r="H26">
        <f>'Req. Diario'!G24</f>
        <v>0.1610863339058037</v>
      </c>
      <c r="I26">
        <f>H26/$I$6</f>
        <v>1.006789586911273</v>
      </c>
      <c r="J26">
        <f>'Req. Diario'!H24</f>
        <v>0.7470915689328</v>
      </c>
      <c r="K26">
        <f>J26/$K$6</f>
        <v>2.7670058108622224</v>
      </c>
      <c r="L26">
        <f>'Req. Diario'!I24</f>
        <v>12.2222</v>
      </c>
      <c r="M26">
        <f>L26/$M$6</f>
        <v>59.62048780487805</v>
      </c>
    </row>
    <row r="27">
      <c r="B27">
        <f>'Req. Diario'!D25</f>
        <v>1.8130384999999998</v>
      </c>
      <c r="C27">
        <f>(B27-((E27*(Main!$E$31/100))+(G27*(Main!$E$36/100))+(I27*(Main!$E$46/100))+(K27*(Main!$E$51/100))))/$C$6</f>
        <v>4.131798803929418</v>
      </c>
      <c r="D27">
        <f>'Req. Diario'!E25</f>
        <v>1.0206924</v>
      </c>
      <c r="E27">
        <f>(D27-((C27*(Main!$F$41/100))+(G27*(Main!$F$36/100))+(I27*(Main!$F$46/100))+(K27*(Main!$F$51/100))))/$E$6</f>
        <v>1.96287</v>
      </c>
      <c r="F27">
        <f>'Req. Diario'!F25</f>
        <v>2.091544</v>
      </c>
      <c r="G27">
        <f>(F27-((C27*(Main!$G$41/100))+(E27*(Main!$G$31/100))+(I27*(Main!$G$46/100))+(K27*(Main!$G$51/100))))/$G$6</f>
        <v>2.373613666666667</v>
      </c>
      <c r="H27">
        <f>'Req. Diario'!G25</f>
        <v>0.1610863339058037</v>
      </c>
      <c r="I27">
        <f>H27/$I$6</f>
        <v>1.006789586911273</v>
      </c>
      <c r="J27">
        <f>'Req. Diario'!H25</f>
        <v>0.7470915689328</v>
      </c>
      <c r="K27">
        <f>J27/$K$6</f>
        <v>2.7670058108622224</v>
      </c>
      <c r="L27">
        <f>'Req. Diario'!I25</f>
        <v>12.2222</v>
      </c>
      <c r="M27">
        <f>L27/$M$6</f>
        <v>59.62048780487805</v>
      </c>
    </row>
    <row r="28">
      <c r="A28">
        <v>4</v>
      </c>
      <c r="B28">
        <f>'Req. Diario'!D26</f>
        <v>1.8130384999999998</v>
      </c>
      <c r="C28">
        <f>(B28-((E28*(Main!$E$31/100))+(G28*(Main!$E$36/100))+(I28*(Main!$E$46/100))+(K28*(Main!$E$51/100))))/$C$6</f>
        <v>4.131798803929418</v>
      </c>
      <c r="D28">
        <f>'Req. Diario'!E26</f>
        <v>1.0206924</v>
      </c>
      <c r="E28">
        <f>(D28-((C28*(Main!$F$41/100))+(G28*(Main!$F$36/100))+(I28*(Main!$F$46/100))+(K28*(Main!$F$51/100))))/$E$6</f>
        <v>1.96287</v>
      </c>
      <c r="F28">
        <f>'Req. Diario'!F26</f>
        <v>2.091544</v>
      </c>
      <c r="G28">
        <f>(F28-((C28*(Main!$G$41/100))+(E28*(Main!$G$31/100))+(I28*(Main!$G$46/100))+(K28*(Main!$G$51/100))))/$G$6</f>
        <v>2.373613666666667</v>
      </c>
      <c r="H28">
        <f>'Req. Diario'!G26</f>
        <v>0.1610863339058037</v>
      </c>
      <c r="I28">
        <f>H28/$I$6</f>
        <v>1.006789586911273</v>
      </c>
      <c r="J28">
        <f>'Req. Diario'!H26</f>
        <v>0.7470915689328</v>
      </c>
      <c r="K28">
        <f>J28/$K$6</f>
        <v>2.7670058108622224</v>
      </c>
      <c r="L28">
        <f>'Req. Diario'!I26</f>
        <v>12.2222</v>
      </c>
      <c r="M28">
        <f>L28/$M$6</f>
        <v>59.62048780487805</v>
      </c>
    </row>
    <row r="29">
      <c r="B29">
        <f>'Req. Diario'!D27</f>
        <v>1.8130384999999998</v>
      </c>
      <c r="C29">
        <f>(B29-((E29*(Main!$E$31/100))+(G29*(Main!$E$36/100))+(I29*(Main!$E$46/100))+(K29*(Main!$E$51/100))))/$C$6</f>
        <v>4.131798803929418</v>
      </c>
      <c r="D29">
        <f>'Req. Diario'!E27</f>
        <v>1.0206924</v>
      </c>
      <c r="E29">
        <f>(D29-((C29*(Main!$F$41/100))+(G29*(Main!$F$36/100))+(I29*(Main!$F$46/100))+(K29*(Main!$F$51/100))))/$E$6</f>
        <v>1.96287</v>
      </c>
      <c r="F29">
        <f>'Req. Diario'!F27</f>
        <v>2.091544</v>
      </c>
      <c r="G29">
        <f>(F29-((C29*(Main!$G$41/100))+(E29*(Main!$G$31/100))+(I29*(Main!$G$46/100))+(K29*(Main!$G$51/100))))/$G$6</f>
        <v>2.373613666666667</v>
      </c>
      <c r="H29">
        <f>'Req. Diario'!G27</f>
        <v>0.1610863339058037</v>
      </c>
      <c r="I29">
        <f>H29/$I$6</f>
        <v>1.006789586911273</v>
      </c>
      <c r="J29">
        <f>'Req. Diario'!H27</f>
        <v>0.7470915689328</v>
      </c>
      <c r="K29">
        <f>J29/$K$6</f>
        <v>2.7670058108622224</v>
      </c>
      <c r="L29">
        <f>'Req. Diario'!I27</f>
        <v>12.2222</v>
      </c>
      <c r="M29">
        <f>L29/$M$6</f>
        <v>59.62048780487805</v>
      </c>
    </row>
    <row r="30">
      <c r="B30">
        <f>'Req. Diario'!D28</f>
        <v>1.8130384999999998</v>
      </c>
      <c r="C30">
        <f>(B30-((E30*(Main!$E$31/100))+(G30*(Main!$E$36/100))+(I30*(Main!$E$46/100))+(K30*(Main!$E$51/100))))/$C$6</f>
        <v>4.131798803929418</v>
      </c>
      <c r="D30">
        <f>'Req. Diario'!E28</f>
        <v>1.0206924</v>
      </c>
      <c r="E30">
        <f>(D30-((C30*(Main!$F$41/100))+(G30*(Main!$F$36/100))+(I30*(Main!$F$46/100))+(K30*(Main!$F$51/100))))/$E$6</f>
        <v>1.96287</v>
      </c>
      <c r="F30">
        <f>'Req. Diario'!F28</f>
        <v>2.091544</v>
      </c>
      <c r="G30">
        <f>(F30-((C30*(Main!$G$41/100))+(E30*(Main!$G$31/100))+(I30*(Main!$G$46/100))+(K30*(Main!$G$51/100))))/$G$6</f>
        <v>2.373613666666667</v>
      </c>
      <c r="H30">
        <f>'Req. Diario'!G28</f>
        <v>0.1610863339058037</v>
      </c>
      <c r="I30">
        <f>H30/$I$6</f>
        <v>1.006789586911273</v>
      </c>
      <c r="J30">
        <f>'Req. Diario'!H28</f>
        <v>0.7470915689328</v>
      </c>
      <c r="K30">
        <f>J30/$K$6</f>
        <v>2.7670058108622224</v>
      </c>
      <c r="L30">
        <f>'Req. Diario'!I28</f>
        <v>12.2222</v>
      </c>
      <c r="M30">
        <f>L30/$M$6</f>
        <v>59.62048780487805</v>
      </c>
    </row>
    <row r="31">
      <c r="B31">
        <f>'Req. Diario'!D29</f>
        <v>1.8130384999999998</v>
      </c>
      <c r="C31">
        <f>(B31-((E31*(Main!$E$31/100))+(G31*(Main!$E$36/100))+(I31*(Main!$E$46/100))+(K31*(Main!$E$51/100))))/$C$6</f>
        <v>4.131798803929418</v>
      </c>
      <c r="D31">
        <f>'Req. Diario'!E29</f>
        <v>1.0206924</v>
      </c>
      <c r="E31">
        <f>(D31-((C31*(Main!$F$41/100))+(G31*(Main!$F$36/100))+(I31*(Main!$F$46/100))+(K31*(Main!$F$51/100))))/$E$6</f>
        <v>1.96287</v>
      </c>
      <c r="F31">
        <f>'Req. Diario'!F29</f>
        <v>2.091544</v>
      </c>
      <c r="G31">
        <f>(F31-((C31*(Main!$G$41/100))+(E31*(Main!$G$31/100))+(I31*(Main!$G$46/100))+(K31*(Main!$G$51/100))))/$G$6</f>
        <v>2.373613666666667</v>
      </c>
      <c r="H31">
        <f>'Req. Diario'!G29</f>
        <v>0.1610863339058037</v>
      </c>
      <c r="I31">
        <f>H31/$I$6</f>
        <v>1.006789586911273</v>
      </c>
      <c r="J31">
        <f>'Req. Diario'!H29</f>
        <v>0.7470915689328</v>
      </c>
      <c r="K31">
        <f>J31/$K$6</f>
        <v>2.7670058108622224</v>
      </c>
      <c r="L31">
        <f>'Req. Diario'!I29</f>
        <v>12.2222</v>
      </c>
      <c r="M31">
        <f>L31/$M$6</f>
        <v>59.62048780487805</v>
      </c>
    </row>
    <row r="32">
      <c r="B32">
        <f>'Req. Diario'!D30</f>
        <v>1.8130384999999998</v>
      </c>
      <c r="C32">
        <f>(B32-((E32*(Main!$E$31/100))+(G32*(Main!$E$36/100))+(I32*(Main!$E$46/100))+(K32*(Main!$E$51/100))))/$C$6</f>
        <v>4.131798803929418</v>
      </c>
      <c r="D32">
        <f>'Req. Diario'!E30</f>
        <v>1.0206924</v>
      </c>
      <c r="E32">
        <f>(D32-((C32*(Main!$F$41/100))+(G32*(Main!$F$36/100))+(I32*(Main!$F$46/100))+(K32*(Main!$F$51/100))))/$E$6</f>
        <v>1.96287</v>
      </c>
      <c r="F32">
        <f>'Req. Diario'!F30</f>
        <v>2.091544</v>
      </c>
      <c r="G32">
        <f>(F32-((C32*(Main!$G$41/100))+(E32*(Main!$G$31/100))+(I32*(Main!$G$46/100))+(K32*(Main!$G$51/100))))/$G$6</f>
        <v>2.373613666666667</v>
      </c>
      <c r="H32">
        <f>'Req. Diario'!G30</f>
        <v>0.1610863339058037</v>
      </c>
      <c r="I32">
        <f>H32/$I$6</f>
        <v>1.006789586911273</v>
      </c>
      <c r="J32">
        <f>'Req. Diario'!H30</f>
        <v>0.7470915689328</v>
      </c>
      <c r="K32">
        <f>J32/$K$6</f>
        <v>2.7670058108622224</v>
      </c>
      <c r="L32">
        <f>'Req. Diario'!I30</f>
        <v>12.2222</v>
      </c>
      <c r="M32">
        <f>L32/$M$6</f>
        <v>59.62048780487805</v>
      </c>
    </row>
    <row r="33">
      <c r="B33">
        <f>'Req. Diario'!D31</f>
        <v>1.8130384999999998</v>
      </c>
      <c r="C33">
        <f>(B33-((E33*(Main!$E$31/100))+(G33*(Main!$E$36/100))+(I33*(Main!$E$46/100))+(K33*(Main!$E$51/100))))/$C$6</f>
        <v>4.131798803929418</v>
      </c>
      <c r="D33">
        <f>'Req. Diario'!E31</f>
        <v>1.0206924</v>
      </c>
      <c r="E33">
        <f>(D33-((C33*(Main!$F$41/100))+(G33*(Main!$F$36/100))+(I33*(Main!$F$46/100))+(K33*(Main!$F$51/100))))/$E$6</f>
        <v>1.96287</v>
      </c>
      <c r="F33">
        <f>'Req. Diario'!F31</f>
        <v>2.091544</v>
      </c>
      <c r="G33">
        <f>(F33-((C33*(Main!$G$41/100))+(E33*(Main!$G$31/100))+(I33*(Main!$G$46/100))+(K33*(Main!$G$51/100))))/$G$6</f>
        <v>2.373613666666667</v>
      </c>
      <c r="H33">
        <f>'Req. Diario'!G31</f>
        <v>0.1610863339058037</v>
      </c>
      <c r="I33">
        <f>H33/$I$6</f>
        <v>1.006789586911273</v>
      </c>
      <c r="J33">
        <f>'Req. Diario'!H31</f>
        <v>0.7470915689328</v>
      </c>
      <c r="K33">
        <f>J33/$K$6</f>
        <v>2.7670058108622224</v>
      </c>
      <c r="L33">
        <f>'Req. Diario'!I31</f>
        <v>12.2222</v>
      </c>
      <c r="M33">
        <f>L33/$M$6</f>
        <v>59.62048780487805</v>
      </c>
    </row>
    <row r="34">
      <c r="B34">
        <f>'Req. Diario'!D32</f>
        <v>1.8130384999999998</v>
      </c>
      <c r="C34">
        <f>(B34-((E34*(Main!$E$31/100))+(G34*(Main!$E$36/100))+(I34*(Main!$E$46/100))+(K34*(Main!$E$51/100))))/$C$6</f>
        <v>4.131798803929418</v>
      </c>
      <c r="D34">
        <f>'Req. Diario'!E32</f>
        <v>1.0206924</v>
      </c>
      <c r="E34">
        <f>(D34-((C34*(Main!$F$41/100))+(G34*(Main!$F$36/100))+(I34*(Main!$F$46/100))+(K34*(Main!$F$51/100))))/$E$6</f>
        <v>1.96287</v>
      </c>
      <c r="F34">
        <f>'Req. Diario'!F32</f>
        <v>2.091544</v>
      </c>
      <c r="G34">
        <f>(F34-((C34*(Main!$G$41/100))+(E34*(Main!$G$31/100))+(I34*(Main!$G$46/100))+(K34*(Main!$G$51/100))))/$G$6</f>
        <v>2.373613666666667</v>
      </c>
      <c r="H34">
        <f>'Req. Diario'!G32</f>
        <v>0.1610863339058037</v>
      </c>
      <c r="I34">
        <f>H34/$I$6</f>
        <v>1.006789586911273</v>
      </c>
      <c r="J34">
        <f>'Req. Diario'!H32</f>
        <v>0.7470915689328</v>
      </c>
      <c r="K34">
        <f>J34/$K$6</f>
        <v>2.7670058108622224</v>
      </c>
      <c r="L34">
        <f>'Req. Diario'!I32</f>
        <v>12.2222</v>
      </c>
      <c r="M34">
        <f>L34/$M$6</f>
        <v>59.62048780487805</v>
      </c>
    </row>
    <row r="35">
      <c r="A35">
        <v>5</v>
      </c>
      <c r="B35">
        <f>'Req. Diario'!D33</f>
        <v>1.8130384999999998</v>
      </c>
      <c r="C35">
        <f>(B35-((E35*(Main!$E$31/100))+(G35*(Main!$E$36/100))+(I35*(Main!$E$46/100))+(K35*(Main!$E$51/100))))/$C$6</f>
        <v>4.131798803929418</v>
      </c>
      <c r="D35">
        <f>'Req. Diario'!E33</f>
        <v>1.0206924</v>
      </c>
      <c r="E35">
        <f>(D35-((C35*(Main!$F$41/100))+(G35*(Main!$F$36/100))+(I35*(Main!$F$46/100))+(K35*(Main!$F$51/100))))/$E$6</f>
        <v>1.96287</v>
      </c>
      <c r="F35">
        <f>'Req. Diario'!F33</f>
        <v>2.091544</v>
      </c>
      <c r="G35">
        <f>(F35-((C35*(Main!$G$41/100))+(E35*(Main!$G$31/100))+(I35*(Main!$G$46/100))+(K35*(Main!$G$51/100))))/$G$6</f>
        <v>2.373613666666667</v>
      </c>
      <c r="H35">
        <f>'Req. Diario'!G33</f>
        <v>0.1610863339058037</v>
      </c>
      <c r="I35">
        <f>H35/$I$6</f>
        <v>1.006789586911273</v>
      </c>
      <c r="J35">
        <f>'Req. Diario'!H33</f>
        <v>0.7470915689328</v>
      </c>
      <c r="K35">
        <f>J35/$K$6</f>
        <v>2.7670058108622224</v>
      </c>
      <c r="L35">
        <f>'Req. Diario'!I33</f>
        <v>12.2222</v>
      </c>
      <c r="M35">
        <f>L35/$M$6</f>
        <v>59.62048780487805</v>
      </c>
    </row>
    <row r="36">
      <c r="B36">
        <f>'Req. Diario'!D34</f>
        <v>1.8130384999999998</v>
      </c>
      <c r="C36">
        <f>(B36-((E36*(Main!$E$31/100))+(G36*(Main!$E$36/100))+(I36*(Main!$E$46/100))+(K36*(Main!$E$51/100))))/$C$6</f>
        <v>4.131798803929418</v>
      </c>
      <c r="D36">
        <f>'Req. Diario'!E34</f>
        <v>1.0206924</v>
      </c>
      <c r="E36">
        <f>(D36-((C36*(Main!$F$41/100))+(G36*(Main!$F$36/100))+(I36*(Main!$F$46/100))+(K36*(Main!$F$51/100))))/$E$6</f>
        <v>1.96287</v>
      </c>
      <c r="F36">
        <f>'Req. Diario'!F34</f>
        <v>2.091544</v>
      </c>
      <c r="G36">
        <f>(F36-((C36*(Main!$G$41/100))+(E36*(Main!$G$31/100))+(I36*(Main!$G$46/100))+(K36*(Main!$G$51/100))))/$G$6</f>
        <v>2.373613666666667</v>
      </c>
      <c r="H36">
        <f>'Req. Diario'!G34</f>
        <v>0.1610863339058037</v>
      </c>
      <c r="I36">
        <f>H36/$I$6</f>
        <v>1.006789586911273</v>
      </c>
      <c r="J36">
        <f>'Req. Diario'!H34</f>
        <v>0.7470915689328</v>
      </c>
      <c r="K36">
        <f>J36/$K$6</f>
        <v>2.7670058108622224</v>
      </c>
      <c r="L36">
        <f>'Req. Diario'!I34</f>
        <v>12.2222</v>
      </c>
      <c r="M36">
        <f>L36/$M$6</f>
        <v>59.62048780487805</v>
      </c>
    </row>
    <row r="37">
      <c r="B37">
        <f>'Req. Diario'!D35</f>
        <v>5.439063832202</v>
      </c>
      <c r="C37">
        <f>(B37-((E37*(Main!$E$31/100))+(G37*(Main!$E$36/100))+(I37*(Main!$E$46/100))+(K37*(Main!$E$51/100))))/$C$6</f>
        <v>12.395282987728807</v>
      </c>
      <c r="D37">
        <f>'Req. Diario'!E35</f>
        <v>3.0620891918491875</v>
      </c>
      <c r="E37">
        <f>(D37-((C37*(Main!$F$41/100))+(G37*(Main!$F$36/100))+(I37*(Main!$F$46/100))+(K37*(Main!$F$51/100))))/$E$6</f>
        <v>5.888633061248437</v>
      </c>
      <c r="F37">
        <f>'Req. Diario'!F35</f>
        <v>6.274565332035</v>
      </c>
      <c r="G37">
        <f>(F37-((C37*(Main!$G$41/100))+(E37*(Main!$G$31/100))+(I37*(Main!$G$46/100))+(K37*(Main!$G$51/100))))/$G$6</f>
        <v>7.12071681868422</v>
      </c>
      <c r="H37">
        <f>'Req. Diario'!G35</f>
        <v>0.4832538670905179</v>
      </c>
      <c r="I37">
        <f>H37/$I$6</f>
        <v>3.0203366693157365</v>
      </c>
      <c r="J37">
        <f>'Req. Diario'!H35</f>
        <v>2.2412508932546404</v>
      </c>
      <c r="K37">
        <f>J37/$K$6</f>
        <v>8.300929234276445</v>
      </c>
      <c r="L37">
        <f>'Req. Diario'!I35</f>
        <v>12.2222</v>
      </c>
      <c r="M37">
        <f>L37/$M$6</f>
        <v>59.62048780487805</v>
      </c>
    </row>
    <row r="38">
      <c r="B38">
        <f>'Req. Diario'!D36</f>
        <v>5.439063832202</v>
      </c>
      <c r="C38">
        <f>(B38-((E38*(Main!$E$31/100))+(G38*(Main!$E$36/100))+(I38*(Main!$E$46/100))+(K38*(Main!$E$51/100))))/$C$6</f>
        <v>12.395282987728807</v>
      </c>
      <c r="D38">
        <f>'Req. Diario'!E36</f>
        <v>3.0620891918491875</v>
      </c>
      <c r="E38">
        <f>(D38-((C38*(Main!$F$41/100))+(G38*(Main!$F$36/100))+(I38*(Main!$F$46/100))+(K38*(Main!$F$51/100))))/$E$6</f>
        <v>5.888633061248437</v>
      </c>
      <c r="F38">
        <f>'Req. Diario'!F36</f>
        <v>6.274565332035</v>
      </c>
      <c r="G38">
        <f>(F38-((C38*(Main!$G$41/100))+(E38*(Main!$G$31/100))+(I38*(Main!$G$46/100))+(K38*(Main!$G$51/100))))/$G$6</f>
        <v>7.12071681868422</v>
      </c>
      <c r="H38">
        <f>'Req. Diario'!G36</f>
        <v>0.4832538670905179</v>
      </c>
      <c r="I38">
        <f>H38/$I$6</f>
        <v>3.0203366693157365</v>
      </c>
      <c r="J38">
        <f>'Req. Diario'!H36</f>
        <v>2.2412508932546404</v>
      </c>
      <c r="K38">
        <f>J38/$K$6</f>
        <v>8.300929234276445</v>
      </c>
      <c r="L38">
        <f>'Req. Diario'!I36</f>
        <v>12.2222</v>
      </c>
      <c r="M38">
        <f>L38/$M$6</f>
        <v>59.62048780487805</v>
      </c>
    </row>
    <row r="39">
      <c r="B39">
        <f>'Req. Diario'!D37</f>
        <v>5.439063832202</v>
      </c>
      <c r="C39">
        <f>(B39-((E39*(Main!$E$31/100))+(G39*(Main!$E$36/100))+(I39*(Main!$E$46/100))+(K39*(Main!$E$51/100))))/$C$6</f>
        <v>12.395282987728807</v>
      </c>
      <c r="D39">
        <f>'Req. Diario'!E37</f>
        <v>3.0620891918491875</v>
      </c>
      <c r="E39">
        <f>(D39-((C39*(Main!$F$41/100))+(G39*(Main!$F$36/100))+(I39*(Main!$F$46/100))+(K39*(Main!$F$51/100))))/$E$6</f>
        <v>5.888633061248437</v>
      </c>
      <c r="F39">
        <f>'Req. Diario'!F37</f>
        <v>6.274565332035</v>
      </c>
      <c r="G39">
        <f>(F39-((C39*(Main!$G$41/100))+(E39*(Main!$G$31/100))+(I39*(Main!$G$46/100))+(K39*(Main!$G$51/100))))/$G$6</f>
        <v>7.12071681868422</v>
      </c>
      <c r="H39">
        <f>'Req. Diario'!G37</f>
        <v>0.4832538670905179</v>
      </c>
      <c r="I39">
        <f>H39/$I$6</f>
        <v>3.0203366693157365</v>
      </c>
      <c r="J39">
        <f>'Req. Diario'!H37</f>
        <v>2.2412508932546404</v>
      </c>
      <c r="K39">
        <f>J39/$K$6</f>
        <v>8.300929234276445</v>
      </c>
      <c r="L39">
        <f>'Req. Diario'!I37</f>
        <v>17.3149</v>
      </c>
      <c r="M39">
        <f>L39/$M$6</f>
        <v>84.46292682926831</v>
      </c>
    </row>
    <row r="40">
      <c r="B40">
        <f>'Req. Diario'!D38</f>
        <v>5.439063832202</v>
      </c>
      <c r="C40">
        <f>(B40-((E40*(Main!$E$31/100))+(G40*(Main!$E$36/100))+(I40*(Main!$E$46/100))+(K40*(Main!$E$51/100))))/$C$6</f>
        <v>12.395282987728807</v>
      </c>
      <c r="D40">
        <f>'Req. Diario'!E38</f>
        <v>3.0620891918491875</v>
      </c>
      <c r="E40">
        <f>(D40-((C40*(Main!$F$41/100))+(G40*(Main!$F$36/100))+(I40*(Main!$F$46/100))+(K40*(Main!$F$51/100))))/$E$6</f>
        <v>5.888633061248437</v>
      </c>
      <c r="F40">
        <f>'Req. Diario'!F38</f>
        <v>6.274565332035</v>
      </c>
      <c r="G40">
        <f>(F40-((C40*(Main!$G$41/100))+(E40*(Main!$G$31/100))+(I40*(Main!$G$46/100))+(K40*(Main!$G$51/100))))/$G$6</f>
        <v>7.12071681868422</v>
      </c>
      <c r="H40">
        <f>'Req. Diario'!G38</f>
        <v>0.4832538670905179</v>
      </c>
      <c r="I40">
        <f>H40/$I$6</f>
        <v>3.0203366693157365</v>
      </c>
      <c r="J40">
        <f>'Req. Diario'!H38</f>
        <v>2.2412508932546404</v>
      </c>
      <c r="K40">
        <f>J40/$K$6</f>
        <v>8.300929234276445</v>
      </c>
      <c r="L40">
        <f>'Req. Diario'!I38</f>
        <v>17.3149</v>
      </c>
      <c r="M40">
        <f>L40/$M$6</f>
        <v>84.46292682926831</v>
      </c>
    </row>
    <row r="41">
      <c r="B41">
        <f>'Req. Diario'!D39</f>
        <v>5.439063832202</v>
      </c>
      <c r="C41">
        <f>(B41-((E41*(Main!$E$31/100))+(G41*(Main!$E$36/100))+(I41*(Main!$E$46/100))+(K41*(Main!$E$51/100))))/$C$6</f>
        <v>12.395282987728807</v>
      </c>
      <c r="D41">
        <f>'Req. Diario'!E39</f>
        <v>3.0620891918491875</v>
      </c>
      <c r="E41">
        <f>(D41-((C41*(Main!$F$41/100))+(G41*(Main!$F$36/100))+(I41*(Main!$F$46/100))+(K41*(Main!$F$51/100))))/$E$6</f>
        <v>5.888633061248437</v>
      </c>
      <c r="F41">
        <f>'Req. Diario'!F39</f>
        <v>6.274565332035</v>
      </c>
      <c r="G41">
        <f>(F41-((C41*(Main!$G$41/100))+(E41*(Main!$G$31/100))+(I41*(Main!$G$46/100))+(K41*(Main!$G$51/100))))/$G$6</f>
        <v>7.12071681868422</v>
      </c>
      <c r="H41">
        <f>'Req. Diario'!G39</f>
        <v>0.4832538670905179</v>
      </c>
      <c r="I41">
        <f>H41/$I$6</f>
        <v>3.0203366693157365</v>
      </c>
      <c r="J41">
        <f>'Req. Diario'!H39</f>
        <v>2.2412508932546404</v>
      </c>
      <c r="K41">
        <f>J41/$K$6</f>
        <v>8.300929234276445</v>
      </c>
      <c r="L41">
        <f>'Req. Diario'!I39</f>
        <v>17.3149</v>
      </c>
      <c r="M41">
        <f>L41/$M$6</f>
        <v>84.46292682926831</v>
      </c>
    </row>
    <row r="42">
      <c r="A42">
        <v>6</v>
      </c>
      <c r="B42">
        <f>'Req. Diario'!D40</f>
        <v>5.439063832202</v>
      </c>
      <c r="C42">
        <f>(B42-((E42*(Main!$E$31/100))+(G42*(Main!$E$36/100))+(I42*(Main!$E$46/100))+(K42*(Main!$E$51/100))))/$C$6</f>
        <v>12.395282987728807</v>
      </c>
      <c r="D42">
        <f>'Req. Diario'!E40</f>
        <v>3.0620891918491875</v>
      </c>
      <c r="E42">
        <f>(D42-((C42*(Main!$F$41/100))+(G42*(Main!$F$36/100))+(I42*(Main!$F$46/100))+(K42*(Main!$F$51/100))))/$E$6</f>
        <v>5.888633061248437</v>
      </c>
      <c r="F42">
        <f>'Req. Diario'!F40</f>
        <v>6.274565332035</v>
      </c>
      <c r="G42">
        <f>(F42-((C42*(Main!$G$41/100))+(E42*(Main!$G$31/100))+(I42*(Main!$G$46/100))+(K42*(Main!$G$51/100))))/$G$6</f>
        <v>7.12071681868422</v>
      </c>
      <c r="H42">
        <f>'Req. Diario'!G40</f>
        <v>0.4832538670905179</v>
      </c>
      <c r="I42">
        <f>H42/$I$6</f>
        <v>3.0203366693157365</v>
      </c>
      <c r="J42">
        <f>'Req. Diario'!H40</f>
        <v>2.2412508932546404</v>
      </c>
      <c r="K42">
        <f>J42/$K$6</f>
        <v>8.300929234276445</v>
      </c>
      <c r="L42">
        <f>'Req. Diario'!I40</f>
        <v>17.3149</v>
      </c>
      <c r="M42">
        <f>L42/$M$6</f>
        <v>84.46292682926831</v>
      </c>
    </row>
    <row r="43">
      <c r="B43">
        <f>'Req. Diario'!D41</f>
        <v>5.439063832202</v>
      </c>
      <c r="C43">
        <f>(B43-((E43*(Main!$E$31/100))+(G43*(Main!$E$36/100))+(I43*(Main!$E$46/100))+(K43*(Main!$E$51/100))))/$C$6</f>
        <v>12.395282987728807</v>
      </c>
      <c r="D43">
        <f>'Req. Diario'!E41</f>
        <v>3.0620891918491875</v>
      </c>
      <c r="E43">
        <f>(D43-((C43*(Main!$F$41/100))+(G43*(Main!$F$36/100))+(I43*(Main!$F$46/100))+(K43*(Main!$F$51/100))))/$E$6</f>
        <v>5.888633061248437</v>
      </c>
      <c r="F43">
        <f>'Req. Diario'!F41</f>
        <v>6.274565332035</v>
      </c>
      <c r="G43">
        <f>(F43-((C43*(Main!$G$41/100))+(E43*(Main!$G$31/100))+(I43*(Main!$G$46/100))+(K43*(Main!$G$51/100))))/$G$6</f>
        <v>7.12071681868422</v>
      </c>
      <c r="H43">
        <f>'Req. Diario'!G41</f>
        <v>0.4832538670905179</v>
      </c>
      <c r="I43">
        <f>H43/$I$6</f>
        <v>3.0203366693157365</v>
      </c>
      <c r="J43">
        <f>'Req. Diario'!H41</f>
        <v>2.2412508932546404</v>
      </c>
      <c r="K43">
        <f>J43/$K$6</f>
        <v>8.300929234276445</v>
      </c>
      <c r="L43">
        <f>'Req. Diario'!I41</f>
        <v>17.3149</v>
      </c>
      <c r="M43">
        <f>L43/$M$6</f>
        <v>84.46292682926831</v>
      </c>
    </row>
    <row r="44">
      <c r="B44">
        <f>'Req. Diario'!D42</f>
        <v>5.439063832202</v>
      </c>
      <c r="C44">
        <f>(B44-((E44*(Main!$E$31/100))+(G44*(Main!$E$36/100))+(I44*(Main!$E$46/100))+(K44*(Main!$E$51/100))))/$C$6</f>
        <v>12.395282987728807</v>
      </c>
      <c r="D44">
        <f>'Req. Diario'!E42</f>
        <v>3.0620891918491875</v>
      </c>
      <c r="E44">
        <f>(D44-((C44*(Main!$F$41/100))+(G44*(Main!$F$36/100))+(I44*(Main!$F$46/100))+(K44*(Main!$F$51/100))))/$E$6</f>
        <v>5.888633061248437</v>
      </c>
      <c r="F44">
        <f>'Req. Diario'!F42</f>
        <v>6.274565332035</v>
      </c>
      <c r="G44">
        <f>(F44-((C44*(Main!$G$41/100))+(E44*(Main!$G$31/100))+(I44*(Main!$G$46/100))+(K44*(Main!$G$51/100))))/$G$6</f>
        <v>7.12071681868422</v>
      </c>
      <c r="H44">
        <f>'Req. Diario'!G42</f>
        <v>0.4832538670905179</v>
      </c>
      <c r="I44">
        <f>H44/$I$6</f>
        <v>3.0203366693157365</v>
      </c>
      <c r="J44">
        <f>'Req. Diario'!H42</f>
        <v>2.2412508932546404</v>
      </c>
      <c r="K44">
        <f>J44/$K$6</f>
        <v>8.300929234276445</v>
      </c>
      <c r="L44">
        <f>'Req. Diario'!I42</f>
        <v>17.3149</v>
      </c>
      <c r="M44">
        <f>L44/$M$6</f>
        <v>84.46292682926831</v>
      </c>
    </row>
    <row r="45">
      <c r="B45">
        <f>'Req. Diario'!D43</f>
        <v>5.439063832202</v>
      </c>
      <c r="C45">
        <f>(B45-((E45*(Main!$E$31/100))+(G45*(Main!$E$36/100))+(I45*(Main!$E$46/100))+(K45*(Main!$E$51/100))))/$C$6</f>
        <v>12.395282987728807</v>
      </c>
      <c r="D45">
        <f>'Req. Diario'!E43</f>
        <v>3.0620891918491875</v>
      </c>
      <c r="E45">
        <f>(D45-((C45*(Main!$F$41/100))+(G45*(Main!$F$36/100))+(I45*(Main!$F$46/100))+(K45*(Main!$F$51/100))))/$E$6</f>
        <v>5.888633061248437</v>
      </c>
      <c r="F45">
        <f>'Req. Diario'!F43</f>
        <v>6.274565332035</v>
      </c>
      <c r="G45">
        <f>(F45-((C45*(Main!$G$41/100))+(E45*(Main!$G$31/100))+(I45*(Main!$G$46/100))+(K45*(Main!$G$51/100))))/$G$6</f>
        <v>7.12071681868422</v>
      </c>
      <c r="H45">
        <f>'Req. Diario'!G43</f>
        <v>0.4832538670905179</v>
      </c>
      <c r="I45">
        <f>H45/$I$6</f>
        <v>3.0203366693157365</v>
      </c>
      <c r="J45">
        <f>'Req. Diario'!H43</f>
        <v>2.2412508932546404</v>
      </c>
      <c r="K45">
        <f>J45/$K$6</f>
        <v>8.300929234276445</v>
      </c>
      <c r="L45">
        <f>'Req. Diario'!I43</f>
        <v>17.3149</v>
      </c>
      <c r="M45">
        <f>L45/$M$6</f>
        <v>84.46292682926831</v>
      </c>
    </row>
    <row r="46">
      <c r="B46">
        <f>'Req. Diario'!D44</f>
        <v>5.439063832202</v>
      </c>
      <c r="C46">
        <f>(B46-((E46*(Main!$E$31/100))+(G46*(Main!$E$36/100))+(I46*(Main!$E$46/100))+(K46*(Main!$E$51/100))))/$C$6</f>
        <v>12.395282987728807</v>
      </c>
      <c r="D46">
        <f>'Req. Diario'!E44</f>
        <v>3.0620891918491875</v>
      </c>
      <c r="E46">
        <f>(D46-((C46*(Main!$F$41/100))+(G46*(Main!$F$36/100))+(I46*(Main!$F$46/100))+(K46*(Main!$F$51/100))))/$E$6</f>
        <v>5.888633061248437</v>
      </c>
      <c r="F46">
        <f>'Req. Diario'!F44</f>
        <v>6.274565332035</v>
      </c>
      <c r="G46">
        <f>(F46-((C46*(Main!$G$41/100))+(E46*(Main!$G$31/100))+(I46*(Main!$G$46/100))+(K46*(Main!$G$51/100))))/$G$6</f>
        <v>7.12071681868422</v>
      </c>
      <c r="H46">
        <f>'Req. Diario'!G44</f>
        <v>0.4832538670905179</v>
      </c>
      <c r="I46">
        <f>H46/$I$6</f>
        <v>3.0203366693157365</v>
      </c>
      <c r="J46">
        <f>'Req. Diario'!H44</f>
        <v>2.2412508932546404</v>
      </c>
      <c r="K46">
        <f>J46/$K$6</f>
        <v>8.300929234276445</v>
      </c>
      <c r="L46">
        <f>'Req. Diario'!I44</f>
        <v>17.3149</v>
      </c>
      <c r="M46">
        <f>L46/$M$6</f>
        <v>84.46292682926831</v>
      </c>
    </row>
    <row r="47">
      <c r="B47">
        <f>'Req. Diario'!D45</f>
        <v>5.439063832202</v>
      </c>
      <c r="C47">
        <f>(B47-((E47*(Main!$E$31/100))+(G47*(Main!$E$36/100))+(I47*(Main!$E$46/100))+(K47*(Main!$E$51/100))))/$C$6</f>
        <v>12.395282987728807</v>
      </c>
      <c r="D47">
        <f>'Req. Diario'!E45</f>
        <v>3.0620891918491875</v>
      </c>
      <c r="E47">
        <f>(D47-((C47*(Main!$F$41/100))+(G47*(Main!$F$36/100))+(I47*(Main!$F$46/100))+(K47*(Main!$F$51/100))))/$E$6</f>
        <v>5.888633061248437</v>
      </c>
      <c r="F47">
        <f>'Req. Diario'!F45</f>
        <v>6.274565332035</v>
      </c>
      <c r="G47">
        <f>(F47-((C47*(Main!$G$41/100))+(E47*(Main!$G$31/100))+(I47*(Main!$G$46/100))+(K47*(Main!$G$51/100))))/$G$6</f>
        <v>7.12071681868422</v>
      </c>
      <c r="H47">
        <f>'Req. Diario'!G45</f>
        <v>0.4832538670905179</v>
      </c>
      <c r="I47">
        <f>H47/$I$6</f>
        <v>3.0203366693157365</v>
      </c>
      <c r="J47">
        <f>'Req. Diario'!H45</f>
        <v>2.2412508932546404</v>
      </c>
      <c r="K47">
        <f>J47/$K$6</f>
        <v>8.300929234276445</v>
      </c>
      <c r="L47">
        <f>'Req. Diario'!I45</f>
        <v>17.3149</v>
      </c>
      <c r="M47">
        <f>L47/$M$6</f>
        <v>84.46292682926831</v>
      </c>
    </row>
    <row r="48">
      <c r="B48">
        <f>'Req. Diario'!D46</f>
        <v>5.439063832202</v>
      </c>
      <c r="C48">
        <f>(B48-((E48*(Main!$E$31/100))+(G48*(Main!$E$36/100))+(I48*(Main!$E$46/100))+(K48*(Main!$E$51/100))))/$C$6</f>
        <v>12.395282987728807</v>
      </c>
      <c r="D48">
        <f>'Req. Diario'!E46</f>
        <v>3.0620891918491875</v>
      </c>
      <c r="E48">
        <f>(D48-((C48*(Main!$F$41/100))+(G48*(Main!$F$36/100))+(I48*(Main!$F$46/100))+(K48*(Main!$F$51/100))))/$E$6</f>
        <v>5.888633061248437</v>
      </c>
      <c r="F48">
        <f>'Req. Diario'!F46</f>
        <v>6.274565332035</v>
      </c>
      <c r="G48">
        <f>(F48-((C48*(Main!$G$41/100))+(E48*(Main!$G$31/100))+(I48*(Main!$G$46/100))+(K48*(Main!$G$51/100))))/$G$6</f>
        <v>7.12071681868422</v>
      </c>
      <c r="H48">
        <f>'Req. Diario'!G46</f>
        <v>0.4832538670905179</v>
      </c>
      <c r="I48">
        <f>H48/$I$6</f>
        <v>3.0203366693157365</v>
      </c>
      <c r="J48">
        <f>'Req. Diario'!H46</f>
        <v>2.2412508932546404</v>
      </c>
      <c r="K48">
        <f>J48/$K$6</f>
        <v>8.300929234276445</v>
      </c>
      <c r="L48">
        <f>'Req. Diario'!I46</f>
        <v>17.3149</v>
      </c>
      <c r="M48">
        <f>L48/$M$6</f>
        <v>84.46292682926831</v>
      </c>
    </row>
    <row r="49">
      <c r="A49">
        <v>7</v>
      </c>
      <c r="B49">
        <f>'Req. Diario'!D47</f>
        <v>5.439063832202</v>
      </c>
      <c r="C49">
        <f>(B49-((E49*(Main!$E$31/100))+(G49*(Main!$E$36/100))+(I49*(Main!$E$46/100))+(K49*(Main!$E$51/100))))/$C$6</f>
        <v>12.395282987728807</v>
      </c>
      <c r="D49">
        <f>'Req. Diario'!E47</f>
        <v>3.0620891918491875</v>
      </c>
      <c r="E49">
        <f>(D49-((C49*(Main!$F$41/100))+(G49*(Main!$F$36/100))+(I49*(Main!$F$46/100))+(K49*(Main!$F$51/100))))/$E$6</f>
        <v>5.888633061248437</v>
      </c>
      <c r="F49">
        <f>'Req. Diario'!F47</f>
        <v>6.274565332035</v>
      </c>
      <c r="G49">
        <f>(F49-((C49*(Main!$G$41/100))+(E49*(Main!$G$31/100))+(I49*(Main!$G$46/100))+(K49*(Main!$G$51/100))))/$G$6</f>
        <v>7.12071681868422</v>
      </c>
      <c r="H49">
        <f>'Req. Diario'!G47</f>
        <v>0.4832538670905179</v>
      </c>
      <c r="I49">
        <f>H49/$I$6</f>
        <v>3.0203366693157365</v>
      </c>
      <c r="J49">
        <f>'Req. Diario'!H47</f>
        <v>2.2412508932546404</v>
      </c>
      <c r="K49">
        <f>J49/$K$6</f>
        <v>8.300929234276445</v>
      </c>
      <c r="L49">
        <f>'Req. Diario'!I47</f>
        <v>17.3149</v>
      </c>
      <c r="M49">
        <f>L49/$M$6</f>
        <v>84.46292682926831</v>
      </c>
    </row>
    <row r="50">
      <c r="B50">
        <f>'Req. Diario'!D48</f>
        <v>5.439063832202</v>
      </c>
      <c r="C50">
        <f>(B50-((E50*(Main!$E$31/100))+(G50*(Main!$E$36/100))+(I50*(Main!$E$46/100))+(K50*(Main!$E$51/100))))/$C$6</f>
        <v>12.395282987728807</v>
      </c>
      <c r="D50">
        <f>'Req. Diario'!E48</f>
        <v>3.0620891918491875</v>
      </c>
      <c r="E50">
        <f>(D50-((C50*(Main!$F$41/100))+(G50*(Main!$F$36/100))+(I50*(Main!$F$46/100))+(K50*(Main!$F$51/100))))/$E$6</f>
        <v>5.888633061248437</v>
      </c>
      <c r="F50">
        <f>'Req. Diario'!F48</f>
        <v>6.274565332035</v>
      </c>
      <c r="G50">
        <f>(F50-((C50*(Main!$G$41/100))+(E50*(Main!$G$31/100))+(I50*(Main!$G$46/100))+(K50*(Main!$G$51/100))))/$G$6</f>
        <v>7.12071681868422</v>
      </c>
      <c r="H50">
        <f>'Req. Diario'!G48</f>
        <v>0.4832538670905179</v>
      </c>
      <c r="I50">
        <f>H50/$I$6</f>
        <v>3.0203366693157365</v>
      </c>
      <c r="J50">
        <f>'Req. Diario'!H48</f>
        <v>2.2412508932546404</v>
      </c>
      <c r="K50">
        <f>J50/$K$6</f>
        <v>8.300929234276445</v>
      </c>
      <c r="L50">
        <f>'Req. Diario'!I48</f>
        <v>17.3149</v>
      </c>
      <c r="M50">
        <f>L50/$M$6</f>
        <v>84.46292682926831</v>
      </c>
    </row>
    <row r="51">
      <c r="B51">
        <f>'Req. Diario'!D49</f>
        <v>5.439063832202</v>
      </c>
      <c r="C51">
        <f>(B51-((E51*(Main!$E$31/100))+(G51*(Main!$E$36/100))+(I51*(Main!$E$46/100))+(K51*(Main!$E$51/100))))/$C$6</f>
        <v>12.395282987728807</v>
      </c>
      <c r="D51">
        <f>'Req. Diario'!E49</f>
        <v>3.0620891918491875</v>
      </c>
      <c r="E51">
        <f>(D51-((C51*(Main!$F$41/100))+(G51*(Main!$F$36/100))+(I51*(Main!$F$46/100))+(K51*(Main!$F$51/100))))/$E$6</f>
        <v>5.888633061248437</v>
      </c>
      <c r="F51">
        <f>'Req. Diario'!F49</f>
        <v>6.274565332035</v>
      </c>
      <c r="G51">
        <f>(F51-((C51*(Main!$G$41/100))+(E51*(Main!$G$31/100))+(I51*(Main!$G$46/100))+(K51*(Main!$G$51/100))))/$G$6</f>
        <v>7.12071681868422</v>
      </c>
      <c r="H51">
        <f>'Req. Diario'!G49</f>
        <v>0.4832538670905179</v>
      </c>
      <c r="I51">
        <f>H51/$I$6</f>
        <v>3.0203366693157365</v>
      </c>
      <c r="J51">
        <f>'Req. Diario'!H49</f>
        <v>2.2412508932546404</v>
      </c>
      <c r="K51">
        <f>J51/$K$6</f>
        <v>8.300929234276445</v>
      </c>
      <c r="L51">
        <f>'Req. Diario'!I49</f>
        <v>17.3149</v>
      </c>
      <c r="M51">
        <f>L51/$M$6</f>
        <v>84.46292682926831</v>
      </c>
    </row>
    <row r="52">
      <c r="B52">
        <f>'Req. Diario'!D50</f>
        <v>5.439063832202</v>
      </c>
      <c r="C52">
        <f>(B52-((E52*(Main!$E$31/100))+(G52*(Main!$E$36/100))+(I52*(Main!$E$46/100))+(K52*(Main!$E$51/100))))/$C$6</f>
        <v>12.395282987728807</v>
      </c>
      <c r="D52">
        <f>'Req. Diario'!E50</f>
        <v>3.0620891918491875</v>
      </c>
      <c r="E52">
        <f>(D52-((C52*(Main!$F$41/100))+(G52*(Main!$F$36/100))+(I52*(Main!$F$46/100))+(K52*(Main!$F$51/100))))/$E$6</f>
        <v>5.888633061248437</v>
      </c>
      <c r="F52">
        <f>'Req. Diario'!F50</f>
        <v>6.274565332035</v>
      </c>
      <c r="G52">
        <f>(F52-((C52*(Main!$G$41/100))+(E52*(Main!$G$31/100))+(I52*(Main!$G$46/100))+(K52*(Main!$G$51/100))))/$G$6</f>
        <v>7.12071681868422</v>
      </c>
      <c r="H52">
        <f>'Req. Diario'!G50</f>
        <v>0.4832538670905179</v>
      </c>
      <c r="I52">
        <f>H52/$I$6</f>
        <v>3.0203366693157365</v>
      </c>
      <c r="J52">
        <f>'Req. Diario'!H50</f>
        <v>2.2412508932546404</v>
      </c>
      <c r="K52">
        <f>J52/$K$6</f>
        <v>8.300929234276445</v>
      </c>
      <c r="L52">
        <f>'Req. Diario'!I50</f>
        <v>17.3149</v>
      </c>
      <c r="M52">
        <f>L52/$M$6</f>
        <v>84.46292682926831</v>
      </c>
    </row>
    <row r="53">
      <c r="B53">
        <f>'Req. Diario'!D51</f>
        <v>5.439063832202</v>
      </c>
      <c r="C53">
        <f>(B53-((E53*(Main!$E$31/100))+(G53*(Main!$E$36/100))+(I53*(Main!$E$46/100))+(K53*(Main!$E$51/100))))/$C$6</f>
        <v>12.395282987728807</v>
      </c>
      <c r="D53">
        <f>'Req. Diario'!E51</f>
        <v>3.0620891918491875</v>
      </c>
      <c r="E53">
        <f>(D53-((C53*(Main!$F$41/100))+(G53*(Main!$F$36/100))+(I53*(Main!$F$46/100))+(K53*(Main!$F$51/100))))/$E$6</f>
        <v>5.888633061248437</v>
      </c>
      <c r="F53">
        <f>'Req. Diario'!F51</f>
        <v>6.274565332035</v>
      </c>
      <c r="G53">
        <f>(F53-((C53*(Main!$G$41/100))+(E53*(Main!$G$31/100))+(I53*(Main!$G$46/100))+(K53*(Main!$G$51/100))))/$G$6</f>
        <v>7.12071681868422</v>
      </c>
      <c r="H53">
        <f>'Req. Diario'!G51</f>
        <v>0.4832538670905179</v>
      </c>
      <c r="I53">
        <f>H53/$I$6</f>
        <v>3.0203366693157365</v>
      </c>
      <c r="J53">
        <f>'Req. Diario'!H51</f>
        <v>2.2412508932546404</v>
      </c>
      <c r="K53">
        <f>J53/$K$6</f>
        <v>8.300929234276445</v>
      </c>
      <c r="L53">
        <f>'Req. Diario'!I51</f>
        <v>17.3149</v>
      </c>
      <c r="M53">
        <f>L53/$M$6</f>
        <v>84.46292682926831</v>
      </c>
    </row>
    <row r="54">
      <c r="B54">
        <f>'Req. Diario'!D52</f>
        <v>5.439063832202</v>
      </c>
      <c r="C54">
        <f>(B54-((E54*(Main!$E$31/100))+(G54*(Main!$E$36/100))+(I54*(Main!$E$46/100))+(K54*(Main!$E$51/100))))/$C$6</f>
        <v>12.395282987728807</v>
      </c>
      <c r="D54">
        <f>'Req. Diario'!E52</f>
        <v>3.0620891918491875</v>
      </c>
      <c r="E54">
        <f>(D54-((C54*(Main!$F$41/100))+(G54*(Main!$F$36/100))+(I54*(Main!$F$46/100))+(K54*(Main!$F$51/100))))/$E$6</f>
        <v>5.888633061248437</v>
      </c>
      <c r="F54">
        <f>'Req. Diario'!F52</f>
        <v>6.274565332035</v>
      </c>
      <c r="G54">
        <f>(F54-((C54*(Main!$G$41/100))+(E54*(Main!$G$31/100))+(I54*(Main!$G$46/100))+(K54*(Main!$G$51/100))))/$G$6</f>
        <v>7.12071681868422</v>
      </c>
      <c r="H54">
        <f>'Req. Diario'!G52</f>
        <v>0.4832538670905179</v>
      </c>
      <c r="I54">
        <f>H54/$I$6</f>
        <v>3.0203366693157365</v>
      </c>
      <c r="J54">
        <f>'Req. Diario'!H52</f>
        <v>2.2412508932546404</v>
      </c>
      <c r="K54">
        <f>J54/$K$6</f>
        <v>8.300929234276445</v>
      </c>
      <c r="L54">
        <f>'Req. Diario'!I52</f>
        <v>23.426</v>
      </c>
      <c r="M54">
        <f>L54/$M$6</f>
        <v>114.27317073170731</v>
      </c>
    </row>
    <row r="55">
      <c r="B55">
        <f>'Req. Diario'!D53</f>
        <v>5.439063832202</v>
      </c>
      <c r="C55">
        <f>(B55-((E55*(Main!$E$31/100))+(G55*(Main!$E$36/100))+(I55*(Main!$E$46/100))+(K55*(Main!$E$51/100))))/$C$6</f>
        <v>12.395282987728807</v>
      </c>
      <c r="D55">
        <f>'Req. Diario'!E53</f>
        <v>3.0620891918491875</v>
      </c>
      <c r="E55">
        <f>(D55-((C55*(Main!$F$41/100))+(G55*(Main!$F$36/100))+(I55*(Main!$F$46/100))+(K55*(Main!$F$51/100))))/$E$6</f>
        <v>5.888633061248437</v>
      </c>
      <c r="F55">
        <f>'Req. Diario'!F53</f>
        <v>6.274565332035</v>
      </c>
      <c r="G55">
        <f>(F55-((C55*(Main!$G$41/100))+(E55*(Main!$G$31/100))+(I55*(Main!$G$46/100))+(K55*(Main!$G$51/100))))/$G$6</f>
        <v>7.12071681868422</v>
      </c>
      <c r="H55">
        <f>'Req. Diario'!G53</f>
        <v>0.4832538670905179</v>
      </c>
      <c r="I55">
        <f>H55/$I$6</f>
        <v>3.0203366693157365</v>
      </c>
      <c r="J55">
        <f>'Req. Diario'!H53</f>
        <v>2.2412508932546404</v>
      </c>
      <c r="K55">
        <f>J55/$K$6</f>
        <v>8.300929234276445</v>
      </c>
      <c r="L55">
        <f>'Req. Diario'!I53</f>
        <v>23.426</v>
      </c>
      <c r="M55">
        <f>L55/$M$6</f>
        <v>114.27317073170731</v>
      </c>
    </row>
    <row r="56">
      <c r="A56">
        <v>8</v>
      </c>
      <c r="B56">
        <f>'Req. Diario'!D54</f>
        <v>5.439063832202</v>
      </c>
      <c r="C56">
        <f>(B56-((E56*(Main!$E$31/100))+(G56*(Main!$E$36/100))+(I56*(Main!$E$46/100))+(K56*(Main!$E$51/100))))/$C$6</f>
        <v>12.395282987728807</v>
      </c>
      <c r="D56">
        <f>'Req. Diario'!E54</f>
        <v>3.0620891918491875</v>
      </c>
      <c r="E56">
        <f>(D56-((C56*(Main!$F$41/100))+(G56*(Main!$F$36/100))+(I56*(Main!$F$46/100))+(K56*(Main!$F$51/100))))/$E$6</f>
        <v>5.888633061248437</v>
      </c>
      <c r="F56">
        <f>'Req. Diario'!F54</f>
        <v>6.274565332035</v>
      </c>
      <c r="G56">
        <f>(F56-((C56*(Main!$G$41/100))+(E56*(Main!$G$31/100))+(I56*(Main!$G$46/100))+(K56*(Main!$G$51/100))))/$G$6</f>
        <v>7.12071681868422</v>
      </c>
      <c r="H56">
        <f>'Req. Diario'!G54</f>
        <v>0.4832538670905179</v>
      </c>
      <c r="I56">
        <f>H56/$I$6</f>
        <v>3.0203366693157365</v>
      </c>
      <c r="J56">
        <f>'Req. Diario'!H54</f>
        <v>2.2412508932546404</v>
      </c>
      <c r="K56">
        <f>J56/$K$6</f>
        <v>8.300929234276445</v>
      </c>
      <c r="L56">
        <f>'Req. Diario'!I54</f>
        <v>23.426</v>
      </c>
      <c r="M56">
        <f>L56/$M$6</f>
        <v>114.27317073170731</v>
      </c>
    </row>
    <row r="57">
      <c r="B57">
        <f>'Req. Diario'!D55</f>
        <v>5.439063832202</v>
      </c>
      <c r="C57">
        <f>(B57-((E57*(Main!$E$31/100))+(G57*(Main!$E$36/100))+(I57*(Main!$E$46/100))+(K57*(Main!$E$51/100))))/$C$6</f>
        <v>12.395282987728807</v>
      </c>
      <c r="D57">
        <f>'Req. Diario'!E55</f>
        <v>3.0620891918491875</v>
      </c>
      <c r="E57">
        <f>(D57-((C57*(Main!$F$41/100))+(G57*(Main!$F$36/100))+(I57*(Main!$F$46/100))+(K57*(Main!$F$51/100))))/$E$6</f>
        <v>5.888633061248437</v>
      </c>
      <c r="F57">
        <f>'Req. Diario'!F55</f>
        <v>6.274565332035</v>
      </c>
      <c r="G57">
        <f>(F57-((C57*(Main!$G$41/100))+(E57*(Main!$G$31/100))+(I57*(Main!$G$46/100))+(K57*(Main!$G$51/100))))/$G$6</f>
        <v>7.12071681868422</v>
      </c>
      <c r="H57">
        <f>'Req. Diario'!G55</f>
        <v>0.4832538670905179</v>
      </c>
      <c r="I57">
        <f>H57/$I$6</f>
        <v>3.0203366693157365</v>
      </c>
      <c r="J57">
        <f>'Req. Diario'!H55</f>
        <v>2.2412508932546404</v>
      </c>
      <c r="K57">
        <f>J57/$K$6</f>
        <v>8.300929234276445</v>
      </c>
      <c r="L57">
        <f>'Req. Diario'!I55</f>
        <v>23.426</v>
      </c>
      <c r="M57">
        <f>L57/$M$6</f>
        <v>114.27317073170731</v>
      </c>
    </row>
    <row r="58">
      <c r="B58">
        <f>'Req. Diario'!D56</f>
        <v>5.439063832202</v>
      </c>
      <c r="C58">
        <f>(B58-((E58*(Main!$E$31/100))+(G58*(Main!$E$36/100))+(I58*(Main!$E$46/100))+(K58*(Main!$E$51/100))))/$C$6</f>
        <v>12.395282987728807</v>
      </c>
      <c r="D58">
        <f>'Req. Diario'!E56</f>
        <v>3.0620891918491875</v>
      </c>
      <c r="E58">
        <f>(D58-((C58*(Main!$F$41/100))+(G58*(Main!$F$36/100))+(I58*(Main!$F$46/100))+(K58*(Main!$F$51/100))))/$E$6</f>
        <v>5.888633061248437</v>
      </c>
      <c r="F58">
        <f>'Req. Diario'!F56</f>
        <v>6.274565332035</v>
      </c>
      <c r="G58">
        <f>(F58-((C58*(Main!$G$41/100))+(E58*(Main!$G$31/100))+(I58*(Main!$G$46/100))+(K58*(Main!$G$51/100))))/$G$6</f>
        <v>7.12071681868422</v>
      </c>
      <c r="H58">
        <f>'Req. Diario'!G56</f>
        <v>0.4832538670905179</v>
      </c>
      <c r="I58">
        <f>H58/$I$6</f>
        <v>3.0203366693157365</v>
      </c>
      <c r="J58">
        <f>'Req. Diario'!H56</f>
        <v>2.2412508932546404</v>
      </c>
      <c r="K58">
        <f>J58/$K$6</f>
        <v>8.300929234276445</v>
      </c>
      <c r="L58">
        <f>'Req. Diario'!I56</f>
        <v>23.426</v>
      </c>
      <c r="M58">
        <f>L58/$M$6</f>
        <v>114.27317073170731</v>
      </c>
    </row>
    <row r="59">
      <c r="B59">
        <f>'Req. Diario'!D57</f>
        <v>5.439063832202</v>
      </c>
      <c r="C59">
        <f>(B59-((E59*(Main!$E$31/100))+(G59*(Main!$E$36/100))+(I59*(Main!$E$46/100))+(K59*(Main!$E$51/100))))/$C$6</f>
        <v>12.395282987728807</v>
      </c>
      <c r="D59">
        <f>'Req. Diario'!E57</f>
        <v>3.0620891918491875</v>
      </c>
      <c r="E59">
        <f>(D59-((C59*(Main!$F$41/100))+(G59*(Main!$F$36/100))+(I59*(Main!$F$46/100))+(K59*(Main!$F$51/100))))/$E$6</f>
        <v>5.888633061248437</v>
      </c>
      <c r="F59">
        <f>'Req. Diario'!F57</f>
        <v>6.274565332035</v>
      </c>
      <c r="G59">
        <f>(F59-((C59*(Main!$G$41/100))+(E59*(Main!$G$31/100))+(I59*(Main!$G$46/100))+(K59*(Main!$G$51/100))))/$G$6</f>
        <v>7.12071681868422</v>
      </c>
      <c r="H59">
        <f>'Req. Diario'!G57</f>
        <v>0.4832538670905179</v>
      </c>
      <c r="I59">
        <f>H59/$I$6</f>
        <v>3.0203366693157365</v>
      </c>
      <c r="J59">
        <f>'Req. Diario'!H57</f>
        <v>2.2412508932546404</v>
      </c>
      <c r="K59">
        <f>J59/$K$6</f>
        <v>8.300929234276445</v>
      </c>
      <c r="L59">
        <f>'Req. Diario'!I57</f>
        <v>23.426</v>
      </c>
      <c r="M59">
        <f>L59/$M$6</f>
        <v>114.27317073170731</v>
      </c>
    </row>
    <row r="60">
      <c r="B60">
        <f>'Req. Diario'!D58</f>
        <v>5.439063832202</v>
      </c>
      <c r="C60">
        <f>(B60-((E60*(Main!$E$31/100))+(G60*(Main!$E$36/100))+(I60*(Main!$E$46/100))+(K60*(Main!$E$51/100))))/$C$6</f>
        <v>12.395282987728807</v>
      </c>
      <c r="D60">
        <f>'Req. Diario'!E58</f>
        <v>3.0620891918491875</v>
      </c>
      <c r="E60">
        <f>(D60-((C60*(Main!$F$41/100))+(G60*(Main!$F$36/100))+(I60*(Main!$F$46/100))+(K60*(Main!$F$51/100))))/$E$6</f>
        <v>5.888633061248437</v>
      </c>
      <c r="F60">
        <f>'Req. Diario'!F58</f>
        <v>6.274565332035</v>
      </c>
      <c r="G60">
        <f>(F60-((C60*(Main!$G$41/100))+(E60*(Main!$G$31/100))+(I60*(Main!$G$46/100))+(K60*(Main!$G$51/100))))/$G$6</f>
        <v>7.12071681868422</v>
      </c>
      <c r="H60">
        <f>'Req. Diario'!G58</f>
        <v>0.4832538670905179</v>
      </c>
      <c r="I60">
        <f>H60/$I$6</f>
        <v>3.0203366693157365</v>
      </c>
      <c r="J60">
        <f>'Req. Diario'!H58</f>
        <v>2.2412508932546404</v>
      </c>
      <c r="K60">
        <f>J60/$K$6</f>
        <v>8.300929234276445</v>
      </c>
      <c r="L60">
        <f>'Req. Diario'!I58</f>
        <v>23.426</v>
      </c>
      <c r="M60">
        <f>L60/$M$6</f>
        <v>114.27317073170731</v>
      </c>
    </row>
    <row r="61">
      <c r="B61">
        <f>'Req. Diario'!D59</f>
        <v>5.439063832202</v>
      </c>
      <c r="C61">
        <f>(B61-((E61*(Main!$E$31/100))+(G61*(Main!$E$36/100))+(I61*(Main!$E$46/100))+(K61*(Main!$E$51/100))))/$C$6</f>
        <v>12.395282987728807</v>
      </c>
      <c r="D61">
        <f>'Req. Diario'!E59</f>
        <v>3.0620891918491875</v>
      </c>
      <c r="E61">
        <f>(D61-((C61*(Main!$F$41/100))+(G61*(Main!$F$36/100))+(I61*(Main!$F$46/100))+(K61*(Main!$F$51/100))))/$E$6</f>
        <v>5.888633061248437</v>
      </c>
      <c r="F61">
        <f>'Req. Diario'!F59</f>
        <v>6.274565332035</v>
      </c>
      <c r="G61">
        <f>(F61-((C61*(Main!$G$41/100))+(E61*(Main!$G$31/100))+(I61*(Main!$G$46/100))+(K61*(Main!$G$51/100))))/$G$6</f>
        <v>7.12071681868422</v>
      </c>
      <c r="H61">
        <f>'Req. Diario'!G59</f>
        <v>0.4832538670905179</v>
      </c>
      <c r="I61">
        <f>H61/$I$6</f>
        <v>3.0203366693157365</v>
      </c>
      <c r="J61">
        <f>'Req. Diario'!H59</f>
        <v>2.2412508932546404</v>
      </c>
      <c r="K61">
        <f>J61/$K$6</f>
        <v>8.300929234276445</v>
      </c>
      <c r="L61">
        <f>'Req. Diario'!I59</f>
        <v>23.426</v>
      </c>
      <c r="M61">
        <f>L61/$M$6</f>
        <v>114.27317073170731</v>
      </c>
    </row>
    <row r="62">
      <c r="B62">
        <f>'Req. Diario'!D60</f>
        <v>5.439063832202</v>
      </c>
      <c r="C62">
        <f>(B62-((E62*(Main!$E$31/100))+(G62*(Main!$E$36/100))+(I62*(Main!$E$46/100))+(K62*(Main!$E$51/100))))/$C$6</f>
        <v>12.395282987728807</v>
      </c>
      <c r="D62">
        <f>'Req. Diario'!E60</f>
        <v>3.0620891918491875</v>
      </c>
      <c r="E62">
        <f>(D62-((C62*(Main!$F$41/100))+(G62*(Main!$F$36/100))+(I62*(Main!$F$46/100))+(K62*(Main!$F$51/100))))/$E$6</f>
        <v>5.888633061248437</v>
      </c>
      <c r="F62">
        <f>'Req. Diario'!F60</f>
        <v>6.274565332035</v>
      </c>
      <c r="G62">
        <f>(F62-((C62*(Main!$G$41/100))+(E62*(Main!$G$31/100))+(I62*(Main!$G$46/100))+(K62*(Main!$G$51/100))))/$G$6</f>
        <v>7.12071681868422</v>
      </c>
      <c r="H62">
        <f>'Req. Diario'!G60</f>
        <v>0.4832538670905179</v>
      </c>
      <c r="I62">
        <f>H62/$I$6</f>
        <v>3.0203366693157365</v>
      </c>
      <c r="J62">
        <f>'Req. Diario'!H60</f>
        <v>2.2412508932546404</v>
      </c>
      <c r="K62">
        <f>J62/$K$6</f>
        <v>8.300929234276445</v>
      </c>
      <c r="L62">
        <f>'Req. Diario'!I60</f>
        <v>23.426</v>
      </c>
      <c r="M62">
        <f>L62/$M$6</f>
        <v>114.27317073170731</v>
      </c>
    </row>
    <row r="63">
      <c r="A63">
        <v>9</v>
      </c>
      <c r="B63">
        <f>'Req. Diario'!D61</f>
        <v>5.439063832202</v>
      </c>
      <c r="C63">
        <f>(B63-((E63*(Main!$E$31/100))+(G63*(Main!$E$36/100))+(I63*(Main!$E$46/100))+(K63*(Main!$E$51/100))))/$C$6</f>
        <v>12.395282987728807</v>
      </c>
      <c r="D63">
        <f>'Req. Diario'!E61</f>
        <v>3.0620891918491875</v>
      </c>
      <c r="E63">
        <f>(D63-((C63*(Main!$F$41/100))+(G63*(Main!$F$36/100))+(I63*(Main!$F$46/100))+(K63*(Main!$F$51/100))))/$E$6</f>
        <v>5.888633061248437</v>
      </c>
      <c r="F63">
        <f>'Req. Diario'!F61</f>
        <v>6.274565332035</v>
      </c>
      <c r="G63">
        <f>(F63-((C63*(Main!$G$41/100))+(E63*(Main!$G$31/100))+(I63*(Main!$G$46/100))+(K63*(Main!$G$51/100))))/$G$6</f>
        <v>7.12071681868422</v>
      </c>
      <c r="H63">
        <f>'Req. Diario'!G61</f>
        <v>0.4832538670905179</v>
      </c>
      <c r="I63">
        <f>H63/$I$6</f>
        <v>3.0203366693157365</v>
      </c>
      <c r="J63">
        <f>'Req. Diario'!H61</f>
        <v>2.2412508932546404</v>
      </c>
      <c r="K63">
        <f>J63/$K$6</f>
        <v>8.300929234276445</v>
      </c>
      <c r="L63">
        <f>'Req. Diario'!I61</f>
        <v>23.426</v>
      </c>
      <c r="M63">
        <f>L63/$M$6</f>
        <v>114.27317073170731</v>
      </c>
    </row>
    <row r="64">
      <c r="B64">
        <f>'Req. Diario'!D62</f>
        <v>5.439063832202</v>
      </c>
      <c r="C64">
        <f>(B64-((E64*(Main!$E$31/100))+(G64*(Main!$E$36/100))+(I64*(Main!$E$46/100))+(K64*(Main!$E$51/100))))/$C$6</f>
        <v>12.395282987728807</v>
      </c>
      <c r="D64">
        <f>'Req. Diario'!E62</f>
        <v>3.0620891918491875</v>
      </c>
      <c r="E64">
        <f>(D64-((C64*(Main!$F$41/100))+(G64*(Main!$F$36/100))+(I64*(Main!$F$46/100))+(K64*(Main!$F$51/100))))/$E$6</f>
        <v>5.888633061248437</v>
      </c>
      <c r="F64">
        <f>'Req. Diario'!F62</f>
        <v>6.274565332035</v>
      </c>
      <c r="G64">
        <f>(F64-((C64*(Main!$G$41/100))+(E64*(Main!$G$31/100))+(I64*(Main!$G$46/100))+(K64*(Main!$G$51/100))))/$G$6</f>
        <v>7.12071681868422</v>
      </c>
      <c r="H64">
        <f>'Req. Diario'!G62</f>
        <v>0.4832538670905179</v>
      </c>
      <c r="I64">
        <f>H64/$I$6</f>
        <v>3.0203366693157365</v>
      </c>
      <c r="J64">
        <f>'Req. Diario'!H62</f>
        <v>2.2412508932546404</v>
      </c>
      <c r="K64">
        <f>J64/$K$6</f>
        <v>8.300929234276445</v>
      </c>
      <c r="L64">
        <f>'Req. Diario'!I62</f>
        <v>23.426</v>
      </c>
      <c r="M64">
        <f>L64/$M$6</f>
        <v>114.27317073170731</v>
      </c>
    </row>
    <row r="65">
      <c r="B65">
        <f>'Req. Diario'!D63</f>
        <v>5.439063832202</v>
      </c>
      <c r="C65">
        <f>(B65-((E65*(Main!$E$31/100))+(G65*(Main!$E$36/100))+(I65*(Main!$E$46/100))+(K65*(Main!$E$51/100))))/$C$6</f>
        <v>12.395282987728807</v>
      </c>
      <c r="D65">
        <f>'Req. Diario'!E63</f>
        <v>3.0620891918491875</v>
      </c>
      <c r="E65">
        <f>(D65-((C65*(Main!$F$41/100))+(G65*(Main!$F$36/100))+(I65*(Main!$F$46/100))+(K65*(Main!$F$51/100))))/$E$6</f>
        <v>5.888633061248437</v>
      </c>
      <c r="F65">
        <f>'Req. Diario'!F63</f>
        <v>6.274565332035</v>
      </c>
      <c r="G65">
        <f>(F65-((C65*(Main!$G$41/100))+(E65*(Main!$G$31/100))+(I65*(Main!$G$46/100))+(K65*(Main!$G$51/100))))/$G$6</f>
        <v>7.12071681868422</v>
      </c>
      <c r="H65">
        <f>'Req. Diario'!G63</f>
        <v>0.4832538670905179</v>
      </c>
      <c r="I65">
        <f>H65/$I$6</f>
        <v>3.0203366693157365</v>
      </c>
      <c r="J65">
        <f>'Req. Diario'!H63</f>
        <v>2.2412508932546404</v>
      </c>
      <c r="K65">
        <f>J65/$K$6</f>
        <v>8.300929234276445</v>
      </c>
      <c r="L65">
        <f>'Req. Diario'!I63</f>
        <v>23.426</v>
      </c>
      <c r="M65">
        <f>L65/$M$6</f>
        <v>114.27317073170731</v>
      </c>
    </row>
    <row r="66">
      <c r="B66">
        <f>'Req. Diario'!D64</f>
        <v>5.439063832202</v>
      </c>
      <c r="C66">
        <f>(B66-((E66*(Main!$E$31/100))+(G66*(Main!$E$36/100))+(I66*(Main!$E$46/100))+(K66*(Main!$E$51/100))))/$C$6</f>
        <v>12.395282987728807</v>
      </c>
      <c r="D66">
        <f>'Req. Diario'!E64</f>
        <v>3.0620891918491875</v>
      </c>
      <c r="E66">
        <f>(D66-((C66*(Main!$F$41/100))+(G66*(Main!$F$36/100))+(I66*(Main!$F$46/100))+(K66*(Main!$F$51/100))))/$E$6</f>
        <v>5.888633061248437</v>
      </c>
      <c r="F66">
        <f>'Req. Diario'!F64</f>
        <v>6.274565332035</v>
      </c>
      <c r="G66">
        <f>(F66-((C66*(Main!$G$41/100))+(E66*(Main!$G$31/100))+(I66*(Main!$G$46/100))+(K66*(Main!$G$51/100))))/$G$6</f>
        <v>7.12071681868422</v>
      </c>
      <c r="H66">
        <f>'Req. Diario'!G64</f>
        <v>0.4832538670905179</v>
      </c>
      <c r="I66">
        <f>H66/$I$6</f>
        <v>3.0203366693157365</v>
      </c>
      <c r="J66">
        <f>'Req. Diario'!H64</f>
        <v>2.2412508932546404</v>
      </c>
      <c r="K66">
        <f>J66/$K$6</f>
        <v>8.300929234276445</v>
      </c>
      <c r="L66">
        <f>'Req. Diario'!I64</f>
        <v>23.426</v>
      </c>
      <c r="M66">
        <f>L66/$M$6</f>
        <v>114.27317073170731</v>
      </c>
    </row>
    <row r="67">
      <c r="B67">
        <f>'Req. Diario'!D65</f>
        <v>9.065106387003334</v>
      </c>
      <c r="C67">
        <f>(B67-((E67*(Main!$E$31/100))+(G67*(Main!$E$36/100))+(I67*(Main!$E$46/100))+(K67*(Main!$E$51/100))))/$C$6</f>
        <v>20.658804979548016</v>
      </c>
      <c r="D67">
        <f>'Req. Diario'!E65</f>
        <v>4.10348198641531</v>
      </c>
      <c r="E67">
        <f>(D67-((C67*(Main!$F$41/100))+(G67*(Main!$F$36/100))+(I67*(Main!$F$46/100))+(K67*(Main!$F$51/100))))/$E$6</f>
        <v>7.891311512337134</v>
      </c>
      <c r="F67">
        <f>'Req. Diario'!F65</f>
        <v>10.457608886725</v>
      </c>
      <c r="G67">
        <f>(F67-((C67*(Main!$G$41/100))+(E67*(Main!$G$31/100))+(I67*(Main!$G$46/100))+(K67*(Main!$G$51/100))))/$G$6</f>
        <v>12.95760495421729</v>
      </c>
      <c r="H67">
        <f>'Req. Diario'!G65</f>
        <v>0.8054231118175297</v>
      </c>
      <c r="I67">
        <f>H67/$I$6</f>
        <v>5.03389444885956</v>
      </c>
      <c r="J67">
        <f>'Req. Diario'!H65</f>
        <v>3.7354181554244</v>
      </c>
      <c r="K67">
        <f>J67/$K$6</f>
        <v>13.834882057127407</v>
      </c>
      <c r="L67">
        <f>'Req. Diario'!I65</f>
        <v>23.426</v>
      </c>
      <c r="M67">
        <f>L67/$M$6</f>
        <v>114.27317073170731</v>
      </c>
    </row>
    <row r="68">
      <c r="B68">
        <f>'Req. Diario'!D66</f>
        <v>9.065106387003334</v>
      </c>
      <c r="C68">
        <f>(B68-((E68*(Main!$E$31/100))+(G68*(Main!$E$36/100))+(I68*(Main!$E$46/100))+(K68*(Main!$E$51/100))))/$C$6</f>
        <v>20.658804979548016</v>
      </c>
      <c r="D68">
        <f>'Req. Diario'!E66</f>
        <v>4.10348198641531</v>
      </c>
      <c r="E68">
        <f>(D68-((C68*(Main!$F$41/100))+(G68*(Main!$F$36/100))+(I68*(Main!$F$46/100))+(K68*(Main!$F$51/100))))/$E$6</f>
        <v>7.891311512337134</v>
      </c>
      <c r="F68">
        <f>'Req. Diario'!F66</f>
        <v>10.457608886725</v>
      </c>
      <c r="G68">
        <f>(F68-((C68*(Main!$G$41/100))+(E68*(Main!$G$31/100))+(I68*(Main!$G$46/100))+(K68*(Main!$G$51/100))))/$G$6</f>
        <v>12.95760495421729</v>
      </c>
      <c r="H68">
        <f>'Req. Diario'!G66</f>
        <v>0.8054231118175297</v>
      </c>
      <c r="I68">
        <f>H68/$I$6</f>
        <v>5.03389444885956</v>
      </c>
      <c r="J68">
        <f>'Req. Diario'!H66</f>
        <v>3.7354181554244</v>
      </c>
      <c r="K68">
        <f>J68/$K$6</f>
        <v>13.834882057127407</v>
      </c>
      <c r="L68">
        <f>'Req. Diario'!I66</f>
        <v>23.426</v>
      </c>
      <c r="M68">
        <f>L68/$M$6</f>
        <v>114.27317073170731</v>
      </c>
    </row>
    <row r="69">
      <c r="B69">
        <f>'Req. Diario'!D67</f>
        <v>9.065106387003334</v>
      </c>
      <c r="C69">
        <f>(B69-((E69*(Main!$E$31/100))+(G69*(Main!$E$36/100))+(I69*(Main!$E$46/100))+(K69*(Main!$E$51/100))))/$C$6</f>
        <v>20.658804979548016</v>
      </c>
      <c r="D69">
        <f>'Req. Diario'!E67</f>
        <v>4.10348198641531</v>
      </c>
      <c r="E69">
        <f>(D69-((C69*(Main!$F$41/100))+(G69*(Main!$F$36/100))+(I69*(Main!$F$46/100))+(K69*(Main!$F$51/100))))/$E$6</f>
        <v>7.891311512337134</v>
      </c>
      <c r="F69">
        <f>'Req. Diario'!F67</f>
        <v>10.457608886725</v>
      </c>
      <c r="G69">
        <f>(F69-((C69*(Main!$G$41/100))+(E69*(Main!$G$31/100))+(I69*(Main!$G$46/100))+(K69*(Main!$G$51/100))))/$G$6</f>
        <v>12.95760495421729</v>
      </c>
      <c r="H69">
        <f>'Req. Diario'!G67</f>
        <v>0.8054231118175297</v>
      </c>
      <c r="I69">
        <f>H69/$I$6</f>
        <v>5.03389444885956</v>
      </c>
      <c r="J69">
        <f>'Req. Diario'!H67</f>
        <v>3.7354181554244</v>
      </c>
      <c r="K69">
        <f>J69/$K$6</f>
        <v>13.834882057127407</v>
      </c>
      <c r="L69">
        <f>'Req. Diario'!I67</f>
        <v>29.5372</v>
      </c>
      <c r="M69">
        <f>L69/$M$6</f>
        <v>144.0839024390244</v>
      </c>
    </row>
    <row r="70">
      <c r="A70">
        <v>10</v>
      </c>
      <c r="B70">
        <f>'Req. Diario'!D68</f>
        <v>9.065106387003334</v>
      </c>
      <c r="C70">
        <f>(B70-((E70*(Main!$E$31/100))+(G70*(Main!$E$36/100))+(I70*(Main!$E$46/100))+(K70*(Main!$E$51/100))))/$C$6</f>
        <v>20.658804979548016</v>
      </c>
      <c r="D70">
        <f>'Req. Diario'!E68</f>
        <v>4.10348198641531</v>
      </c>
      <c r="E70">
        <f>(D70-((C70*(Main!$F$41/100))+(G70*(Main!$F$36/100))+(I70*(Main!$F$46/100))+(K70*(Main!$F$51/100))))/$E$6</f>
        <v>7.891311512337134</v>
      </c>
      <c r="F70">
        <f>'Req. Diario'!F68</f>
        <v>10.457608886725</v>
      </c>
      <c r="G70">
        <f>(F70-((C70*(Main!$G$41/100))+(E70*(Main!$G$31/100))+(I70*(Main!$G$46/100))+(K70*(Main!$G$51/100))))/$G$6</f>
        <v>12.95760495421729</v>
      </c>
      <c r="H70">
        <f>'Req. Diario'!G68</f>
        <v>0.8054231118175297</v>
      </c>
      <c r="I70">
        <f>H70/$I$6</f>
        <v>5.03389444885956</v>
      </c>
      <c r="J70">
        <f>'Req. Diario'!H68</f>
        <v>3.7354181554244</v>
      </c>
      <c r="K70">
        <f>J70/$K$6</f>
        <v>13.834882057127407</v>
      </c>
      <c r="L70">
        <f>'Req. Diario'!I68</f>
        <v>29.5372</v>
      </c>
      <c r="M70">
        <f>L70/$M$6</f>
        <v>144.0839024390244</v>
      </c>
    </row>
    <row r="71">
      <c r="B71">
        <f>'Req. Diario'!D69</f>
        <v>9.065106387003334</v>
      </c>
      <c r="C71">
        <f>(B71-((E71*(Main!$E$31/100))+(G71*(Main!$E$36/100))+(I71*(Main!$E$46/100))+(K71*(Main!$E$51/100))))/$C$6</f>
        <v>20.658804979548016</v>
      </c>
      <c r="D71">
        <f>'Req. Diario'!E69</f>
        <v>4.10348198641531</v>
      </c>
      <c r="E71">
        <f>(D71-((C71*(Main!$F$41/100))+(G71*(Main!$F$36/100))+(I71*(Main!$F$46/100))+(K71*(Main!$F$51/100))))/$E$6</f>
        <v>7.891311512337134</v>
      </c>
      <c r="F71">
        <f>'Req. Diario'!F69</f>
        <v>10.457608886725</v>
      </c>
      <c r="G71">
        <f>(F71-((C71*(Main!$G$41/100))+(E71*(Main!$G$31/100))+(I71*(Main!$G$46/100))+(K71*(Main!$G$51/100))))/$G$6</f>
        <v>12.95760495421729</v>
      </c>
      <c r="H71">
        <f>'Req. Diario'!G69</f>
        <v>0.8054231118175297</v>
      </c>
      <c r="I71">
        <f>H71/$I$6</f>
        <v>5.03389444885956</v>
      </c>
      <c r="J71">
        <f>'Req. Diario'!H69</f>
        <v>3.7354181554244</v>
      </c>
      <c r="K71">
        <f>J71/$K$6</f>
        <v>13.834882057127407</v>
      </c>
      <c r="L71">
        <f>'Req. Diario'!I69</f>
        <v>29.5372</v>
      </c>
      <c r="M71">
        <f>L71/$M$6</f>
        <v>144.0839024390244</v>
      </c>
    </row>
    <row r="72">
      <c r="B72">
        <f>'Req. Diario'!D70</f>
        <v>9.065106387003334</v>
      </c>
      <c r="C72">
        <f>(B72-((E72*(Main!$E$31/100))+(G72*(Main!$E$36/100))+(I72*(Main!$E$46/100))+(K72*(Main!$E$51/100))))/$C$6</f>
        <v>20.658804979548016</v>
      </c>
      <c r="D72">
        <f>'Req. Diario'!E70</f>
        <v>4.10348198641531</v>
      </c>
      <c r="E72">
        <f>(D72-((C72*(Main!$F$41/100))+(G72*(Main!$F$36/100))+(I72*(Main!$F$46/100))+(K72*(Main!$F$51/100))))/$E$6</f>
        <v>7.891311512337134</v>
      </c>
      <c r="F72">
        <f>'Req. Diario'!F70</f>
        <v>10.457608886725</v>
      </c>
      <c r="G72">
        <f>(F72-((C72*(Main!$G$41/100))+(E72*(Main!$G$31/100))+(I72*(Main!$G$46/100))+(K72*(Main!$G$51/100))))/$G$6</f>
        <v>12.95760495421729</v>
      </c>
      <c r="H72">
        <f>'Req. Diario'!G70</f>
        <v>0.8054231118175297</v>
      </c>
      <c r="I72">
        <f>H72/$I$6</f>
        <v>5.03389444885956</v>
      </c>
      <c r="J72">
        <f>'Req. Diario'!H70</f>
        <v>3.7354181554244</v>
      </c>
      <c r="K72">
        <f>J72/$K$6</f>
        <v>13.834882057127407</v>
      </c>
      <c r="L72">
        <f>'Req. Diario'!I70</f>
        <v>29.5372</v>
      </c>
      <c r="M72">
        <f>L72/$M$6</f>
        <v>144.0839024390244</v>
      </c>
    </row>
    <row r="73">
      <c r="B73">
        <f>'Req. Diario'!D71</f>
        <v>9.065106387003334</v>
      </c>
      <c r="C73">
        <f>(B73-((E73*(Main!$E$31/100))+(G73*(Main!$E$36/100))+(I73*(Main!$E$46/100))+(K73*(Main!$E$51/100))))/$C$6</f>
        <v>20.658804979548016</v>
      </c>
      <c r="D73">
        <f>'Req. Diario'!E71</f>
        <v>4.10348198641531</v>
      </c>
      <c r="E73">
        <f>(D73-((C73*(Main!$F$41/100))+(G73*(Main!$F$36/100))+(I73*(Main!$F$46/100))+(K73*(Main!$F$51/100))))/$E$6</f>
        <v>7.891311512337134</v>
      </c>
      <c r="F73">
        <f>'Req. Diario'!F71</f>
        <v>10.457608886725</v>
      </c>
      <c r="G73">
        <f>(F73-((C73*(Main!$G$41/100))+(E73*(Main!$G$31/100))+(I73*(Main!$G$46/100))+(K73*(Main!$G$51/100))))/$G$6</f>
        <v>12.95760495421729</v>
      </c>
      <c r="H73">
        <f>'Req. Diario'!G71</f>
        <v>0.8054231118175297</v>
      </c>
      <c r="I73">
        <f>H73/$I$6</f>
        <v>5.03389444885956</v>
      </c>
      <c r="J73">
        <f>'Req. Diario'!H71</f>
        <v>3.7354181554244</v>
      </c>
      <c r="K73">
        <f>J73/$K$6</f>
        <v>13.834882057127407</v>
      </c>
      <c r="L73">
        <f>'Req. Diario'!I71</f>
        <v>29.5372</v>
      </c>
      <c r="M73">
        <f>L73/$M$6</f>
        <v>144.0839024390244</v>
      </c>
    </row>
    <row r="74">
      <c r="B74">
        <f>'Req. Diario'!D72</f>
        <v>9.065106387003334</v>
      </c>
      <c r="C74">
        <f>(B74-((E74*(Main!$E$31/100))+(G74*(Main!$E$36/100))+(I74*(Main!$E$46/100))+(K74*(Main!$E$51/100))))/$C$6</f>
        <v>20.658804979548016</v>
      </c>
      <c r="D74">
        <f>'Req. Diario'!E72</f>
        <v>4.10348198641531</v>
      </c>
      <c r="E74">
        <f>(D74-((C74*(Main!$F$41/100))+(G74*(Main!$F$36/100))+(I74*(Main!$F$46/100))+(K74*(Main!$F$51/100))))/$E$6</f>
        <v>7.891311512337134</v>
      </c>
      <c r="F74">
        <f>'Req. Diario'!F72</f>
        <v>10.457608886725</v>
      </c>
      <c r="G74">
        <f>(F74-((C74*(Main!$G$41/100))+(E74*(Main!$G$31/100))+(I74*(Main!$G$46/100))+(K74*(Main!$G$51/100))))/$G$6</f>
        <v>12.95760495421729</v>
      </c>
      <c r="H74">
        <f>'Req. Diario'!G72</f>
        <v>0.8054231118175297</v>
      </c>
      <c r="I74">
        <f>H74/$I$6</f>
        <v>5.03389444885956</v>
      </c>
      <c r="J74">
        <f>'Req. Diario'!H72</f>
        <v>3.7354181554244</v>
      </c>
      <c r="K74">
        <f>J74/$K$6</f>
        <v>13.834882057127407</v>
      </c>
      <c r="L74">
        <f>'Req. Diario'!I72</f>
        <v>29.5372</v>
      </c>
      <c r="M74">
        <f>L74/$M$6</f>
        <v>144.0839024390244</v>
      </c>
    </row>
    <row r="75">
      <c r="B75">
        <f>'Req. Diario'!D73</f>
        <v>9.065106387003334</v>
      </c>
      <c r="C75">
        <f>(B75-((E75*(Main!$E$31/100))+(G75*(Main!$E$36/100))+(I75*(Main!$E$46/100))+(K75*(Main!$E$51/100))))/$C$6</f>
        <v>20.658804979548016</v>
      </c>
      <c r="D75">
        <f>'Req. Diario'!E73</f>
        <v>4.10348198641531</v>
      </c>
      <c r="E75">
        <f>(D75-((C75*(Main!$F$41/100))+(G75*(Main!$F$36/100))+(I75*(Main!$F$46/100))+(K75*(Main!$F$51/100))))/$E$6</f>
        <v>7.891311512337134</v>
      </c>
      <c r="F75">
        <f>'Req. Diario'!F73</f>
        <v>10.457608886725</v>
      </c>
      <c r="G75">
        <f>(F75-((C75*(Main!$G$41/100))+(E75*(Main!$G$31/100))+(I75*(Main!$G$46/100))+(K75*(Main!$G$51/100))))/$G$6</f>
        <v>12.95760495421729</v>
      </c>
      <c r="H75">
        <f>'Req. Diario'!G73</f>
        <v>0.8054231118175297</v>
      </c>
      <c r="I75">
        <f>H75/$I$6</f>
        <v>5.03389444885956</v>
      </c>
      <c r="J75">
        <f>'Req. Diario'!H73</f>
        <v>3.7354181554244</v>
      </c>
      <c r="K75">
        <f>J75/$K$6</f>
        <v>13.834882057127407</v>
      </c>
      <c r="L75">
        <f>'Req. Diario'!I73</f>
        <v>29.5372</v>
      </c>
      <c r="M75">
        <f>L75/$M$6</f>
        <v>144.0839024390244</v>
      </c>
    </row>
    <row r="76">
      <c r="B76">
        <f>'Req. Diario'!D74</f>
        <v>9.065106387003334</v>
      </c>
      <c r="C76">
        <f>(B76-((E76*(Main!$E$31/100))+(G76*(Main!$E$36/100))+(I76*(Main!$E$46/100))+(K76*(Main!$E$51/100))))/$C$6</f>
        <v>20.658804979548016</v>
      </c>
      <c r="D76">
        <f>'Req. Diario'!E74</f>
        <v>4.10348198641531</v>
      </c>
      <c r="E76">
        <f>(D76-((C76*(Main!$F$41/100))+(G76*(Main!$F$36/100))+(I76*(Main!$F$46/100))+(K76*(Main!$F$51/100))))/$E$6</f>
        <v>7.891311512337134</v>
      </c>
      <c r="F76">
        <f>'Req. Diario'!F74</f>
        <v>10.457608886725</v>
      </c>
      <c r="G76">
        <f>(F76-((C76*(Main!$G$41/100))+(E76*(Main!$G$31/100))+(I76*(Main!$G$46/100))+(K76*(Main!$G$51/100))))/$G$6</f>
        <v>12.95760495421729</v>
      </c>
      <c r="H76">
        <f>'Req. Diario'!G74</f>
        <v>0.8054231118175297</v>
      </c>
      <c r="I76">
        <f>H76/$I$6</f>
        <v>5.03389444885956</v>
      </c>
      <c r="J76">
        <f>'Req. Diario'!H74</f>
        <v>3.7354181554244</v>
      </c>
      <c r="K76">
        <f>J76/$K$6</f>
        <v>13.834882057127407</v>
      </c>
      <c r="L76">
        <f>'Req. Diario'!I74</f>
        <v>29.5372</v>
      </c>
      <c r="M76">
        <f>L76/$M$6</f>
        <v>144.0839024390244</v>
      </c>
    </row>
    <row r="77">
      <c r="A77">
        <v>11</v>
      </c>
      <c r="B77">
        <f>'Req. Diario'!D75</f>
        <v>9.065106387003334</v>
      </c>
      <c r="C77">
        <f>(B77-((E77*(Main!$E$31/100))+(G77*(Main!$E$36/100))+(I77*(Main!$E$46/100))+(K77*(Main!$E$51/100))))/$C$6</f>
        <v>20.658804979548016</v>
      </c>
      <c r="D77">
        <f>'Req. Diario'!E75</f>
        <v>4.10348198641531</v>
      </c>
      <c r="E77">
        <f>(D77-((C77*(Main!$F$41/100))+(G77*(Main!$F$36/100))+(I77*(Main!$F$46/100))+(K77*(Main!$F$51/100))))/$E$6</f>
        <v>7.891311512337134</v>
      </c>
      <c r="F77">
        <f>'Req. Diario'!F75</f>
        <v>10.457608886725</v>
      </c>
      <c r="G77">
        <f>(F77-((C77*(Main!$G$41/100))+(E77*(Main!$G$31/100))+(I77*(Main!$G$46/100))+(K77*(Main!$G$51/100))))/$G$6</f>
        <v>12.95760495421729</v>
      </c>
      <c r="H77">
        <f>'Req. Diario'!G75</f>
        <v>0.8054231118175297</v>
      </c>
      <c r="I77">
        <f>H77/$I$6</f>
        <v>5.03389444885956</v>
      </c>
      <c r="J77">
        <f>'Req. Diario'!H75</f>
        <v>3.7354181554244</v>
      </c>
      <c r="K77">
        <f>J77/$K$6</f>
        <v>13.834882057127407</v>
      </c>
      <c r="L77">
        <f>'Req. Diario'!I75</f>
        <v>29.5372</v>
      </c>
      <c r="M77">
        <f>L77/$M$6</f>
        <v>144.0839024390244</v>
      </c>
    </row>
    <row r="78">
      <c r="B78">
        <f>'Req. Diario'!D76</f>
        <v>9.065106387003334</v>
      </c>
      <c r="C78">
        <f>(B78-((E78*(Main!$E$31/100))+(G78*(Main!$E$36/100))+(I78*(Main!$E$46/100))+(K78*(Main!$E$51/100))))/$C$6</f>
        <v>20.658804979548016</v>
      </c>
      <c r="D78">
        <f>'Req. Diario'!E76</f>
        <v>4.10348198641531</v>
      </c>
      <c r="E78">
        <f>(D78-((C78*(Main!$F$41/100))+(G78*(Main!$F$36/100))+(I78*(Main!$F$46/100))+(K78*(Main!$F$51/100))))/$E$6</f>
        <v>7.891311512337134</v>
      </c>
      <c r="F78">
        <f>'Req. Diario'!F76</f>
        <v>10.457608886725</v>
      </c>
      <c r="G78">
        <f>(F78-((C78*(Main!$G$41/100))+(E78*(Main!$G$31/100))+(I78*(Main!$G$46/100))+(K78*(Main!$G$51/100))))/$G$6</f>
        <v>12.95760495421729</v>
      </c>
      <c r="H78">
        <f>'Req. Diario'!G76</f>
        <v>0.8054231118175297</v>
      </c>
      <c r="I78">
        <f>H78/$I$6</f>
        <v>5.03389444885956</v>
      </c>
      <c r="J78">
        <f>'Req. Diario'!H76</f>
        <v>3.7354181554244</v>
      </c>
      <c r="K78">
        <f>J78/$K$6</f>
        <v>13.834882057127407</v>
      </c>
      <c r="L78">
        <f>'Req. Diario'!I76</f>
        <v>29.5372</v>
      </c>
      <c r="M78">
        <f>L78/$M$6</f>
        <v>144.0839024390244</v>
      </c>
    </row>
    <row r="79">
      <c r="B79">
        <f>'Req. Diario'!D77</f>
        <v>9.065106387003334</v>
      </c>
      <c r="C79">
        <f>(B79-((E79*(Main!$E$31/100))+(G79*(Main!$E$36/100))+(I79*(Main!$E$46/100))+(K79*(Main!$E$51/100))))/$C$6</f>
        <v>20.658804979548016</v>
      </c>
      <c r="D79">
        <f>'Req. Diario'!E77</f>
        <v>4.10348198641531</v>
      </c>
      <c r="E79">
        <f>(D79-((C79*(Main!$F$41/100))+(G79*(Main!$F$36/100))+(I79*(Main!$F$46/100))+(K79*(Main!$F$51/100))))/$E$6</f>
        <v>7.891311512337134</v>
      </c>
      <c r="F79">
        <f>'Req. Diario'!F77</f>
        <v>10.457608886725</v>
      </c>
      <c r="G79">
        <f>(F79-((C79*(Main!$G$41/100))+(E79*(Main!$G$31/100))+(I79*(Main!$G$46/100))+(K79*(Main!$G$51/100))))/$G$6</f>
        <v>12.95760495421729</v>
      </c>
      <c r="H79">
        <f>'Req. Diario'!G77</f>
        <v>0.8054231118175297</v>
      </c>
      <c r="I79">
        <f>H79/$I$6</f>
        <v>5.03389444885956</v>
      </c>
      <c r="J79">
        <f>'Req. Diario'!H77</f>
        <v>3.7354181554244</v>
      </c>
      <c r="K79">
        <f>J79/$K$6</f>
        <v>13.834882057127407</v>
      </c>
      <c r="L79">
        <f>'Req. Diario'!I77</f>
        <v>29.5372</v>
      </c>
      <c r="M79">
        <f>L79/$M$6</f>
        <v>144.0839024390244</v>
      </c>
    </row>
    <row r="80">
      <c r="B80">
        <f>'Req. Diario'!D78</f>
        <v>9.065106387003334</v>
      </c>
      <c r="C80">
        <f>(B80-((E80*(Main!$E$31/100))+(G80*(Main!$E$36/100))+(I80*(Main!$E$46/100))+(K80*(Main!$E$51/100))))/$C$6</f>
        <v>20.658804979548016</v>
      </c>
      <c r="D80">
        <f>'Req. Diario'!E78</f>
        <v>4.10348198641531</v>
      </c>
      <c r="E80">
        <f>(D80-((C80*(Main!$F$41/100))+(G80*(Main!$F$36/100))+(I80*(Main!$F$46/100))+(K80*(Main!$F$51/100))))/$E$6</f>
        <v>7.891311512337134</v>
      </c>
      <c r="F80">
        <f>'Req. Diario'!F78</f>
        <v>10.457608886725</v>
      </c>
      <c r="G80">
        <f>(F80-((C80*(Main!$G$41/100))+(E80*(Main!$G$31/100))+(I80*(Main!$G$46/100))+(K80*(Main!$G$51/100))))/$G$6</f>
        <v>12.95760495421729</v>
      </c>
      <c r="H80">
        <f>'Req. Diario'!G78</f>
        <v>0.8054231118175297</v>
      </c>
      <c r="I80">
        <f>H80/$I$6</f>
        <v>5.03389444885956</v>
      </c>
      <c r="J80">
        <f>'Req. Diario'!H78</f>
        <v>3.7354181554244</v>
      </c>
      <c r="K80">
        <f>J80/$K$6</f>
        <v>13.834882057127407</v>
      </c>
      <c r="L80">
        <f>'Req. Diario'!I78</f>
        <v>29.5372</v>
      </c>
      <c r="M80">
        <f>L80/$M$6</f>
        <v>144.0839024390244</v>
      </c>
    </row>
    <row r="81">
      <c r="B81">
        <f>'Req. Diario'!D79</f>
        <v>8</v>
      </c>
      <c r="C81">
        <f>(B81-((E81*(Main!$E$31/100))+(G81*(Main!$E$36/100))+(I81*(Main!$E$46/100))+(K81*(Main!$E$51/100))))/$C$6</f>
        <v>17.479382928791797</v>
      </c>
      <c r="D81">
        <f>'Req. Diario'!E79</f>
        <v>4.10348198641531</v>
      </c>
      <c r="E81">
        <f>(D81-((C81*(Main!$F$41/100))+(G81*(Main!$F$36/100))+(I81*(Main!$F$46/100))+(K81*(Main!$F$51/100))))/$E$6</f>
        <v>7.891311512337134</v>
      </c>
      <c r="F81">
        <f>'Req. Diario'!F79</f>
        <v>10.457608886725</v>
      </c>
      <c r="G81">
        <f>(F81-((C81*(Main!$G$41/100))+(E81*(Main!$G$31/100))+(I81*(Main!$G$46/100))+(K81*(Main!$G$51/100))))/$G$6</f>
        <v>12.95760495421729</v>
      </c>
      <c r="H81">
        <f>'Req. Diario'!G79</f>
        <v>0.8054231118175297</v>
      </c>
      <c r="I81">
        <f>H81/$I$6</f>
        <v>5.03389444885956</v>
      </c>
      <c r="J81">
        <f>'Req. Diario'!H79</f>
        <v>3.7354181554244</v>
      </c>
      <c r="K81">
        <f>J81/$K$6</f>
        <v>13.834882057127407</v>
      </c>
      <c r="L81">
        <f>'Req. Diario'!I79</f>
        <v>29.5372</v>
      </c>
      <c r="M81">
        <f>L81/$M$6</f>
        <v>144.0839024390244</v>
      </c>
    </row>
    <row r="82">
      <c r="B82">
        <f>'Req. Diario'!D80</f>
        <v>8</v>
      </c>
      <c r="C82">
        <f>(B82-((E82*(Main!$E$31/100))+(G82*(Main!$E$36/100))+(I82*(Main!$E$46/100))+(K82*(Main!$E$51/100))))/$C$6</f>
        <v>17.479382928791797</v>
      </c>
      <c r="D82">
        <f>'Req. Diario'!E80</f>
        <v>4.10348198641531</v>
      </c>
      <c r="E82">
        <f>(D82-((C82*(Main!$F$41/100))+(G82*(Main!$F$36/100))+(I82*(Main!$F$46/100))+(K82*(Main!$F$51/100))))/$E$6</f>
        <v>7.891311512337134</v>
      </c>
      <c r="F82">
        <f>'Req. Diario'!F80</f>
        <v>10.457608886725</v>
      </c>
      <c r="G82">
        <f>(F82-((C82*(Main!$G$41/100))+(E82*(Main!$G$31/100))+(I82*(Main!$G$46/100))+(K82*(Main!$G$51/100))))/$G$6</f>
        <v>12.95760495421729</v>
      </c>
      <c r="H82">
        <f>'Req. Diario'!G80</f>
        <v>0.8054231118175297</v>
      </c>
      <c r="I82">
        <f>H82/$I$6</f>
        <v>5.03389444885956</v>
      </c>
      <c r="J82">
        <f>'Req. Diario'!H80</f>
        <v>3.7354181554244</v>
      </c>
      <c r="K82">
        <f>J82/$K$6</f>
        <v>13.834882057127407</v>
      </c>
      <c r="L82">
        <f>'Req. Diario'!I80</f>
        <v>29.5372</v>
      </c>
      <c r="M82">
        <f>L82/$M$6</f>
        <v>144.0839024390244</v>
      </c>
    </row>
    <row r="83">
      <c r="B83">
        <f>'Req. Diario'!D81</f>
        <v>8</v>
      </c>
      <c r="C83">
        <f>(B83-((E83*(Main!$E$31/100))+(G83*(Main!$E$36/100))+(I83*(Main!$E$46/100))+(K83*(Main!$E$51/100))))/$C$6</f>
        <v>17.479382928791797</v>
      </c>
      <c r="D83">
        <f>'Req. Diario'!E81</f>
        <v>4.10348198641531</v>
      </c>
      <c r="E83">
        <f>(D83-((C83*(Main!$F$41/100))+(G83*(Main!$F$36/100))+(I83*(Main!$F$46/100))+(K83*(Main!$F$51/100))))/$E$6</f>
        <v>7.891311512337134</v>
      </c>
      <c r="F83">
        <f>'Req. Diario'!F81</f>
        <v>10.457608886725</v>
      </c>
      <c r="G83">
        <f>(F83-((C83*(Main!$G$41/100))+(E83*(Main!$G$31/100))+(I83*(Main!$G$46/100))+(K83*(Main!$G$51/100))))/$G$6</f>
        <v>12.95760495421729</v>
      </c>
      <c r="H83">
        <f>'Req. Diario'!G81</f>
        <v>0.8054231118175297</v>
      </c>
      <c r="I83">
        <f>H83/$I$6</f>
        <v>5.03389444885956</v>
      </c>
      <c r="J83">
        <f>'Req. Diario'!H81</f>
        <v>3.7354181554244</v>
      </c>
      <c r="K83">
        <f>J83/$K$6</f>
        <v>13.834882057127407</v>
      </c>
      <c r="L83">
        <f>'Req. Diario'!I81</f>
        <v>29.5372</v>
      </c>
      <c r="M83">
        <f>L83/$M$6</f>
        <v>144.0839024390244</v>
      </c>
    </row>
    <row r="84">
      <c r="A84">
        <v>12</v>
      </c>
      <c r="B84">
        <f>'Req. Diario'!D82</f>
        <v>8</v>
      </c>
      <c r="C84">
        <f>(B84-((E84*(Main!$E$31/100))+(G84*(Main!$E$36/100))+(I84*(Main!$E$46/100))+(K84*(Main!$E$51/100))))/$C$6</f>
        <v>17.479382928791797</v>
      </c>
      <c r="D84">
        <f>'Req. Diario'!E82</f>
        <v>4.10348198641531</v>
      </c>
      <c r="E84">
        <f>(D84-((C84*(Main!$F$41/100))+(G84*(Main!$F$36/100))+(I84*(Main!$F$46/100))+(K84*(Main!$F$51/100))))/$E$6</f>
        <v>7.891311512337134</v>
      </c>
      <c r="F84">
        <f>'Req. Diario'!F82</f>
        <v>10.457608886725</v>
      </c>
      <c r="G84">
        <f>(F84-((C84*(Main!$G$41/100))+(E84*(Main!$G$31/100))+(I84*(Main!$G$46/100))+(K84*(Main!$G$51/100))))/$G$6</f>
        <v>12.95760495421729</v>
      </c>
      <c r="H84">
        <f>'Req. Diario'!G82</f>
        <v>0.8054231118175297</v>
      </c>
      <c r="I84">
        <f>H84/$I$6</f>
        <v>5.03389444885956</v>
      </c>
      <c r="J84">
        <f>'Req. Diario'!H82</f>
        <v>3.7354181554244</v>
      </c>
      <c r="K84">
        <f>J84/$K$6</f>
        <v>13.834882057127407</v>
      </c>
      <c r="L84">
        <f>'Req. Diario'!I82</f>
        <v>29.5372</v>
      </c>
      <c r="M84">
        <f>L84/$M$6</f>
        <v>144.0839024390244</v>
      </c>
    </row>
    <row r="85">
      <c r="B85">
        <f>'Req. Diario'!D83</f>
        <v>8</v>
      </c>
      <c r="C85">
        <f>(B85-((E85*(Main!$E$31/100))+(G85*(Main!$E$36/100))+(I85*(Main!$E$46/100))+(K85*(Main!$E$51/100))))/$C$6</f>
        <v>17.479382928791797</v>
      </c>
      <c r="D85">
        <f>'Req. Diario'!E83</f>
        <v>4.10348198641531</v>
      </c>
      <c r="E85">
        <f>(D85-((C85*(Main!$F$41/100))+(G85*(Main!$F$36/100))+(I85*(Main!$F$46/100))+(K85*(Main!$F$51/100))))/$E$6</f>
        <v>7.891311512337134</v>
      </c>
      <c r="F85">
        <f>'Req. Diario'!F83</f>
        <v>10.457608886725</v>
      </c>
      <c r="G85">
        <f>(F85-((C85*(Main!$G$41/100))+(E85*(Main!$G$31/100))+(I85*(Main!$G$46/100))+(K85*(Main!$G$51/100))))/$G$6</f>
        <v>12.95760495421729</v>
      </c>
      <c r="H85">
        <f>'Req. Diario'!G83</f>
        <v>0.8054231118175297</v>
      </c>
      <c r="I85">
        <f>H85/$I$6</f>
        <v>5.03389444885956</v>
      </c>
      <c r="J85">
        <f>'Req. Diario'!H83</f>
        <v>3.7354181554244</v>
      </c>
      <c r="K85">
        <f>J85/$K$6</f>
        <v>13.834882057127407</v>
      </c>
      <c r="L85">
        <f>'Req. Diario'!I83</f>
        <v>29.5372</v>
      </c>
      <c r="M85">
        <f>L85/$M$6</f>
        <v>144.0839024390244</v>
      </c>
    </row>
    <row r="86">
      <c r="B86">
        <f>'Req. Diario'!D84</f>
        <v>8</v>
      </c>
      <c r="C86">
        <f>(B86-((E86*(Main!$E$31/100))+(G86*(Main!$E$36/100))+(I86*(Main!$E$46/100))+(K86*(Main!$E$51/100))))/$C$6</f>
        <v>17.479382928791797</v>
      </c>
      <c r="D86">
        <f>'Req. Diario'!E84</f>
        <v>4.10348198641531</v>
      </c>
      <c r="E86">
        <f>(D86-((C86*(Main!$F$41/100))+(G86*(Main!$F$36/100))+(I86*(Main!$F$46/100))+(K86*(Main!$F$51/100))))/$E$6</f>
        <v>7.891311512337134</v>
      </c>
      <c r="F86">
        <f>'Req. Diario'!F84</f>
        <v>10.457608886725</v>
      </c>
      <c r="G86">
        <f>(F86-((C86*(Main!$G$41/100))+(E86*(Main!$G$31/100))+(I86*(Main!$G$46/100))+(K86*(Main!$G$51/100))))/$G$6</f>
        <v>12.95760495421729</v>
      </c>
      <c r="H86">
        <f>'Req. Diario'!G84</f>
        <v>0.8054231118175297</v>
      </c>
      <c r="I86">
        <f>H86/$I$6</f>
        <v>5.03389444885956</v>
      </c>
      <c r="J86">
        <f>'Req. Diario'!H84</f>
        <v>3.7354181554244</v>
      </c>
      <c r="K86">
        <f>J86/$K$6</f>
        <v>13.834882057127407</v>
      </c>
      <c r="L86">
        <f>'Req. Diario'!I84</f>
        <v>29.5372</v>
      </c>
      <c r="M86">
        <f>L86/$M$6</f>
        <v>144.0839024390244</v>
      </c>
    </row>
    <row r="87">
      <c r="B87">
        <f>'Req. Diario'!D85</f>
        <v>8</v>
      </c>
      <c r="C87">
        <f>(B87-((E87*(Main!$E$31/100))+(G87*(Main!$E$36/100))+(I87*(Main!$E$46/100))+(K87*(Main!$E$51/100))))/$C$6</f>
        <v>17.479382928791797</v>
      </c>
      <c r="D87">
        <f>'Req. Diario'!E85</f>
        <v>4.10348198641531</v>
      </c>
      <c r="E87">
        <f>(D87-((C87*(Main!$F$41/100))+(G87*(Main!$F$36/100))+(I87*(Main!$F$46/100))+(K87*(Main!$F$51/100))))/$E$6</f>
        <v>7.891311512337134</v>
      </c>
      <c r="F87">
        <f>'Req. Diario'!F85</f>
        <v>10.457608886725</v>
      </c>
      <c r="G87">
        <f>(F87-((C87*(Main!$G$41/100))+(E87*(Main!$G$31/100))+(I87*(Main!$G$46/100))+(K87*(Main!$G$51/100))))/$G$6</f>
        <v>12.95760495421729</v>
      </c>
      <c r="H87">
        <f>'Req. Diario'!G85</f>
        <v>0.8054231118175297</v>
      </c>
      <c r="I87">
        <f>H87/$I$6</f>
        <v>5.03389444885956</v>
      </c>
      <c r="J87">
        <f>'Req. Diario'!H85</f>
        <v>3.7354181554244</v>
      </c>
      <c r="K87">
        <f>J87/$K$6</f>
        <v>13.834882057127407</v>
      </c>
      <c r="L87">
        <f>'Req. Diario'!I85</f>
        <v>35.6483</v>
      </c>
      <c r="M87">
        <f>L87/$M$6</f>
        <v>173.89414634146343</v>
      </c>
    </row>
    <row r="88">
      <c r="B88">
        <f>'Req. Diario'!D86</f>
        <v>8</v>
      </c>
      <c r="C88">
        <f>(B88-((E88*(Main!$E$31/100))+(G88*(Main!$E$36/100))+(I88*(Main!$E$46/100))+(K88*(Main!$E$51/100))))/$C$6</f>
        <v>17.479382928791797</v>
      </c>
      <c r="D88">
        <f>'Req. Diario'!E86</f>
        <v>4.10348198641531</v>
      </c>
      <c r="E88">
        <f>(D88-((C88*(Main!$F$41/100))+(G88*(Main!$F$36/100))+(I88*(Main!$F$46/100))+(K88*(Main!$F$51/100))))/$E$6</f>
        <v>7.891311512337134</v>
      </c>
      <c r="F88">
        <f>'Req. Diario'!F86</f>
        <v>10.457608886725</v>
      </c>
      <c r="G88">
        <f>(F88-((C88*(Main!$G$41/100))+(E88*(Main!$G$31/100))+(I88*(Main!$G$46/100))+(K88*(Main!$G$51/100))))/$G$6</f>
        <v>12.95760495421729</v>
      </c>
      <c r="H88">
        <f>'Req. Diario'!G86</f>
        <v>0.8054231118175297</v>
      </c>
      <c r="I88">
        <f>H88/$I$6</f>
        <v>5.03389444885956</v>
      </c>
      <c r="J88">
        <f>'Req. Diario'!H86</f>
        <v>3.7354181554244</v>
      </c>
      <c r="K88">
        <f>J88/$K$6</f>
        <v>13.834882057127407</v>
      </c>
      <c r="L88">
        <f>'Req. Diario'!I86</f>
        <v>35.6483</v>
      </c>
      <c r="M88">
        <f>L88/$M$6</f>
        <v>173.89414634146343</v>
      </c>
    </row>
    <row r="89">
      <c r="B89">
        <f>'Req. Diario'!D87</f>
        <v>8</v>
      </c>
      <c r="C89">
        <f>(B89-((E89*(Main!$E$31/100))+(G89*(Main!$E$36/100))+(I89*(Main!$E$46/100))+(K89*(Main!$E$51/100))))/$C$6</f>
        <v>17.479382928791797</v>
      </c>
      <c r="D89">
        <f>'Req. Diario'!E87</f>
        <v>4.10348198641531</v>
      </c>
      <c r="E89">
        <f>(D89-((C89*(Main!$F$41/100))+(G89*(Main!$F$36/100))+(I89*(Main!$F$46/100))+(K89*(Main!$F$51/100))))/$E$6</f>
        <v>7.891311512337134</v>
      </c>
      <c r="F89">
        <f>'Req. Diario'!F87</f>
        <v>10.457608886725</v>
      </c>
      <c r="G89">
        <f>(F89-((C89*(Main!$G$41/100))+(E89*(Main!$G$31/100))+(I89*(Main!$G$46/100))+(K89*(Main!$G$51/100))))/$G$6</f>
        <v>12.95760495421729</v>
      </c>
      <c r="H89">
        <f>'Req. Diario'!G87</f>
        <v>0.8054231118175297</v>
      </c>
      <c r="I89">
        <f>H89/$I$6</f>
        <v>5.03389444885956</v>
      </c>
      <c r="J89">
        <f>'Req. Diario'!H87</f>
        <v>3.7354181554244</v>
      </c>
      <c r="K89">
        <f>J89/$K$6</f>
        <v>13.834882057127407</v>
      </c>
      <c r="L89">
        <f>'Req. Diario'!I87</f>
        <v>35.6483</v>
      </c>
      <c r="M89">
        <f>L89/$M$6</f>
        <v>173.89414634146343</v>
      </c>
    </row>
    <row r="90">
      <c r="B90">
        <f>'Req. Diario'!D88</f>
        <v>8</v>
      </c>
      <c r="C90">
        <f>(B90-((E90*(Main!$E$31/100))+(G90*(Main!$E$36/100))+(I90*(Main!$E$46/100))+(K90*(Main!$E$51/100))))/$C$6</f>
        <v>17.479382928791797</v>
      </c>
      <c r="D90">
        <f>'Req. Diario'!E88</f>
        <v>4.10348198641531</v>
      </c>
      <c r="E90">
        <f>(D90-((C90*(Main!$F$41/100))+(G90*(Main!$F$36/100))+(I90*(Main!$F$46/100))+(K90*(Main!$F$51/100))))/$E$6</f>
        <v>7.891311512337134</v>
      </c>
      <c r="F90">
        <f>'Req. Diario'!F88</f>
        <v>10.457608886725</v>
      </c>
      <c r="G90">
        <f>(F90-((C90*(Main!$G$41/100))+(E90*(Main!$G$31/100))+(I90*(Main!$G$46/100))+(K90*(Main!$G$51/100))))/$G$6</f>
        <v>12.95760495421729</v>
      </c>
      <c r="H90">
        <f>'Req. Diario'!G88</f>
        <v>0.8054231118175297</v>
      </c>
      <c r="I90">
        <f>H90/$I$6</f>
        <v>5.03389444885956</v>
      </c>
      <c r="J90">
        <f>'Req. Diario'!H88</f>
        <v>3.7354181554244</v>
      </c>
      <c r="K90">
        <f>J90/$K$6</f>
        <v>13.834882057127407</v>
      </c>
      <c r="L90">
        <f>'Req. Diario'!I88</f>
        <v>35.6483</v>
      </c>
      <c r="M90">
        <f>L90/$M$6</f>
        <v>173.89414634146343</v>
      </c>
    </row>
    <row r="91">
      <c r="A91">
        <v>13</v>
      </c>
      <c r="B91">
        <f>'Req. Diario'!D89</f>
        <v>6.7</v>
      </c>
      <c r="C91">
        <f>(B91-((E91*(Main!$E$31/100))+(G91*(Main!$E$36/100))+(I91*(Main!$E$46/100))+(K91*(Main!$E$51/100))))/$C$6</f>
        <v>13.598785913866424</v>
      </c>
      <c r="D91">
        <f>'Req. Diario'!E89</f>
        <v>4.10348198641531</v>
      </c>
      <c r="E91">
        <f>(D91-((C91*(Main!$F$41/100))+(G91*(Main!$F$36/100))+(I91*(Main!$F$46/100))+(K91*(Main!$F$51/100))))/$E$6</f>
        <v>7.891311512337134</v>
      </c>
      <c r="F91">
        <f>'Req. Diario'!F89</f>
        <v>10.457608886725</v>
      </c>
      <c r="G91">
        <f>(F91-((C91*(Main!$G$41/100))+(E91*(Main!$G$31/100))+(I91*(Main!$G$46/100))+(K91*(Main!$G$51/100))))/$G$6</f>
        <v>12.95760495421729</v>
      </c>
      <c r="H91">
        <f>'Req. Diario'!G89</f>
        <v>0.8054231118175297</v>
      </c>
      <c r="I91">
        <f>H91/$I$6</f>
        <v>5.03389444885956</v>
      </c>
      <c r="J91">
        <f>'Req. Diario'!H89</f>
        <v>3.7354181554244</v>
      </c>
      <c r="K91">
        <f>J91/$K$6</f>
        <v>13.834882057127407</v>
      </c>
      <c r="L91">
        <f>'Req. Diario'!I89</f>
        <v>35.6483</v>
      </c>
      <c r="M91">
        <f>L91/$M$6</f>
        <v>173.89414634146343</v>
      </c>
    </row>
    <row r="92">
      <c r="B92">
        <f>'Req. Diario'!D90</f>
        <v>6.7</v>
      </c>
      <c r="C92">
        <f>(B92-((E92*(Main!$E$31/100))+(G92*(Main!$E$36/100))+(I92*(Main!$E$46/100))+(K92*(Main!$E$51/100))))/$C$6</f>
        <v>13.598785913866424</v>
      </c>
      <c r="D92">
        <f>'Req. Diario'!E90</f>
        <v>4.10348198641531</v>
      </c>
      <c r="E92">
        <f>(D92-((C92*(Main!$F$41/100))+(G92*(Main!$F$36/100))+(I92*(Main!$F$46/100))+(K92*(Main!$F$51/100))))/$E$6</f>
        <v>7.891311512337134</v>
      </c>
      <c r="F92">
        <f>'Req. Diario'!F90</f>
        <v>10.457608886725</v>
      </c>
      <c r="G92">
        <f>(F92-((C92*(Main!$G$41/100))+(E92*(Main!$G$31/100))+(I92*(Main!$G$46/100))+(K92*(Main!$G$51/100))))/$G$6</f>
        <v>12.95760495421729</v>
      </c>
      <c r="H92">
        <f>'Req. Diario'!G90</f>
        <v>0.8054231118175297</v>
      </c>
      <c r="I92">
        <f>H92/$I$6</f>
        <v>5.03389444885956</v>
      </c>
      <c r="J92">
        <f>'Req. Diario'!H90</f>
        <v>3.7354181554244</v>
      </c>
      <c r="K92">
        <f>J92/$K$6</f>
        <v>13.834882057127407</v>
      </c>
      <c r="L92">
        <f>'Req. Diario'!I90</f>
        <v>35.6483</v>
      </c>
      <c r="M92">
        <f>L92/$M$6</f>
        <v>173.89414634146343</v>
      </c>
    </row>
    <row r="93">
      <c r="B93">
        <f>'Req. Diario'!D91</f>
        <v>6.7</v>
      </c>
      <c r="C93">
        <f>(B93-((E93*(Main!$E$31/100))+(G93*(Main!$E$36/100))+(I93*(Main!$E$46/100))+(K93*(Main!$E$51/100))))/$C$6</f>
        <v>13.598785913866424</v>
      </c>
      <c r="D93">
        <f>'Req. Diario'!E91</f>
        <v>4.10348198641531</v>
      </c>
      <c r="E93">
        <f>(D93-((C93*(Main!$F$41/100))+(G93*(Main!$F$36/100))+(I93*(Main!$F$46/100))+(K93*(Main!$F$51/100))))/$E$6</f>
        <v>7.891311512337134</v>
      </c>
      <c r="F93">
        <f>'Req. Diario'!F91</f>
        <v>10.457608886725</v>
      </c>
      <c r="G93">
        <f>(F93-((C93*(Main!$G$41/100))+(E93*(Main!$G$31/100))+(I93*(Main!$G$46/100))+(K93*(Main!$G$51/100))))/$G$6</f>
        <v>12.95760495421729</v>
      </c>
      <c r="H93">
        <f>'Req. Diario'!G91</f>
        <v>0.8054231118175297</v>
      </c>
      <c r="I93">
        <f>H93/$I$6</f>
        <v>5.03389444885956</v>
      </c>
      <c r="J93">
        <f>'Req. Diario'!H91</f>
        <v>3.7354181554244</v>
      </c>
      <c r="K93">
        <f>J93/$K$6</f>
        <v>13.834882057127407</v>
      </c>
      <c r="L93">
        <f>'Req. Diario'!I91</f>
        <v>35.6483</v>
      </c>
      <c r="M93">
        <f>L93/$M$6</f>
        <v>173.89414634146343</v>
      </c>
    </row>
    <row r="94">
      <c r="B94">
        <f>'Req. Diario'!D92</f>
        <v>6.7</v>
      </c>
      <c r="C94">
        <f>(B94-((E94*(Main!$E$31/100))+(G94*(Main!$E$36/100))+(I94*(Main!$E$46/100))+(K94*(Main!$E$51/100))))/$C$6</f>
        <v>13.598785913866424</v>
      </c>
      <c r="D94">
        <f>'Req. Diario'!E92</f>
        <v>4.10348198641531</v>
      </c>
      <c r="E94">
        <f>(D94-((C94*(Main!$F$41/100))+(G94*(Main!$F$36/100))+(I94*(Main!$F$46/100))+(K94*(Main!$F$51/100))))/$E$6</f>
        <v>7.891311512337134</v>
      </c>
      <c r="F94">
        <f>'Req. Diario'!F92</f>
        <v>10.457608886725</v>
      </c>
      <c r="G94">
        <f>(F94-((C94*(Main!$G$41/100))+(E94*(Main!$G$31/100))+(I94*(Main!$G$46/100))+(K94*(Main!$G$51/100))))/$G$6</f>
        <v>12.95760495421729</v>
      </c>
      <c r="H94">
        <f>'Req. Diario'!G92</f>
        <v>0.8054231118175297</v>
      </c>
      <c r="I94">
        <f>H94/$I$6</f>
        <v>5.03389444885956</v>
      </c>
      <c r="J94">
        <f>'Req. Diario'!H92</f>
        <v>3.7354181554244</v>
      </c>
      <c r="K94">
        <f>J94/$K$6</f>
        <v>13.834882057127407</v>
      </c>
      <c r="L94">
        <f>'Req. Diario'!I92</f>
        <v>35.6483</v>
      </c>
      <c r="M94">
        <f>L94/$M$6</f>
        <v>173.89414634146343</v>
      </c>
    </row>
    <row r="95">
      <c r="B95">
        <f>'Req. Diario'!D93</f>
        <v>6.7</v>
      </c>
      <c r="C95">
        <f>(B95-((E95*(Main!$E$31/100))+(G95*(Main!$E$36/100))+(I95*(Main!$E$46/100))+(K95*(Main!$E$51/100))))/$C$6</f>
        <v>13.598785913866424</v>
      </c>
      <c r="D95">
        <f>'Req. Diario'!E93</f>
        <v>4.10348198641531</v>
      </c>
      <c r="E95">
        <f>(D95-((C95*(Main!$F$41/100))+(G95*(Main!$F$36/100))+(I95*(Main!$F$46/100))+(K95*(Main!$F$51/100))))/$E$6</f>
        <v>7.891311512337134</v>
      </c>
      <c r="F95">
        <f>'Req. Diario'!F93</f>
        <v>10.457608886725</v>
      </c>
      <c r="G95">
        <f>(F95-((C95*(Main!$G$41/100))+(E95*(Main!$G$31/100))+(I95*(Main!$G$46/100))+(K95*(Main!$G$51/100))))/$G$6</f>
        <v>12.95760495421729</v>
      </c>
      <c r="H95">
        <f>'Req. Diario'!G93</f>
        <v>0.8054231118175297</v>
      </c>
      <c r="I95">
        <f>H95/$I$6</f>
        <v>5.03389444885956</v>
      </c>
      <c r="J95">
        <f>'Req. Diario'!H93</f>
        <v>3.7354181554244</v>
      </c>
      <c r="K95">
        <f>J95/$K$6</f>
        <v>13.834882057127407</v>
      </c>
      <c r="L95">
        <f>'Req. Diario'!I93</f>
        <v>35.6483</v>
      </c>
      <c r="M95">
        <f>L95/$M$6</f>
        <v>173.89414634146343</v>
      </c>
    </row>
    <row r="96">
      <c r="B96">
        <f>'Req. Diario'!D94</f>
        <v>6.7</v>
      </c>
      <c r="C96">
        <f>(B96-((E96*(Main!$E$31/100))+(G96*(Main!$E$36/100))+(I96*(Main!$E$46/100))+(K96*(Main!$E$51/100))))/$C$6</f>
        <v>13.598785913866424</v>
      </c>
      <c r="D96">
        <f>'Req. Diario'!E94</f>
        <v>4.10348198641531</v>
      </c>
      <c r="E96">
        <f>(D96-((C96*(Main!$F$41/100))+(G96*(Main!$F$36/100))+(I96*(Main!$F$46/100))+(K96*(Main!$F$51/100))))/$E$6</f>
        <v>7.891311512337134</v>
      </c>
      <c r="F96">
        <f>'Req. Diario'!F94</f>
        <v>10.457608886725</v>
      </c>
      <c r="G96">
        <f>(F96-((C96*(Main!$G$41/100))+(E96*(Main!$G$31/100))+(I96*(Main!$G$46/100))+(K96*(Main!$G$51/100))))/$G$6</f>
        <v>12.95760495421729</v>
      </c>
      <c r="H96">
        <f>'Req. Diario'!G94</f>
        <v>0.8054231118175297</v>
      </c>
      <c r="I96">
        <f>H96/$I$6</f>
        <v>5.03389444885956</v>
      </c>
      <c r="J96">
        <f>'Req. Diario'!H94</f>
        <v>3.7354181554244</v>
      </c>
      <c r="K96">
        <f>J96/$K$6</f>
        <v>13.834882057127407</v>
      </c>
      <c r="L96">
        <f>'Req. Diario'!I94</f>
        <v>35.6483</v>
      </c>
      <c r="M96">
        <f>L96/$M$6</f>
        <v>173.89414634146343</v>
      </c>
    </row>
    <row r="97">
      <c r="B97">
        <f>'Req. Diario'!D95</f>
        <v>6.7</v>
      </c>
      <c r="C97">
        <f>(B97-((E97*(Main!$E$31/100))+(G97*(Main!$E$36/100))+(I97*(Main!$E$46/100))+(K97*(Main!$E$51/100))))/$C$6</f>
        <v>13.598785913866424</v>
      </c>
      <c r="D97">
        <f>'Req. Diario'!E95</f>
        <v>4.10348198641531</v>
      </c>
      <c r="E97">
        <f>(D97-((C97*(Main!$F$41/100))+(G97*(Main!$F$36/100))+(I97*(Main!$F$46/100))+(K97*(Main!$F$51/100))))/$E$6</f>
        <v>7.891311512337134</v>
      </c>
      <c r="F97">
        <f>'Req. Diario'!F95</f>
        <v>10.457608886725</v>
      </c>
      <c r="G97">
        <f>(F97-((C97*(Main!$G$41/100))+(E97*(Main!$G$31/100))+(I97*(Main!$G$46/100))+(K97*(Main!$G$51/100))))/$G$6</f>
        <v>12.95760495421729</v>
      </c>
      <c r="H97">
        <f>'Req. Diario'!G95</f>
        <v>0.8054231118175297</v>
      </c>
      <c r="I97">
        <f>H97/$I$6</f>
        <v>5.03389444885956</v>
      </c>
      <c r="J97">
        <f>'Req. Diario'!H95</f>
        <v>3.7354181554244</v>
      </c>
      <c r="K97">
        <f>J97/$K$6</f>
        <v>13.834882057127407</v>
      </c>
      <c r="L97">
        <f>'Req. Diario'!I95</f>
        <v>35.6483</v>
      </c>
      <c r="M97">
        <f>L97/$M$6</f>
        <v>173.89414634146343</v>
      </c>
    </row>
    <row r="98">
      <c r="A98">
        <v>14</v>
      </c>
      <c r="B98">
        <f>'Req. Diario'!D96</f>
        <v>5.589856999999999</v>
      </c>
      <c r="C98">
        <f>(B98-((E98*(Main!$E$31/100))+(G98*(Main!$E$36/100))+(I98*(Main!$E$46/100))+(K98*(Main!$E$51/100))))/$C$6</f>
        <v>10.284926212373884</v>
      </c>
      <c r="D98">
        <f>'Req. Diario'!E96</f>
        <v>4.10348198641531</v>
      </c>
      <c r="E98">
        <f>(D98-((C98*(Main!$F$41/100))+(G98*(Main!$F$36/100))+(I98*(Main!$F$46/100))+(K98*(Main!$F$51/100))))/$E$6</f>
        <v>7.891311512337134</v>
      </c>
      <c r="F98">
        <f>'Req. Diario'!F96</f>
        <v>10.457608886725</v>
      </c>
      <c r="G98">
        <f>(F98-((C98*(Main!$G$41/100))+(E98*(Main!$G$31/100))+(I98*(Main!$G$46/100))+(K98*(Main!$G$51/100))))/$G$6</f>
        <v>12.95760495421729</v>
      </c>
      <c r="H98">
        <f>'Req. Diario'!G96</f>
        <v>0.8054231118175297</v>
      </c>
      <c r="I98">
        <f>H98/$I$6</f>
        <v>5.03389444885956</v>
      </c>
      <c r="J98">
        <f>'Req. Diario'!H96</f>
        <v>3.7354181554244</v>
      </c>
      <c r="K98">
        <f>J98/$K$6</f>
        <v>13.834882057127407</v>
      </c>
      <c r="L98">
        <f>'Req. Diario'!I96</f>
        <v>35.6483</v>
      </c>
      <c r="M98">
        <f>L98/$M$6</f>
        <v>173.89414634146343</v>
      </c>
    </row>
    <row r="99">
      <c r="B99">
        <f>'Req. Diario'!D97</f>
        <v>5.589856999999999</v>
      </c>
      <c r="C99">
        <f>(B99-((E99*(Main!$E$31/100))+(G99*(Main!$E$36/100))+(I99*(Main!$E$46/100))+(K99*(Main!$E$51/100))))/$C$6</f>
        <v>10.284926212373884</v>
      </c>
      <c r="D99">
        <f>'Req. Diario'!E97</f>
        <v>4.10348198641531</v>
      </c>
      <c r="E99">
        <f>(D99-((C99*(Main!$F$41/100))+(G99*(Main!$F$36/100))+(I99*(Main!$F$46/100))+(K99*(Main!$F$51/100))))/$E$6</f>
        <v>7.891311512337134</v>
      </c>
      <c r="F99">
        <f>'Req. Diario'!F97</f>
        <v>10.457608886725</v>
      </c>
      <c r="G99">
        <f>(F99-((C99*(Main!$G$41/100))+(E99*(Main!$G$31/100))+(I99*(Main!$G$46/100))+(K99*(Main!$G$51/100))))/$G$6</f>
        <v>12.95760495421729</v>
      </c>
      <c r="H99">
        <f>'Req. Diario'!G97</f>
        <v>0.8054231118175297</v>
      </c>
      <c r="I99">
        <f>H99/$I$6</f>
        <v>5.03389444885956</v>
      </c>
      <c r="J99">
        <f>'Req. Diario'!H97</f>
        <v>3.7354181554244</v>
      </c>
      <c r="K99">
        <f>J99/$K$6</f>
        <v>13.834882057127407</v>
      </c>
      <c r="L99">
        <f>'Req. Diario'!I97</f>
        <v>35.6483</v>
      </c>
      <c r="M99">
        <f>L99/$M$6</f>
        <v>173.89414634146343</v>
      </c>
    </row>
    <row r="100">
      <c r="B100">
        <f>'Req. Diario'!D98</f>
        <v>5.589856999999999</v>
      </c>
      <c r="C100">
        <f>(B100-((E100*(Main!$E$31/100))+(G100*(Main!$E$36/100))+(I100*(Main!$E$46/100))+(K100*(Main!$E$51/100))))/$C$6</f>
        <v>10.284926212373884</v>
      </c>
      <c r="D100">
        <f>'Req. Diario'!E98</f>
        <v>4.10348198641531</v>
      </c>
      <c r="E100">
        <f>(D100-((C100*(Main!$F$41/100))+(G100*(Main!$F$36/100))+(I100*(Main!$F$46/100))+(K100*(Main!$F$51/100))))/$E$6</f>
        <v>7.891311512337134</v>
      </c>
      <c r="F100">
        <f>'Req. Diario'!F98</f>
        <v>10.457608886725</v>
      </c>
      <c r="G100">
        <f>(F100-((C100*(Main!$G$41/100))+(E100*(Main!$G$31/100))+(I100*(Main!$G$46/100))+(K100*(Main!$G$51/100))))/$G$6</f>
        <v>12.95760495421729</v>
      </c>
      <c r="H100">
        <f>'Req. Diario'!G98</f>
        <v>0.8054231118175297</v>
      </c>
      <c r="I100">
        <f>H100/$I$6</f>
        <v>5.03389444885956</v>
      </c>
      <c r="J100">
        <f>'Req. Diario'!H98</f>
        <v>3.7354181554244</v>
      </c>
      <c r="K100">
        <f>J100/$K$6</f>
        <v>13.834882057127407</v>
      </c>
      <c r="L100">
        <f>'Req. Diario'!I98</f>
        <v>35.6483</v>
      </c>
      <c r="M100">
        <f>L100/$M$6</f>
        <v>173.89414634146343</v>
      </c>
    </row>
    <row r="101">
      <c r="B101">
        <f>'Req. Diario'!D99</f>
        <v>5.589856999999999</v>
      </c>
      <c r="C101">
        <f>(B101-((E101*(Main!$E$31/100))+(G101*(Main!$E$36/100))+(I101*(Main!$E$46/100))+(K101*(Main!$E$51/100))))/$C$6</f>
        <v>10.284926212373884</v>
      </c>
      <c r="D101">
        <f>'Req. Diario'!E99</f>
        <v>4.10348198641531</v>
      </c>
      <c r="E101">
        <f>(D101-((C101*(Main!$F$41/100))+(G101*(Main!$F$36/100))+(I101*(Main!$F$46/100))+(K101*(Main!$F$51/100))))/$E$6</f>
        <v>7.891311512337134</v>
      </c>
      <c r="F101">
        <f>'Req. Diario'!F99</f>
        <v>10.457608886725</v>
      </c>
      <c r="G101">
        <f>(F101-((C101*(Main!$G$41/100))+(E101*(Main!$G$31/100))+(I101*(Main!$G$46/100))+(K101*(Main!$G$51/100))))/$G$6</f>
        <v>12.95760495421729</v>
      </c>
      <c r="H101">
        <f>'Req. Diario'!G99</f>
        <v>0.8054231118175297</v>
      </c>
      <c r="I101">
        <f>H101/$I$6</f>
        <v>5.03389444885956</v>
      </c>
      <c r="J101">
        <f>'Req. Diario'!H99</f>
        <v>3.7354181554244</v>
      </c>
      <c r="K101">
        <f>J101/$K$6</f>
        <v>13.834882057127407</v>
      </c>
      <c r="L101">
        <f>'Req. Diario'!I99</f>
        <v>35.6483</v>
      </c>
      <c r="M101">
        <f>L101/$M$6</f>
        <v>173.89414634146343</v>
      </c>
    </row>
    <row r="102">
      <c r="B102">
        <f>'Req. Diario'!D100</f>
        <v>5.589856999999999</v>
      </c>
      <c r="C102">
        <f>(B102-((E102*(Main!$E$31/100))+(G102*(Main!$E$36/100))+(I102*(Main!$E$46/100))+(K102*(Main!$E$51/100))))/$C$6</f>
        <v>10.284926212373884</v>
      </c>
      <c r="D102">
        <f>'Req. Diario'!E100</f>
        <v>4.10348198641531</v>
      </c>
      <c r="E102">
        <f>(D102-((C102*(Main!$F$41/100))+(G102*(Main!$F$36/100))+(I102*(Main!$F$46/100))+(K102*(Main!$F$51/100))))/$E$6</f>
        <v>7.891311512337134</v>
      </c>
      <c r="F102">
        <f>'Req. Diario'!F100</f>
        <v>10.457608886725</v>
      </c>
      <c r="G102">
        <f>(F102-((C102*(Main!$G$41/100))+(E102*(Main!$G$31/100))+(I102*(Main!$G$46/100))+(K102*(Main!$G$51/100))))/$G$6</f>
        <v>12.95760495421729</v>
      </c>
      <c r="H102">
        <f>'Req. Diario'!G100</f>
        <v>0.8054231118175297</v>
      </c>
      <c r="I102">
        <f>H102/$I$6</f>
        <v>5.03389444885956</v>
      </c>
      <c r="J102">
        <f>'Req. Diario'!H100</f>
        <v>3.7354181554244</v>
      </c>
      <c r="K102">
        <f>J102/$K$6</f>
        <v>13.834882057127407</v>
      </c>
      <c r="L102">
        <f>'Req. Diario'!I100</f>
        <v>35.6483</v>
      </c>
      <c r="M102">
        <f>L102/$M$6</f>
        <v>173.89414634146343</v>
      </c>
    </row>
    <row r="103">
      <c r="B103">
        <f>'Req. Diario'!D101</f>
        <v>5.589856999999999</v>
      </c>
      <c r="C103">
        <f>(B103-((E103*(Main!$E$31/100))+(G103*(Main!$E$36/100))+(I103*(Main!$E$46/100))+(K103*(Main!$E$51/100))))/$C$6</f>
        <v>10.284926212373884</v>
      </c>
      <c r="D103">
        <f>'Req. Diario'!E101</f>
        <v>4.10348198641531</v>
      </c>
      <c r="E103">
        <f>(D103-((C103*(Main!$F$41/100))+(G103*(Main!$F$36/100))+(I103*(Main!$F$46/100))+(K103*(Main!$F$51/100))))/$E$6</f>
        <v>7.891311512337134</v>
      </c>
      <c r="F103">
        <f>'Req. Diario'!F101</f>
        <v>10.457608886725</v>
      </c>
      <c r="G103">
        <f>(F103-((C103*(Main!$G$41/100))+(E103*(Main!$G$31/100))+(I103*(Main!$G$46/100))+(K103*(Main!$G$51/100))))/$G$6</f>
        <v>12.95760495421729</v>
      </c>
      <c r="H103">
        <f>'Req. Diario'!G101</f>
        <v>0.8054231118175297</v>
      </c>
      <c r="I103">
        <f>H103/$I$6</f>
        <v>5.03389444885956</v>
      </c>
      <c r="J103">
        <f>'Req. Diario'!H101</f>
        <v>3.7354181554244</v>
      </c>
      <c r="K103">
        <f>J103/$K$6</f>
        <v>13.834882057127407</v>
      </c>
      <c r="L103">
        <f>'Req. Diario'!I101</f>
        <v>35.6483</v>
      </c>
      <c r="M103">
        <f>L103/$M$6</f>
        <v>173.89414634146343</v>
      </c>
    </row>
    <row r="104">
      <c r="B104">
        <f>'Req. Diario'!D102</f>
        <v>5.589856999999999</v>
      </c>
      <c r="C104">
        <f>(B104-((E104*(Main!$E$31/100))+(G104*(Main!$E$36/100))+(I104*(Main!$E$46/100))+(K104*(Main!$E$51/100))))/$C$6</f>
        <v>10.284926212373884</v>
      </c>
      <c r="D104">
        <f>'Req. Diario'!E102</f>
        <v>4.10348198641531</v>
      </c>
      <c r="E104">
        <f>(D104-((C104*(Main!$F$41/100))+(G104*(Main!$F$36/100))+(I104*(Main!$F$46/100))+(K104*(Main!$F$51/100))))/$E$6</f>
        <v>7.891311512337134</v>
      </c>
      <c r="F104">
        <f>'Req. Diario'!F102</f>
        <v>10.457608886725</v>
      </c>
      <c r="G104">
        <f>(F104-((C104*(Main!$G$41/100))+(E104*(Main!$G$31/100))+(I104*(Main!$G$46/100))+(K104*(Main!$G$51/100))))/$G$6</f>
        <v>12.95760495421729</v>
      </c>
      <c r="H104">
        <f>'Req. Diario'!G102</f>
        <v>0.8054231118175297</v>
      </c>
      <c r="I104">
        <f>H104/$I$6</f>
        <v>5.03389444885956</v>
      </c>
      <c r="J104">
        <f>'Req. Diario'!H102</f>
        <v>3.7354181554244</v>
      </c>
      <c r="K104">
        <f>J104/$K$6</f>
        <v>13.834882057127407</v>
      </c>
      <c r="L104">
        <f>'Req. Diario'!I102</f>
        <v>35.6483</v>
      </c>
      <c r="M104">
        <f>L104/$M$6</f>
        <v>173.89414634146343</v>
      </c>
    </row>
    <row r="105">
      <c r="A105">
        <v>15</v>
      </c>
      <c r="B105">
        <f>'Req. Diario'!D103</f>
        <v>4.6149284999999995</v>
      </c>
      <c r="C105">
        <f>(B105-((E105*(Main!$E$31/100))+(G105*(Main!$E$36/100))+(I105*(Main!$E$46/100))+(K105*(Main!$E$51/100))))/$C$6</f>
        <v>7.374691884015675</v>
      </c>
      <c r="D105">
        <f>'Req. Diario'!E103</f>
        <v>4.10348198641531</v>
      </c>
      <c r="E105">
        <f>(D105-((C105*(Main!$F$41/100))+(G105*(Main!$F$36/100))+(I105*(Main!$F$46/100))+(K105*(Main!$F$51/100))))/$E$6</f>
        <v>7.891311512337134</v>
      </c>
      <c r="F105">
        <f>'Req. Diario'!F103</f>
        <v>10.457608886725</v>
      </c>
      <c r="G105">
        <f>(F105-((C105*(Main!$G$41/100))+(E105*(Main!$G$31/100))+(I105*(Main!$G$46/100))+(K105*(Main!$G$51/100))))/$G$6</f>
        <v>12.95760495421729</v>
      </c>
      <c r="H105">
        <f>'Req. Diario'!G103</f>
        <v>0.8054231118175297</v>
      </c>
      <c r="I105">
        <f>H105/$I$6</f>
        <v>5.03389444885956</v>
      </c>
      <c r="J105">
        <f>'Req. Diario'!H103</f>
        <v>3.7354181554244</v>
      </c>
      <c r="K105">
        <f>J105/$K$6</f>
        <v>13.834882057127407</v>
      </c>
      <c r="L105">
        <f>'Req. Diario'!I103</f>
        <v>35.6483</v>
      </c>
      <c r="M105">
        <f>L105/$M$6</f>
        <v>173.89414634146343</v>
      </c>
    </row>
    <row r="106">
      <c r="B106">
        <f>'Req. Diario'!D104</f>
        <v>4.6149284999999995</v>
      </c>
      <c r="C106">
        <f>(B106-((E106*(Main!$E$31/100))+(G106*(Main!$E$36/100))+(I106*(Main!$E$46/100))+(K106*(Main!$E$51/100))))/$C$6</f>
        <v>7.374691884015675</v>
      </c>
      <c r="D106">
        <f>'Req. Diario'!E104</f>
        <v>4.10348198641531</v>
      </c>
      <c r="E106">
        <f>(D106-((C106*(Main!$F$41/100))+(G106*(Main!$F$36/100))+(I106*(Main!$F$46/100))+(K106*(Main!$F$51/100))))/$E$6</f>
        <v>7.891311512337134</v>
      </c>
      <c r="F106">
        <f>'Req. Diario'!F104</f>
        <v>10.457608886725</v>
      </c>
      <c r="G106">
        <f>(F106-((C106*(Main!$G$41/100))+(E106*(Main!$G$31/100))+(I106*(Main!$G$46/100))+(K106*(Main!$G$51/100))))/$G$6</f>
        <v>12.95760495421729</v>
      </c>
      <c r="H106">
        <f>'Req. Diario'!G104</f>
        <v>0.8054231118175297</v>
      </c>
      <c r="I106">
        <f>H106/$I$6</f>
        <v>5.03389444885956</v>
      </c>
      <c r="J106">
        <f>'Req. Diario'!H104</f>
        <v>3.7354181554244</v>
      </c>
      <c r="K106">
        <f>J106/$K$6</f>
        <v>13.834882057127407</v>
      </c>
      <c r="L106">
        <f>'Req. Diario'!I104</f>
        <v>35.6483</v>
      </c>
      <c r="M106">
        <f>L106/$M$6</f>
        <v>173.89414634146343</v>
      </c>
    </row>
    <row r="107">
      <c r="B107">
        <f>'Req. Diario'!D105</f>
        <v>4.6149284999999995</v>
      </c>
      <c r="C107">
        <f>(B107-((E107*(Main!$E$31/100))+(G107*(Main!$E$36/100))+(I107*(Main!$E$46/100))+(K107*(Main!$E$51/100))))/$C$6</f>
        <v>7.374691884015675</v>
      </c>
      <c r="D107">
        <f>'Req. Diario'!E105</f>
        <v>4.10348198641531</v>
      </c>
      <c r="E107">
        <f>(D107-((C107*(Main!$F$41/100))+(G107*(Main!$F$36/100))+(I107*(Main!$F$46/100))+(K107*(Main!$F$51/100))))/$E$6</f>
        <v>7.891311512337134</v>
      </c>
      <c r="F107">
        <f>'Req. Diario'!F105</f>
        <v>10.457608886725</v>
      </c>
      <c r="G107">
        <f>(F107-((C107*(Main!$G$41/100))+(E107*(Main!$G$31/100))+(I107*(Main!$G$46/100))+(K107*(Main!$G$51/100))))/$G$6</f>
        <v>12.95760495421729</v>
      </c>
      <c r="H107">
        <f>'Req. Diario'!G105</f>
        <v>0.8054231118175297</v>
      </c>
      <c r="I107">
        <f>H107/$I$6</f>
        <v>5.03389444885956</v>
      </c>
      <c r="J107">
        <f>'Req. Diario'!H105</f>
        <v>3.7354181554244</v>
      </c>
      <c r="K107">
        <f>J107/$K$6</f>
        <v>13.834882057127407</v>
      </c>
      <c r="L107">
        <f>'Req. Diario'!I105</f>
        <v>35.6483</v>
      </c>
      <c r="M107">
        <f>L107/$M$6</f>
        <v>173.89414634146343</v>
      </c>
    </row>
    <row r="108">
      <c r="B108">
        <f>'Req. Diario'!D106</f>
        <v>4.6149284999999995</v>
      </c>
      <c r="C108">
        <f>(B108-((E108*(Main!$E$31/100))+(G108*(Main!$E$36/100))+(I108*(Main!$E$46/100))+(K108*(Main!$E$51/100))))/$C$6</f>
        <v>7.374691884015675</v>
      </c>
      <c r="D108">
        <f>'Req. Diario'!E106</f>
        <v>4.10348198641531</v>
      </c>
      <c r="E108">
        <f>(D108-((C108*(Main!$F$41/100))+(G108*(Main!$F$36/100))+(I108*(Main!$F$46/100))+(K108*(Main!$F$51/100))))/$E$6</f>
        <v>7.891311512337134</v>
      </c>
      <c r="F108">
        <f>'Req. Diario'!F106</f>
        <v>10.457608886725</v>
      </c>
      <c r="G108">
        <f>(F108-((C108*(Main!$G$41/100))+(E108*(Main!$G$31/100))+(I108*(Main!$G$46/100))+(K108*(Main!$G$51/100))))/$G$6</f>
        <v>12.95760495421729</v>
      </c>
      <c r="H108">
        <f>'Req. Diario'!G106</f>
        <v>0.8054231118175297</v>
      </c>
      <c r="I108">
        <f>H108/$I$6</f>
        <v>5.03389444885956</v>
      </c>
      <c r="J108">
        <f>'Req. Diario'!H106</f>
        <v>3.7354181554244</v>
      </c>
      <c r="K108">
        <f>J108/$K$6</f>
        <v>13.834882057127407</v>
      </c>
      <c r="L108">
        <f>'Req. Diario'!I106</f>
        <v>35.6483</v>
      </c>
      <c r="M108">
        <f>L108/$M$6</f>
        <v>173.89414634146343</v>
      </c>
    </row>
    <row r="109">
      <c r="B109">
        <f>'Req. Diario'!D107</f>
        <v>4.6149284999999995</v>
      </c>
      <c r="C109">
        <f>(B109-((E109*(Main!$E$31/100))+(G109*(Main!$E$36/100))+(I109*(Main!$E$46/100))+(K109*(Main!$E$51/100))))/$C$6</f>
        <v>7.374691884015675</v>
      </c>
      <c r="D109">
        <f>'Req. Diario'!E107</f>
        <v>4.10348198641531</v>
      </c>
      <c r="E109">
        <f>(D109-((C109*(Main!$F$41/100))+(G109*(Main!$F$36/100))+(I109*(Main!$F$46/100))+(K109*(Main!$F$51/100))))/$E$6</f>
        <v>7.891311512337134</v>
      </c>
      <c r="F109">
        <f>'Req. Diario'!F107</f>
        <v>10.457608886725</v>
      </c>
      <c r="G109">
        <f>(F109-((C109*(Main!$G$41/100))+(E109*(Main!$G$31/100))+(I109*(Main!$G$46/100))+(K109*(Main!$G$51/100))))/$G$6</f>
        <v>12.95760495421729</v>
      </c>
      <c r="H109">
        <f>'Req. Diario'!G107</f>
        <v>0.8054231118175297</v>
      </c>
      <c r="I109">
        <f>H109/$I$6</f>
        <v>5.03389444885956</v>
      </c>
      <c r="J109">
        <f>'Req. Diario'!H107</f>
        <v>3.7354181554244</v>
      </c>
      <c r="K109">
        <f>J109/$K$6</f>
        <v>13.834882057127407</v>
      </c>
      <c r="L109">
        <f>'Req. Diario'!I107</f>
        <v>35.6483</v>
      </c>
      <c r="M109">
        <f>L109/$M$6</f>
        <v>173.89414634146343</v>
      </c>
    </row>
    <row r="110">
      <c r="B110">
        <f>'Req. Diario'!D108</f>
        <v>4.6149284999999995</v>
      </c>
      <c r="C110">
        <f>(B110-((E110*(Main!$E$31/100))+(G110*(Main!$E$36/100))+(I110*(Main!$E$46/100))+(K110*(Main!$E$51/100))))/$C$6</f>
        <v>7.374691884015675</v>
      </c>
      <c r="D110">
        <f>'Req. Diario'!E108</f>
        <v>4.10348198641531</v>
      </c>
      <c r="E110">
        <f>(D110-((C110*(Main!$F$41/100))+(G110*(Main!$F$36/100))+(I110*(Main!$F$46/100))+(K110*(Main!$F$51/100))))/$E$6</f>
        <v>7.891311512337134</v>
      </c>
      <c r="F110">
        <f>'Req. Diario'!F108</f>
        <v>10.457608886725</v>
      </c>
      <c r="G110">
        <f>(F110-((C110*(Main!$G$41/100))+(E110*(Main!$G$31/100))+(I110*(Main!$G$46/100))+(K110*(Main!$G$51/100))))/$G$6</f>
        <v>12.95760495421729</v>
      </c>
      <c r="H110">
        <f>'Req. Diario'!G108</f>
        <v>0.8054231118175297</v>
      </c>
      <c r="I110">
        <f>H110/$I$6</f>
        <v>5.03389444885956</v>
      </c>
      <c r="J110">
        <f>'Req. Diario'!H108</f>
        <v>3.7354181554244</v>
      </c>
      <c r="K110">
        <f>J110/$K$6</f>
        <v>13.834882057127407</v>
      </c>
      <c r="L110">
        <f>'Req. Diario'!I108</f>
        <v>35.6483</v>
      </c>
      <c r="M110">
        <f>L110/$M$6</f>
        <v>173.89414634146343</v>
      </c>
    </row>
    <row r="111">
      <c r="B111">
        <f>'Req. Diario'!D109</f>
        <v>4.6149284999999995</v>
      </c>
      <c r="C111">
        <f>(B111-((E111*(Main!$E$31/100))+(G111*(Main!$E$36/100))+(I111*(Main!$E$46/100))+(K111*(Main!$E$51/100))))/$C$6</f>
        <v>7.374691884015675</v>
      </c>
      <c r="D111">
        <f>'Req. Diario'!E109</f>
        <v>4.10348198641531</v>
      </c>
      <c r="E111">
        <f>(D111-((C111*(Main!$F$41/100))+(G111*(Main!$F$36/100))+(I111*(Main!$F$46/100))+(K111*(Main!$F$51/100))))/$E$6</f>
        <v>7.891311512337134</v>
      </c>
      <c r="F111">
        <f>'Req. Diario'!F109</f>
        <v>10.457608886725</v>
      </c>
      <c r="G111">
        <f>(F111-((C111*(Main!$G$41/100))+(E111*(Main!$G$31/100))+(I111*(Main!$G$46/100))+(K111*(Main!$G$51/100))))/$G$6</f>
        <v>12.95760495421729</v>
      </c>
      <c r="H111">
        <f>'Req. Diario'!G109</f>
        <v>0.8054231118175297</v>
      </c>
      <c r="I111">
        <f>H111/$I$6</f>
        <v>5.03389444885956</v>
      </c>
      <c r="J111">
        <f>'Req. Diario'!H109</f>
        <v>3.7354181554244</v>
      </c>
      <c r="K111">
        <f>J111/$K$6</f>
        <v>13.834882057127407</v>
      </c>
      <c r="L111">
        <f>'Req. Diario'!I109</f>
        <v>35.6483</v>
      </c>
      <c r="M111">
        <f>L111/$M$6</f>
        <v>173.89414634146343</v>
      </c>
    </row>
    <row r="112">
      <c r="A112">
        <v>16</v>
      </c>
      <c r="B112">
        <f>'Req. Diario'!D110</f>
        <v>4.6149284999999995</v>
      </c>
      <c r="C112">
        <f>(B112-((E112*(Main!$E$31/100))+(G112*(Main!$E$36/100))+(I112*(Main!$E$46/100))+(K112*(Main!$E$51/100))))/$C$6</f>
        <v>7.374691884015675</v>
      </c>
      <c r="D112">
        <f>'Req. Diario'!E110</f>
        <v>4.10348198641531</v>
      </c>
      <c r="E112">
        <f>(D112-((C112*(Main!$F$41/100))+(G112*(Main!$F$36/100))+(I112*(Main!$F$46/100))+(K112*(Main!$F$51/100))))/$E$6</f>
        <v>7.891311512337134</v>
      </c>
      <c r="F112">
        <f>'Req. Diario'!F110</f>
        <v>10.457608886725</v>
      </c>
      <c r="G112">
        <f>(F112-((C112*(Main!$G$41/100))+(E112*(Main!$G$31/100))+(I112*(Main!$G$46/100))+(K112*(Main!$G$51/100))))/$G$6</f>
        <v>12.95760495421729</v>
      </c>
      <c r="H112">
        <f>'Req. Diario'!G110</f>
        <v>0.8054231118175297</v>
      </c>
      <c r="I112">
        <f>H112/$I$6</f>
        <v>5.03389444885956</v>
      </c>
      <c r="J112">
        <f>'Req. Diario'!H110</f>
        <v>3.7354181554244</v>
      </c>
      <c r="K112">
        <f>J112/$K$6</f>
        <v>13.834882057127407</v>
      </c>
      <c r="L112">
        <f>'Req. Diario'!I110</f>
        <v>35.6483</v>
      </c>
      <c r="M112">
        <f>L112/$M$6</f>
        <v>173.89414634146343</v>
      </c>
    </row>
    <row r="113">
      <c r="B113">
        <f>'Req. Diario'!D111</f>
        <v>4.6149284999999995</v>
      </c>
      <c r="C113">
        <f>(B113-((E113*(Main!$E$31/100))+(G113*(Main!$E$36/100))+(I113*(Main!$E$46/100))+(K113*(Main!$E$51/100))))/$C$6</f>
        <v>7.374691884015675</v>
      </c>
      <c r="D113">
        <f>'Req. Diario'!E111</f>
        <v>4.10348198641531</v>
      </c>
      <c r="E113">
        <f>(D113-((C113*(Main!$F$41/100))+(G113*(Main!$F$36/100))+(I113*(Main!$F$46/100))+(K113*(Main!$F$51/100))))/$E$6</f>
        <v>7.891311512337134</v>
      </c>
      <c r="F113">
        <f>'Req. Diario'!F111</f>
        <v>10.457608886725</v>
      </c>
      <c r="G113">
        <f>(F113-((C113*(Main!$G$41/100))+(E113*(Main!$G$31/100))+(I113*(Main!$G$46/100))+(K113*(Main!$G$51/100))))/$G$6</f>
        <v>12.95760495421729</v>
      </c>
      <c r="H113">
        <f>'Req. Diario'!G111</f>
        <v>0.8054231118175297</v>
      </c>
      <c r="I113">
        <f>H113/$I$6</f>
        <v>5.03389444885956</v>
      </c>
      <c r="J113">
        <f>'Req. Diario'!H111</f>
        <v>3.7354181554244</v>
      </c>
      <c r="K113">
        <f>J113/$K$6</f>
        <v>13.834882057127407</v>
      </c>
      <c r="L113">
        <f>'Req. Diario'!I111</f>
        <v>35.6483</v>
      </c>
      <c r="M113">
        <f>L113/$M$6</f>
        <v>173.89414634146343</v>
      </c>
    </row>
    <row r="114">
      <c r="B114">
        <f>'Req. Diario'!D112</f>
        <v>4.6149284999999995</v>
      </c>
      <c r="C114">
        <f>(B114-((E114*(Main!$E$31/100))+(G114*(Main!$E$36/100))+(I114*(Main!$E$46/100))+(K114*(Main!$E$51/100))))/$C$6</f>
        <v>7.374691884015675</v>
      </c>
      <c r="D114">
        <f>'Req. Diario'!E112</f>
        <v>4.10348198641531</v>
      </c>
      <c r="E114">
        <f>(D114-((C114*(Main!$F$41/100))+(G114*(Main!$F$36/100))+(I114*(Main!$F$46/100))+(K114*(Main!$F$51/100))))/$E$6</f>
        <v>7.891311512337134</v>
      </c>
      <c r="F114">
        <f>'Req. Diario'!F112</f>
        <v>10.457608886725</v>
      </c>
      <c r="G114">
        <f>(F114-((C114*(Main!$G$41/100))+(E114*(Main!$G$31/100))+(I114*(Main!$G$46/100))+(K114*(Main!$G$51/100))))/$G$6</f>
        <v>12.95760495421729</v>
      </c>
      <c r="H114">
        <f>'Req. Diario'!G112</f>
        <v>0.8054231118175297</v>
      </c>
      <c r="I114">
        <f>H114/$I$6</f>
        <v>5.03389444885956</v>
      </c>
      <c r="J114">
        <f>'Req. Diario'!H112</f>
        <v>3.7354181554244</v>
      </c>
      <c r="K114">
        <f>J114/$K$6</f>
        <v>13.834882057127407</v>
      </c>
      <c r="L114">
        <f>'Req. Diario'!I112</f>
        <v>35.6483</v>
      </c>
      <c r="M114">
        <f>L114/$M$6</f>
        <v>173.89414634146343</v>
      </c>
    </row>
    <row r="115">
      <c r="B115">
        <f>'Req. Diario'!D113</f>
        <v>4.6149284999999995</v>
      </c>
      <c r="C115">
        <f>(B115-((E115*(Main!$E$31/100))+(G115*(Main!$E$36/100))+(I115*(Main!$E$46/100))+(K115*(Main!$E$51/100))))/$C$6</f>
        <v>7.374691884015675</v>
      </c>
      <c r="D115">
        <f>'Req. Diario'!E113</f>
        <v>4.10348198641531</v>
      </c>
      <c r="E115">
        <f>(D115-((C115*(Main!$F$41/100))+(G115*(Main!$F$36/100))+(I115*(Main!$F$46/100))+(K115*(Main!$F$51/100))))/$E$6</f>
        <v>7.891311512337134</v>
      </c>
      <c r="F115">
        <f>'Req. Diario'!F113</f>
        <v>10.457608886725</v>
      </c>
      <c r="G115">
        <f>(F115-((C115*(Main!$G$41/100))+(E115*(Main!$G$31/100))+(I115*(Main!$G$46/100))+(K115*(Main!$G$51/100))))/$G$6</f>
        <v>12.95760495421729</v>
      </c>
      <c r="H115">
        <f>'Req. Diario'!G113</f>
        <v>0.8054231118175297</v>
      </c>
      <c r="I115">
        <f>H115/$I$6</f>
        <v>5.03389444885956</v>
      </c>
      <c r="J115">
        <f>'Req. Diario'!H113</f>
        <v>3.7354181554244</v>
      </c>
      <c r="K115">
        <f>J115/$K$6</f>
        <v>13.834882057127407</v>
      </c>
      <c r="L115">
        <f>'Req. Diario'!I113</f>
        <v>35.6483</v>
      </c>
      <c r="M115">
        <f>L115/$M$6</f>
        <v>173.89414634146343</v>
      </c>
    </row>
    <row r="116">
      <c r="B116">
        <f>'Req. Diario'!D114</f>
        <v>4.6149284999999995</v>
      </c>
      <c r="C116">
        <f>(B116-((E116*(Main!$E$31/100))+(G116*(Main!$E$36/100))+(I116*(Main!$E$46/100))+(K116*(Main!$E$51/100))))/$C$6</f>
        <v>7.374691884015675</v>
      </c>
      <c r="D116">
        <f>'Req. Diario'!E114</f>
        <v>4.10348198641531</v>
      </c>
      <c r="E116">
        <f>(D116-((C116*(Main!$F$41/100))+(G116*(Main!$F$36/100))+(I116*(Main!$F$46/100))+(K116*(Main!$F$51/100))))/$E$6</f>
        <v>7.891311512337134</v>
      </c>
      <c r="F116">
        <f>'Req. Diario'!F114</f>
        <v>10.457608886725</v>
      </c>
      <c r="G116">
        <f>(F116-((C116*(Main!$G$41/100))+(E116*(Main!$G$31/100))+(I116*(Main!$G$46/100))+(K116*(Main!$G$51/100))))/$G$6</f>
        <v>12.95760495421729</v>
      </c>
      <c r="H116">
        <f>'Req. Diario'!G114</f>
        <v>0.8054231118175297</v>
      </c>
      <c r="I116">
        <f>H116/$I$6</f>
        <v>5.03389444885956</v>
      </c>
      <c r="J116">
        <f>'Req. Diario'!H114</f>
        <v>3.7354181554244</v>
      </c>
      <c r="K116">
        <f>J116/$K$6</f>
        <v>13.834882057127407</v>
      </c>
      <c r="L116">
        <f>'Req. Diario'!I114</f>
        <v>35.6483</v>
      </c>
      <c r="M116">
        <f>L116/$M$6</f>
        <v>173.89414634146343</v>
      </c>
    </row>
    <row r="117">
      <c r="B117">
        <f>'Req. Diario'!D115</f>
        <v>4.6149284999999995</v>
      </c>
      <c r="C117">
        <f>(B117-((E117*(Main!$E$31/100))+(G117*(Main!$E$36/100))+(I117*(Main!$E$46/100))+(K117*(Main!$E$51/100))))/$C$6</f>
        <v>7.374691884015675</v>
      </c>
      <c r="D117">
        <f>'Req. Diario'!E115</f>
        <v>4.10348198641531</v>
      </c>
      <c r="E117">
        <f>(D117-((C117*(Main!$F$41/100))+(G117*(Main!$F$36/100))+(I117*(Main!$F$46/100))+(K117*(Main!$F$51/100))))/$E$6</f>
        <v>7.891311512337134</v>
      </c>
      <c r="F117">
        <f>'Req. Diario'!F115</f>
        <v>10.457608886725</v>
      </c>
      <c r="G117">
        <f>(F117-((C117*(Main!$G$41/100))+(E117*(Main!$G$31/100))+(I117*(Main!$G$46/100))+(K117*(Main!$G$51/100))))/$G$6</f>
        <v>12.95760495421729</v>
      </c>
      <c r="H117">
        <f>'Req. Diario'!G115</f>
        <v>0.8054231118175297</v>
      </c>
      <c r="I117">
        <f>H117/$I$6</f>
        <v>5.03389444885956</v>
      </c>
      <c r="J117">
        <f>'Req. Diario'!H115</f>
        <v>3.7354181554244</v>
      </c>
      <c r="K117">
        <f>J117/$K$6</f>
        <v>13.834882057127407</v>
      </c>
      <c r="L117">
        <f>'Req. Diario'!I115</f>
        <v>35.6483</v>
      </c>
      <c r="M117">
        <f>L117/$M$6</f>
        <v>173.89414634146343</v>
      </c>
    </row>
    <row r="118">
      <c r="B118">
        <f>'Req. Diario'!D116</f>
        <v>4.6149284999999995</v>
      </c>
      <c r="C118">
        <f>(B118-((E118*(Main!$E$31/100))+(G118*(Main!$E$36/100))+(I118*(Main!$E$46/100))+(K118*(Main!$E$51/100))))/$C$6</f>
        <v>7.374691884015675</v>
      </c>
      <c r="D118">
        <f>'Req. Diario'!E116</f>
        <v>4.10348198641531</v>
      </c>
      <c r="E118">
        <f>(D118-((C118*(Main!$F$41/100))+(G118*(Main!$F$36/100))+(I118*(Main!$F$46/100))+(K118*(Main!$F$51/100))))/$E$6</f>
        <v>7.891311512337134</v>
      </c>
      <c r="F118">
        <f>'Req. Diario'!F116</f>
        <v>10.457608886725</v>
      </c>
      <c r="G118">
        <f>(F118-((C118*(Main!$G$41/100))+(E118*(Main!$G$31/100))+(I118*(Main!$G$46/100))+(K118*(Main!$G$51/100))))/$G$6</f>
        <v>12.95760495421729</v>
      </c>
      <c r="H118">
        <f>'Req. Diario'!G116</f>
        <v>0.8054231118175297</v>
      </c>
      <c r="I118">
        <f>H118/$I$6</f>
        <v>5.03389444885956</v>
      </c>
      <c r="J118">
        <f>'Req. Diario'!H116</f>
        <v>3.7354181554244</v>
      </c>
      <c r="K118">
        <f>J118/$K$6</f>
        <v>13.834882057127407</v>
      </c>
      <c r="L118">
        <f>'Req. Diario'!I116</f>
        <v>35.6483</v>
      </c>
      <c r="M118">
        <f>L118/$M$6</f>
        <v>173.89414634146343</v>
      </c>
    </row>
    <row r="119">
      <c r="A119">
        <v>17</v>
      </c>
      <c r="B119">
        <f>'Req. Diario'!D117</f>
        <v>4.6149284999999995</v>
      </c>
      <c r="C119">
        <f>(B119-((E119*(Main!$E$31/100))+(G119*(Main!$E$36/100))+(I119*(Main!$E$46/100))+(K119*(Main!$E$51/100))))/$C$6</f>
        <v>7.374691884015675</v>
      </c>
      <c r="D119">
        <f>'Req. Diario'!E117</f>
        <v>4.10348198641531</v>
      </c>
      <c r="E119">
        <f>(D119-((C119*(Main!$F$41/100))+(G119*(Main!$F$36/100))+(I119*(Main!$F$46/100))+(K119*(Main!$F$51/100))))/$E$6</f>
        <v>7.891311512337134</v>
      </c>
      <c r="F119">
        <f>'Req. Diario'!F117</f>
        <v>10.457608886725</v>
      </c>
      <c r="G119">
        <f>(F119-((C119*(Main!$G$41/100))+(E119*(Main!$G$31/100))+(I119*(Main!$G$46/100))+(K119*(Main!$G$51/100))))/$G$6</f>
        <v>12.95760495421729</v>
      </c>
      <c r="H119">
        <f>'Req. Diario'!G117</f>
        <v>0.8054231118175297</v>
      </c>
      <c r="I119">
        <f>H119/$I$6</f>
        <v>5.03389444885956</v>
      </c>
      <c r="J119">
        <f>'Req. Diario'!H117</f>
        <v>3.7354181554244</v>
      </c>
      <c r="K119">
        <f>J119/$K$6</f>
        <v>13.834882057127407</v>
      </c>
      <c r="L119">
        <f>'Req. Diario'!I117</f>
        <v>35.6483</v>
      </c>
      <c r="M119">
        <f>L119/$M$6</f>
        <v>173.89414634146343</v>
      </c>
    </row>
    <row r="120">
      <c r="B120">
        <f>'Req. Diario'!D118</f>
        <v>4.6149284999999995</v>
      </c>
      <c r="C120">
        <f>(B120-((E120*(Main!$E$31/100))+(G120*(Main!$E$36/100))+(I120*(Main!$E$46/100))+(K120*(Main!$E$51/100))))/$C$6</f>
        <v>7.374691884015675</v>
      </c>
      <c r="D120">
        <f>'Req. Diario'!E118</f>
        <v>4.10348198641531</v>
      </c>
      <c r="E120">
        <f>(D120-((C120*(Main!$F$41/100))+(G120*(Main!$F$36/100))+(I120*(Main!$F$46/100))+(K120*(Main!$F$51/100))))/$E$6</f>
        <v>7.891311512337134</v>
      </c>
      <c r="F120">
        <f>'Req. Diario'!F118</f>
        <v>10.457608886725</v>
      </c>
      <c r="G120">
        <f>(F120-((C120*(Main!$G$41/100))+(E120*(Main!$G$31/100))+(I120*(Main!$G$46/100))+(K120*(Main!$G$51/100))))/$G$6</f>
        <v>12.95760495421729</v>
      </c>
      <c r="H120">
        <f>'Req. Diario'!G118</f>
        <v>0.8054231118175297</v>
      </c>
      <c r="I120">
        <f>H120/$I$6</f>
        <v>5.03389444885956</v>
      </c>
      <c r="J120">
        <f>'Req. Diario'!H118</f>
        <v>3.7354181554244</v>
      </c>
      <c r="K120">
        <f>J120/$K$6</f>
        <v>13.834882057127407</v>
      </c>
      <c r="L120">
        <f>'Req. Diario'!I118</f>
        <v>35.6483</v>
      </c>
      <c r="M120">
        <f>L120/$M$6</f>
        <v>173.89414634146343</v>
      </c>
    </row>
    <row r="121">
      <c r="B121">
        <f>'Req. Diario'!D119</f>
        <v>4.6149284999999995</v>
      </c>
      <c r="C121">
        <f>(B121-((E121*(Main!$E$31/100))+(G121*(Main!$E$36/100))+(I121*(Main!$E$46/100))+(K121*(Main!$E$51/100))))/$C$6</f>
        <v>7.374691884015675</v>
      </c>
      <c r="D121">
        <f>'Req. Diario'!E119</f>
        <v>4.10348198641531</v>
      </c>
      <c r="E121">
        <f>(D121-((C121*(Main!$F$41/100))+(G121*(Main!$F$36/100))+(I121*(Main!$F$46/100))+(K121*(Main!$F$51/100))))/$E$6</f>
        <v>7.891311512337134</v>
      </c>
      <c r="F121">
        <f>'Req. Diario'!F119</f>
        <v>10.457608886725</v>
      </c>
      <c r="G121">
        <f>(F121-((C121*(Main!$G$41/100))+(E121*(Main!$G$31/100))+(I121*(Main!$G$46/100))+(K121*(Main!$G$51/100))))/$G$6</f>
        <v>12.95760495421729</v>
      </c>
      <c r="H121">
        <f>'Req. Diario'!G119</f>
        <v>0.8054231118175297</v>
      </c>
      <c r="I121">
        <f>H121/$I$6</f>
        <v>5.03389444885956</v>
      </c>
      <c r="J121">
        <f>'Req. Diario'!H119</f>
        <v>3.7354181554244</v>
      </c>
      <c r="K121">
        <f>J121/$K$6</f>
        <v>13.834882057127407</v>
      </c>
      <c r="L121">
        <f>'Req. Diario'!I119</f>
        <v>35.6483</v>
      </c>
      <c r="M121">
        <f>L121/$M$6</f>
        <v>173.89414634146343</v>
      </c>
    </row>
    <row r="122">
      <c r="B122">
        <f>'Req. Diario'!D120</f>
        <v>4.6149284999999995</v>
      </c>
      <c r="C122">
        <f>(B122-((E122*(Main!$E$31/100))+(G122*(Main!$E$36/100))+(I122*(Main!$E$46/100))+(K122*(Main!$E$51/100))))/$C$6</f>
        <v>7.374691884015675</v>
      </c>
      <c r="D122">
        <f>'Req. Diario'!E120</f>
        <v>4.10348198641531</v>
      </c>
      <c r="E122">
        <f>(D122-((C122*(Main!$F$41/100))+(G122*(Main!$F$36/100))+(I122*(Main!$F$46/100))+(K122*(Main!$F$51/100))))/$E$6</f>
        <v>7.891311512337134</v>
      </c>
      <c r="F122">
        <f>'Req. Diario'!F120</f>
        <v>10.457608886725</v>
      </c>
      <c r="G122">
        <f>(F122-((C122*(Main!$G$41/100))+(E122*(Main!$G$31/100))+(I122*(Main!$G$46/100))+(K122*(Main!$G$51/100))))/$G$6</f>
        <v>12.95760495421729</v>
      </c>
      <c r="H122">
        <f>'Req. Diario'!G120</f>
        <v>0.8054231118175297</v>
      </c>
      <c r="I122">
        <f>H122/$I$6</f>
        <v>5.03389444885956</v>
      </c>
      <c r="J122">
        <f>'Req. Diario'!H120</f>
        <v>3.7354181554244</v>
      </c>
      <c r="K122">
        <f>J122/$K$6</f>
        <v>13.834882057127407</v>
      </c>
      <c r="L122">
        <f>'Req. Diario'!I120</f>
        <v>35.6483</v>
      </c>
      <c r="M122">
        <f>L122/$M$6</f>
        <v>173.89414634146343</v>
      </c>
    </row>
    <row r="123">
      <c r="B123">
        <f>'Req. Diario'!D121</f>
        <v>4.6149284999999995</v>
      </c>
      <c r="C123">
        <f>(B123-((E123*(Main!$E$31/100))+(G123*(Main!$E$36/100))+(I123*(Main!$E$46/100))+(K123*(Main!$E$51/100))))/$C$6</f>
        <v>7.374691884015675</v>
      </c>
      <c r="D123">
        <f>'Req. Diario'!E121</f>
        <v>4.10348198641531</v>
      </c>
      <c r="E123">
        <f>(D123-((C123*(Main!$F$41/100))+(G123*(Main!$F$36/100))+(I123*(Main!$F$46/100))+(K123*(Main!$F$51/100))))/$E$6</f>
        <v>7.891311512337134</v>
      </c>
      <c r="F123">
        <f>'Req. Diario'!F121</f>
        <v>10.457608886725</v>
      </c>
      <c r="G123">
        <f>(F123-((C123*(Main!$G$41/100))+(E123*(Main!$G$31/100))+(I123*(Main!$G$46/100))+(K123*(Main!$G$51/100))))/$G$6</f>
        <v>12.95760495421729</v>
      </c>
      <c r="H123">
        <f>'Req. Diario'!G121</f>
        <v>0.8054231118175297</v>
      </c>
      <c r="I123">
        <f>H123/$I$6</f>
        <v>5.03389444885956</v>
      </c>
      <c r="J123">
        <f>'Req. Diario'!H121</f>
        <v>3.7354181554244</v>
      </c>
      <c r="K123">
        <f>J123/$K$6</f>
        <v>13.834882057127407</v>
      </c>
      <c r="L123">
        <f>'Req. Diario'!I121</f>
        <v>35.6483</v>
      </c>
      <c r="M123">
        <f>L123/$M$6</f>
        <v>173.89414634146343</v>
      </c>
    </row>
    <row r="124">
      <c r="B124">
        <f>'Req. Diario'!D122</f>
        <v>4.6149284999999995</v>
      </c>
      <c r="C124">
        <f>(B124-((E124*(Main!$E$31/100))+(G124*(Main!$E$36/100))+(I124*(Main!$E$46/100))+(K124*(Main!$E$51/100))))/$C$6</f>
        <v>7.374691884015675</v>
      </c>
      <c r="D124">
        <f>'Req. Diario'!E122</f>
        <v>4.10348198641531</v>
      </c>
      <c r="E124">
        <f>(D124-((C124*(Main!$F$41/100))+(G124*(Main!$F$36/100))+(I124*(Main!$F$46/100))+(K124*(Main!$F$51/100))))/$E$6</f>
        <v>7.891311512337134</v>
      </c>
      <c r="F124">
        <f>'Req. Diario'!F122</f>
        <v>10.457608886725</v>
      </c>
      <c r="G124">
        <f>(F124-((C124*(Main!$G$41/100))+(E124*(Main!$G$31/100))+(I124*(Main!$G$46/100))+(K124*(Main!$G$51/100))))/$G$6</f>
        <v>12.95760495421729</v>
      </c>
      <c r="H124">
        <f>'Req. Diario'!G122</f>
        <v>0.8054231118175297</v>
      </c>
      <c r="I124">
        <f>H124/$I$6</f>
        <v>5.03389444885956</v>
      </c>
      <c r="J124">
        <f>'Req. Diario'!H122</f>
        <v>3.7354181554244</v>
      </c>
      <c r="K124">
        <f>J124/$K$6</f>
        <v>13.834882057127407</v>
      </c>
      <c r="L124">
        <f>'Req. Diario'!I122</f>
        <v>35.6483</v>
      </c>
      <c r="M124">
        <f>L124/$M$6</f>
        <v>173.89414634146343</v>
      </c>
    </row>
    <row r="125">
      <c r="B125">
        <f>'Req. Diario'!D123</f>
        <v>4.6149284999999995</v>
      </c>
      <c r="C125">
        <f>(B125-((E125*(Main!$E$31/100))+(G125*(Main!$E$36/100))+(I125*(Main!$E$46/100))+(K125*(Main!$E$51/100))))/$C$6</f>
        <v>7.374691884015675</v>
      </c>
      <c r="D125">
        <f>'Req. Diario'!E123</f>
        <v>4.10348198641531</v>
      </c>
      <c r="E125">
        <f>(D125-((C125*(Main!$F$41/100))+(G125*(Main!$F$36/100))+(I125*(Main!$F$46/100))+(K125*(Main!$F$51/100))))/$E$6</f>
        <v>7.891311512337134</v>
      </c>
      <c r="F125">
        <f>'Req. Diario'!F123</f>
        <v>10.457608886725</v>
      </c>
      <c r="G125">
        <f>(F125-((C125*(Main!$G$41/100))+(E125*(Main!$G$31/100))+(I125*(Main!$G$46/100))+(K125*(Main!$G$51/100))))/$G$6</f>
        <v>12.95760495421729</v>
      </c>
      <c r="H125">
        <f>'Req. Diario'!G123</f>
        <v>0.8054231118175297</v>
      </c>
      <c r="I125">
        <f>H125/$I$6</f>
        <v>5.03389444885956</v>
      </c>
      <c r="J125">
        <f>'Req. Diario'!H123</f>
        <v>3.7354181554244</v>
      </c>
      <c r="K125">
        <f>J125/$K$6</f>
        <v>13.834882057127407</v>
      </c>
      <c r="L125">
        <f>'Req. Diario'!I123</f>
        <v>35.6483</v>
      </c>
      <c r="M125">
        <f>L125/$M$6</f>
        <v>173.89414634146343</v>
      </c>
    </row>
    <row r="126">
      <c r="A126">
        <v>18</v>
      </c>
      <c r="B126">
        <f>'Req. Diario'!D124</f>
        <v>4.6149284999999995</v>
      </c>
      <c r="C126">
        <f>(B126-((E126*(Main!$E$31/100))+(G126*(Main!$E$36/100))+(I126*(Main!$E$46/100))+(K126*(Main!$E$51/100))))/$C$6</f>
        <v>7.374691884015675</v>
      </c>
      <c r="D126">
        <f>'Req. Diario'!E124</f>
        <v>4.10348198641531</v>
      </c>
      <c r="E126">
        <f>(D126-((C126*(Main!$F$41/100))+(G126*(Main!$F$36/100))+(I126*(Main!$F$46/100))+(K126*(Main!$F$51/100))))/$E$6</f>
        <v>7.891311512337134</v>
      </c>
      <c r="F126">
        <f>'Req. Diario'!F124</f>
        <v>10.457608886725</v>
      </c>
      <c r="G126">
        <f>(F126-((C126*(Main!$G$41/100))+(E126*(Main!$G$31/100))+(I126*(Main!$G$46/100))+(K126*(Main!$G$51/100))))/$G$6</f>
        <v>12.95760495421729</v>
      </c>
      <c r="H126">
        <f>'Req. Diario'!G124</f>
        <v>0.8054231118175297</v>
      </c>
      <c r="I126">
        <f>H126/$I$6</f>
        <v>5.03389444885956</v>
      </c>
      <c r="J126">
        <f>'Req. Diario'!H124</f>
        <v>3.7354181554244</v>
      </c>
      <c r="K126">
        <f>J126/$K$6</f>
        <v>13.834882057127407</v>
      </c>
      <c r="L126">
        <f>'Req. Diario'!I124</f>
        <v>35.6483</v>
      </c>
      <c r="M126">
        <f>L126/$M$6</f>
        <v>173.89414634146343</v>
      </c>
    </row>
    <row r="127">
      <c r="B127">
        <f>'Req. Diario'!D125</f>
        <v>4.6149284999999995</v>
      </c>
      <c r="C127">
        <f>(B127-((E127*(Main!$E$31/100))+(G127*(Main!$E$36/100))+(I127*(Main!$E$46/100))+(K127*(Main!$E$51/100))))/$C$6</f>
        <v>7.374691884015675</v>
      </c>
      <c r="D127">
        <f>'Req. Diario'!E125</f>
        <v>4.10348198641531</v>
      </c>
      <c r="E127">
        <f>(D127-((C127*(Main!$F$41/100))+(G127*(Main!$F$36/100))+(I127*(Main!$F$46/100))+(K127*(Main!$F$51/100))))/$E$6</f>
        <v>7.891311512337134</v>
      </c>
      <c r="F127">
        <f>'Req. Diario'!F125</f>
        <v>10.457608886725</v>
      </c>
      <c r="G127">
        <f>(F127-((C127*(Main!$G$41/100))+(E127*(Main!$G$31/100))+(I127*(Main!$G$46/100))+(K127*(Main!$G$51/100))))/$G$6</f>
        <v>12.95760495421729</v>
      </c>
      <c r="H127">
        <f>'Req. Diario'!G125</f>
        <v>0.8054231118175297</v>
      </c>
      <c r="I127">
        <f>H127/$I$6</f>
        <v>5.03389444885956</v>
      </c>
      <c r="J127">
        <f>'Req. Diario'!H125</f>
        <v>3.7354181554244</v>
      </c>
      <c r="K127">
        <f>J127/$K$6</f>
        <v>13.834882057127407</v>
      </c>
      <c r="L127">
        <f>'Req. Diario'!I125</f>
        <v>35.6483</v>
      </c>
      <c r="M127">
        <f>L127/$M$6</f>
        <v>173.89414634146343</v>
      </c>
    </row>
    <row r="128">
      <c r="B128">
        <f>'Req. Diario'!D126</f>
        <v>4.6149284999999995</v>
      </c>
      <c r="C128">
        <f>(B128-((E128*(Main!$E$31/100))+(G128*(Main!$E$36/100))+(I128*(Main!$E$46/100))+(K128*(Main!$E$51/100))))/$C$6</f>
        <v>7.374691884015675</v>
      </c>
      <c r="D128">
        <f>'Req. Diario'!E126</f>
        <v>4.10348198641531</v>
      </c>
      <c r="E128">
        <f>(D128-((C128*(Main!$F$41/100))+(G128*(Main!$F$36/100))+(I128*(Main!$F$46/100))+(K128*(Main!$F$51/100))))/$E$6</f>
        <v>7.891311512337134</v>
      </c>
      <c r="F128">
        <f>'Req. Diario'!F126</f>
        <v>10.457608886725</v>
      </c>
      <c r="G128">
        <f>(F128-((C128*(Main!$G$41/100))+(E128*(Main!$G$31/100))+(I128*(Main!$G$46/100))+(K128*(Main!$G$51/100))))/$G$6</f>
        <v>12.95760495421729</v>
      </c>
      <c r="H128">
        <f>'Req. Diario'!G126</f>
        <v>0.8054231118175297</v>
      </c>
      <c r="I128">
        <f>H128/$I$6</f>
        <v>5.03389444885956</v>
      </c>
      <c r="J128">
        <f>'Req. Diario'!H126</f>
        <v>3.7354181554244</v>
      </c>
      <c r="K128">
        <f>J128/$K$6</f>
        <v>13.834882057127407</v>
      </c>
      <c r="L128">
        <f>'Req. Diario'!I126</f>
        <v>35.6483</v>
      </c>
      <c r="M128">
        <f>L128/$M$6</f>
        <v>173.89414634146343</v>
      </c>
    </row>
    <row r="129">
      <c r="B129">
        <f>'Req. Diario'!D127</f>
        <v>4.6149284999999995</v>
      </c>
      <c r="C129">
        <f>(B129-((E129*(Main!$E$31/100))+(G129*(Main!$E$36/100))+(I129*(Main!$E$46/100))+(K129*(Main!$E$51/100))))/$C$6</f>
        <v>7.374691884015675</v>
      </c>
      <c r="D129">
        <f>'Req. Diario'!E127</f>
        <v>4.10348198641531</v>
      </c>
      <c r="E129">
        <f>(D129-((C129*(Main!$F$41/100))+(G129*(Main!$F$36/100))+(I129*(Main!$F$46/100))+(K129*(Main!$F$51/100))))/$E$6</f>
        <v>7.891311512337134</v>
      </c>
      <c r="F129">
        <f>'Req. Diario'!F127</f>
        <v>10.457608886725</v>
      </c>
      <c r="G129">
        <f>(F129-((C129*(Main!$G$41/100))+(E129*(Main!$G$31/100))+(I129*(Main!$G$46/100))+(K129*(Main!$G$51/100))))/$G$6</f>
        <v>12.95760495421729</v>
      </c>
      <c r="H129">
        <f>'Req. Diario'!G127</f>
        <v>0.8054231118175297</v>
      </c>
      <c r="I129">
        <f>H129/$I$6</f>
        <v>5.03389444885956</v>
      </c>
      <c r="J129">
        <f>'Req. Diario'!H127</f>
        <v>3.7354181554244</v>
      </c>
      <c r="K129">
        <f>J129/$K$6</f>
        <v>13.834882057127407</v>
      </c>
      <c r="L129">
        <f>'Req. Diario'!I127</f>
        <v>35.6483</v>
      </c>
      <c r="M129">
        <f>L129/$M$6</f>
        <v>173.89414634146343</v>
      </c>
    </row>
    <row r="130">
      <c r="B130">
        <f>'Req. Diario'!D128</f>
        <v>4.6149284999999995</v>
      </c>
      <c r="C130">
        <f>(B130-((E130*(Main!$E$31/100))+(G130*(Main!$E$36/100))+(I130*(Main!$E$46/100))+(K130*(Main!$E$51/100))))/$C$6</f>
        <v>7.374691884015675</v>
      </c>
      <c r="D130">
        <f>'Req. Diario'!E128</f>
        <v>4.10348198641531</v>
      </c>
      <c r="E130">
        <f>(D130-((C130*(Main!$F$41/100))+(G130*(Main!$F$36/100))+(I130*(Main!$F$46/100))+(K130*(Main!$F$51/100))))/$E$6</f>
        <v>7.891311512337134</v>
      </c>
      <c r="F130">
        <f>'Req. Diario'!F128</f>
        <v>10.457608886725</v>
      </c>
      <c r="G130">
        <f>(F130-((C130*(Main!$G$41/100))+(E130*(Main!$G$31/100))+(I130*(Main!$G$46/100))+(K130*(Main!$G$51/100))))/$G$6</f>
        <v>12.95760495421729</v>
      </c>
      <c r="H130">
        <f>'Req. Diario'!G128</f>
        <v>0.8054231118175297</v>
      </c>
      <c r="I130">
        <f>H130/$I$6</f>
        <v>5.03389444885956</v>
      </c>
      <c r="J130">
        <f>'Req. Diario'!H128</f>
        <v>3.7354181554244</v>
      </c>
      <c r="K130">
        <f>J130/$K$6</f>
        <v>13.834882057127407</v>
      </c>
      <c r="L130">
        <f>'Req. Diario'!I128</f>
        <v>35.6483</v>
      </c>
      <c r="M130">
        <f>L130/$M$6</f>
        <v>173.89414634146343</v>
      </c>
    </row>
    <row r="131">
      <c r="B131">
        <f>'Req. Diario'!D129</f>
        <v>4.6149284999999995</v>
      </c>
      <c r="C131">
        <f>(B131-((E131*(Main!$E$31/100))+(G131*(Main!$E$36/100))+(I131*(Main!$E$46/100))+(K131*(Main!$E$51/100))))/$C$6</f>
        <v>7.374691884015675</v>
      </c>
      <c r="D131">
        <f>'Req. Diario'!E129</f>
        <v>4.10348198641531</v>
      </c>
      <c r="E131">
        <f>(D131-((C131*(Main!$F$41/100))+(G131*(Main!$F$36/100))+(I131*(Main!$F$46/100))+(K131*(Main!$F$51/100))))/$E$6</f>
        <v>7.891311512337134</v>
      </c>
      <c r="F131">
        <f>'Req. Diario'!F129</f>
        <v>10.457608886725</v>
      </c>
      <c r="G131">
        <f>(F131-((C131*(Main!$G$41/100))+(E131*(Main!$G$31/100))+(I131*(Main!$G$46/100))+(K131*(Main!$G$51/100))))/$G$6</f>
        <v>12.95760495421729</v>
      </c>
      <c r="H131">
        <f>'Req. Diario'!G129</f>
        <v>0.8054231118175297</v>
      </c>
      <c r="I131">
        <f>H131/$I$6</f>
        <v>5.03389444885956</v>
      </c>
      <c r="J131">
        <f>'Req. Diario'!H129</f>
        <v>3.7354181554244</v>
      </c>
      <c r="K131">
        <f>J131/$K$6</f>
        <v>13.834882057127407</v>
      </c>
      <c r="L131">
        <f>'Req. Diario'!I129</f>
        <v>35.6483</v>
      </c>
      <c r="M131">
        <f>L131/$M$6</f>
        <v>173.89414634146343</v>
      </c>
    </row>
    <row r="132">
      <c r="B132">
        <f>'Req. Diario'!D130</f>
        <v>4.6149284999999995</v>
      </c>
      <c r="C132">
        <f>(B132-((E132*(Main!$E$31/100))+(G132*(Main!$E$36/100))+(I132*(Main!$E$46/100))+(K132*(Main!$E$51/100))))/$C$6</f>
        <v>7.374691884015675</v>
      </c>
      <c r="D132">
        <f>'Req. Diario'!E130</f>
        <v>4.10348198641531</v>
      </c>
      <c r="E132">
        <f>(D132-((C132*(Main!$F$41/100))+(G132*(Main!$F$36/100))+(I132*(Main!$F$46/100))+(K132*(Main!$F$51/100))))/$E$6</f>
        <v>7.891311512337134</v>
      </c>
      <c r="F132">
        <f>'Req. Diario'!F130</f>
        <v>10.457608886725</v>
      </c>
      <c r="G132">
        <f>(F132-((C132*(Main!$G$41/100))+(E132*(Main!$G$31/100))+(I132*(Main!$G$46/100))+(K132*(Main!$G$51/100))))/$G$6</f>
        <v>12.95760495421729</v>
      </c>
      <c r="H132">
        <f>'Req. Diario'!G130</f>
        <v>0.8054231118175297</v>
      </c>
      <c r="I132">
        <f>H132/$I$6</f>
        <v>5.03389444885956</v>
      </c>
      <c r="J132">
        <f>'Req. Diario'!H130</f>
        <v>3.7354181554244</v>
      </c>
      <c r="K132">
        <f>J132/$K$6</f>
        <v>13.834882057127407</v>
      </c>
      <c r="L132">
        <f>'Req. Diario'!I130</f>
        <v>35.6483</v>
      </c>
      <c r="M132">
        <f>L132/$M$6</f>
        <v>173.89414634146343</v>
      </c>
    </row>
    <row r="134">
      <c r="B134">
        <f>SUM(B6:B132)</f>
        <v>630.653861384107</v>
      </c>
      <c r="C134">
        <f>SUM(C6:C132)</f>
        <v>1313.1814341912827</v>
      </c>
      <c r="D134">
        <f>SUM(D6:D132)</f>
        <v>388.2297599838865</v>
      </c>
      <c r="E134">
        <f>SUM(E6:E132)</f>
        <v>747.1156922767036</v>
      </c>
      <c r="F134">
        <f>SUM(F6:F132)</f>
        <v>930.7179639848989</v>
      </c>
      <c r="G134">
        <f>SUM(G6:G132)</f>
        <v>1128.7257143513696</v>
      </c>
      <c r="H134">
        <f>SUM(H6:H132)</f>
        <v>71.68194631267696</v>
      </c>
      <c r="I134">
        <f>SUM(I6:I132)</f>
        <v>448.17216445422986</v>
      </c>
      <c r="J134">
        <f>SUM(J6:J132)</f>
        <v>332.44892000714316</v>
      </c>
      <c r="K134">
        <f>SUM(K6:K132)</f>
        <v>1231.5622963227538</v>
      </c>
      <c r="L134">
        <f>SUM(L6:L132)</f>
        <v>3081.030799999997</v>
      </c>
      <c r="M134">
        <f>SUM(M6:M132)</f>
        <v>15029.62353658535</v>
      </c>
    </row>
  </sheetData>
  <sheetProtection sheet="1"/>
  <mergeCells count="1">
    <mergeCell ref="E1:J1"/>
  </mergeCells>
  <pageMargins left="0.42" right="0.7" top="0.44" bottom="0.39" header="0.25" footer="0.25"/>
  <ignoredErrors>
    <ignoredError numberStoredAsText="1" sqref="A1:Q134"/>
  </ignoredErrors>
</worksheet>
</file>

<file path=xl/worksheets/sheet10.xml><?xml version="1.0" encoding="utf-8"?>
<worksheet xmlns="http://schemas.openxmlformats.org/spreadsheetml/2006/main" xmlns:r="http://schemas.openxmlformats.org/officeDocument/2006/relationships">
  <dimension ref="A1:T131"/>
  <sheetViews>
    <sheetView workbookViewId="0" rightToLeft="0"/>
  </sheetViews>
  <sheetData>
    <row r="1">
      <c r="A1" t="str">
        <v>Requerimientos Diarios para:</v>
      </c>
      <c r="H1" t="str">
        <f>Main!E21</f>
        <v>Zanahoria</v>
      </c>
    </row>
    <row r="2">
      <c r="A2" t="str">
        <v>Esta tabla es de libras por hectárea por Día</v>
      </c>
    </row>
    <row r="3" ht="15.6" customHeight="1">
      <c r="A3" t="str">
        <f>Main!C13</f>
        <v>"Sin Fertilización Base"Para mas de 75,000 Lbs por Hectarea</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B5">
        <v>1</v>
      </c>
      <c r="C5">
        <v>1</v>
      </c>
      <c r="D5">
        <v>1.2085255</v>
      </c>
      <c r="E5">
        <v>0.681792475</v>
      </c>
      <c r="F5">
        <v>1.3937104999999999</v>
      </c>
      <c r="G5">
        <v>0.10734066076115283</v>
      </c>
      <c r="H5">
        <v>0.49782809450009996</v>
      </c>
      <c r="I5">
        <v>5.0926</v>
      </c>
      <c r="J5">
        <f>D5/(F5/3.362524)</f>
        <v>2.9157389560902356</v>
      </c>
      <c r="K5">
        <f>G5/(H5/1.39135)</f>
        <v>0.3</v>
      </c>
      <c r="L5">
        <f>(H5/1.190654)/F5</f>
        <v>0.3</v>
      </c>
    </row>
    <row r="6">
      <c r="B6">
        <v>2</v>
      </c>
      <c r="C6">
        <v>1</v>
      </c>
      <c r="D6">
        <v>1.2085255</v>
      </c>
      <c r="E6">
        <v>0.681792475</v>
      </c>
      <c r="F6">
        <v>1.3937104999999999</v>
      </c>
      <c r="G6">
        <v>0.10734066076115283</v>
      </c>
      <c r="H6">
        <v>0.49782809450009996</v>
      </c>
      <c r="I6">
        <v>5.0926</v>
      </c>
      <c r="J6">
        <f>D6/(F6/3.362524)</f>
        <v>2.9157389560902356</v>
      </c>
      <c r="K6">
        <f>G6/(H6/1.39135)</f>
        <v>0.3</v>
      </c>
      <c r="L6">
        <f>(H6/1.190654)/F6</f>
        <v>0.3</v>
      </c>
    </row>
    <row r="7">
      <c r="B7">
        <v>3</v>
      </c>
      <c r="C7">
        <v>1</v>
      </c>
      <c r="D7">
        <v>1.2085255</v>
      </c>
      <c r="E7">
        <v>0.681792475</v>
      </c>
      <c r="F7">
        <v>1.3937104999999999</v>
      </c>
      <c r="G7">
        <v>0.10734066076115283</v>
      </c>
      <c r="H7">
        <v>0.49782809450009996</v>
      </c>
      <c r="I7">
        <v>5.0926</v>
      </c>
      <c r="J7">
        <f>D7/(F7/3.362524)</f>
        <v>2.9157389560902356</v>
      </c>
      <c r="K7">
        <f>G7/(H7/1.39135)</f>
        <v>0.3</v>
      </c>
      <c r="L7">
        <f>(H7/1.190654)/F7</f>
        <v>0.3</v>
      </c>
    </row>
    <row r="8">
      <c r="B8">
        <v>4</v>
      </c>
      <c r="C8">
        <v>1</v>
      </c>
      <c r="D8">
        <v>1.2085255</v>
      </c>
      <c r="E8">
        <v>0.681792475</v>
      </c>
      <c r="F8">
        <v>1.3937104999999999</v>
      </c>
      <c r="G8">
        <v>0.10734066076115283</v>
      </c>
      <c r="H8">
        <v>0.49782809450009996</v>
      </c>
      <c r="I8">
        <v>5.0926</v>
      </c>
      <c r="J8">
        <f>D8/(F8/3.362524)</f>
        <v>2.9157389560902356</v>
      </c>
      <c r="K8">
        <f>G8/(H8/1.39135)</f>
        <v>0.3</v>
      </c>
      <c r="L8">
        <f>(H8/1.190654)/F8</f>
        <v>0.3</v>
      </c>
    </row>
    <row r="9">
      <c r="B9">
        <v>5</v>
      </c>
      <c r="C9">
        <v>1</v>
      </c>
      <c r="D9">
        <v>1.2085255</v>
      </c>
      <c r="E9">
        <v>0.681792475</v>
      </c>
      <c r="F9">
        <v>1.3937104999999999</v>
      </c>
      <c r="G9">
        <v>0.10734066076115283</v>
      </c>
      <c r="H9">
        <v>0.49782809450009996</v>
      </c>
      <c r="I9">
        <v>5.0926</v>
      </c>
      <c r="J9">
        <f>D9/(F9/3.362524)</f>
        <v>2.9157389560902356</v>
      </c>
      <c r="K9">
        <f>G9/(H9/1.39135)</f>
        <v>0.3</v>
      </c>
      <c r="L9">
        <f>(H9/1.190654)/F9</f>
        <v>0.3</v>
      </c>
    </row>
    <row r="10">
      <c r="B10">
        <v>6</v>
      </c>
      <c r="C10">
        <v>1</v>
      </c>
      <c r="D10">
        <v>1.2085255</v>
      </c>
      <c r="E10">
        <v>0.681792475</v>
      </c>
      <c r="F10">
        <v>1.3937104999999999</v>
      </c>
      <c r="G10">
        <v>0.10734066076115283</v>
      </c>
      <c r="H10">
        <v>0.49782809450009996</v>
      </c>
      <c r="I10">
        <v>5.0926</v>
      </c>
      <c r="J10">
        <f>D10/(F10/3.362524)</f>
        <v>2.9157389560902356</v>
      </c>
      <c r="K10">
        <f>G10/(H10/1.39135)</f>
        <v>0.3</v>
      </c>
      <c r="L10">
        <f>(H10/1.190654)/F10</f>
        <v>0.3</v>
      </c>
    </row>
    <row r="11">
      <c r="B11">
        <v>7</v>
      </c>
      <c r="C11">
        <v>1</v>
      </c>
      <c r="D11">
        <v>1.2085255</v>
      </c>
      <c r="E11">
        <v>0.681792475</v>
      </c>
      <c r="F11">
        <v>1.3937104999999999</v>
      </c>
      <c r="G11">
        <v>0.10734066076115283</v>
      </c>
      <c r="H11">
        <v>0.49782809450009996</v>
      </c>
      <c r="I11">
        <v>5.0926</v>
      </c>
      <c r="J11">
        <f>D11/(F11/3.362524)</f>
        <v>2.9157389560902356</v>
      </c>
      <c r="K11">
        <f>G11/(H11/1.39135)</f>
        <v>0.3</v>
      </c>
      <c r="L11">
        <f>(H11/1.190654)/F11</f>
        <v>0.3</v>
      </c>
    </row>
    <row r="12">
      <c r="B12">
        <v>8</v>
      </c>
      <c r="C12">
        <v>2</v>
      </c>
      <c r="D12">
        <v>1.2085255</v>
      </c>
      <c r="E12">
        <v>0.681792475</v>
      </c>
      <c r="F12">
        <v>1.3937104999999999</v>
      </c>
      <c r="G12">
        <v>0.10734066076115283</v>
      </c>
      <c r="H12">
        <v>0.49782809450009996</v>
      </c>
      <c r="I12">
        <v>5.0926</v>
      </c>
      <c r="J12">
        <f>D12/(F12/3.362524)</f>
        <v>2.9157389560902356</v>
      </c>
      <c r="K12">
        <f>G12/(H12/1.39135)</f>
        <v>0.3</v>
      </c>
      <c r="L12">
        <f>(H12/1.190654)/F12</f>
        <v>0.3</v>
      </c>
    </row>
    <row r="13">
      <c r="B13">
        <v>9</v>
      </c>
      <c r="C13">
        <v>2</v>
      </c>
      <c r="D13">
        <v>1.2085255</v>
      </c>
      <c r="E13">
        <v>0.681792475</v>
      </c>
      <c r="F13">
        <v>1.3937104999999999</v>
      </c>
      <c r="G13">
        <v>0.10734066076115283</v>
      </c>
      <c r="H13">
        <v>0.49782809450009996</v>
      </c>
      <c r="I13">
        <v>5.0926</v>
      </c>
      <c r="J13">
        <f>D13/(F13/3.362524)</f>
        <v>2.9157389560902356</v>
      </c>
      <c r="K13">
        <f>G13/(H13/1.39135)</f>
        <v>0.3</v>
      </c>
      <c r="L13">
        <f>(H13/1.190654)/F13</f>
        <v>0.3</v>
      </c>
    </row>
    <row r="14">
      <c r="B14">
        <v>10</v>
      </c>
      <c r="C14">
        <v>2</v>
      </c>
      <c r="D14">
        <v>1.2085255</v>
      </c>
      <c r="E14">
        <v>0.681792475</v>
      </c>
      <c r="F14">
        <v>1.3937104999999999</v>
      </c>
      <c r="G14">
        <v>0.10734066076115283</v>
      </c>
      <c r="H14">
        <v>0.49782809450009996</v>
      </c>
      <c r="I14">
        <v>5.0926</v>
      </c>
      <c r="J14">
        <f>D14/(F14/3.362524)</f>
        <v>2.9157389560902356</v>
      </c>
      <c r="K14">
        <f>G14/(H14/1.39135)</f>
        <v>0.3</v>
      </c>
      <c r="L14">
        <f>(H14/1.190654)/F14</f>
        <v>0.3</v>
      </c>
    </row>
    <row r="15">
      <c r="B15">
        <v>11</v>
      </c>
      <c r="C15">
        <v>2</v>
      </c>
      <c r="D15">
        <v>1.2085255</v>
      </c>
      <c r="E15">
        <v>0.681792475</v>
      </c>
      <c r="F15">
        <v>1.3937104999999999</v>
      </c>
      <c r="G15">
        <v>0.10734066076115283</v>
      </c>
      <c r="H15">
        <v>0.49782809450009996</v>
      </c>
      <c r="I15">
        <v>9.1667</v>
      </c>
      <c r="J15">
        <f>D15/(F15/3.362524)</f>
        <v>2.9157389560902356</v>
      </c>
      <c r="K15">
        <f>G15/(H15/1.39135)</f>
        <v>0.3</v>
      </c>
      <c r="L15">
        <f>(H15/1.190654)/F15</f>
        <v>0.3</v>
      </c>
    </row>
    <row r="16">
      <c r="B16">
        <v>12</v>
      </c>
      <c r="C16">
        <v>2</v>
      </c>
      <c r="D16">
        <v>1.2085255</v>
      </c>
      <c r="E16">
        <v>0.681792475</v>
      </c>
      <c r="F16">
        <v>1.3937104999999999</v>
      </c>
      <c r="G16">
        <v>0.10734066076115283</v>
      </c>
      <c r="H16">
        <v>0.49782809450009996</v>
      </c>
      <c r="I16">
        <v>9.1667</v>
      </c>
      <c r="J16">
        <f>D16/(F16/3.362524)</f>
        <v>2.9157389560902356</v>
      </c>
      <c r="K16">
        <f>G16/(H16/1.39135)</f>
        <v>0.3</v>
      </c>
      <c r="L16">
        <f>(H16/1.190654)/F16</f>
        <v>0.3</v>
      </c>
    </row>
    <row r="17">
      <c r="B17">
        <v>13</v>
      </c>
      <c r="C17">
        <v>2</v>
      </c>
      <c r="D17">
        <v>1.2085255</v>
      </c>
      <c r="E17">
        <v>0.681792475</v>
      </c>
      <c r="F17">
        <v>1.3937104999999999</v>
      </c>
      <c r="G17">
        <v>0.10734066076115283</v>
      </c>
      <c r="H17">
        <v>0.49782809450009996</v>
      </c>
      <c r="I17">
        <v>9.1667</v>
      </c>
      <c r="J17">
        <f>D17/(F17/3.362524)</f>
        <v>2.9157389560902356</v>
      </c>
      <c r="K17">
        <f>G17/(H17/1.39135)</f>
        <v>0.3</v>
      </c>
      <c r="L17">
        <f>(H17/1.190654)/F17</f>
        <v>0.3</v>
      </c>
    </row>
    <row r="18">
      <c r="B18">
        <v>14</v>
      </c>
      <c r="C18">
        <v>2</v>
      </c>
      <c r="D18">
        <v>1.2085255</v>
      </c>
      <c r="E18">
        <v>0.681792475</v>
      </c>
      <c r="F18">
        <v>1.3937104999999999</v>
      </c>
      <c r="G18">
        <v>0.10734066076115283</v>
      </c>
      <c r="H18">
        <v>0.49782809450009996</v>
      </c>
      <c r="I18">
        <v>9.1667</v>
      </c>
      <c r="J18">
        <f>D18/(F18/3.362524)</f>
        <v>2.9157389560902356</v>
      </c>
      <c r="K18">
        <f>G18/(H18/1.39135)</f>
        <v>0.3</v>
      </c>
      <c r="L18">
        <f>(H18/1.190654)/F18</f>
        <v>0.3</v>
      </c>
    </row>
    <row r="19">
      <c r="B19">
        <v>15</v>
      </c>
      <c r="C19">
        <v>3</v>
      </c>
      <c r="D19">
        <v>1.2085255</v>
      </c>
      <c r="E19">
        <v>0.681792475</v>
      </c>
      <c r="F19">
        <v>1.3937104999999999</v>
      </c>
      <c r="G19">
        <v>0.10734066076115283</v>
      </c>
      <c r="H19">
        <v>0.49782809450009996</v>
      </c>
      <c r="I19">
        <v>9.1667</v>
      </c>
      <c r="J19">
        <f>D19/(F19/3.362524)</f>
        <v>2.9157389560902356</v>
      </c>
      <c r="K19">
        <f>G19/(H19/1.39135)</f>
        <v>0.3</v>
      </c>
      <c r="L19">
        <f>(H19/1.190654)/F19</f>
        <v>0.3</v>
      </c>
    </row>
    <row r="20">
      <c r="B20">
        <v>16</v>
      </c>
      <c r="C20">
        <v>3</v>
      </c>
      <c r="D20">
        <v>1.8130384999999998</v>
      </c>
      <c r="E20">
        <v>1.0206924</v>
      </c>
      <c r="F20">
        <v>2.091544</v>
      </c>
      <c r="G20">
        <v>0.1610863339058037</v>
      </c>
      <c r="H20">
        <v>0.7470915689328</v>
      </c>
      <c r="I20">
        <v>9.1667</v>
      </c>
      <c r="J20">
        <f>D20/(F20/3.362524)</f>
        <v>2.9147775371562825</v>
      </c>
      <c r="K20">
        <f>G20/(H20/1.39135)</f>
        <v>0.3</v>
      </c>
      <c r="L20">
        <f>(H20/1.190654)/F20</f>
        <v>0.30000000000000004</v>
      </c>
    </row>
    <row r="21">
      <c r="B21">
        <v>17</v>
      </c>
      <c r="C21">
        <v>3</v>
      </c>
      <c r="D21">
        <v>1.8130384999999998</v>
      </c>
      <c r="E21">
        <v>1.0206924</v>
      </c>
      <c r="F21">
        <v>2.091544</v>
      </c>
      <c r="G21">
        <v>0.1610863339058037</v>
      </c>
      <c r="H21">
        <v>0.7470915689328</v>
      </c>
      <c r="I21">
        <v>9.1667</v>
      </c>
      <c r="J21">
        <f>D21/(F21/3.362524)</f>
        <v>2.9147775371562825</v>
      </c>
      <c r="K21">
        <f>G21/(H21/1.39135)</f>
        <v>0.3</v>
      </c>
      <c r="L21">
        <f>(H21/1.190654)/F21</f>
        <v>0.30000000000000004</v>
      </c>
    </row>
    <row r="22">
      <c r="B22">
        <v>18</v>
      </c>
      <c r="C22">
        <v>3</v>
      </c>
      <c r="D22">
        <v>1.8130384999999998</v>
      </c>
      <c r="E22">
        <v>1.0206924</v>
      </c>
      <c r="F22">
        <v>2.091544</v>
      </c>
      <c r="G22">
        <v>0.1610863339058037</v>
      </c>
      <c r="H22">
        <v>0.7470915689328</v>
      </c>
      <c r="I22">
        <v>12.2222</v>
      </c>
      <c r="J22">
        <f>D22/(F22/3.362524)</f>
        <v>2.9147775371562825</v>
      </c>
      <c r="K22">
        <f>G22/(H22/1.39135)</f>
        <v>0.3</v>
      </c>
      <c r="L22">
        <f>(H22/1.190654)/F22</f>
        <v>0.30000000000000004</v>
      </c>
    </row>
    <row r="23">
      <c r="B23">
        <v>19</v>
      </c>
      <c r="C23">
        <v>3</v>
      </c>
      <c r="D23">
        <v>1.8130384999999998</v>
      </c>
      <c r="E23">
        <v>1.0206924</v>
      </c>
      <c r="F23">
        <v>2.091544</v>
      </c>
      <c r="G23">
        <v>0.1610863339058037</v>
      </c>
      <c r="H23">
        <v>0.7470915689328</v>
      </c>
      <c r="I23">
        <v>12.2222</v>
      </c>
      <c r="J23">
        <f>D23/(F23/3.362524)</f>
        <v>2.9147775371562825</v>
      </c>
      <c r="K23">
        <f>G23/(H23/1.39135)</f>
        <v>0.3</v>
      </c>
      <c r="L23">
        <f>(H23/1.190654)/F23</f>
        <v>0.30000000000000004</v>
      </c>
    </row>
    <row r="24">
      <c r="B24">
        <v>20</v>
      </c>
      <c r="C24">
        <v>3</v>
      </c>
      <c r="D24">
        <v>1.8130384999999998</v>
      </c>
      <c r="E24">
        <v>1.0206924</v>
      </c>
      <c r="F24">
        <v>2.091544</v>
      </c>
      <c r="G24">
        <v>0.1610863339058037</v>
      </c>
      <c r="H24">
        <v>0.7470915689328</v>
      </c>
      <c r="I24">
        <v>12.2222</v>
      </c>
      <c r="J24">
        <f>D24/(F24/3.362524)</f>
        <v>2.9147775371562825</v>
      </c>
      <c r="K24">
        <f>G24/(H24/1.39135)</f>
        <v>0.3</v>
      </c>
      <c r="L24">
        <f>(H24/1.190654)/F24</f>
        <v>0.30000000000000004</v>
      </c>
    </row>
    <row r="25">
      <c r="B25">
        <v>21</v>
      </c>
      <c r="C25">
        <v>3</v>
      </c>
      <c r="D25">
        <v>1.8130384999999998</v>
      </c>
      <c r="E25">
        <v>1.0206924</v>
      </c>
      <c r="F25">
        <v>2.091544</v>
      </c>
      <c r="G25">
        <v>0.1610863339058037</v>
      </c>
      <c r="H25">
        <v>0.7470915689328</v>
      </c>
      <c r="I25">
        <v>12.2222</v>
      </c>
      <c r="J25">
        <f>D25/(F25/3.362524)</f>
        <v>2.9147775371562825</v>
      </c>
      <c r="K25">
        <f>G25/(H25/1.39135)</f>
        <v>0.3</v>
      </c>
      <c r="L25">
        <f>(H25/1.190654)/F25</f>
        <v>0.30000000000000004</v>
      </c>
    </row>
    <row r="26">
      <c r="B26">
        <v>22</v>
      </c>
      <c r="C26">
        <v>4</v>
      </c>
      <c r="D26">
        <v>1.8130384999999998</v>
      </c>
      <c r="E26">
        <v>1.0206924</v>
      </c>
      <c r="F26">
        <v>2.091544</v>
      </c>
      <c r="G26">
        <v>0.1610863339058037</v>
      </c>
      <c r="H26">
        <v>0.7470915689328</v>
      </c>
      <c r="I26">
        <v>12.2222</v>
      </c>
      <c r="J26">
        <f>D26/(F26/3.362524)</f>
        <v>2.9147775371562825</v>
      </c>
      <c r="K26">
        <f>G26/(H26/1.39135)</f>
        <v>0.3</v>
      </c>
      <c r="L26">
        <f>(H26/1.190654)/F26</f>
        <v>0.30000000000000004</v>
      </c>
    </row>
    <row r="27">
      <c r="B27">
        <v>23</v>
      </c>
      <c r="C27">
        <v>4</v>
      </c>
      <c r="D27">
        <v>1.8130384999999998</v>
      </c>
      <c r="E27">
        <v>1.0206924</v>
      </c>
      <c r="F27">
        <v>2.091544</v>
      </c>
      <c r="G27">
        <v>0.1610863339058037</v>
      </c>
      <c r="H27">
        <v>0.7470915689328</v>
      </c>
      <c r="I27">
        <v>12.2222</v>
      </c>
      <c r="J27">
        <f>D27/(F27/3.362524)</f>
        <v>2.9147775371562825</v>
      </c>
      <c r="K27">
        <f>G27/(H27/1.39135)</f>
        <v>0.3</v>
      </c>
      <c r="L27">
        <f>(H27/1.190654)/F27</f>
        <v>0.30000000000000004</v>
      </c>
    </row>
    <row r="28">
      <c r="B28">
        <v>24</v>
      </c>
      <c r="C28">
        <v>4</v>
      </c>
      <c r="D28">
        <v>1.8130384999999998</v>
      </c>
      <c r="E28">
        <v>1.0206924</v>
      </c>
      <c r="F28">
        <v>2.091544</v>
      </c>
      <c r="G28">
        <v>0.1610863339058037</v>
      </c>
      <c r="H28">
        <v>0.7470915689328</v>
      </c>
      <c r="I28">
        <v>12.2222</v>
      </c>
      <c r="J28">
        <f>D28/(F28/3.362524)</f>
        <v>2.9147775371562825</v>
      </c>
      <c r="K28">
        <f>G28/(H28/1.39135)</f>
        <v>0.3</v>
      </c>
      <c r="L28">
        <f>(H28/1.190654)/F28</f>
        <v>0.30000000000000004</v>
      </c>
    </row>
    <row r="29">
      <c r="B29">
        <v>25</v>
      </c>
      <c r="C29">
        <v>4</v>
      </c>
      <c r="D29">
        <v>1.8130384999999998</v>
      </c>
      <c r="E29">
        <v>1.0206924</v>
      </c>
      <c r="F29">
        <v>2.091544</v>
      </c>
      <c r="G29">
        <v>0.1610863339058037</v>
      </c>
      <c r="H29">
        <v>0.7470915689328</v>
      </c>
      <c r="I29">
        <v>12.2222</v>
      </c>
      <c r="J29">
        <f>D29/(F29/3.362524)</f>
        <v>2.9147775371562825</v>
      </c>
      <c r="K29">
        <f>G29/(H29/1.39135)</f>
        <v>0.3</v>
      </c>
      <c r="L29">
        <f>(H29/1.190654)/F29</f>
        <v>0.30000000000000004</v>
      </c>
    </row>
    <row r="30">
      <c r="B30">
        <v>26</v>
      </c>
      <c r="C30">
        <v>4</v>
      </c>
      <c r="D30">
        <v>1.8130384999999998</v>
      </c>
      <c r="E30">
        <v>1.0206924</v>
      </c>
      <c r="F30">
        <v>2.091544</v>
      </c>
      <c r="G30">
        <v>0.1610863339058037</v>
      </c>
      <c r="H30">
        <v>0.7470915689328</v>
      </c>
      <c r="I30">
        <v>12.2222</v>
      </c>
      <c r="J30">
        <f>D30/(F30/3.362524)</f>
        <v>2.9147775371562825</v>
      </c>
      <c r="K30">
        <f>G30/(H30/1.39135)</f>
        <v>0.3</v>
      </c>
      <c r="L30">
        <f>(H30/1.190654)/F30</f>
        <v>0.30000000000000004</v>
      </c>
    </row>
    <row r="31">
      <c r="B31">
        <v>27</v>
      </c>
      <c r="C31">
        <v>4</v>
      </c>
      <c r="D31">
        <v>1.8130384999999998</v>
      </c>
      <c r="E31">
        <v>1.0206924</v>
      </c>
      <c r="F31">
        <v>2.091544</v>
      </c>
      <c r="G31">
        <v>0.1610863339058037</v>
      </c>
      <c r="H31">
        <v>0.7470915689328</v>
      </c>
      <c r="I31">
        <v>12.2222</v>
      </c>
      <c r="J31">
        <f>D31/(F31/3.362524)</f>
        <v>2.9147775371562825</v>
      </c>
      <c r="K31">
        <f>G31/(H31/1.39135)</f>
        <v>0.3</v>
      </c>
      <c r="L31">
        <f>(H31/1.190654)/F31</f>
        <v>0.30000000000000004</v>
      </c>
    </row>
    <row r="32">
      <c r="B32">
        <v>28</v>
      </c>
      <c r="C32">
        <v>4</v>
      </c>
      <c r="D32">
        <v>1.8130384999999998</v>
      </c>
      <c r="E32">
        <v>1.0206924</v>
      </c>
      <c r="F32">
        <v>2.091544</v>
      </c>
      <c r="G32">
        <v>0.1610863339058037</v>
      </c>
      <c r="H32">
        <v>0.7470915689328</v>
      </c>
      <c r="I32">
        <v>12.2222</v>
      </c>
      <c r="J32">
        <f>D32/(F32/3.362524)</f>
        <v>2.9147775371562825</v>
      </c>
      <c r="K32">
        <f>G32/(H32/1.39135)</f>
        <v>0.3</v>
      </c>
      <c r="L32">
        <f>(H32/1.190654)/F32</f>
        <v>0.30000000000000004</v>
      </c>
    </row>
    <row r="33">
      <c r="B33">
        <v>29</v>
      </c>
      <c r="C33">
        <v>5</v>
      </c>
      <c r="D33">
        <v>1.8130384999999998</v>
      </c>
      <c r="E33">
        <v>1.0206924</v>
      </c>
      <c r="F33">
        <v>2.091544</v>
      </c>
      <c r="G33">
        <v>0.1610863339058037</v>
      </c>
      <c r="H33">
        <v>0.7470915689328</v>
      </c>
      <c r="I33">
        <v>12.2222</v>
      </c>
      <c r="J33">
        <f>D33/(F33/3.362524)</f>
        <v>2.9147775371562825</v>
      </c>
      <c r="K33">
        <f>G33/(H33/1.39135)</f>
        <v>0.3</v>
      </c>
      <c r="L33">
        <f>(H33/1.190654)/F33</f>
        <v>0.30000000000000004</v>
      </c>
    </row>
    <row r="34">
      <c r="B34">
        <v>30</v>
      </c>
      <c r="C34">
        <v>5</v>
      </c>
      <c r="D34">
        <v>1.8130384999999998</v>
      </c>
      <c r="E34">
        <v>1.0206924</v>
      </c>
      <c r="F34">
        <v>2.091544</v>
      </c>
      <c r="G34">
        <v>0.1610863339058037</v>
      </c>
      <c r="H34">
        <v>0.7470915689328</v>
      </c>
      <c r="I34">
        <v>12.2222</v>
      </c>
      <c r="J34">
        <f>D34/(F34/3.362524)</f>
        <v>2.9147775371562825</v>
      </c>
      <c r="K34">
        <f>G34/(H34/1.39135)</f>
        <v>0.3</v>
      </c>
      <c r="L34">
        <f>(H34/1.190654)/F34</f>
        <v>0.30000000000000004</v>
      </c>
    </row>
    <row r="35">
      <c r="B35">
        <v>31</v>
      </c>
      <c r="C35">
        <v>5</v>
      </c>
      <c r="D35">
        <v>5.439063832202</v>
      </c>
      <c r="E35">
        <v>3.0620891918491875</v>
      </c>
      <c r="F35">
        <v>6.274565332035</v>
      </c>
      <c r="G35">
        <v>0.4832538670905179</v>
      </c>
      <c r="H35">
        <v>2.2412508932546404</v>
      </c>
      <c r="I35">
        <v>12.2222</v>
      </c>
      <c r="J35">
        <f>D35/(F35/3.362524)</f>
        <v>2.9147808183518613</v>
      </c>
      <c r="K35">
        <f>G35/(H35/1.39135)</f>
        <v>0.3</v>
      </c>
      <c r="L35">
        <f>(H35/1.190654)/F35</f>
        <v>0.3</v>
      </c>
    </row>
    <row r="36">
      <c r="B36">
        <v>32</v>
      </c>
      <c r="C36">
        <v>5</v>
      </c>
      <c r="D36">
        <v>5.439063832202</v>
      </c>
      <c r="E36">
        <v>3.0620891918491875</v>
      </c>
      <c r="F36">
        <v>6.274565332035</v>
      </c>
      <c r="G36">
        <v>0.4832538670905179</v>
      </c>
      <c r="H36">
        <v>2.2412508932546404</v>
      </c>
      <c r="I36">
        <v>12.2222</v>
      </c>
      <c r="J36">
        <f>D36/(F36/3.362524)</f>
        <v>2.9147808183518613</v>
      </c>
      <c r="K36">
        <f>G36/(H36/1.39135)</f>
        <v>0.3</v>
      </c>
      <c r="L36">
        <f>(H36/1.190654)/F36</f>
        <v>0.3</v>
      </c>
    </row>
    <row r="37">
      <c r="B37">
        <v>33</v>
      </c>
      <c r="C37">
        <v>5</v>
      </c>
      <c r="D37">
        <v>5.439063832202</v>
      </c>
      <c r="E37">
        <v>3.0620891918491875</v>
      </c>
      <c r="F37">
        <v>6.274565332035</v>
      </c>
      <c r="G37">
        <v>0.4832538670905179</v>
      </c>
      <c r="H37">
        <v>2.2412508932546404</v>
      </c>
      <c r="I37">
        <v>17.3149</v>
      </c>
      <c r="J37">
        <f>D37/(F37/3.362524)</f>
        <v>2.9147808183518613</v>
      </c>
      <c r="K37">
        <f>G37/(H37/1.39135)</f>
        <v>0.3</v>
      </c>
      <c r="L37">
        <f>(H37/1.190654)/F37</f>
        <v>0.3</v>
      </c>
    </row>
    <row r="38">
      <c r="B38">
        <v>34</v>
      </c>
      <c r="C38">
        <v>5</v>
      </c>
      <c r="D38">
        <v>5.439063832202</v>
      </c>
      <c r="E38">
        <v>3.0620891918491875</v>
      </c>
      <c r="F38">
        <v>6.274565332035</v>
      </c>
      <c r="G38">
        <v>0.4832538670905179</v>
      </c>
      <c r="H38">
        <v>2.2412508932546404</v>
      </c>
      <c r="I38">
        <v>17.3149</v>
      </c>
      <c r="J38">
        <f>D38/(F38/3.362524)</f>
        <v>2.9147808183518613</v>
      </c>
      <c r="K38">
        <f>G38/(H38/1.39135)</f>
        <v>0.3</v>
      </c>
      <c r="L38">
        <f>(H38/1.190654)/F38</f>
        <v>0.3</v>
      </c>
    </row>
    <row r="39">
      <c r="B39">
        <v>35</v>
      </c>
      <c r="C39">
        <v>5</v>
      </c>
      <c r="D39">
        <v>5.439063832202</v>
      </c>
      <c r="E39">
        <v>3.0620891918491875</v>
      </c>
      <c r="F39">
        <v>6.274565332035</v>
      </c>
      <c r="G39">
        <v>0.4832538670905179</v>
      </c>
      <c r="H39">
        <v>2.2412508932546404</v>
      </c>
      <c r="I39">
        <v>17.3149</v>
      </c>
      <c r="J39">
        <f>D39/(F39/3.362524)</f>
        <v>2.9147808183518613</v>
      </c>
      <c r="K39">
        <f>G39/(H39/1.39135)</f>
        <v>0.3</v>
      </c>
      <c r="L39">
        <f>(H39/1.190654)/F39</f>
        <v>0.3</v>
      </c>
    </row>
    <row r="40">
      <c r="B40">
        <v>36</v>
      </c>
      <c r="C40">
        <v>6</v>
      </c>
      <c r="D40">
        <v>5.439063832202</v>
      </c>
      <c r="E40">
        <v>3.0620891918491875</v>
      </c>
      <c r="F40">
        <v>6.274565332035</v>
      </c>
      <c r="G40">
        <v>0.4832538670905179</v>
      </c>
      <c r="H40">
        <v>2.2412508932546404</v>
      </c>
      <c r="I40">
        <v>17.3149</v>
      </c>
      <c r="J40">
        <f>D40/(F40/3.362524)</f>
        <v>2.9147808183518613</v>
      </c>
      <c r="K40">
        <f>G40/(H40/1.39135)</f>
        <v>0.3</v>
      </c>
      <c r="L40">
        <f>(H40/1.190654)/F40</f>
        <v>0.3</v>
      </c>
    </row>
    <row r="41">
      <c r="B41">
        <v>37</v>
      </c>
      <c r="C41">
        <v>6</v>
      </c>
      <c r="D41">
        <v>5.439063832202</v>
      </c>
      <c r="E41">
        <v>3.0620891918491875</v>
      </c>
      <c r="F41">
        <v>6.274565332035</v>
      </c>
      <c r="G41">
        <v>0.4832538670905179</v>
      </c>
      <c r="H41">
        <v>2.2412508932546404</v>
      </c>
      <c r="I41">
        <v>17.3149</v>
      </c>
      <c r="J41">
        <f>D41/(F41/3.362524)</f>
        <v>2.9147808183518613</v>
      </c>
      <c r="K41">
        <f>G41/(H41/1.39135)</f>
        <v>0.3</v>
      </c>
      <c r="L41">
        <f>(H41/1.190654)/F41</f>
        <v>0.3</v>
      </c>
    </row>
    <row r="42">
      <c r="B42">
        <v>38</v>
      </c>
      <c r="C42">
        <v>6</v>
      </c>
      <c r="D42">
        <v>5.439063832202</v>
      </c>
      <c r="E42">
        <v>3.0620891918491875</v>
      </c>
      <c r="F42">
        <v>6.274565332035</v>
      </c>
      <c r="G42">
        <v>0.4832538670905179</v>
      </c>
      <c r="H42">
        <v>2.2412508932546404</v>
      </c>
      <c r="I42">
        <v>17.3149</v>
      </c>
      <c r="J42">
        <f>D42/(F42/3.362524)</f>
        <v>2.9147808183518613</v>
      </c>
      <c r="K42">
        <f>G42/(H42/1.39135)</f>
        <v>0.3</v>
      </c>
      <c r="L42">
        <f>(H42/1.190654)/F42</f>
        <v>0.3</v>
      </c>
    </row>
    <row r="43">
      <c r="B43">
        <v>39</v>
      </c>
      <c r="C43">
        <v>6</v>
      </c>
      <c r="D43">
        <v>5.439063832202</v>
      </c>
      <c r="E43">
        <v>3.0620891918491875</v>
      </c>
      <c r="F43">
        <v>6.274565332035</v>
      </c>
      <c r="G43">
        <v>0.4832538670905179</v>
      </c>
      <c r="H43">
        <v>2.2412508932546404</v>
      </c>
      <c r="I43">
        <v>17.3149</v>
      </c>
      <c r="J43">
        <f>D43/(F43/3.362524)</f>
        <v>2.9147808183518613</v>
      </c>
      <c r="K43">
        <f>G43/(H43/1.39135)</f>
        <v>0.3</v>
      </c>
      <c r="L43">
        <f>(H43/1.190654)/F43</f>
        <v>0.3</v>
      </c>
    </row>
    <row r="44">
      <c r="B44">
        <v>40</v>
      </c>
      <c r="C44">
        <v>6</v>
      </c>
      <c r="D44">
        <v>5.439063832202</v>
      </c>
      <c r="E44">
        <v>3.0620891918491875</v>
      </c>
      <c r="F44">
        <v>6.274565332035</v>
      </c>
      <c r="G44">
        <v>0.4832538670905179</v>
      </c>
      <c r="H44">
        <v>2.2412508932546404</v>
      </c>
      <c r="I44">
        <v>17.3149</v>
      </c>
      <c r="J44">
        <f>D44/(F44/3.362524)</f>
        <v>2.9147808183518613</v>
      </c>
      <c r="K44">
        <f>G44/(H44/1.39135)</f>
        <v>0.3</v>
      </c>
      <c r="L44">
        <f>(H44/1.190654)/F44</f>
        <v>0.3</v>
      </c>
    </row>
    <row r="45">
      <c r="B45">
        <v>41</v>
      </c>
      <c r="C45">
        <v>6</v>
      </c>
      <c r="D45">
        <v>5.439063832202</v>
      </c>
      <c r="E45">
        <v>3.0620891918491875</v>
      </c>
      <c r="F45">
        <v>6.274565332035</v>
      </c>
      <c r="G45">
        <v>0.4832538670905179</v>
      </c>
      <c r="H45">
        <v>2.2412508932546404</v>
      </c>
      <c r="I45">
        <v>17.3149</v>
      </c>
      <c r="J45">
        <f>D45/(F45/3.362524)</f>
        <v>2.9147808183518613</v>
      </c>
      <c r="K45">
        <f>G45/(H45/1.39135)</f>
        <v>0.3</v>
      </c>
      <c r="L45">
        <f>(H45/1.190654)/F45</f>
        <v>0.3</v>
      </c>
    </row>
    <row r="46">
      <c r="B46">
        <v>42</v>
      </c>
      <c r="C46">
        <v>6</v>
      </c>
      <c r="D46">
        <v>5.439063832202</v>
      </c>
      <c r="E46">
        <v>3.0620891918491875</v>
      </c>
      <c r="F46">
        <v>6.274565332035</v>
      </c>
      <c r="G46">
        <v>0.4832538670905179</v>
      </c>
      <c r="H46">
        <v>2.2412508932546404</v>
      </c>
      <c r="I46">
        <v>17.3149</v>
      </c>
      <c r="J46">
        <f>D46/(F46/3.362524)</f>
        <v>2.9147808183518613</v>
      </c>
      <c r="K46">
        <f>G46/(H46/1.39135)</f>
        <v>0.3</v>
      </c>
      <c r="L46">
        <f>(H46/1.190654)/F46</f>
        <v>0.3</v>
      </c>
    </row>
    <row r="47">
      <c r="B47">
        <v>43</v>
      </c>
      <c r="C47">
        <v>7</v>
      </c>
      <c r="D47">
        <v>5.439063832202</v>
      </c>
      <c r="E47">
        <v>3.0620891918491875</v>
      </c>
      <c r="F47">
        <v>6.274565332035</v>
      </c>
      <c r="G47">
        <v>0.4832538670905179</v>
      </c>
      <c r="H47">
        <v>2.2412508932546404</v>
      </c>
      <c r="I47">
        <v>17.3149</v>
      </c>
      <c r="J47">
        <f>D47/(F47/3.362524)</f>
        <v>2.9147808183518613</v>
      </c>
      <c r="K47">
        <f>G47/(H47/1.39135)</f>
        <v>0.3</v>
      </c>
      <c r="L47">
        <f>(H47/1.190654)/F47</f>
        <v>0.3</v>
      </c>
    </row>
    <row r="48">
      <c r="B48">
        <v>44</v>
      </c>
      <c r="C48">
        <v>7</v>
      </c>
      <c r="D48">
        <v>5.439063832202</v>
      </c>
      <c r="E48">
        <v>3.0620891918491875</v>
      </c>
      <c r="F48">
        <v>6.274565332035</v>
      </c>
      <c r="G48">
        <v>0.4832538670905179</v>
      </c>
      <c r="H48">
        <v>2.2412508932546404</v>
      </c>
      <c r="I48">
        <v>17.3149</v>
      </c>
      <c r="J48">
        <f>D48/(F48/3.362524)</f>
        <v>2.9147808183518613</v>
      </c>
      <c r="K48">
        <f>G48/(H48/1.39135)</f>
        <v>0.3</v>
      </c>
      <c r="L48">
        <f>(H48/1.190654)/F48</f>
        <v>0.3</v>
      </c>
    </row>
    <row r="49">
      <c r="B49">
        <v>45</v>
      </c>
      <c r="C49">
        <v>7</v>
      </c>
      <c r="D49">
        <v>5.439063832202</v>
      </c>
      <c r="E49">
        <v>3.0620891918491875</v>
      </c>
      <c r="F49">
        <v>6.274565332035</v>
      </c>
      <c r="G49">
        <v>0.4832538670905179</v>
      </c>
      <c r="H49">
        <v>2.2412508932546404</v>
      </c>
      <c r="I49">
        <v>17.3149</v>
      </c>
      <c r="J49">
        <f>D49/(F49/3.362524)</f>
        <v>2.9147808183518613</v>
      </c>
      <c r="K49">
        <f>G49/(H49/1.39135)</f>
        <v>0.3</v>
      </c>
      <c r="L49">
        <f>(H49/1.190654)/F49</f>
        <v>0.3</v>
      </c>
    </row>
    <row r="50">
      <c r="B50">
        <v>46</v>
      </c>
      <c r="C50">
        <v>7</v>
      </c>
      <c r="D50">
        <v>5.439063832202</v>
      </c>
      <c r="E50">
        <v>3.0620891918491875</v>
      </c>
      <c r="F50">
        <v>6.274565332035</v>
      </c>
      <c r="G50">
        <v>0.4832538670905179</v>
      </c>
      <c r="H50">
        <v>2.2412508932546404</v>
      </c>
      <c r="I50">
        <v>17.3149</v>
      </c>
      <c r="J50">
        <f>D50/(F50/3.362524)</f>
        <v>2.9147808183518613</v>
      </c>
      <c r="K50">
        <f>G50/(H50/1.39135)</f>
        <v>0.3</v>
      </c>
      <c r="L50">
        <f>(H50/1.190654)/F50</f>
        <v>0.3</v>
      </c>
    </row>
    <row r="51">
      <c r="B51">
        <v>47</v>
      </c>
      <c r="C51">
        <v>7</v>
      </c>
      <c r="D51">
        <v>5.439063832202</v>
      </c>
      <c r="E51">
        <v>3.0620891918491875</v>
      </c>
      <c r="F51">
        <v>6.274565332035</v>
      </c>
      <c r="G51">
        <v>0.4832538670905179</v>
      </c>
      <c r="H51">
        <v>2.2412508932546404</v>
      </c>
      <c r="I51">
        <v>17.3149</v>
      </c>
      <c r="J51">
        <f>D51/(F51/3.362524)</f>
        <v>2.9147808183518613</v>
      </c>
      <c r="K51">
        <f>G51/(H51/1.39135)</f>
        <v>0.3</v>
      </c>
      <c r="L51">
        <f>(H51/1.190654)/F51</f>
        <v>0.3</v>
      </c>
    </row>
    <row r="52">
      <c r="B52">
        <v>48</v>
      </c>
      <c r="C52">
        <v>7</v>
      </c>
      <c r="D52">
        <v>5.439063832202</v>
      </c>
      <c r="E52">
        <v>3.0620891918491875</v>
      </c>
      <c r="F52">
        <v>6.274565332035</v>
      </c>
      <c r="G52">
        <v>0.4832538670905179</v>
      </c>
      <c r="H52">
        <v>2.2412508932546404</v>
      </c>
      <c r="I52">
        <v>23.426</v>
      </c>
      <c r="J52">
        <f>D52/(F52/3.362524)</f>
        <v>2.9147808183518613</v>
      </c>
      <c r="K52">
        <f>G52/(H52/1.39135)</f>
        <v>0.3</v>
      </c>
      <c r="L52">
        <f>(H52/1.190654)/F52</f>
        <v>0.3</v>
      </c>
    </row>
    <row r="53">
      <c r="B53">
        <v>49</v>
      </c>
      <c r="C53">
        <v>7</v>
      </c>
      <c r="D53">
        <v>5.439063832202</v>
      </c>
      <c r="E53">
        <v>3.0620891918491875</v>
      </c>
      <c r="F53">
        <v>6.274565332035</v>
      </c>
      <c r="G53">
        <v>0.4832538670905179</v>
      </c>
      <c r="H53">
        <v>2.2412508932546404</v>
      </c>
      <c r="I53">
        <v>23.426</v>
      </c>
      <c r="J53">
        <f>D53/(F53/3.362524)</f>
        <v>2.9147808183518613</v>
      </c>
      <c r="K53">
        <f>G53/(H53/1.39135)</f>
        <v>0.3</v>
      </c>
      <c r="L53">
        <f>(H53/1.190654)/F53</f>
        <v>0.3</v>
      </c>
    </row>
    <row r="54">
      <c r="B54">
        <v>50</v>
      </c>
      <c r="C54">
        <v>8</v>
      </c>
      <c r="D54">
        <v>5.439063832202</v>
      </c>
      <c r="E54">
        <v>3.0620891918491875</v>
      </c>
      <c r="F54">
        <v>6.274565332035</v>
      </c>
      <c r="G54">
        <v>0.4832538670905179</v>
      </c>
      <c r="H54">
        <v>2.2412508932546404</v>
      </c>
      <c r="I54">
        <v>23.426</v>
      </c>
      <c r="J54">
        <f>D54/(F54/3.362524)</f>
        <v>2.9147808183518613</v>
      </c>
      <c r="K54">
        <f>G54/(H54/1.39135)</f>
        <v>0.3</v>
      </c>
      <c r="L54">
        <f>(H54/1.190654)/F54</f>
        <v>0.3</v>
      </c>
    </row>
    <row r="55">
      <c r="B55">
        <v>51</v>
      </c>
      <c r="C55">
        <v>8</v>
      </c>
      <c r="D55">
        <v>5.439063832202</v>
      </c>
      <c r="E55">
        <v>3.0620891918491875</v>
      </c>
      <c r="F55">
        <v>6.274565332035</v>
      </c>
      <c r="G55">
        <v>0.4832538670905179</v>
      </c>
      <c r="H55">
        <v>2.2412508932546404</v>
      </c>
      <c r="I55">
        <v>23.426</v>
      </c>
      <c r="J55">
        <f>D55/(F55/3.362524)</f>
        <v>2.9147808183518613</v>
      </c>
      <c r="K55">
        <f>G55/(H55/1.39135)</f>
        <v>0.3</v>
      </c>
      <c r="L55">
        <f>(H55/1.190654)/F55</f>
        <v>0.3</v>
      </c>
    </row>
    <row r="56">
      <c r="B56">
        <v>52</v>
      </c>
      <c r="C56">
        <v>8</v>
      </c>
      <c r="D56">
        <v>5.439063832202</v>
      </c>
      <c r="E56">
        <v>3.0620891918491875</v>
      </c>
      <c r="F56">
        <v>6.274565332035</v>
      </c>
      <c r="G56">
        <v>0.4832538670905179</v>
      </c>
      <c r="H56">
        <v>2.2412508932546404</v>
      </c>
      <c r="I56">
        <v>23.426</v>
      </c>
      <c r="J56">
        <f>D56/(F56/3.362524)</f>
        <v>2.9147808183518613</v>
      </c>
      <c r="K56">
        <f>G56/(H56/1.39135)</f>
        <v>0.3</v>
      </c>
      <c r="L56">
        <f>(H56/1.190654)/F56</f>
        <v>0.3</v>
      </c>
    </row>
    <row r="57">
      <c r="B57">
        <v>53</v>
      </c>
      <c r="C57">
        <v>8</v>
      </c>
      <c r="D57">
        <v>5.439063832202</v>
      </c>
      <c r="E57">
        <v>3.0620891918491875</v>
      </c>
      <c r="F57">
        <v>6.274565332035</v>
      </c>
      <c r="G57">
        <v>0.4832538670905179</v>
      </c>
      <c r="H57">
        <v>2.2412508932546404</v>
      </c>
      <c r="I57">
        <v>23.426</v>
      </c>
      <c r="J57">
        <f>D57/(F57/3.362524)</f>
        <v>2.9147808183518613</v>
      </c>
      <c r="K57">
        <f>G57/(H57/1.39135)</f>
        <v>0.3</v>
      </c>
      <c r="L57">
        <f>(H57/1.190654)/F57</f>
        <v>0.3</v>
      </c>
    </row>
    <row r="58">
      <c r="B58">
        <v>54</v>
      </c>
      <c r="C58">
        <v>8</v>
      </c>
      <c r="D58">
        <v>5.439063832202</v>
      </c>
      <c r="E58">
        <v>3.0620891918491875</v>
      </c>
      <c r="F58">
        <v>6.274565332035</v>
      </c>
      <c r="G58">
        <v>0.4832538670905179</v>
      </c>
      <c r="H58">
        <v>2.2412508932546404</v>
      </c>
      <c r="I58">
        <v>23.426</v>
      </c>
      <c r="J58">
        <f>D58/(F58/3.362524)</f>
        <v>2.9147808183518613</v>
      </c>
      <c r="K58">
        <f>G58/(H58/1.39135)</f>
        <v>0.3</v>
      </c>
      <c r="L58">
        <f>(H58/1.190654)/F58</f>
        <v>0.3</v>
      </c>
    </row>
    <row r="59">
      <c r="B59">
        <v>55</v>
      </c>
      <c r="C59">
        <v>8</v>
      </c>
      <c r="D59">
        <v>5.439063832202</v>
      </c>
      <c r="E59">
        <v>3.0620891918491875</v>
      </c>
      <c r="F59">
        <v>6.274565332035</v>
      </c>
      <c r="G59">
        <v>0.4832538670905179</v>
      </c>
      <c r="H59">
        <v>2.2412508932546404</v>
      </c>
      <c r="I59">
        <v>23.426</v>
      </c>
      <c r="J59">
        <f>D59/(F59/3.362524)</f>
        <v>2.9147808183518613</v>
      </c>
      <c r="K59">
        <f>G59/(H59/1.39135)</f>
        <v>0.3</v>
      </c>
      <c r="L59">
        <f>(H59/1.190654)/F59</f>
        <v>0.3</v>
      </c>
    </row>
    <row r="60">
      <c r="B60">
        <v>56</v>
      </c>
      <c r="C60">
        <v>8</v>
      </c>
      <c r="D60">
        <v>5.439063832202</v>
      </c>
      <c r="E60">
        <v>3.0620891918491875</v>
      </c>
      <c r="F60">
        <v>6.274565332035</v>
      </c>
      <c r="G60">
        <v>0.4832538670905179</v>
      </c>
      <c r="H60">
        <v>2.2412508932546404</v>
      </c>
      <c r="I60">
        <v>23.426</v>
      </c>
      <c r="J60">
        <f>D60/(F60/3.362524)</f>
        <v>2.9147808183518613</v>
      </c>
      <c r="K60">
        <f>G60/(H60/1.39135)</f>
        <v>0.3</v>
      </c>
      <c r="L60">
        <f>(H60/1.190654)/F60</f>
        <v>0.3</v>
      </c>
    </row>
    <row r="61">
      <c r="B61">
        <v>57</v>
      </c>
      <c r="C61">
        <v>9</v>
      </c>
      <c r="D61">
        <v>5.439063832202</v>
      </c>
      <c r="E61">
        <v>3.0620891918491875</v>
      </c>
      <c r="F61">
        <v>6.274565332035</v>
      </c>
      <c r="G61">
        <v>0.4832538670905179</v>
      </c>
      <c r="H61">
        <v>2.2412508932546404</v>
      </c>
      <c r="I61">
        <v>23.426</v>
      </c>
      <c r="J61">
        <f>D61/(F61/3.362524)</f>
        <v>2.9147808183518613</v>
      </c>
      <c r="K61">
        <f>G61/(H61/1.39135)</f>
        <v>0.3</v>
      </c>
      <c r="L61">
        <f>(H61/1.190654)/F61</f>
        <v>0.3</v>
      </c>
    </row>
    <row r="62">
      <c r="B62">
        <v>58</v>
      </c>
      <c r="C62">
        <v>9</v>
      </c>
      <c r="D62">
        <v>5.439063832202</v>
      </c>
      <c r="E62">
        <v>3.0620891918491875</v>
      </c>
      <c r="F62">
        <v>6.274565332035</v>
      </c>
      <c r="G62">
        <v>0.4832538670905179</v>
      </c>
      <c r="H62">
        <v>2.2412508932546404</v>
      </c>
      <c r="I62">
        <v>23.426</v>
      </c>
      <c r="J62">
        <f>D62/(F62/3.362524)</f>
        <v>2.9147808183518613</v>
      </c>
      <c r="K62">
        <f>G62/(H62/1.39135)</f>
        <v>0.3</v>
      </c>
      <c r="L62">
        <f>(H62/1.190654)/F62</f>
        <v>0.3</v>
      </c>
    </row>
    <row r="63">
      <c r="B63">
        <v>59</v>
      </c>
      <c r="C63">
        <v>9</v>
      </c>
      <c r="D63">
        <v>5.439063832202</v>
      </c>
      <c r="E63">
        <v>3.0620891918491875</v>
      </c>
      <c r="F63">
        <v>6.274565332035</v>
      </c>
      <c r="G63">
        <v>0.4832538670905179</v>
      </c>
      <c r="H63">
        <v>2.2412508932546404</v>
      </c>
      <c r="I63">
        <v>23.426</v>
      </c>
      <c r="J63">
        <f>D63/(F63/3.362524)</f>
        <v>2.9147808183518613</v>
      </c>
      <c r="K63">
        <f>G63/(H63/1.39135)</f>
        <v>0.3</v>
      </c>
      <c r="L63">
        <f>(H63/1.190654)/F63</f>
        <v>0.3</v>
      </c>
    </row>
    <row r="64">
      <c r="B64">
        <v>60</v>
      </c>
      <c r="C64">
        <v>9</v>
      </c>
      <c r="D64">
        <v>5.439063832202</v>
      </c>
      <c r="E64">
        <v>3.0620891918491875</v>
      </c>
      <c r="F64">
        <v>6.274565332035</v>
      </c>
      <c r="G64">
        <v>0.4832538670905179</v>
      </c>
      <c r="H64">
        <v>2.2412508932546404</v>
      </c>
      <c r="I64">
        <v>23.426</v>
      </c>
      <c r="J64">
        <f>D64/(F64/3.362524)</f>
        <v>2.9147808183518613</v>
      </c>
      <c r="K64">
        <f>G64/(H64/1.39135)</f>
        <v>0.3</v>
      </c>
      <c r="L64">
        <f>(H64/1.190654)/F64</f>
        <v>0.3</v>
      </c>
    </row>
    <row r="65">
      <c r="B65">
        <v>61</v>
      </c>
      <c r="C65">
        <v>9</v>
      </c>
      <c r="D65">
        <v>9.065106387003334</v>
      </c>
      <c r="E65">
        <v>4.10348198641531</v>
      </c>
      <c r="F65">
        <v>10.457608886725</v>
      </c>
      <c r="G65">
        <v>0.8054231118175297</v>
      </c>
      <c r="H65">
        <v>3.7354181554244</v>
      </c>
      <c r="I65">
        <v>23.426</v>
      </c>
      <c r="J65">
        <f>D65/(F65/3.362524)</f>
        <v>2.914780818351862</v>
      </c>
      <c r="K65">
        <f>G65/(H65/1.39135)</f>
        <v>0.3</v>
      </c>
      <c r="L65">
        <f>(H65/1.190654)/F65</f>
        <v>0.29999999999999993</v>
      </c>
    </row>
    <row r="66">
      <c r="B66">
        <v>62</v>
      </c>
      <c r="C66">
        <v>9</v>
      </c>
      <c r="D66">
        <v>9.065106387003334</v>
      </c>
      <c r="E66">
        <v>4.10348198641531</v>
      </c>
      <c r="F66">
        <v>10.457608886725</v>
      </c>
      <c r="G66">
        <v>0.8054231118175297</v>
      </c>
      <c r="H66">
        <v>3.7354181554244</v>
      </c>
      <c r="I66">
        <v>23.426</v>
      </c>
      <c r="J66">
        <f>D66/(F66/3.362524)</f>
        <v>2.914780818351862</v>
      </c>
      <c r="K66">
        <f>G66/(H66/1.39135)</f>
        <v>0.3</v>
      </c>
      <c r="L66">
        <f>(H66/1.190654)/F66</f>
        <v>0.29999999999999993</v>
      </c>
    </row>
    <row r="67">
      <c r="B67">
        <v>63</v>
      </c>
      <c r="C67">
        <v>9</v>
      </c>
      <c r="D67">
        <v>9.065106387003334</v>
      </c>
      <c r="E67">
        <v>4.10348198641531</v>
      </c>
      <c r="F67">
        <v>10.457608886725</v>
      </c>
      <c r="G67">
        <v>0.8054231118175297</v>
      </c>
      <c r="H67">
        <v>3.7354181554244</v>
      </c>
      <c r="I67">
        <v>29.5372</v>
      </c>
      <c r="J67">
        <f>D67/(F67/3.362524)</f>
        <v>2.914780818351862</v>
      </c>
      <c r="K67">
        <f>G67/(H67/1.39135)</f>
        <v>0.3</v>
      </c>
      <c r="L67">
        <f>(H67/1.190654)/F67</f>
        <v>0.29999999999999993</v>
      </c>
    </row>
    <row r="68">
      <c r="B68">
        <v>64</v>
      </c>
      <c r="C68">
        <v>10</v>
      </c>
      <c r="D68">
        <v>9.065106387003334</v>
      </c>
      <c r="E68">
        <v>4.10348198641531</v>
      </c>
      <c r="F68">
        <v>10.457608886725</v>
      </c>
      <c r="G68">
        <v>0.8054231118175297</v>
      </c>
      <c r="H68">
        <v>3.7354181554244</v>
      </c>
      <c r="I68">
        <v>29.5372</v>
      </c>
      <c r="J68">
        <f>D68/(F68/3.362524)</f>
        <v>2.914780818351862</v>
      </c>
      <c r="K68">
        <f>G68/(H68/1.39135)</f>
        <v>0.3</v>
      </c>
      <c r="L68">
        <f>(H68/1.190654)/F68</f>
        <v>0.29999999999999993</v>
      </c>
    </row>
    <row r="69">
      <c r="B69">
        <v>65</v>
      </c>
      <c r="C69">
        <v>10</v>
      </c>
      <c r="D69">
        <v>9.065106387003334</v>
      </c>
      <c r="E69">
        <v>4.10348198641531</v>
      </c>
      <c r="F69">
        <v>10.457608886725</v>
      </c>
      <c r="G69">
        <v>0.8054231118175297</v>
      </c>
      <c r="H69">
        <v>3.7354181554244</v>
      </c>
      <c r="I69">
        <v>29.5372</v>
      </c>
      <c r="J69">
        <f>D69/(F69/3.362524)</f>
        <v>2.914780818351862</v>
      </c>
      <c r="K69">
        <f>G69/(H69/1.39135)</f>
        <v>0.3</v>
      </c>
      <c r="L69">
        <f>(H69/1.190654)/F69</f>
        <v>0.29999999999999993</v>
      </c>
    </row>
    <row r="70">
      <c r="B70">
        <v>66</v>
      </c>
      <c r="C70">
        <v>10</v>
      </c>
      <c r="D70">
        <v>9.065106387003334</v>
      </c>
      <c r="E70">
        <v>4.10348198641531</v>
      </c>
      <c r="F70">
        <v>10.457608886725</v>
      </c>
      <c r="G70">
        <v>0.8054231118175297</v>
      </c>
      <c r="H70">
        <v>3.7354181554244</v>
      </c>
      <c r="I70">
        <v>29.5372</v>
      </c>
      <c r="J70">
        <f>D70/(F70/3.362524)</f>
        <v>2.914780818351862</v>
      </c>
      <c r="K70">
        <f>G70/(H70/1.39135)</f>
        <v>0.3</v>
      </c>
      <c r="L70">
        <f>(H70/1.190654)/F70</f>
        <v>0.29999999999999993</v>
      </c>
    </row>
    <row r="71">
      <c r="B71">
        <v>67</v>
      </c>
      <c r="C71">
        <v>10</v>
      </c>
      <c r="D71">
        <v>9.065106387003334</v>
      </c>
      <c r="E71">
        <v>4.10348198641531</v>
      </c>
      <c r="F71">
        <v>10.457608886725</v>
      </c>
      <c r="G71">
        <v>0.8054231118175297</v>
      </c>
      <c r="H71">
        <v>3.7354181554244</v>
      </c>
      <c r="I71">
        <v>29.5372</v>
      </c>
      <c r="J71">
        <f>D71/(F71/3.362524)</f>
        <v>2.914780818351862</v>
      </c>
      <c r="K71">
        <f>G71/(H71/1.39135)</f>
        <v>0.3</v>
      </c>
      <c r="L71">
        <f>(H71/1.190654)/F71</f>
        <v>0.29999999999999993</v>
      </c>
    </row>
    <row r="72">
      <c r="B72">
        <v>68</v>
      </c>
      <c r="C72">
        <v>10</v>
      </c>
      <c r="D72">
        <v>9.065106387003334</v>
      </c>
      <c r="E72">
        <v>4.10348198641531</v>
      </c>
      <c r="F72">
        <v>10.457608886725</v>
      </c>
      <c r="G72">
        <v>0.8054231118175297</v>
      </c>
      <c r="H72">
        <v>3.7354181554244</v>
      </c>
      <c r="I72">
        <v>29.5372</v>
      </c>
      <c r="J72">
        <f>D72/(F72/3.362524)</f>
        <v>2.914780818351862</v>
      </c>
      <c r="K72">
        <f>G72/(H72/1.39135)</f>
        <v>0.3</v>
      </c>
      <c r="L72">
        <f>(H72/1.190654)/F72</f>
        <v>0.29999999999999993</v>
      </c>
    </row>
    <row r="73">
      <c r="B73">
        <v>69</v>
      </c>
      <c r="C73">
        <v>10</v>
      </c>
      <c r="D73">
        <v>9.065106387003334</v>
      </c>
      <c r="E73">
        <v>4.10348198641531</v>
      </c>
      <c r="F73">
        <v>10.457608886725</v>
      </c>
      <c r="G73">
        <v>0.8054231118175297</v>
      </c>
      <c r="H73">
        <v>3.7354181554244</v>
      </c>
      <c r="I73">
        <v>29.5372</v>
      </c>
      <c r="J73">
        <f>D73/(F73/3.362524)</f>
        <v>2.914780818351862</v>
      </c>
      <c r="K73">
        <f>G73/(H73/1.39135)</f>
        <v>0.3</v>
      </c>
      <c r="L73">
        <f>(H73/1.190654)/F73</f>
        <v>0.29999999999999993</v>
      </c>
    </row>
    <row r="74">
      <c r="B74">
        <v>70</v>
      </c>
      <c r="C74">
        <v>10</v>
      </c>
      <c r="D74">
        <v>9.065106387003334</v>
      </c>
      <c r="E74">
        <v>4.10348198641531</v>
      </c>
      <c r="F74">
        <v>10.457608886725</v>
      </c>
      <c r="G74">
        <v>0.8054231118175297</v>
      </c>
      <c r="H74">
        <v>3.7354181554244</v>
      </c>
      <c r="I74">
        <v>29.5372</v>
      </c>
      <c r="J74">
        <f>D74/(F74/3.362524)</f>
        <v>2.914780818351862</v>
      </c>
      <c r="K74">
        <f>G74/(H74/1.39135)</f>
        <v>0.3</v>
      </c>
      <c r="L74">
        <f>(H74/1.190654)/F74</f>
        <v>0.29999999999999993</v>
      </c>
    </row>
    <row r="75">
      <c r="B75">
        <v>71</v>
      </c>
      <c r="C75">
        <v>11</v>
      </c>
      <c r="D75">
        <v>9.065106387003334</v>
      </c>
      <c r="E75">
        <v>4.10348198641531</v>
      </c>
      <c r="F75">
        <v>10.457608886725</v>
      </c>
      <c r="G75">
        <v>0.8054231118175297</v>
      </c>
      <c r="H75">
        <v>3.7354181554244</v>
      </c>
      <c r="I75">
        <v>29.5372</v>
      </c>
      <c r="J75">
        <f>D75/(F75/3.362524)</f>
        <v>2.914780818351862</v>
      </c>
      <c r="K75">
        <f>G75/(H75/1.39135)</f>
        <v>0.3</v>
      </c>
      <c r="L75">
        <f>(H75/1.190654)/F75</f>
        <v>0.29999999999999993</v>
      </c>
    </row>
    <row r="76">
      <c r="B76">
        <v>72</v>
      </c>
      <c r="C76">
        <v>11</v>
      </c>
      <c r="D76">
        <v>9.065106387003334</v>
      </c>
      <c r="E76">
        <v>4.10348198641531</v>
      </c>
      <c r="F76">
        <v>10.457608886725</v>
      </c>
      <c r="G76">
        <v>0.8054231118175297</v>
      </c>
      <c r="H76">
        <v>3.7354181554244</v>
      </c>
      <c r="I76">
        <v>29.5372</v>
      </c>
      <c r="J76">
        <f>D76/(F76/3.362524)</f>
        <v>2.914780818351862</v>
      </c>
      <c r="K76">
        <f>G76/(H76/1.39135)</f>
        <v>0.3</v>
      </c>
      <c r="L76">
        <f>(H76/1.190654)/F76</f>
        <v>0.29999999999999993</v>
      </c>
    </row>
    <row r="77">
      <c r="B77">
        <v>73</v>
      </c>
      <c r="C77">
        <v>11</v>
      </c>
      <c r="D77">
        <v>9.065106387003334</v>
      </c>
      <c r="E77">
        <v>4.10348198641531</v>
      </c>
      <c r="F77">
        <v>10.457608886725</v>
      </c>
      <c r="G77">
        <v>0.8054231118175297</v>
      </c>
      <c r="H77">
        <v>3.7354181554244</v>
      </c>
      <c r="I77">
        <v>29.5372</v>
      </c>
      <c r="J77">
        <f>D77/(F77/3.362524)</f>
        <v>2.914780818351862</v>
      </c>
      <c r="K77">
        <f>G77/(H77/1.39135)</f>
        <v>0.3</v>
      </c>
      <c r="L77">
        <f>(H77/1.190654)/F77</f>
        <v>0.29999999999999993</v>
      </c>
    </row>
    <row r="78">
      <c r="B78">
        <v>74</v>
      </c>
      <c r="C78">
        <v>11</v>
      </c>
      <c r="D78">
        <v>9.065106387003334</v>
      </c>
      <c r="E78">
        <v>4.10348198641531</v>
      </c>
      <c r="F78">
        <v>10.457608886725</v>
      </c>
      <c r="G78">
        <v>0.8054231118175297</v>
      </c>
      <c r="H78">
        <v>3.7354181554244</v>
      </c>
      <c r="I78">
        <v>29.5372</v>
      </c>
      <c r="J78">
        <f>D78/(F78/3.362524)</f>
        <v>2.914780818351862</v>
      </c>
      <c r="K78">
        <f>G78/(H78/1.39135)</f>
        <v>0.3</v>
      </c>
      <c r="L78">
        <f>(H78/1.190654)/F78</f>
        <v>0.29999999999999993</v>
      </c>
    </row>
    <row r="79">
      <c r="B79">
        <v>75</v>
      </c>
      <c r="C79">
        <v>11</v>
      </c>
      <c r="D79">
        <v>8</v>
      </c>
      <c r="E79">
        <v>4.10348198641531</v>
      </c>
      <c r="F79">
        <v>10.457608886725</v>
      </c>
      <c r="G79">
        <v>0.8054231118175297</v>
      </c>
      <c r="H79">
        <v>3.7354181554244</v>
      </c>
      <c r="I79">
        <v>29.5372</v>
      </c>
      <c r="J79">
        <f>D79/(F79/3.362524)</f>
        <v>2.572308095605621</v>
      </c>
      <c r="K79">
        <f>G79/(H79/1.39135)</f>
        <v>0.3</v>
      </c>
      <c r="L79">
        <f>(H79/1.190654)/F79</f>
        <v>0.29999999999999993</v>
      </c>
    </row>
    <row r="80">
      <c r="B80">
        <v>76</v>
      </c>
      <c r="C80">
        <v>11</v>
      </c>
      <c r="D80">
        <v>8</v>
      </c>
      <c r="E80">
        <v>4.10348198641531</v>
      </c>
      <c r="F80">
        <v>10.457608886725</v>
      </c>
      <c r="G80">
        <v>0.8054231118175297</v>
      </c>
      <c r="H80">
        <v>3.7354181554244</v>
      </c>
      <c r="I80">
        <v>29.5372</v>
      </c>
      <c r="J80">
        <f>D80/(F80/3.362524)</f>
        <v>2.572308095605621</v>
      </c>
      <c r="K80">
        <f>G80/(H80/1.39135)</f>
        <v>0.3</v>
      </c>
      <c r="L80">
        <f>(H80/1.190654)/F80</f>
        <v>0.29999999999999993</v>
      </c>
    </row>
    <row r="81">
      <c r="B81">
        <v>77</v>
      </c>
      <c r="C81">
        <v>11</v>
      </c>
      <c r="D81">
        <v>8</v>
      </c>
      <c r="E81">
        <v>4.10348198641531</v>
      </c>
      <c r="F81">
        <v>10.457608886725</v>
      </c>
      <c r="G81">
        <v>0.8054231118175297</v>
      </c>
      <c r="H81">
        <v>3.7354181554244</v>
      </c>
      <c r="I81">
        <v>29.5372</v>
      </c>
      <c r="J81">
        <f>D81/(F81/3.362524)</f>
        <v>2.572308095605621</v>
      </c>
      <c r="K81">
        <f>G81/(H81/1.39135)</f>
        <v>0.3</v>
      </c>
      <c r="L81">
        <f>(H81/1.190654)/F81</f>
        <v>0.29999999999999993</v>
      </c>
    </row>
    <row r="82">
      <c r="B82">
        <v>78</v>
      </c>
      <c r="C82">
        <v>12</v>
      </c>
      <c r="D82">
        <v>8</v>
      </c>
      <c r="E82">
        <v>4.10348198641531</v>
      </c>
      <c r="F82">
        <v>10.457608886725</v>
      </c>
      <c r="G82">
        <v>0.8054231118175297</v>
      </c>
      <c r="H82">
        <v>3.7354181554244</v>
      </c>
      <c r="I82">
        <v>29.5372</v>
      </c>
      <c r="J82">
        <f>D82/(F82/3.362524)</f>
        <v>2.572308095605621</v>
      </c>
      <c r="K82">
        <f>G82/(H82/1.39135)</f>
        <v>0.3</v>
      </c>
      <c r="L82">
        <f>(H82/1.190654)/F82</f>
        <v>0.29999999999999993</v>
      </c>
    </row>
    <row r="83">
      <c r="B83">
        <v>79</v>
      </c>
      <c r="C83">
        <v>12</v>
      </c>
      <c r="D83">
        <v>8</v>
      </c>
      <c r="E83">
        <v>4.10348198641531</v>
      </c>
      <c r="F83">
        <v>10.457608886725</v>
      </c>
      <c r="G83">
        <v>0.8054231118175297</v>
      </c>
      <c r="H83">
        <v>3.7354181554244</v>
      </c>
      <c r="I83">
        <v>29.5372</v>
      </c>
      <c r="J83">
        <f>D83/(F83/3.362524)</f>
        <v>2.572308095605621</v>
      </c>
      <c r="K83">
        <f>G83/(H83/1.39135)</f>
        <v>0.3</v>
      </c>
      <c r="L83">
        <f>(H83/1.190654)/F83</f>
        <v>0.29999999999999993</v>
      </c>
    </row>
    <row r="84">
      <c r="B84">
        <v>80</v>
      </c>
      <c r="C84">
        <v>12</v>
      </c>
      <c r="D84">
        <v>8</v>
      </c>
      <c r="E84">
        <v>4.10348198641531</v>
      </c>
      <c r="F84">
        <v>10.457608886725</v>
      </c>
      <c r="G84">
        <v>0.8054231118175297</v>
      </c>
      <c r="H84">
        <v>3.7354181554244</v>
      </c>
      <c r="I84">
        <v>29.5372</v>
      </c>
      <c r="J84">
        <f>D84/(F84/3.362524)</f>
        <v>2.572308095605621</v>
      </c>
      <c r="K84">
        <f>G84/(H84/1.39135)</f>
        <v>0.3</v>
      </c>
      <c r="L84">
        <f>(H84/1.190654)/F84</f>
        <v>0.29999999999999993</v>
      </c>
    </row>
    <row r="85">
      <c r="B85">
        <v>81</v>
      </c>
      <c r="C85">
        <v>12</v>
      </c>
      <c r="D85">
        <v>8</v>
      </c>
      <c r="E85">
        <v>4.10348198641531</v>
      </c>
      <c r="F85">
        <v>10.457608886725</v>
      </c>
      <c r="G85">
        <v>0.8054231118175297</v>
      </c>
      <c r="H85">
        <v>3.7354181554244</v>
      </c>
      <c r="I85">
        <v>35.6483</v>
      </c>
      <c r="J85">
        <f>D85/(F85/3.362524)</f>
        <v>2.572308095605621</v>
      </c>
      <c r="K85">
        <f>G85/(H85/1.39135)</f>
        <v>0.3</v>
      </c>
      <c r="L85">
        <f>(H85/1.190654)/F85</f>
        <v>0.29999999999999993</v>
      </c>
    </row>
    <row r="86">
      <c r="B86">
        <v>82</v>
      </c>
      <c r="C86">
        <v>12</v>
      </c>
      <c r="D86">
        <v>8</v>
      </c>
      <c r="E86">
        <v>4.10348198641531</v>
      </c>
      <c r="F86">
        <v>10.457608886725</v>
      </c>
      <c r="G86">
        <v>0.8054231118175297</v>
      </c>
      <c r="H86">
        <v>3.7354181554244</v>
      </c>
      <c r="I86">
        <v>35.6483</v>
      </c>
      <c r="J86">
        <f>D86/(F86/3.362524)</f>
        <v>2.572308095605621</v>
      </c>
      <c r="K86">
        <f>G86/(H86/1.39135)</f>
        <v>0.3</v>
      </c>
      <c r="L86">
        <f>(H86/1.190654)/F86</f>
        <v>0.29999999999999993</v>
      </c>
    </row>
    <row r="87">
      <c r="B87">
        <v>83</v>
      </c>
      <c r="C87">
        <v>12</v>
      </c>
      <c r="D87">
        <v>8</v>
      </c>
      <c r="E87">
        <v>4.10348198641531</v>
      </c>
      <c r="F87">
        <v>10.457608886725</v>
      </c>
      <c r="G87">
        <v>0.8054231118175297</v>
      </c>
      <c r="H87">
        <v>3.7354181554244</v>
      </c>
      <c r="I87">
        <v>35.6483</v>
      </c>
      <c r="J87">
        <f>D87/(F87/3.362524)</f>
        <v>2.572308095605621</v>
      </c>
      <c r="K87">
        <f>G87/(H87/1.39135)</f>
        <v>0.3</v>
      </c>
      <c r="L87">
        <f>(H87/1.190654)/F87</f>
        <v>0.29999999999999993</v>
      </c>
    </row>
    <row r="88">
      <c r="B88">
        <v>84</v>
      </c>
      <c r="C88">
        <v>12</v>
      </c>
      <c r="D88">
        <v>8</v>
      </c>
      <c r="E88">
        <v>4.10348198641531</v>
      </c>
      <c r="F88">
        <v>10.457608886725</v>
      </c>
      <c r="G88">
        <v>0.8054231118175297</v>
      </c>
      <c r="H88">
        <v>3.7354181554244</v>
      </c>
      <c r="I88">
        <v>35.6483</v>
      </c>
      <c r="J88">
        <f>D88/(F88/3.362524)</f>
        <v>2.572308095605621</v>
      </c>
      <c r="K88">
        <f>G88/(H88/1.39135)</f>
        <v>0.3</v>
      </c>
      <c r="L88">
        <f>(H88/1.190654)/F88</f>
        <v>0.29999999999999993</v>
      </c>
    </row>
    <row r="89">
      <c r="B89">
        <v>85</v>
      </c>
      <c r="C89">
        <v>13</v>
      </c>
      <c r="D89">
        <v>6.7</v>
      </c>
      <c r="E89">
        <v>4.10348198641531</v>
      </c>
      <c r="F89">
        <v>10.457608886725</v>
      </c>
      <c r="G89">
        <v>0.8054231118175297</v>
      </c>
      <c r="H89">
        <v>3.7354181554244</v>
      </c>
      <c r="I89">
        <v>35.6483</v>
      </c>
      <c r="J89">
        <f>D89/(F89/3.362524)</f>
        <v>2.1543080300697075</v>
      </c>
      <c r="K89">
        <f>G89/(H89/1.39135)</f>
        <v>0.3</v>
      </c>
      <c r="L89">
        <f>(H89/1.190654)/F89</f>
        <v>0.29999999999999993</v>
      </c>
    </row>
    <row r="90">
      <c r="B90">
        <v>86</v>
      </c>
      <c r="C90">
        <v>13</v>
      </c>
      <c r="D90">
        <v>6.7</v>
      </c>
      <c r="E90">
        <v>4.10348198641531</v>
      </c>
      <c r="F90">
        <v>10.457608886725</v>
      </c>
      <c r="G90">
        <v>0.8054231118175297</v>
      </c>
      <c r="H90">
        <v>3.7354181554244</v>
      </c>
      <c r="I90">
        <v>35.6483</v>
      </c>
      <c r="J90">
        <f>D90/(F90/3.362524)</f>
        <v>2.1543080300697075</v>
      </c>
      <c r="K90">
        <f>G90/(H90/1.39135)</f>
        <v>0.3</v>
      </c>
      <c r="L90">
        <f>(H90/1.190654)/F90</f>
        <v>0.29999999999999993</v>
      </c>
    </row>
    <row r="91">
      <c r="B91">
        <v>87</v>
      </c>
      <c r="C91">
        <v>13</v>
      </c>
      <c r="D91">
        <v>6.7</v>
      </c>
      <c r="E91">
        <v>4.10348198641531</v>
      </c>
      <c r="F91">
        <v>10.457608886725</v>
      </c>
      <c r="G91">
        <v>0.8054231118175297</v>
      </c>
      <c r="H91">
        <v>3.7354181554244</v>
      </c>
      <c r="I91">
        <v>35.6483</v>
      </c>
      <c r="J91">
        <f>D91/(F91/3.362524)</f>
        <v>2.1543080300697075</v>
      </c>
      <c r="K91">
        <f>G91/(H91/1.39135)</f>
        <v>0.3</v>
      </c>
      <c r="L91">
        <f>(H91/1.190654)/F91</f>
        <v>0.29999999999999993</v>
      </c>
    </row>
    <row r="92">
      <c r="B92">
        <v>88</v>
      </c>
      <c r="C92">
        <v>13</v>
      </c>
      <c r="D92">
        <v>6.7</v>
      </c>
      <c r="E92">
        <v>4.10348198641531</v>
      </c>
      <c r="F92">
        <v>10.457608886725</v>
      </c>
      <c r="G92">
        <v>0.8054231118175297</v>
      </c>
      <c r="H92">
        <v>3.7354181554244</v>
      </c>
      <c r="I92">
        <v>35.6483</v>
      </c>
      <c r="J92">
        <f>D92/(F92/3.362524)</f>
        <v>2.1543080300697075</v>
      </c>
      <c r="K92">
        <f>G92/(H92/1.39135)</f>
        <v>0.3</v>
      </c>
      <c r="L92">
        <f>(H92/1.190654)/F92</f>
        <v>0.29999999999999993</v>
      </c>
    </row>
    <row r="93">
      <c r="B93">
        <v>89</v>
      </c>
      <c r="C93">
        <v>13</v>
      </c>
      <c r="D93">
        <v>6.7</v>
      </c>
      <c r="E93">
        <v>4.10348198641531</v>
      </c>
      <c r="F93">
        <v>10.457608886725</v>
      </c>
      <c r="G93">
        <v>0.8054231118175297</v>
      </c>
      <c r="H93">
        <v>3.7354181554244</v>
      </c>
      <c r="I93">
        <v>35.6483</v>
      </c>
      <c r="J93">
        <f>D93/(F93/3.362524)</f>
        <v>2.1543080300697075</v>
      </c>
      <c r="K93">
        <f>G93/(H93/1.39135)</f>
        <v>0.3</v>
      </c>
      <c r="L93">
        <f>(H93/1.190654)/F93</f>
        <v>0.29999999999999993</v>
      </c>
    </row>
    <row r="94">
      <c r="B94">
        <v>90</v>
      </c>
      <c r="C94">
        <v>13</v>
      </c>
      <c r="D94">
        <v>6.7</v>
      </c>
      <c r="E94">
        <v>4.10348198641531</v>
      </c>
      <c r="F94">
        <v>10.457608886725</v>
      </c>
      <c r="G94">
        <v>0.8054231118175297</v>
      </c>
      <c r="H94">
        <v>3.7354181554244</v>
      </c>
      <c r="I94">
        <v>35.6483</v>
      </c>
      <c r="J94">
        <f>D94/(F94/3.362524)</f>
        <v>2.1543080300697075</v>
      </c>
      <c r="K94">
        <f>G94/(H94/1.39135)</f>
        <v>0.3</v>
      </c>
      <c r="L94">
        <f>(H94/1.190654)/F94</f>
        <v>0.29999999999999993</v>
      </c>
    </row>
    <row r="95">
      <c r="B95">
        <v>91</v>
      </c>
      <c r="C95">
        <v>13</v>
      </c>
      <c r="D95">
        <v>6.7</v>
      </c>
      <c r="E95">
        <v>4.10348198641531</v>
      </c>
      <c r="F95">
        <v>10.457608886725</v>
      </c>
      <c r="G95">
        <v>0.8054231118175297</v>
      </c>
      <c r="H95">
        <v>3.7354181554244</v>
      </c>
      <c r="I95">
        <v>35.6483</v>
      </c>
      <c r="J95">
        <f>D95/(F95/3.362524)</f>
        <v>2.1543080300697075</v>
      </c>
      <c r="K95">
        <f>G95/(H95/1.39135)</f>
        <v>0.3</v>
      </c>
      <c r="L95">
        <f>(H95/1.190654)/F95</f>
        <v>0.29999999999999993</v>
      </c>
    </row>
    <row r="96">
      <c r="B96">
        <v>92</v>
      </c>
      <c r="C96">
        <v>14</v>
      </c>
      <c r="D96">
        <v>5.589856999999999</v>
      </c>
      <c r="E96">
        <v>4.10348198641531</v>
      </c>
      <c r="F96">
        <v>10.457608886725</v>
      </c>
      <c r="G96">
        <v>0.8054231118175297</v>
      </c>
      <c r="H96">
        <v>3.7354181554244</v>
      </c>
      <c r="I96">
        <v>35.6483</v>
      </c>
      <c r="J96">
        <f>D96/(F96/3.362524)</f>
        <v>1.7973543017972184</v>
      </c>
      <c r="K96">
        <f>G96/(H96/1.39135)</f>
        <v>0.3</v>
      </c>
      <c r="L96">
        <f>(H96/1.190654)/F96</f>
        <v>0.29999999999999993</v>
      </c>
    </row>
    <row r="97">
      <c r="B97">
        <v>93</v>
      </c>
      <c r="C97">
        <v>14</v>
      </c>
      <c r="D97">
        <v>5.589856999999999</v>
      </c>
      <c r="E97">
        <v>4.10348198641531</v>
      </c>
      <c r="F97">
        <v>10.457608886725</v>
      </c>
      <c r="G97">
        <v>0.8054231118175297</v>
      </c>
      <c r="H97">
        <v>3.7354181554244</v>
      </c>
      <c r="I97">
        <v>35.6483</v>
      </c>
      <c r="J97">
        <f>D97/(F97/3.362524)</f>
        <v>1.7973543017972184</v>
      </c>
      <c r="K97">
        <f>G97/(H97/1.39135)</f>
        <v>0.3</v>
      </c>
      <c r="L97">
        <f>(H97/1.190654)/F97</f>
        <v>0.29999999999999993</v>
      </c>
    </row>
    <row r="98">
      <c r="B98">
        <v>94</v>
      </c>
      <c r="C98">
        <v>14</v>
      </c>
      <c r="D98">
        <v>5.589856999999999</v>
      </c>
      <c r="E98">
        <v>4.10348198641531</v>
      </c>
      <c r="F98">
        <v>10.457608886725</v>
      </c>
      <c r="G98">
        <v>0.8054231118175297</v>
      </c>
      <c r="H98">
        <v>3.7354181554244</v>
      </c>
      <c r="I98">
        <v>35.6483</v>
      </c>
      <c r="J98">
        <f>D98/(F98/3.362524)</f>
        <v>1.7973543017972184</v>
      </c>
      <c r="K98">
        <f>G98/(H98/1.39135)</f>
        <v>0.3</v>
      </c>
      <c r="L98">
        <f>(H98/1.190654)/F98</f>
        <v>0.29999999999999993</v>
      </c>
    </row>
    <row r="99">
      <c r="B99">
        <v>95</v>
      </c>
      <c r="C99">
        <v>14</v>
      </c>
      <c r="D99">
        <v>5.589856999999999</v>
      </c>
      <c r="E99">
        <v>4.10348198641531</v>
      </c>
      <c r="F99">
        <v>10.457608886725</v>
      </c>
      <c r="G99">
        <v>0.8054231118175297</v>
      </c>
      <c r="H99">
        <v>3.7354181554244</v>
      </c>
      <c r="I99">
        <v>35.6483</v>
      </c>
      <c r="J99">
        <f>D99/(F99/3.362524)</f>
        <v>1.7973543017972184</v>
      </c>
      <c r="K99">
        <f>G99/(H99/1.39135)</f>
        <v>0.3</v>
      </c>
      <c r="L99">
        <f>(H99/1.190654)/F99</f>
        <v>0.29999999999999993</v>
      </c>
    </row>
    <row r="100">
      <c r="B100">
        <v>96</v>
      </c>
      <c r="C100">
        <v>14</v>
      </c>
      <c r="D100">
        <v>5.589856999999999</v>
      </c>
      <c r="E100">
        <v>4.10348198641531</v>
      </c>
      <c r="F100">
        <v>10.457608886725</v>
      </c>
      <c r="G100">
        <v>0.8054231118175297</v>
      </c>
      <c r="H100">
        <v>3.7354181554244</v>
      </c>
      <c r="I100">
        <v>35.6483</v>
      </c>
      <c r="J100">
        <f>D100/(F100/3.362524)</f>
        <v>1.7973543017972184</v>
      </c>
      <c r="K100">
        <f>G100/(H100/1.39135)</f>
        <v>0.3</v>
      </c>
      <c r="L100">
        <f>(H100/1.190654)/F100</f>
        <v>0.29999999999999993</v>
      </c>
    </row>
    <row r="101">
      <c r="B101">
        <v>97</v>
      </c>
      <c r="C101">
        <v>14</v>
      </c>
      <c r="D101">
        <v>5.589856999999999</v>
      </c>
      <c r="E101">
        <v>4.10348198641531</v>
      </c>
      <c r="F101">
        <v>10.457608886725</v>
      </c>
      <c r="G101">
        <v>0.8054231118175297</v>
      </c>
      <c r="H101">
        <v>3.7354181554244</v>
      </c>
      <c r="I101">
        <v>35.6483</v>
      </c>
      <c r="J101">
        <f>D101/(F101/3.362524)</f>
        <v>1.7973543017972184</v>
      </c>
      <c r="K101">
        <f>G101/(H101/1.39135)</f>
        <v>0.3</v>
      </c>
      <c r="L101">
        <f>(H101/1.190654)/F101</f>
        <v>0.29999999999999993</v>
      </c>
    </row>
    <row r="102">
      <c r="B102">
        <v>98</v>
      </c>
      <c r="C102">
        <v>14</v>
      </c>
      <c r="D102">
        <v>5.589856999999999</v>
      </c>
      <c r="E102">
        <v>4.10348198641531</v>
      </c>
      <c r="F102">
        <v>10.457608886725</v>
      </c>
      <c r="G102">
        <v>0.8054231118175297</v>
      </c>
      <c r="H102">
        <v>3.7354181554244</v>
      </c>
      <c r="I102">
        <v>35.6483</v>
      </c>
      <c r="J102">
        <f>D102/(F102/3.362524)</f>
        <v>1.7973543017972184</v>
      </c>
      <c r="K102">
        <f>G102/(H102/1.39135)</f>
        <v>0.3</v>
      </c>
      <c r="L102">
        <f>(H102/1.190654)/F102</f>
        <v>0.29999999999999993</v>
      </c>
    </row>
    <row r="103">
      <c r="B103">
        <v>99</v>
      </c>
      <c r="C103">
        <v>15</v>
      </c>
      <c r="D103">
        <v>4.6149284999999995</v>
      </c>
      <c r="E103">
        <v>4.10348198641531</v>
      </c>
      <c r="F103">
        <v>10.457608886725</v>
      </c>
      <c r="G103">
        <v>0.8054231118175297</v>
      </c>
      <c r="H103">
        <v>3.7354181554244</v>
      </c>
      <c r="I103">
        <v>35.6483</v>
      </c>
      <c r="J103">
        <f>D103/(F103/3.362524)</f>
        <v>1.483877242648888</v>
      </c>
      <c r="K103">
        <f>G103/(H103/1.39135)</f>
        <v>0.3</v>
      </c>
      <c r="L103">
        <f>(H103/1.190654)/F103</f>
        <v>0.29999999999999993</v>
      </c>
    </row>
    <row r="104">
      <c r="B104">
        <v>100</v>
      </c>
      <c r="C104">
        <v>15</v>
      </c>
      <c r="D104">
        <v>4.6149284999999995</v>
      </c>
      <c r="E104">
        <v>4.10348198641531</v>
      </c>
      <c r="F104">
        <v>10.457608886725</v>
      </c>
      <c r="G104">
        <v>0.8054231118175297</v>
      </c>
      <c r="H104">
        <v>3.7354181554244</v>
      </c>
      <c r="I104">
        <v>35.6483</v>
      </c>
      <c r="J104">
        <f>D104/(F104/3.362524)</f>
        <v>1.483877242648888</v>
      </c>
      <c r="K104">
        <f>G104/(H104/1.39135)</f>
        <v>0.3</v>
      </c>
      <c r="L104">
        <f>(H104/1.190654)/F104</f>
        <v>0.29999999999999993</v>
      </c>
    </row>
    <row r="105">
      <c r="B105">
        <v>101</v>
      </c>
      <c r="C105">
        <v>15</v>
      </c>
      <c r="D105">
        <v>4.6149284999999995</v>
      </c>
      <c r="E105">
        <v>4.10348198641531</v>
      </c>
      <c r="F105">
        <v>10.457608886725</v>
      </c>
      <c r="G105">
        <v>0.8054231118175297</v>
      </c>
      <c r="H105">
        <v>3.7354181554244</v>
      </c>
      <c r="I105">
        <v>35.6483</v>
      </c>
      <c r="J105">
        <f>D105/(F105/3.362524)</f>
        <v>1.483877242648888</v>
      </c>
      <c r="K105">
        <f>G105/(H105/1.39135)</f>
        <v>0.3</v>
      </c>
      <c r="L105">
        <f>(H105/1.190654)/F105</f>
        <v>0.29999999999999993</v>
      </c>
    </row>
    <row r="106">
      <c r="B106">
        <v>102</v>
      </c>
      <c r="C106">
        <v>15</v>
      </c>
      <c r="D106">
        <v>4.6149284999999995</v>
      </c>
      <c r="E106">
        <v>4.10348198641531</v>
      </c>
      <c r="F106">
        <v>10.457608886725</v>
      </c>
      <c r="G106">
        <v>0.8054231118175297</v>
      </c>
      <c r="H106">
        <v>3.7354181554244</v>
      </c>
      <c r="I106">
        <v>35.6483</v>
      </c>
      <c r="J106">
        <f>D106/(F106/3.362524)</f>
        <v>1.483877242648888</v>
      </c>
      <c r="K106">
        <f>G106/(H106/1.39135)</f>
        <v>0.3</v>
      </c>
      <c r="L106">
        <f>(H106/1.190654)/F106</f>
        <v>0.29999999999999993</v>
      </c>
    </row>
    <row r="107">
      <c r="B107">
        <v>103</v>
      </c>
      <c r="C107">
        <v>15</v>
      </c>
      <c r="D107">
        <v>4.6149284999999995</v>
      </c>
      <c r="E107">
        <v>4.10348198641531</v>
      </c>
      <c r="F107">
        <v>10.457608886725</v>
      </c>
      <c r="G107">
        <v>0.8054231118175297</v>
      </c>
      <c r="H107">
        <v>3.7354181554244</v>
      </c>
      <c r="I107">
        <v>35.6483</v>
      </c>
      <c r="J107">
        <f>D107/(F107/3.362524)</f>
        <v>1.483877242648888</v>
      </c>
      <c r="K107">
        <f>G107/(H107/1.39135)</f>
        <v>0.3</v>
      </c>
      <c r="L107">
        <f>(H107/1.190654)/F107</f>
        <v>0.29999999999999993</v>
      </c>
    </row>
    <row r="108">
      <c r="B108">
        <v>104</v>
      </c>
      <c r="C108">
        <v>15</v>
      </c>
      <c r="D108">
        <v>4.6149284999999995</v>
      </c>
      <c r="E108">
        <v>4.10348198641531</v>
      </c>
      <c r="F108">
        <v>10.457608886725</v>
      </c>
      <c r="G108">
        <v>0.8054231118175297</v>
      </c>
      <c r="H108">
        <v>3.7354181554244</v>
      </c>
      <c r="I108">
        <v>35.6483</v>
      </c>
      <c r="J108">
        <f>D108/(F108/3.362524)</f>
        <v>1.483877242648888</v>
      </c>
      <c r="K108">
        <f>G108/(H108/1.39135)</f>
        <v>0.3</v>
      </c>
      <c r="L108">
        <f>(H108/1.190654)/F108</f>
        <v>0.29999999999999993</v>
      </c>
    </row>
    <row r="109">
      <c r="B109">
        <v>105</v>
      </c>
      <c r="C109">
        <v>15</v>
      </c>
      <c r="D109">
        <v>4.6149284999999995</v>
      </c>
      <c r="E109">
        <v>4.10348198641531</v>
      </c>
      <c r="F109">
        <v>10.457608886725</v>
      </c>
      <c r="G109">
        <v>0.8054231118175297</v>
      </c>
      <c r="H109">
        <v>3.7354181554244</v>
      </c>
      <c r="I109">
        <v>35.6483</v>
      </c>
      <c r="J109">
        <f>D109/(F109/3.362524)</f>
        <v>1.483877242648888</v>
      </c>
      <c r="K109">
        <f>G109/(H109/1.39135)</f>
        <v>0.3</v>
      </c>
      <c r="L109">
        <f>(H109/1.190654)/F109</f>
        <v>0.29999999999999993</v>
      </c>
    </row>
    <row r="110">
      <c r="B110">
        <v>106</v>
      </c>
      <c r="C110">
        <v>16</v>
      </c>
      <c r="D110">
        <v>4.6149284999999995</v>
      </c>
      <c r="E110">
        <v>4.10348198641531</v>
      </c>
      <c r="F110">
        <v>10.457608886725</v>
      </c>
      <c r="G110">
        <v>0.8054231118175297</v>
      </c>
      <c r="H110">
        <v>3.7354181554244</v>
      </c>
      <c r="I110">
        <v>35.6483</v>
      </c>
      <c r="J110">
        <f>D110/(F110/3.362524)</f>
        <v>1.483877242648888</v>
      </c>
      <c r="K110">
        <f>G110/(H110/1.39135)</f>
        <v>0.3</v>
      </c>
      <c r="L110">
        <f>(H110/1.190654)/F110</f>
        <v>0.29999999999999993</v>
      </c>
    </row>
    <row r="111">
      <c r="B111">
        <v>107</v>
      </c>
      <c r="C111">
        <v>16</v>
      </c>
      <c r="D111">
        <v>4.6149284999999995</v>
      </c>
      <c r="E111">
        <v>4.10348198641531</v>
      </c>
      <c r="F111">
        <v>10.457608886725</v>
      </c>
      <c r="G111">
        <v>0.8054231118175297</v>
      </c>
      <c r="H111">
        <v>3.7354181554244</v>
      </c>
      <c r="I111">
        <v>35.6483</v>
      </c>
      <c r="J111">
        <f>D111/(F111/3.362524)</f>
        <v>1.483877242648888</v>
      </c>
      <c r="K111">
        <f>G111/(H111/1.39135)</f>
        <v>0.3</v>
      </c>
      <c r="L111">
        <f>(H111/1.190654)/F111</f>
        <v>0.29999999999999993</v>
      </c>
    </row>
    <row r="112">
      <c r="B112">
        <v>108</v>
      </c>
      <c r="C112">
        <v>16</v>
      </c>
      <c r="D112">
        <v>4.6149284999999995</v>
      </c>
      <c r="E112">
        <v>4.10348198641531</v>
      </c>
      <c r="F112">
        <v>10.457608886725</v>
      </c>
      <c r="G112">
        <v>0.8054231118175297</v>
      </c>
      <c r="H112">
        <v>3.7354181554244</v>
      </c>
      <c r="I112">
        <v>35.6483</v>
      </c>
      <c r="J112">
        <f>D112/(F112/3.362524)</f>
        <v>1.483877242648888</v>
      </c>
      <c r="K112">
        <f>G112/(H112/1.39135)</f>
        <v>0.3</v>
      </c>
      <c r="L112">
        <f>(H112/1.190654)/F112</f>
        <v>0.29999999999999993</v>
      </c>
    </row>
    <row r="113">
      <c r="B113">
        <v>109</v>
      </c>
      <c r="C113">
        <v>16</v>
      </c>
      <c r="D113">
        <v>4.6149284999999995</v>
      </c>
      <c r="E113">
        <v>4.10348198641531</v>
      </c>
      <c r="F113">
        <v>10.457608886725</v>
      </c>
      <c r="G113">
        <v>0.8054231118175297</v>
      </c>
      <c r="H113">
        <v>3.7354181554244</v>
      </c>
      <c r="I113">
        <v>35.6483</v>
      </c>
      <c r="J113">
        <f>D113/(F113/3.362524)</f>
        <v>1.483877242648888</v>
      </c>
      <c r="K113">
        <f>G113/(H113/1.39135)</f>
        <v>0.3</v>
      </c>
      <c r="L113">
        <f>(H113/1.190654)/F113</f>
        <v>0.29999999999999993</v>
      </c>
    </row>
    <row r="114">
      <c r="B114">
        <v>110</v>
      </c>
      <c r="C114">
        <v>16</v>
      </c>
      <c r="D114">
        <v>4.6149284999999995</v>
      </c>
      <c r="E114">
        <v>4.10348198641531</v>
      </c>
      <c r="F114">
        <v>10.457608886725</v>
      </c>
      <c r="G114">
        <v>0.8054231118175297</v>
      </c>
      <c r="H114">
        <v>3.7354181554244</v>
      </c>
      <c r="I114">
        <v>35.6483</v>
      </c>
      <c r="J114">
        <f>D114/(F114/3.362524)</f>
        <v>1.483877242648888</v>
      </c>
      <c r="K114">
        <f>G114/(H114/1.39135)</f>
        <v>0.3</v>
      </c>
      <c r="L114">
        <f>(H114/1.190654)/F114</f>
        <v>0.29999999999999993</v>
      </c>
    </row>
    <row r="115">
      <c r="B115">
        <v>111</v>
      </c>
      <c r="C115">
        <v>16</v>
      </c>
      <c r="D115">
        <v>4.6149284999999995</v>
      </c>
      <c r="E115">
        <v>4.10348198641531</v>
      </c>
      <c r="F115">
        <v>10.457608886725</v>
      </c>
      <c r="G115">
        <v>0.8054231118175297</v>
      </c>
      <c r="H115">
        <v>3.7354181554244</v>
      </c>
      <c r="I115">
        <v>35.6483</v>
      </c>
      <c r="J115">
        <f>D115/(F115/3.362524)</f>
        <v>1.483877242648888</v>
      </c>
      <c r="K115">
        <f>G115/(H115/1.39135)</f>
        <v>0.3</v>
      </c>
      <c r="L115">
        <f>(H115/1.190654)/F115</f>
        <v>0.29999999999999993</v>
      </c>
    </row>
    <row r="116">
      <c r="B116">
        <v>112</v>
      </c>
      <c r="C116">
        <v>16</v>
      </c>
      <c r="D116">
        <v>4.6149284999999995</v>
      </c>
      <c r="E116">
        <v>4.10348198641531</v>
      </c>
      <c r="F116">
        <v>10.457608886725</v>
      </c>
      <c r="G116">
        <v>0.8054231118175297</v>
      </c>
      <c r="H116">
        <v>3.7354181554244</v>
      </c>
      <c r="I116">
        <v>35.6483</v>
      </c>
      <c r="J116">
        <f>D116/(F116/3.362524)</f>
        <v>1.483877242648888</v>
      </c>
      <c r="K116">
        <f>G116/(H116/1.39135)</f>
        <v>0.3</v>
      </c>
      <c r="L116">
        <f>(H116/1.190654)/F116</f>
        <v>0.29999999999999993</v>
      </c>
    </row>
    <row r="117">
      <c r="B117">
        <v>113</v>
      </c>
      <c r="C117">
        <v>17</v>
      </c>
      <c r="D117">
        <v>4.6149284999999995</v>
      </c>
      <c r="E117">
        <v>4.10348198641531</v>
      </c>
      <c r="F117">
        <v>10.457608886725</v>
      </c>
      <c r="G117">
        <v>0.8054231118175297</v>
      </c>
      <c r="H117">
        <v>3.7354181554244</v>
      </c>
      <c r="I117">
        <v>35.6483</v>
      </c>
      <c r="J117">
        <f>D117/(F117/3.362524)</f>
        <v>1.483877242648888</v>
      </c>
      <c r="K117">
        <f>G117/(H117/1.39135)</f>
        <v>0.3</v>
      </c>
      <c r="L117">
        <f>(H117/1.190654)/F117</f>
        <v>0.29999999999999993</v>
      </c>
    </row>
    <row r="118">
      <c r="B118">
        <v>114</v>
      </c>
      <c r="C118">
        <v>17</v>
      </c>
      <c r="D118">
        <v>4.6149284999999995</v>
      </c>
      <c r="E118">
        <v>4.10348198641531</v>
      </c>
      <c r="F118">
        <v>10.457608886725</v>
      </c>
      <c r="G118">
        <v>0.8054231118175297</v>
      </c>
      <c r="H118">
        <v>3.7354181554244</v>
      </c>
      <c r="I118">
        <v>35.6483</v>
      </c>
      <c r="J118">
        <f>D118/(F118/3.362524)</f>
        <v>1.483877242648888</v>
      </c>
      <c r="K118">
        <f>G118/(H118/1.39135)</f>
        <v>0.3</v>
      </c>
      <c r="L118">
        <f>(H118/1.190654)/F118</f>
        <v>0.29999999999999993</v>
      </c>
    </row>
    <row r="119">
      <c r="B119">
        <v>115</v>
      </c>
      <c r="C119">
        <v>17</v>
      </c>
      <c r="D119">
        <v>4.6149284999999995</v>
      </c>
      <c r="E119">
        <v>4.10348198641531</v>
      </c>
      <c r="F119">
        <v>10.457608886725</v>
      </c>
      <c r="G119">
        <v>0.8054231118175297</v>
      </c>
      <c r="H119">
        <v>3.7354181554244</v>
      </c>
      <c r="I119">
        <v>35.6483</v>
      </c>
      <c r="J119">
        <f>D119/(F119/3.362524)</f>
        <v>1.483877242648888</v>
      </c>
      <c r="K119">
        <f>G119/(H119/1.39135)</f>
        <v>0.3</v>
      </c>
      <c r="L119">
        <f>(H119/1.190654)/F119</f>
        <v>0.29999999999999993</v>
      </c>
    </row>
    <row r="120">
      <c r="B120">
        <v>116</v>
      </c>
      <c r="C120">
        <v>17</v>
      </c>
      <c r="D120">
        <v>4.6149284999999995</v>
      </c>
      <c r="E120">
        <v>4.10348198641531</v>
      </c>
      <c r="F120">
        <v>10.457608886725</v>
      </c>
      <c r="G120">
        <v>0.8054231118175297</v>
      </c>
      <c r="H120">
        <v>3.7354181554244</v>
      </c>
      <c r="I120">
        <v>35.6483</v>
      </c>
      <c r="J120">
        <f>D120/(F120/3.362524)</f>
        <v>1.483877242648888</v>
      </c>
      <c r="K120">
        <f>G120/(H120/1.39135)</f>
        <v>0.3</v>
      </c>
      <c r="L120">
        <f>(H120/1.190654)/F120</f>
        <v>0.29999999999999993</v>
      </c>
    </row>
    <row r="121">
      <c r="B121">
        <v>117</v>
      </c>
      <c r="C121">
        <v>17</v>
      </c>
      <c r="D121">
        <v>4.6149284999999995</v>
      </c>
      <c r="E121">
        <v>4.10348198641531</v>
      </c>
      <c r="F121">
        <v>10.457608886725</v>
      </c>
      <c r="G121">
        <v>0.8054231118175297</v>
      </c>
      <c r="H121">
        <v>3.7354181554244</v>
      </c>
      <c r="I121">
        <v>35.6483</v>
      </c>
      <c r="J121">
        <f>D121/(F121/3.362524)</f>
        <v>1.483877242648888</v>
      </c>
      <c r="K121">
        <f>G121/(H121/1.39135)</f>
        <v>0.3</v>
      </c>
      <c r="L121">
        <f>(H121/1.190654)/F121</f>
        <v>0.29999999999999993</v>
      </c>
    </row>
    <row r="122">
      <c r="B122">
        <v>118</v>
      </c>
      <c r="C122">
        <v>17</v>
      </c>
      <c r="D122">
        <v>4.6149284999999995</v>
      </c>
      <c r="E122">
        <v>4.10348198641531</v>
      </c>
      <c r="F122">
        <v>10.457608886725</v>
      </c>
      <c r="G122">
        <v>0.8054231118175297</v>
      </c>
      <c r="H122">
        <v>3.7354181554244</v>
      </c>
      <c r="I122">
        <v>35.6483</v>
      </c>
      <c r="J122">
        <f>D122/(F122/3.362524)</f>
        <v>1.483877242648888</v>
      </c>
      <c r="K122">
        <f>G122/(H122/1.39135)</f>
        <v>0.3</v>
      </c>
      <c r="L122">
        <f>(H122/1.190654)/F122</f>
        <v>0.29999999999999993</v>
      </c>
    </row>
    <row r="123">
      <c r="B123">
        <v>119</v>
      </c>
      <c r="C123">
        <v>17</v>
      </c>
      <c r="D123">
        <v>4.6149284999999995</v>
      </c>
      <c r="E123">
        <v>4.10348198641531</v>
      </c>
      <c r="F123">
        <v>10.457608886725</v>
      </c>
      <c r="G123">
        <v>0.8054231118175297</v>
      </c>
      <c r="H123">
        <v>3.7354181554244</v>
      </c>
      <c r="I123">
        <v>35.6483</v>
      </c>
      <c r="J123">
        <f>D123/(F123/3.362524)</f>
        <v>1.483877242648888</v>
      </c>
      <c r="K123">
        <f>G123/(H123/1.39135)</f>
        <v>0.3</v>
      </c>
      <c r="L123">
        <f>(H123/1.190654)/F123</f>
        <v>0.29999999999999993</v>
      </c>
    </row>
    <row r="124">
      <c r="B124">
        <v>120</v>
      </c>
      <c r="C124">
        <v>18</v>
      </c>
      <c r="D124">
        <v>4.6149284999999995</v>
      </c>
      <c r="E124">
        <v>4.10348198641531</v>
      </c>
      <c r="F124">
        <v>10.457608886725</v>
      </c>
      <c r="G124">
        <v>0.8054231118175297</v>
      </c>
      <c r="H124">
        <v>3.7354181554244</v>
      </c>
      <c r="I124">
        <v>35.6483</v>
      </c>
      <c r="J124">
        <f>D124/(F124/3.362524)</f>
        <v>1.483877242648888</v>
      </c>
      <c r="K124">
        <f>G124/(H124/1.39135)</f>
        <v>0.3</v>
      </c>
      <c r="L124">
        <f>(H124/1.190654)/F124</f>
        <v>0.29999999999999993</v>
      </c>
    </row>
    <row r="125">
      <c r="B125">
        <v>121</v>
      </c>
      <c r="C125">
        <v>18</v>
      </c>
      <c r="D125">
        <v>4.6149284999999995</v>
      </c>
      <c r="E125">
        <v>4.10348198641531</v>
      </c>
      <c r="F125">
        <v>10.457608886725</v>
      </c>
      <c r="G125">
        <v>0.8054231118175297</v>
      </c>
      <c r="H125">
        <v>3.7354181554244</v>
      </c>
      <c r="I125">
        <v>35.6483</v>
      </c>
      <c r="J125">
        <f>D125/(F125/3.362524)</f>
        <v>1.483877242648888</v>
      </c>
      <c r="K125">
        <f>G125/(H125/1.39135)</f>
        <v>0.3</v>
      </c>
      <c r="L125">
        <f>(H125/1.190654)/F125</f>
        <v>0.29999999999999993</v>
      </c>
    </row>
    <row r="126">
      <c r="B126">
        <v>122</v>
      </c>
      <c r="C126">
        <v>18</v>
      </c>
      <c r="D126">
        <v>4.6149284999999995</v>
      </c>
      <c r="E126">
        <v>4.10348198641531</v>
      </c>
      <c r="F126">
        <v>10.457608886725</v>
      </c>
      <c r="G126">
        <v>0.8054231118175297</v>
      </c>
      <c r="H126">
        <v>3.7354181554244</v>
      </c>
      <c r="I126">
        <v>35.6483</v>
      </c>
      <c r="J126">
        <f>D126/(F126/3.362524)</f>
        <v>1.483877242648888</v>
      </c>
      <c r="K126">
        <f>G126/(H126/1.39135)</f>
        <v>0.3</v>
      </c>
      <c r="L126">
        <f>(H126/1.190654)/F126</f>
        <v>0.29999999999999993</v>
      </c>
    </row>
    <row r="127">
      <c r="B127">
        <v>123</v>
      </c>
      <c r="C127">
        <v>18</v>
      </c>
      <c r="D127">
        <v>4.6149284999999995</v>
      </c>
      <c r="E127">
        <v>4.10348198641531</v>
      </c>
      <c r="F127">
        <v>10.457608886725</v>
      </c>
      <c r="G127">
        <v>0.8054231118175297</v>
      </c>
      <c r="H127">
        <v>3.7354181554244</v>
      </c>
      <c r="I127">
        <v>35.6483</v>
      </c>
      <c r="J127">
        <f>D127/(F127/3.362524)</f>
        <v>1.483877242648888</v>
      </c>
      <c r="K127">
        <f>G127/(H127/1.39135)</f>
        <v>0.3</v>
      </c>
      <c r="L127">
        <f>(H127/1.190654)/F127</f>
        <v>0.29999999999999993</v>
      </c>
    </row>
    <row r="128">
      <c r="B128">
        <v>124</v>
      </c>
      <c r="C128">
        <v>18</v>
      </c>
      <c r="D128">
        <v>4.6149284999999995</v>
      </c>
      <c r="E128">
        <v>4.10348198641531</v>
      </c>
      <c r="F128">
        <v>10.457608886725</v>
      </c>
      <c r="G128">
        <v>0.8054231118175297</v>
      </c>
      <c r="H128">
        <v>3.7354181554244</v>
      </c>
      <c r="I128">
        <v>35.6483</v>
      </c>
      <c r="J128">
        <f>D128/(F128/3.362524)</f>
        <v>1.483877242648888</v>
      </c>
      <c r="K128">
        <f>G128/(H128/1.39135)</f>
        <v>0.3</v>
      </c>
      <c r="L128">
        <f>(H128/1.190654)/F128</f>
        <v>0.29999999999999993</v>
      </c>
    </row>
    <row r="129">
      <c r="B129">
        <v>125</v>
      </c>
      <c r="C129">
        <v>18</v>
      </c>
      <c r="D129">
        <v>4.6149284999999995</v>
      </c>
      <c r="E129">
        <v>4.10348198641531</v>
      </c>
      <c r="F129">
        <v>10.457608886725</v>
      </c>
      <c r="G129">
        <v>0.8054231118175297</v>
      </c>
      <c r="H129">
        <v>3.7354181554244</v>
      </c>
      <c r="I129">
        <v>35.6483</v>
      </c>
      <c r="J129">
        <f>D129/(F129/3.362524)</f>
        <v>1.483877242648888</v>
      </c>
      <c r="K129">
        <f>G129/(H129/1.39135)</f>
        <v>0.3</v>
      </c>
      <c r="L129">
        <f>(H129/1.190654)/F129</f>
        <v>0.29999999999999993</v>
      </c>
    </row>
    <row r="130">
      <c r="B130">
        <v>126</v>
      </c>
      <c r="C130">
        <v>18</v>
      </c>
      <c r="D130">
        <v>4.6149284999999995</v>
      </c>
      <c r="E130">
        <v>4.10348198641531</v>
      </c>
      <c r="F130">
        <v>10.457608886725</v>
      </c>
      <c r="G130">
        <v>0.8054231118175297</v>
      </c>
      <c r="H130">
        <v>3.7354181554244</v>
      </c>
      <c r="I130">
        <v>35.6483</v>
      </c>
      <c r="J130">
        <f>D130/(F130/3.362524)</f>
        <v>1.483877242648888</v>
      </c>
      <c r="K130">
        <f>G130/(H130/1.39135)</f>
        <v>0.3</v>
      </c>
      <c r="L130">
        <f>(H130/1.190654)/F130</f>
        <v>0.29999999999999993</v>
      </c>
    </row>
    <row r="131">
      <c r="D131">
        <f>SUM(D5:D130)</f>
        <v>630.653861384107</v>
      </c>
      <c r="E131">
        <f>SUM(E5:E130)</f>
        <v>388.2297599838865</v>
      </c>
      <c r="F131">
        <f>SUM(F5:F130)</f>
        <v>930.7179639848989</v>
      </c>
      <c r="G131">
        <f>SUM(G5:G130)</f>
        <v>71.68194631267696</v>
      </c>
      <c r="H131">
        <f>SUM(H5:H130)</f>
        <v>332.44892000714316</v>
      </c>
      <c r="I131">
        <f>SUM(I5:I130)</f>
        <v>3081.030799999997</v>
      </c>
    </row>
  </sheetData>
  <sheetProtection sheet="1"/>
  <mergeCells count="3">
    <mergeCell ref="A2:M2"/>
    <mergeCell ref="A3:M3"/>
    <mergeCell ref="H1:M1"/>
  </mergeCells>
  <pageMargins left="0.7" right="0.7" top="0.75" bottom="0.75" header="0.5" footer="0.5"/>
  <ignoredErrors>
    <ignoredError numberStoredAsText="1" sqref="A1:T131"/>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Fosforico 85%</v>
      </c>
      <c r="B3" t="str">
        <v>85%.</v>
      </c>
      <c r="C3">
        <v>1610</v>
      </c>
      <c r="D3">
        <v>0</v>
      </c>
      <c r="E3">
        <v>267.637</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435</v>
      </c>
      <c r="D4">
        <v>18</v>
      </c>
      <c r="E4">
        <v>46</v>
      </c>
      <c r="F4">
        <v>0</v>
      </c>
      <c r="G4">
        <v>0</v>
      </c>
      <c r="H4">
        <v>0</v>
      </c>
      <c r="I4">
        <v>0</v>
      </c>
      <c r="J4">
        <v>0</v>
      </c>
      <c r="K4" t="str">
        <v>Lbs</v>
      </c>
    </row>
    <row r="5">
      <c r="A5" t="str">
        <v>DAP 21-53-0 Soluble</v>
      </c>
      <c r="B5" t="str">
        <v>21-53-0</v>
      </c>
      <c r="C5">
        <v>670</v>
      </c>
      <c r="D5">
        <v>21</v>
      </c>
      <c r="E5">
        <v>53</v>
      </c>
      <c r="F5">
        <v>0</v>
      </c>
      <c r="G5">
        <v>0</v>
      </c>
      <c r="H5">
        <v>0</v>
      </c>
      <c r="I5">
        <v>0</v>
      </c>
      <c r="J5">
        <v>0</v>
      </c>
      <c r="K5" t="str">
        <v>Lbs</v>
      </c>
    </row>
    <row r="6">
      <c r="A6" t="str">
        <v>MAP 12-61-0</v>
      </c>
      <c r="B6" t="str">
        <v>12-61-0</v>
      </c>
      <c r="C6">
        <v>1200</v>
      </c>
      <c r="D6">
        <v>12</v>
      </c>
      <c r="E6">
        <v>61</v>
      </c>
      <c r="F6">
        <v>0</v>
      </c>
      <c r="G6">
        <v>0</v>
      </c>
      <c r="H6">
        <v>0</v>
      </c>
      <c r="I6">
        <v>0</v>
      </c>
      <c r="J6">
        <v>0</v>
      </c>
      <c r="K6" t="str">
        <v>Lbs</v>
      </c>
    </row>
    <row r="7">
      <c r="A7" t="str">
        <v>Acido Fosforoso</v>
      </c>
      <c r="B7" t="str">
        <v>0-60-0</v>
      </c>
      <c r="C7">
        <v>2300</v>
      </c>
      <c r="D7">
        <v>0</v>
      </c>
      <c r="E7">
        <v>125</v>
      </c>
      <c r="F7">
        <v>0</v>
      </c>
      <c r="G7">
        <v>0</v>
      </c>
      <c r="H7">
        <v>0</v>
      </c>
      <c r="I7">
        <v>0</v>
      </c>
      <c r="J7">
        <v>0</v>
      </c>
      <c r="K7" t="str">
        <v>Lts</v>
      </c>
    </row>
    <row r="8">
      <c r="A8" t="str">
        <v>FofatoMonoPotasico</v>
      </c>
      <c r="B8" t="str">
        <v>0-52-34,</v>
      </c>
      <c r="C8">
        <v>1169</v>
      </c>
      <c r="D8">
        <v>0</v>
      </c>
      <c r="E8">
        <v>52</v>
      </c>
      <c r="F8">
        <v>34</v>
      </c>
      <c r="G8">
        <v>0</v>
      </c>
      <c r="H8">
        <v>0</v>
      </c>
      <c r="I8">
        <v>0</v>
      </c>
      <c r="J8">
        <v>0</v>
      </c>
      <c r="K8" t="str">
        <v>Lbs</v>
      </c>
    </row>
    <row r="9"/>
    <row r="10"/>
    <row r="12">
      <c r="A12" t="str">
        <v>Nitrato de Amonio</v>
      </c>
      <c r="B12" t="str">
        <v>33.5-0-0</v>
      </c>
      <c r="C12">
        <v>320</v>
      </c>
      <c r="D12">
        <v>33.5</v>
      </c>
      <c r="E12">
        <v>0</v>
      </c>
      <c r="F12">
        <v>0</v>
      </c>
      <c r="G12">
        <v>0</v>
      </c>
      <c r="H12">
        <v>0</v>
      </c>
      <c r="I12">
        <v>0</v>
      </c>
      <c r="J12">
        <v>0</v>
      </c>
      <c r="K12" t="str">
        <v>Lbs</v>
      </c>
      <c r="L12" t="str">
        <v>Fertilizantes usados como Fuente de Nitrógeno</v>
      </c>
    </row>
    <row r="13">
      <c r="A13" t="str">
        <v>Sulfato de Amonio</v>
      </c>
      <c r="B13" t="str">
        <v>21-0-0</v>
      </c>
      <c r="C13">
        <v>218</v>
      </c>
      <c r="D13">
        <v>21</v>
      </c>
      <c r="E13">
        <v>0</v>
      </c>
      <c r="F13">
        <v>0</v>
      </c>
      <c r="G13">
        <v>0</v>
      </c>
      <c r="H13">
        <v>0</v>
      </c>
      <c r="I13">
        <v>58.8</v>
      </c>
      <c r="J13">
        <v>0</v>
      </c>
      <c r="K13" t="str">
        <v>Lbs</v>
      </c>
    </row>
    <row r="14">
      <c r="A14" t="str">
        <v>Urea</v>
      </c>
      <c r="B14" t="str">
        <v>46-0-0</v>
      </c>
      <c r="C14">
        <v>390</v>
      </c>
      <c r="D14">
        <v>46</v>
      </c>
      <c r="E14">
        <v>0</v>
      </c>
      <c r="F14">
        <v>0</v>
      </c>
      <c r="G14">
        <v>0</v>
      </c>
      <c r="H14">
        <v>0</v>
      </c>
      <c r="I14">
        <v>0</v>
      </c>
      <c r="J14">
        <v>0</v>
      </c>
      <c r="K14" t="str">
        <v>Lbs</v>
      </c>
    </row>
    <row r="15"/>
    <row r="16"/>
    <row r="17"/>
    <row r="19">
      <c r="A19" t="str">
        <v>Kcl</v>
      </c>
      <c r="B19" t="str">
        <v>0-0-60</v>
      </c>
      <c r="C19">
        <v>290</v>
      </c>
      <c r="D19">
        <v>0</v>
      </c>
      <c r="E19">
        <v>0</v>
      </c>
      <c r="F19">
        <v>60</v>
      </c>
      <c r="G19">
        <v>0</v>
      </c>
      <c r="H19">
        <v>0</v>
      </c>
      <c r="I19">
        <v>0</v>
      </c>
      <c r="J19">
        <v>0</v>
      </c>
      <c r="K19" t="str">
        <v>Lbs</v>
      </c>
      <c r="L19" t="str">
        <v>Fertilizantes usados como Fuente de Potasio</v>
      </c>
    </row>
    <row r="20">
      <c r="A20" t="str">
        <v>Nitrato de Potasio</v>
      </c>
      <c r="B20" t="str">
        <v>13-0-46</v>
      </c>
      <c r="C20">
        <v>521</v>
      </c>
      <c r="D20">
        <v>13</v>
      </c>
      <c r="E20">
        <v>0</v>
      </c>
      <c r="F20">
        <v>46</v>
      </c>
      <c r="G20">
        <v>0</v>
      </c>
      <c r="H20">
        <v>0</v>
      </c>
      <c r="I20">
        <v>0</v>
      </c>
      <c r="J20">
        <v>0</v>
      </c>
      <c r="K20" t="str">
        <v>Lbs</v>
      </c>
    </row>
    <row r="21">
      <c r="A21" t="str">
        <v>Sulfato de Potasio</v>
      </c>
      <c r="B21" t="str">
        <v>0-0-50</v>
      </c>
      <c r="C21">
        <v>405</v>
      </c>
      <c r="D21">
        <v>0</v>
      </c>
      <c r="E21">
        <v>0</v>
      </c>
      <c r="F21">
        <v>52</v>
      </c>
      <c r="G21">
        <v>0</v>
      </c>
      <c r="H21">
        <v>0</v>
      </c>
      <c r="I21">
        <v>47.5</v>
      </c>
      <c r="J21">
        <v>0</v>
      </c>
      <c r="K21" t="str">
        <v>Lbs</v>
      </c>
    </row>
    <row r="22">
      <c r="A22" t="str">
        <v>Kcl Soluble</v>
      </c>
      <c r="B22" t="str">
        <v>0-0-60</v>
      </c>
      <c r="C22">
        <v>410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535</v>
      </c>
      <c r="D28">
        <v>11</v>
      </c>
      <c r="E28">
        <v>0</v>
      </c>
      <c r="F28">
        <v>0</v>
      </c>
      <c r="G28">
        <v>15.7</v>
      </c>
      <c r="H28">
        <v>0</v>
      </c>
      <c r="I28">
        <v>0</v>
      </c>
      <c r="J28">
        <v>0</v>
      </c>
      <c r="K28" t="str">
        <v>Lbs</v>
      </c>
      <c r="L28" t="str">
        <v>Fertilizantes usados como Fuente de Magnesio</v>
      </c>
    </row>
    <row r="29">
      <c r="A29" t="str">
        <v>Sulfato de Magnesio</v>
      </c>
      <c r="B29" t="str">
        <v>0-0-0-31.7-16</v>
      </c>
      <c r="C29">
        <v>425</v>
      </c>
      <c r="D29">
        <v>0</v>
      </c>
      <c r="E29">
        <v>0</v>
      </c>
      <c r="F29">
        <v>0</v>
      </c>
      <c r="G29">
        <v>16</v>
      </c>
      <c r="H29">
        <v>0</v>
      </c>
      <c r="I29">
        <v>31.7</v>
      </c>
      <c r="J29">
        <v>0</v>
      </c>
      <c r="K29" t="str">
        <v>Lbs</v>
      </c>
    </row>
    <row r="30">
      <c r="A30" t="str">
        <v>Aquafeed Mg Liquido</v>
      </c>
      <c r="B30" t="str">
        <v>0-0-0-0-10</v>
      </c>
      <c r="C30">
        <v>285</v>
      </c>
      <c r="D30">
        <v>0</v>
      </c>
      <c r="E30">
        <v>0</v>
      </c>
      <c r="F30">
        <v>0</v>
      </c>
      <c r="G30">
        <v>10</v>
      </c>
      <c r="H30">
        <v>0</v>
      </c>
      <c r="I30">
        <v>8</v>
      </c>
      <c r="J30">
        <v>0</v>
      </c>
      <c r="K30" t="str">
        <v>Lts</v>
      </c>
    </row>
    <row r="31"/>
    <row r="32"/>
    <row r="33"/>
    <row r="34">
      <c r="A34" t="str">
        <v>Sin Magnecio</v>
      </c>
      <c r="B34" t="str">
        <v>0-0-0-0-0</v>
      </c>
      <c r="C34">
        <v>0</v>
      </c>
      <c r="D34">
        <v>0</v>
      </c>
      <c r="E34">
        <v>0</v>
      </c>
      <c r="F34">
        <v>0</v>
      </c>
      <c r="G34">
        <v>1000000</v>
      </c>
      <c r="H34">
        <v>0</v>
      </c>
      <c r="I34">
        <v>0</v>
      </c>
      <c r="J34">
        <v>0</v>
      </c>
    </row>
    <row r="36">
      <c r="A36" t="str">
        <v>Nitrato de Calcio</v>
      </c>
      <c r="B36" t="str">
        <v>15.5-0-0-27</v>
      </c>
      <c r="C36">
        <v>445</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0.0179</v>
      </c>
      <c r="D42">
        <v>0</v>
      </c>
      <c r="E42">
        <v>0</v>
      </c>
      <c r="F42">
        <v>0</v>
      </c>
      <c r="G42">
        <v>0</v>
      </c>
      <c r="H42">
        <v>0</v>
      </c>
      <c r="I42">
        <v>0</v>
      </c>
      <c r="J42">
        <v>18</v>
      </c>
      <c r="K42" t="str">
        <v>Gramos</v>
      </c>
      <c r="L42" t="str">
        <v>Fertilizantes usados como Fuente de Boro</v>
      </c>
    </row>
    <row r="43">
      <c r="A43" t="str">
        <v>Solubor</v>
      </c>
      <c r="B43" t="str">
        <v>0-0-0-0-0-0-20.5</v>
      </c>
      <c r="C43">
        <v>0.0316</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Meteria Organica</v>
      </c>
      <c r="B49" t="str">
        <v>Dosis por Hectárea</v>
      </c>
      <c r="C49" t="str">
        <v>Precio</v>
      </c>
      <c r="D49" t="str">
        <v>Unidades</v>
      </c>
    </row>
    <row r="50">
      <c r="A50" t="str">
        <v>Melaza</v>
      </c>
      <c r="B50">
        <v>20</v>
      </c>
      <c r="C50">
        <v>2.5</v>
      </c>
      <c r="D50" t="str">
        <v>Lts</v>
      </c>
    </row>
    <row r="51">
      <c r="A51" t="str">
        <v>Azucar</v>
      </c>
      <c r="B51">
        <v>50</v>
      </c>
      <c r="C51">
        <v>5</v>
      </c>
      <c r="D51" t="str">
        <v>Lbs</v>
      </c>
    </row>
    <row r="52">
      <c r="A52" t="str">
        <v>Acidos Humicos</v>
      </c>
    </row>
    <row r="54">
      <c r="A54">
        <v>0</v>
      </c>
    </row>
    <row r="56">
      <c r="A56" t="str">
        <v>Insecticida Post Transplante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 right="0.7" top="0.75" bottom="0.75"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11.8036</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2007-06-07T03:05:38Z</dcterms:modified>
  <cp:lastModifiedBy>Ricardo Lardizabal</cp:lastModifiedBy>
  <cp:lastPrinted>2006-12-07T04:01:02Z</cp:lastPrinted>
  <dc:creator>Ricardo Lardizabal</dc:creator>
  <dc:subject>Chile Jalapeno</dc:subject>
  <dc:title>Fertilization Programs</dc:title>
</cp:coreProperties>
</file>