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10.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in" sheetId="1" r:id="rId1"/>
    <sheet name="Cal-Diario" sheetId="2" r:id="rId2"/>
    <sheet name="3 Por Sem" sheetId="3" r:id="rId3"/>
    <sheet name="2 Por Sem" sheetId="4" r:id="rId4"/>
    <sheet name="1 Por Sem" sheetId="5" r:id="rId5"/>
    <sheet name="14 Dias" sheetId="6" r:id="rId6"/>
    <sheet name="ReDiarioFert" sheetId="7" r:id="rId7"/>
    <sheet name="ReSemanalFert" sheetId="8" r:id="rId8"/>
    <sheet name="Req. Diario" sheetId="9" r:id="rId9"/>
    <sheet name="Fertilizantes" sheetId="10" r:id="rId10"/>
  </sheets>
  <definedNames>
    <definedName name="Baselist">Base!$A$3:$E$250</definedName>
    <definedName name="Boro">Fertilizantes!$A$36:$A$39</definedName>
    <definedName name="Calcio">Fertilizantes!$A$31:$A$34</definedName>
    <definedName name="Fertilizante1">Fertilizantes!$A$3:$I$34</definedName>
    <definedName name="Fertilizante2">Fertilizantes!$A$3:$M$46</definedName>
    <definedName name="Fosforo">Fertilizantes!$A$3:$A$9</definedName>
    <definedName name="Magnecio">Fertilizantes!$A$25:$A$29</definedName>
    <definedName name="Materiaprima" localSheetId="9">Fertilizantes!$A$3:$I$38</definedName>
    <definedName name="materiaprima">Main!$D$25</definedName>
    <definedName name="MateriaPrima1" localSheetId="9">Fertilizantes!$B$3:$B$38</definedName>
    <definedName name="Nitrogeno">Fertilizantes!$A$11:$A$16</definedName>
    <definedName name="Potacio">Fertilizantes!$A$18:$A$23</definedName>
    <definedName name="_xlnm.Print_Area" localSheetId="4">'1 Por Sem'!$A$1:$S$44</definedName>
    <definedName name="_xlnm.Print_Area" localSheetId="5">'14 Dias'!$A$1:$S$37</definedName>
    <definedName name="_xlnm.Print_Area" localSheetId="3">'2 Por Sem'!$A$1:$S$62</definedName>
    <definedName name="_xlnm.Print_Area" localSheetId="2">'3 Por Sem'!$A$1:$S$79</definedName>
    <definedName name="_xlnm.Print_Area" localSheetId="1">'Cal-Diario'!$A$1:$S$146</definedName>
    <definedName name="_xlnm.Print_Titles" localSheetId="4">'1 Por Sem'!$1:$11</definedName>
    <definedName name="_xlnm.Print_Titles" localSheetId="3">'2 Por Sem'!$1:$11</definedName>
    <definedName name="_xlnm.Print_Titles" localSheetId="2">'3 Por Sem'!$1:$11</definedName>
    <definedName name="_xlnm.Print_Titles" localSheetId="1">'Cal-Diario'!$1:$11</definedName>
  </definedNames>
</workbook>
</file>

<file path=xl/comments1.xml><?xml version="1.0" encoding="utf-8"?>
<comments xmlns="http://schemas.openxmlformats.org/spreadsheetml/2006/main">
  <authors>
    <author>LFINTRAC4</author>
    <author>RACA</author>
  </authors>
  <commentList>
    <comment ref="E18" authorId="0">
      <text>
        <t xml:space="preserve">Mes/Día/Año
</t>
      </text>
    </comment>
    <comment ref="D26" authorId="1">
      <text>
        <t xml:space="preserve">RACA:
La ultima Pagina de fertilizantes tiene para actualizar el precio de su zona y agregar los que no estén en el listado</t>
      </text>
    </comment>
    <comment ref="D31" authorId="1">
      <text>
        <t xml:space="preserve">RACA:
La ultima Pagina de fertilizantes tiene para actualizar el precio de su zona y agregar los que no estén en el listado</t>
      </text>
    </comment>
    <comment ref="D36" authorId="1">
      <text>
        <t xml:space="preserve">RACA:
La ultima Pagina de fertilizantes tiene para actualizar el precio de su zona y agregar los que no estén en el listado</t>
      </text>
    </comment>
    <comment ref="D42" authorId="1">
      <text>
        <t xml:space="preserve">RACA:
La ultima Pagina de fertilizantes tiene para actualizar el precio de su zona y agregar los que no estén en el listado</t>
      </text>
    </comment>
    <comment ref="D47" authorId="1">
      <text>
        <t xml:space="preserve">RACA:
La ultima Pagina de fertilizantes tiene para actualizar el precio de su zona y agregar los que no estén en el listado</t>
      </text>
    </comment>
    <comment ref="D52" authorId="1">
      <text>
        <t xml:space="preserve">RACA:
La ultima Pagina de fertilizantes tiene para actualizar el precio de su zona y agregar los que no estén en el listado</t>
      </text>
    </comment>
    <comment ref="D56" authorId="1">
      <text>
        <t xml:space="preserve">RACA:
La ultima Pagina de fertilizantes tiene para actualizar el precio de su zona y agregar los que no estén en el listado</t>
      </text>
    </comment>
    <comment ref="D60" authorId="1">
      <text>
        <t xml:space="preserve">RACA:
La ultima Pagina de fertilizantes tiene para actualizar el precio de su zona y agregar los que no estén en el listado</t>
      </text>
    </comment>
  </commentList>
</comments>
</file>

<file path=xl/comments2.xml><?xml version="1.0" encoding="utf-8"?>
<comments xmlns="http://schemas.openxmlformats.org/spreadsheetml/2006/main">
  <authors>
    <author>RACA</author>
  </authors>
  <commentList>
    <comment ref="M10" authorId="0">
      <text>
        <t>APLICARLO SOLO O EN TANQUE SEPARADO AL SISTEMA YA QUE TIENDE A REACCIONAR CON LOS OTROS ELEMENTOS ESPECIALMENTE FÓSFORO NO REACCIONA CON NITRÓGENO. Tampoco Reacciona ya en dilución dentro del sistema de riego.</t>
      </text>
    </comment>
  </commentList>
</comments>
</file>

<file path=xl/comments3.xml><?xml version="1.0" encoding="utf-8"?>
<comments xmlns="http://schemas.openxmlformats.org/spreadsheetml/2006/main">
  <authors>
    <author>RACA</author>
  </authors>
  <commentList>
    <comment ref="M10" authorId="0">
      <text>
        <t>APLICARLO SOLO O EN TANQUE SEPARADO AL SISTEMA YA QUE TIENDE A REACCIONAR CON LOS OTROS ELEMENTOS ESPECIALMENTE FÓSFORO NO REACCIONA CON NITRÓGENO. Tampoco Reacciona ya en dilución dentro del sistema de riego.</t>
      </text>
    </comment>
  </commentList>
</comments>
</file>

<file path=xl/comments4.xml><?xml version="1.0" encoding="utf-8"?>
<comments xmlns="http://schemas.openxmlformats.org/spreadsheetml/2006/main">
  <authors>
    <author>RACA</author>
  </authors>
  <commentList>
    <comment ref="M10" authorId="0">
      <text>
        <t xml:space="preserve">APLICARLO SOLO O EN TANQUE SEPARADO AL SISTEMA YA QUE TIENDE A REACCIONAR CON LOS OTROS ELEMENTOS ESPECIALMENTE FÓSFORO NO REACCIONA CON NITRÓGENO. Tampoco Reacciona ya en dilución dentro del sistema de riego.
</t>
      </text>
    </comment>
  </commentList>
</comments>
</file>

<file path=xl/comments5.xml><?xml version="1.0" encoding="utf-8"?>
<comments xmlns="http://schemas.openxmlformats.org/spreadsheetml/2006/main">
  <authors>
    <author>RACA</author>
  </authors>
  <commentList>
    <comment ref="M10" authorId="0">
      <text>
        <t xml:space="preserve">APLICARLO SOLO O EN TANQUE SEPARADO AL SISTEMA YA QUE TIENDE A REACCIONAR CON LOS OTROS ELEMENTOS ESPECIALMENTE FÓSFORO NO REACCIONA CON NITRÓGENO. Tampoco Reacciona ya en dilución dentro del sistema de riego.
</t>
      </text>
    </comment>
  </commentList>
</comments>
</file>

<file path=xl/comments6.xml><?xml version="1.0" encoding="utf-8"?>
<comments xmlns="http://schemas.openxmlformats.org/spreadsheetml/2006/main">
  <authors>
    <author>RACA</author>
  </authors>
  <commentList>
    <comment ref="M10" authorId="0">
      <text>
        <t xml:space="preserve">APLICARLO SOLO O EN TANQUE SEPARADO AL SISTEMA YA QUE TIENDE A REACCIONAR CON LOS OTROS ELEMENTOS ESPECIALMENTE FÓSFORO NO REACCIONA CON NITRÓGENO. Tampoco Reacciona ya en dilución dentro del sistema de riego.
</t>
      </text>
    </comment>
  </commentList>
</comments>
</file>

<file path=xl/comments10.xml><?xml version="1.0" encoding="utf-8"?>
<comments xmlns="http://schemas.openxmlformats.org/spreadsheetml/2006/main">
  <authors>
    <author>RACA</author>
  </authors>
  <commentList>
    <comment ref="C3" authorId="0">
      <text>
        <t xml:space="preserve">RACA:
Actualizar precio de acuerdo a su zona.</t>
      </text>
    </comment>
    <comment ref="K3" authorId="0">
      <text>
        <t xml:space="preserve">RACA:
Ver explicación en la columna lateral. Se debe de poner la unidad en que se va trabajar si es litro, libra, kilo, gramo, etc.</t>
      </text>
    </comment>
    <comment ref="C4" authorId="0">
      <text>
        <t xml:space="preserve">RACA:
Actualizar precio de acuerdo a su zona.</t>
      </text>
    </comment>
    <comment ref="K4" authorId="0">
      <text>
        <t xml:space="preserve">RACA:
Ver explicación en la columna lateral. Se debe de poner la unidad en que se va trabajar si es litro, libra, kilo, gramo, etc.</t>
      </text>
    </comment>
    <comment ref="C6" authorId="0">
      <text>
        <t xml:space="preserve">RACA:
Actualizar precio de acuerdo a su zona.</t>
      </text>
    </comment>
    <comment ref="K6" authorId="0">
      <text>
        <t xml:space="preserve">RACA:
Ver explicación en la columna lateral. Se debe de poner la unidad en que se va trabajar si es litro, libra, kilo, gramo, etc.</t>
      </text>
    </comment>
    <comment ref="C7" authorId="0">
      <text>
        <t xml:space="preserve">RACA:
Actualizar precio de acuerdo a su zona.</t>
      </text>
    </comment>
    <comment ref="K7" authorId="0">
      <text>
        <t xml:space="preserve">RACA:
Ver explicación en la columna lateral. Se debe de poner la unidad en que se va trabajar si es litro, libra, kilo, gramo, etc.</t>
      </text>
    </comment>
    <comment ref="C8" authorId="0">
      <text>
        <t xml:space="preserve">RACA:
Actualizar precio de acuerdo a su zona.</t>
      </text>
    </comment>
    <comment ref="K8" authorId="0">
      <text>
        <t xml:space="preserve">RACA:
Ver explicación en la columna lateral. Se debe de poner la unidad en que se va trabajar si es litro, libra, kilo, gramo, etc.</t>
      </text>
    </comment>
    <comment ref="C9" authorId="0">
      <text>
        <t xml:space="preserve">RACA:
Actualizar precio de acuerdo a su zona.</t>
      </text>
    </comment>
    <comment ref="K9" authorId="0">
      <text>
        <t xml:space="preserve">RACA:
Ver explicación en la columna lateral. Se debe de poner la unidad en que se va trabajar si es litro, libra, kilo, gramo, etc.</t>
      </text>
    </comment>
    <comment ref="C11" authorId="0">
      <text>
        <t xml:space="preserve">RACA:
Actualizar precio de acuerdo a su zona.</t>
      </text>
    </comment>
    <comment ref="K11" authorId="0">
      <text>
        <t xml:space="preserve">RACA:
Ver explicación en la columna lateral. Se debe de poner la unidad en que se va trabajar si es litro, libra, kilo, gramo, etc.</t>
      </text>
    </comment>
    <comment ref="C12" authorId="0">
      <text>
        <t xml:space="preserve">RACA:
Actualizar precio de acuerdo a su zona.</t>
      </text>
    </comment>
    <comment ref="K12" authorId="0">
      <text>
        <t xml:space="preserve">RACA:
Ver explicación en la columna lateral. Se debe de poner la unidad en que se va trabajar si es litro, libra, kilo, gramo, etc.</t>
      </text>
    </comment>
    <comment ref="C13" authorId="0">
      <text>
        <t xml:space="preserve">RACA:
Actualizar precio de acuerdo a su zona.</t>
      </text>
    </comment>
    <comment ref="K13" authorId="0">
      <text>
        <t xml:space="preserve">RACA:
Ver explicación en la columna lateral. Se debe de poner la unidad en que se va trabajar si es litro, libra, kilo, gramo, etc.</t>
      </text>
    </comment>
    <comment ref="C14" authorId="0">
      <text>
        <t xml:space="preserve">RACA:
Actualizar precio de acuerdo a su zona.</t>
      </text>
    </comment>
    <comment ref="K14" authorId="0">
      <text>
        <t xml:space="preserve">RACA:
Ver explicación en la columna lateral. Se debe de poner la unidad en que se va trabajar si es litro, libra, kilo, gramo, etc.</t>
      </text>
    </comment>
    <comment ref="C15" authorId="0">
      <text>
        <t xml:space="preserve">RACA:
Actualizar precio de acuerdo a su zona.</t>
      </text>
    </comment>
    <comment ref="K15" authorId="0">
      <text>
        <t xml:space="preserve">RACA:
Ver explicación en la columna lateral. Se debe de poner la unidad en que se va trabajar si es litro, libra, kilo, gramo, etc.</t>
      </text>
    </comment>
    <comment ref="C16" authorId="0">
      <text>
        <t xml:space="preserve">RACA:
Actualizar precio de acuerdo a su zona.</t>
      </text>
    </comment>
    <comment ref="K16" authorId="0">
      <text>
        <t xml:space="preserve">RACA:
Ver explicación en la columna lateral. Se debe de poner la unidad en que se va trabajar si es litro, libra, kilo, gramo, etc.</t>
      </text>
    </comment>
    <comment ref="C18" authorId="0">
      <text>
        <t xml:space="preserve">RACA:
Actualizar precio de acuerdo a su zona.</t>
      </text>
    </comment>
    <comment ref="K18" authorId="0">
      <text>
        <t xml:space="preserve">RACA:
Ver explicación en la columna lateral. Se debe de poner la unidad en que se va trabajar si es litro, libra, kilo, gramo, etc.</t>
      </text>
    </comment>
    <comment ref="C19" authorId="0">
      <text>
        <t xml:space="preserve">RACA:
Actualizar precio de acuerdo a su zona.</t>
      </text>
    </comment>
    <comment ref="K19" authorId="0">
      <text>
        <t xml:space="preserve">RACA:
Ver explicación en la columna lateral. Se debe de poner la unidad en que se va trabajar si es litro, libra, kilo, gramo, etc.</t>
      </text>
    </comment>
    <comment ref="C20" authorId="0">
      <text>
        <t xml:space="preserve">RACA:
Actualizar precio de acuerdo a su zona.</t>
      </text>
    </comment>
    <comment ref="K20" authorId="0">
      <text>
        <t xml:space="preserve">RACA:
Ver explicación en la columna lateral. Se debe de poner la unidad en que se va trabajar si es litro, libra, kilo, gramo, etc.</t>
      </text>
    </comment>
    <comment ref="C21" authorId="0">
      <text>
        <t xml:space="preserve">RACA:
Actualizar precio de acuerdo a su zona.</t>
      </text>
    </comment>
    <comment ref="K21" authorId="0">
      <text>
        <t xml:space="preserve">RACA:
Ver explicación en la columna lateral. Se debe de poner la unidad en que se va trabajar si es litro, libra, kilo, gramo, etc.</t>
      </text>
    </comment>
    <comment ref="C22" authorId="0">
      <text>
        <t xml:space="preserve">RACA:
Actualizar precio de acuerdo a su zona.</t>
      </text>
    </comment>
    <comment ref="K22" authorId="0">
      <text>
        <t xml:space="preserve">RACA:
Ver explicación en la columna lateral. Se debe de poner la unidad en que se va trabajar si es litro, libra, kilo, gramo, etc.</t>
      </text>
    </comment>
    <comment ref="C23" authorId="0">
      <text>
        <t xml:space="preserve">RACA:
Actualizar precio de acuerdo a su zona.</t>
      </text>
    </comment>
    <comment ref="K23" authorId="0">
      <text>
        <t xml:space="preserve">RACA:
Ver explicación en la columna lateral. Se debe de poner la unidad en que se va trabajar si es litro, libra, kilo, gramo, etc.</t>
      </text>
    </comment>
    <comment ref="C25" authorId="0">
      <text>
        <t xml:space="preserve">RACA:
Actualizar precio de acuerdo a su zona.</t>
      </text>
    </comment>
    <comment ref="K25" authorId="0">
      <text>
        <t xml:space="preserve">RACA:
Ver explicación en la columna lateral. Se debe de poner la unidad en que se va trabajar si es litro, libra, kilo, gramo, etc.</t>
      </text>
    </comment>
    <comment ref="C26" authorId="0">
      <text>
        <t xml:space="preserve">RACA:
Actualizar precio de acuerdo a su zona.</t>
      </text>
    </comment>
    <comment ref="K26" authorId="0">
      <text>
        <t xml:space="preserve">RACA:
Ver explicación en la columna lateral. Se debe de poner la unidad en que se va trabajar si es litro, libra, kilo, gramo, etc.</t>
      </text>
    </comment>
    <comment ref="C27" authorId="0">
      <text>
        <t xml:space="preserve">RACA:
Actualizar precio de acuerdo a su zona.</t>
      </text>
    </comment>
    <comment ref="K27" authorId="0">
      <text>
        <t xml:space="preserve">RACA:
Ver explicación en la columna lateral. Se debe de poner la unidad en que se va trabajar si es litro, libra, kilo, gramo, etc.</t>
      </text>
    </comment>
    <comment ref="C28" authorId="0">
      <text>
        <t xml:space="preserve">RACA:
Actualizar precio de acuerdo a su zona.</t>
      </text>
    </comment>
    <comment ref="K28" authorId="0">
      <text>
        <t xml:space="preserve">RACA:
Ver explicación en la columna lateral. Se debe de poner la unidad en que se va trabajar si es litro, libra, kilo, gramo, etc.</t>
      </text>
    </comment>
    <comment ref="C29" authorId="0">
      <text>
        <t xml:space="preserve">RACA:
Actualizar precio de acuerdo a su zona.</t>
      </text>
    </comment>
    <comment ref="K29" authorId="0">
      <text>
        <t xml:space="preserve">RACA:
Ver explicación en la columna lateral. Se debe de poner la unidad en que se va trabajar si es litro, libra, kilo, gramo, etc.</t>
      </text>
    </comment>
    <comment ref="C31" authorId="0">
      <text>
        <t xml:space="preserve">RACA:
Actualizar precio de acuerdo a su zona.</t>
      </text>
    </comment>
    <comment ref="K31" authorId="0">
      <text>
        <t xml:space="preserve">RACA:
Ver explicación en la columna lateral. Se debe de poner la unidad en que se va trabajar si es litro, libra, kilo, gramo, etc.</t>
      </text>
    </comment>
    <comment ref="C32" authorId="0">
      <text>
        <t xml:space="preserve">RACA:
Actualizar precio de acuerdo a su zona.</t>
      </text>
    </comment>
    <comment ref="K32" authorId="0">
      <text>
        <t xml:space="preserve">RACA:
Ver explicación en la columna lateral. Se debe de poner la unidad en que se va trabajar si es litro, libra, kilo, gramo, etc.</t>
      </text>
    </comment>
    <comment ref="C33" authorId="0">
      <text>
        <t xml:space="preserve">RACA:
Actualizar precio de acuerdo a su zona.</t>
      </text>
    </comment>
    <comment ref="K33" authorId="0">
      <text>
        <t xml:space="preserve">RACA:
Ver explicación en la columna lateral. Se debe de poner la unidad en que se va trabajar si es litro, libra, kilo, gramo, etc.</t>
      </text>
    </comment>
    <comment ref="C34" authorId="0">
      <text>
        <t xml:space="preserve">RACA:
Actualizar precio de acuerdo a su zona._x0000_K_x0000_x_x0001__x0017__x0000_-_x0000__x0000__x0000__x0000__x0000_
_x0000_</t>
      </text>
    </comment>
    <comment ref="K34" authorId="0">
      <text>
        <t xml:space="preserve">RACA:
Ver explicación en la columna lateral. Se debe de poner la unidad en que se va trabajar si es litro, libra, kilo, gramo, etc.</t>
      </text>
    </comment>
    <comment ref="C36" authorId="0">
      <text>
        <t xml:space="preserve">RACA:
Actualizar precio de acuerdo a su zona._x0000_K_x0000_x_x0001__x0017__x0000_-_x0000__x0000__x0000__x0000__x0000_
_x0000_</t>
      </text>
    </comment>
    <comment ref="K36" authorId="0">
      <text>
        <t xml:space="preserve">RACA:
Ver explicación en la columna lateral. Se debe de poner la unidad en que se va trabajar si es litro, libra, kilo, gramo, etc.</t>
      </text>
    </comment>
    <comment ref="C37" authorId="0">
      <text>
        <t xml:space="preserve">RACA:
Actualizar precio de acuerdo a su zona._x0000_K_x0000_x_x0001__x0017__x0000_-_x0000__x0000__x0000__x0000__x0000_
_x0000_</t>
      </text>
    </comment>
    <comment ref="K37" authorId="0">
      <text>
        <t xml:space="preserve">RACA:
Ver explicación en la columna lateral. Se debe de poner la unidad en que se va trabajar si es litro, libra, kilo, gramo, etc.</t>
      </text>
    </comment>
    <comment ref="C38" authorId="0">
      <text>
        <t xml:space="preserve">RACA:
Actualizar precio de acuerdo a su zona._x0000_K_x0000_x_x0001__x0017__x0000_-_x0000__x0000__x0000__x0000__x0000_
_x0000_</t>
      </text>
    </comment>
    <comment ref="K38" authorId="0">
      <text>
        <t xml:space="preserve">RACA:
Ver explicación en la columna lateral. Se debe de poner la unidad en que se va trabajar si es litro, libra, kilo, gramo, etc.</t>
      </text>
    </comment>
    <comment ref="C39" authorId="0">
      <text>
        <t xml:space="preserve">RACA:
Actualizar precio de acuerdo a su zona.</t>
      </text>
    </comment>
    <comment ref="K39" authorId="0">
      <text>
        <t xml:space="preserve">RACA:
Ver explicación en la columna lateral. Se debe de poner la unidad en que se va trabajar si es litro, libra, kilo, gramo, etc.</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4">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 numFmtId="164" formatCode="&quot;Q&quot;#,##0_);\(&quot;Q&quot;#,##0\)"/>
    <numFmt numFmtId="165" formatCode="&quot;Q&quot;#,##0_);[Red]\(&quot;Q&quot;#,##0\)"/>
    <numFmt numFmtId="166" formatCode="&quot;Q&quot;#,##0.00_);\(&quot;Q&quot;#,##0.00\)"/>
    <numFmt numFmtId="167" formatCode="&quot;Q&quot;#,##0.00_);[Red]\(&quot;Q&quot;#,##0.00\)"/>
    <numFmt numFmtId="168" formatCode="_(&quot;Q&quot;* #,##0_);_(&quot;Q&quot;* \(#,##0\);_(&quot;Q&quot;* &quot;-&quot;_);_(@_)"/>
    <numFmt numFmtId="169" formatCode="_(&quot;Q&quot;* #,##0.00_);_(&quot;Q&quot;* \(#,##0.00\);_(&quot;Q&quot;* &quot;-&quot;??_);_(@_)"/>
    <numFmt numFmtId="170" formatCode="d/m/yy"/>
    <numFmt numFmtId="171" formatCode="#,##0.0"/>
    <numFmt numFmtId="172" formatCode="0.000"/>
    <numFmt numFmtId="173" formatCode="&quot;Yes&quot;;&quot;Yes&quot;;&quot;No&quot;"/>
    <numFmt numFmtId="174" formatCode="&quot;True&quot;;&quot;True&quot;;&quot;False&quot;"/>
    <numFmt numFmtId="175" formatCode="&quot;On&quot;;&quot;On&quot;;&quot;Off&quot;"/>
    <numFmt numFmtId="176" formatCode="[$€-2]\ #,##0.00_);[Red]\([$€-2]\ #,##0.00\)"/>
    <numFmt numFmtId="177" formatCode="0.0"/>
    <numFmt numFmtId="178" formatCode="0.0000"/>
    <numFmt numFmtId="179" formatCode="[$-409]dddd\,\ mmmm\ dd\,\ yyyy"/>
    <numFmt numFmtId="180" formatCode="[$-409]d\-mmm\-yy;@"/>
    <numFmt numFmtId="181" formatCode="dd/mm/yyyy;@"/>
    <numFmt numFmtId="182" formatCode="m/d/yy;@"/>
    <numFmt numFmtId="183" formatCode="mm/dd/yy;@"/>
    <numFmt numFmtId="184" formatCode="0.00000"/>
    <numFmt numFmtId="185" formatCode="#\ &quot;Lbs/Ha&quot;"/>
    <numFmt numFmtId="186" formatCode="#\ &quot;Lbs&quot;"/>
    <numFmt numFmtId="187" formatCode="#,##0.000"/>
    <numFmt numFmtId="188" formatCode="_(* #,##0.0_);_(* \(#,##0.0\);_(* &quot;-&quot;??_);_(@_)"/>
    <numFmt numFmtId="189" formatCode="_(* #,##0_);_(* \(#,##0\);_(* &quot;-&quot;??_);_(@_)"/>
    <numFmt numFmtId="190" formatCode="#,##0.0_);\(#,##0.0\)"/>
    <numFmt numFmtId="191" formatCode="mm/dd/yy;@"/>
    <numFmt numFmtId="192" formatCode="0.00000"/>
    <numFmt numFmtId="193" formatCode="#\ &quot;Lbs/Ha&quot;"/>
    <numFmt numFmtId="194" formatCode="#\ &quot;Lbs&quot;"/>
    <numFmt numFmtId="195" formatCode="#,##0.000"/>
    <numFmt numFmtId="196" formatCode="_(* #,##0.0_);_(* \(#,##0.0\);_(* &quot;-&quot;??_);_(@_)"/>
    <numFmt numFmtId="197" formatCode="_(* #,##0_);_(* \(#,##0\);_(* &quot;-&quot;??_);_(@_)"/>
    <numFmt numFmtId="198" formatCode="#,##0.0_);\(#,##0.0\)"/>
    <numFmt numFmtId="199" formatCode="_(* #,##0_);_(* \(#,##0\);_(* &quot; &quot;??_);_(@_)"/>
    <numFmt numFmtId="200" formatCode="#\ &quot;Lts&quot;"/>
    <numFmt numFmtId="201" formatCode="#.#\ &quot;Lts&quot;"/>
    <numFmt numFmtId="202" formatCode="#\ &quot;g&quot;"/>
    <numFmt numFmtId="203" formatCode="#\ &quot;Dosis&quot;"/>
    <numFmt numFmtId="204" formatCode="#.##\ &quot;Dosis&quot;"/>
    <numFmt numFmtId="205" formatCode="##.#\ &quot;Lbs/Arbol/Semana&quot;"/>
    <numFmt numFmtId="206" formatCode="0.0000000"/>
    <numFmt numFmtId="207" formatCode="##\ &quot;Metros&quot;"/>
    <numFmt numFmtId="208" formatCode="###\ &quot;Metros&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sheet1.xml><?xml version="1.0" encoding="utf-8"?>
<worksheet xmlns="http://schemas.openxmlformats.org/spreadsheetml/2006/main" xmlns:r="http://schemas.openxmlformats.org/officeDocument/2006/relationships">
  <dimension ref="A1:Z125"/>
  <sheetViews>
    <sheetView workbookViewId="0" rightToLeft="0"/>
  </sheetViews>
  <sheetData>
    <row r="8" ht="22.8" customHeight="1">
      <c r="C8" t="str">
        <v>"Sin Fertilización Base"</v>
      </c>
    </row>
    <row r="9" ht="21" customHeight="1">
      <c r="C9" t="str">
        <v>SEGUIR LOS 4 PASOS EN ESTA PAGINA</v>
      </c>
    </row>
    <row r="10">
      <c r="C10" t="str">
        <v>Paso 1. Completar los datos básicos</v>
      </c>
    </row>
    <row r="12" ht="18" customHeight="1">
      <c r="C12" t="str">
        <v>Nombre de Productor:</v>
      </c>
      <c r="E12" t="str">
        <v>Pancho Pérez</v>
      </c>
    </row>
    <row r="13" ht="18" customHeight="1">
      <c r="C13" t="str">
        <v>Zona:</v>
      </c>
      <c r="E13" t="str">
        <v>La Flecha</v>
      </c>
    </row>
    <row r="14" ht="18" customHeight="1">
      <c r="C14" t="str">
        <v>Parcela #:</v>
      </c>
      <c r="E14" t="str">
        <v>La Frondosa</v>
      </c>
    </row>
    <row r="15" ht="18" customHeight="1">
      <c r="C15" t="str">
        <v>Nombre del Técnico:</v>
      </c>
      <c r="E15" t="str">
        <v>Luis Torres</v>
      </c>
    </row>
    <row r="16" ht="33" customHeight="1">
      <c r="C16" t="str">
        <v>Nombre del Cultivo y Variedad</v>
      </c>
      <c r="E16" t="str">
        <v>Zucchini/ Enterprise</v>
      </c>
    </row>
    <row r="17" ht="18" customHeight="1">
      <c r="C17" t="str">
        <v>Área en Manzanas</v>
      </c>
      <c r="E17">
        <v>1.43</v>
      </c>
      <c r="F17" t="str">
        <v>Área en Hectáreas</v>
      </c>
      <c r="I17">
        <f>E17*0.7</f>
        <v>1.001</v>
      </c>
    </row>
    <row r="18" ht="18" customHeight="1">
      <c r="C18" t="str">
        <v>Fecha de Siembra:</v>
      </c>
      <c r="E18">
        <v>38519</v>
      </c>
    </row>
    <row r="19">
      <c r="C19" t="str">
        <v>Cosecha - Días DDT:</v>
      </c>
      <c r="E19">
        <v>53</v>
      </c>
    </row>
    <row r="22">
      <c r="C22" t="str">
        <v>Paso 2. Completar la información de los fertilizantes para usar y los precios en la ultima pagina</v>
      </c>
    </row>
    <row r="24">
      <c r="C24" t="str">
        <v>Fósforo</v>
      </c>
      <c r="E24" t="str">
        <v>N</v>
      </c>
      <c r="F24" t="str">
        <v>P2O5</v>
      </c>
      <c r="G24" t="str">
        <v>K2O</v>
      </c>
      <c r="H24" t="str">
        <v>Este cuadro es para el fertilizante usado como fuente de fósforo</v>
      </c>
    </row>
    <row r="25" ht="12.75" customHeight="1">
      <c r="C25" t="str">
        <v>Formula:</v>
      </c>
      <c r="D25" t="str">
        <f>VLOOKUP(D26,Fertilizante1,2,FALSE)</f>
        <v>12-61-0</v>
      </c>
      <c r="E25">
        <f>IF(+$D$26&lt;&gt;0,VLOOKUP(+$D$26,Fertilizante1,4,FALSE),"")</f>
        <v>12</v>
      </c>
      <c r="F25">
        <f>IF(+$D$26&lt;&gt;0,VLOOKUP(+$D$26,Fertilizante1,5,FALSE),"")</f>
        <v>61</v>
      </c>
      <c r="G25">
        <f>IF(+$D$26&lt;&gt;0,VLOOKUP(+$D$26,Fertilizante1,6,FALSE),"")</f>
        <v>0</v>
      </c>
    </row>
    <row r="26">
      <c r="C26" t="str">
        <v>Nombre:</v>
      </c>
      <c r="D26" t="str">
        <v>MAP 12-61-0</v>
      </c>
      <c r="E26" t="str">
        <f>VLOOKUP(D26,Fertilizante2,11,FALSE)</f>
        <v>Lbs</v>
      </c>
    </row>
    <row r="27">
      <c r="C27" t="str">
        <v>Lps:</v>
      </c>
      <c r="D27">
        <f>IF(+D26&lt;&gt;0,VLOOKUP(+D26,Fertilizante1,3,FALSE),"")</f>
        <v>1200</v>
      </c>
    </row>
    <row r="29">
      <c r="C29" t="str">
        <v>Potasio</v>
      </c>
      <c r="E29" t="str">
        <v>N</v>
      </c>
      <c r="F29" t="str">
        <v>P2O5</v>
      </c>
      <c r="G29" t="str">
        <v>K2O</v>
      </c>
      <c r="H29" t="str">
        <v>Este cuadro es para el fertilizante usado como fuente de potasio</v>
      </c>
    </row>
    <row r="30">
      <c r="C30" t="str">
        <v>Formula:</v>
      </c>
      <c r="D30" t="str">
        <f>IF(+$D$31&lt;&gt;0,VLOOKUP(+$D$31,Fertilizante1,2,FALSE),"")</f>
        <v>0-0-60</v>
      </c>
      <c r="E30">
        <f>IF(+$D$31&lt;&gt;0,VLOOKUP(+$D$31,Fertilizante1,4,FALSE),"")</f>
        <v>0</v>
      </c>
      <c r="F30">
        <f>IF(+$D$31&lt;&gt;0,VLOOKUP(+$D$31,Fertilizante1,5,FALSE),"")</f>
        <v>0</v>
      </c>
      <c r="G30">
        <f>IF(+$D$31&lt;&gt;0,VLOOKUP(+$D$31,Fertilizante1,6,FALSE),"")</f>
        <v>60</v>
      </c>
    </row>
    <row r="31">
      <c r="C31" t="str">
        <v>Nombre:</v>
      </c>
      <c r="D31" t="str">
        <v>Kcl Soluble</v>
      </c>
      <c r="E31" t="str">
        <f>VLOOKUP(D31,Fertilizante2,11,FALSE)</f>
        <v>Lbs</v>
      </c>
    </row>
    <row r="32">
      <c r="C32" t="str">
        <v>Lps:</v>
      </c>
      <c r="D32">
        <f>IF(+$D$31&lt;&gt;0,VLOOKUP(+$D$31,Fertilizante1,3,FALSE),"")</f>
        <v>390</v>
      </c>
    </row>
    <row r="34">
      <c r="C34" t="str">
        <v>Nitrógeno</v>
      </c>
      <c r="E34" t="str">
        <v>N</v>
      </c>
      <c r="F34" t="str">
        <v>P2O5</v>
      </c>
      <c r="G34" t="str">
        <v>K2O</v>
      </c>
      <c r="H34" t="str">
        <v>Este cuadro es para el fertilizante usado como fuente de nitrógeno</v>
      </c>
    </row>
    <row r="35">
      <c r="C35" t="str">
        <v>Formula:</v>
      </c>
      <c r="D35" t="str">
        <f>IF(+$D$36&lt;&gt;0,VLOOKUP(+$D$36,Fertilizante1,2,FALSE),"")</f>
        <v>46-0-0</v>
      </c>
      <c r="E35">
        <f>IF(+$D$36&lt;&gt;0,VLOOKUP(+$D$36,Fertilizante1,4,FALSE),"")</f>
        <v>46</v>
      </c>
      <c r="F35">
        <f>IF(+$D$36&lt;&gt;0,VLOOKUP(+$D$36,Fertilizante1,5,FALSE),"")</f>
        <v>0</v>
      </c>
      <c r="G35">
        <f>IF(+$D$36&lt;&gt;0,VLOOKUP(+$D$36,Fertilizante1,6,FALSE),"")</f>
        <v>0</v>
      </c>
    </row>
    <row r="36">
      <c r="C36" t="str">
        <v>Nombre:</v>
      </c>
      <c r="D36" t="str">
        <v>Urea</v>
      </c>
      <c r="E36" t="str">
        <f>VLOOKUP(D36,Fertilizante2,11,FALSE)</f>
        <v>Lbs</v>
      </c>
    </row>
    <row r="37">
      <c r="C37" t="str">
        <v>Lps:</v>
      </c>
      <c r="D37">
        <f>IF(+$D$36&lt;&gt;0,VLOOKUP(+$D$36,Fertilizante1,3,FALSE),"")</f>
        <v>310</v>
      </c>
    </row>
    <row r="40" ht="15.75" customHeight="1">
      <c r="C40" t="str">
        <v>Magnesio</v>
      </c>
      <c r="E40" t="str">
        <v>N</v>
      </c>
      <c r="F40" t="str">
        <v>P2O5</v>
      </c>
      <c r="G40" t="str">
        <v>K2O</v>
      </c>
      <c r="H40" t="str">
        <v>S</v>
      </c>
      <c r="I40" t="str">
        <v>MgO</v>
      </c>
      <c r="J40" t="str">
        <v>Este cuadro es para el fertilizante usado como fuente de magnesio</v>
      </c>
    </row>
    <row r="41">
      <c r="C41" t="str">
        <v>Formula:</v>
      </c>
      <c r="D41" t="str">
        <f>IF(+$D$42&lt;&gt;0,VLOOKUP(+$D$42,Fertilizante1,2,FALSE),"")</f>
        <v>0-0-0-31.7-16</v>
      </c>
      <c r="E41">
        <f>IF(+$D$42&lt;&gt;0,VLOOKUP(+$D$42,Fertilizante1,4,FALSE),"")</f>
        <v>0</v>
      </c>
      <c r="F41">
        <f>IF(+$D$42&lt;&gt;0,VLOOKUP(+$D$42,Fertilizante1,5,FALSE),"")</f>
        <v>0</v>
      </c>
      <c r="G41">
        <f>IF(+$D$42&lt;&gt;0,VLOOKUP(+$D$42,Fertilizante1,6,FALSE),"")</f>
        <v>0</v>
      </c>
      <c r="H41">
        <f>IF(+$D$42&lt;&gt;0,VLOOKUP(+$D$42,Fertilizante1,9,FALSE),"")</f>
        <v>31.7</v>
      </c>
      <c r="I41">
        <f>IF(+$D$42&lt;&gt;0,VLOOKUP(+$D$42,Fertilizante1,7,FALSE),"")</f>
        <v>16</v>
      </c>
    </row>
    <row r="42">
      <c r="C42" t="str">
        <v>Nombre:</v>
      </c>
      <c r="D42" t="str">
        <v>Sulfato de Magnesio</v>
      </c>
      <c r="E42" t="str">
        <f>VLOOKUP(D42,Fertilizante2,11,FALSE)</f>
        <v>Lbs</v>
      </c>
    </row>
    <row r="43">
      <c r="C43" t="str">
        <v>Lps:</v>
      </c>
      <c r="D43">
        <f>IF(+$D$42&lt;&gt;0,VLOOKUP(+$D$42,Fertilizante1,3,FALSE),"")</f>
        <v>370</v>
      </c>
    </row>
    <row r="45">
      <c r="C45" t="str">
        <v>Calcio</v>
      </c>
      <c r="E45" t="str">
        <v>N</v>
      </c>
      <c r="F45" t="str">
        <v>P2O5</v>
      </c>
      <c r="G45" t="str">
        <v>K2O</v>
      </c>
      <c r="H45" t="str">
        <v>Ca</v>
      </c>
      <c r="I45" t="str">
        <v>Este cuadro es para el fertilizante usado como fuente de calcio</v>
      </c>
    </row>
    <row r="46">
      <c r="C46" t="str">
        <v>Formula:</v>
      </c>
      <c r="D46" t="str">
        <f>IF(+$D$47&lt;&gt;0,VLOOKUP(+$D$47,Fertilizante1,2,FALSE),"")</f>
        <v>15.5-0-0-27</v>
      </c>
      <c r="E46">
        <f>IF(+$D$47&lt;&gt;0,VLOOKUP(+$D$47,Fertilizante1,4,FALSE),"")</f>
        <v>15.5</v>
      </c>
      <c r="F46">
        <f>IF(+$D$47&lt;&gt;0,VLOOKUP(+$D$47,Fertilizante1,5,FALSE),"")</f>
        <v>0</v>
      </c>
      <c r="G46">
        <f>IF(+$D$47&lt;&gt;0,VLOOKUP(+$D$47,Fertilizante1,6,FALSE),"")</f>
        <v>0</v>
      </c>
      <c r="H46">
        <f>IF(+$D$47&lt;&gt;0,VLOOKUP(+$D$47,Fertilizante1,8,FALSE),"")</f>
        <v>27</v>
      </c>
    </row>
    <row r="47">
      <c r="C47" t="str">
        <v>Nombre:</v>
      </c>
      <c r="D47" t="str">
        <v>Nitrato de Calcio</v>
      </c>
      <c r="E47" t="str">
        <f>VLOOKUP(D47,Fertilizante2,11,FALSE)</f>
        <v>Lbs</v>
      </c>
    </row>
    <row r="48">
      <c r="C48" t="str">
        <v>Lps:</v>
      </c>
      <c r="D48">
        <f>IF(+$D$47&lt;&gt;0,VLOOKUP(+$D$47,Fertilizante1,3,FALSE),"")</f>
        <v>520</v>
      </c>
    </row>
    <row r="50">
      <c r="C50" t="str">
        <v>Boro</v>
      </c>
      <c r="E50" t="str">
        <v>N</v>
      </c>
      <c r="F50" t="str">
        <v>P2O5</v>
      </c>
      <c r="G50" t="str">
        <v>K2O</v>
      </c>
      <c r="H50" t="str">
        <v>Ca</v>
      </c>
      <c r="I50" t="str">
        <v>S</v>
      </c>
      <c r="J50" t="str">
        <v>MgO</v>
      </c>
      <c r="K50" t="str">
        <v>B</v>
      </c>
    </row>
    <row r="51">
      <c r="C51" t="str">
        <v>Formula:</v>
      </c>
      <c r="D51" t="str">
        <f>VLOOKUP(D52,Fertilizante2,2,FALSE)</f>
        <v>0-0-0-0-0-0-20.5</v>
      </c>
      <c r="E51">
        <f>VLOOKUP(D52,Fertilizante2,4,FALSE)</f>
        <v>0</v>
      </c>
      <c r="F51">
        <f>VLOOKUP(D52,Fertilizante2,5,FALSE)</f>
        <v>0</v>
      </c>
      <c r="G51">
        <f>VLOOKUP(D52,Fertilizante2,6,FALSE)</f>
        <v>0</v>
      </c>
      <c r="H51">
        <f>VLOOKUP(D52,Fertilizante2,7,FALSE)</f>
        <v>0</v>
      </c>
      <c r="I51">
        <f>VLOOKUP(D52,Fertilizante2,8,FALSE)</f>
        <v>0</v>
      </c>
      <c r="J51">
        <f>VLOOKUP(D52,Fertilizante2,9,FALSE)</f>
        <v>0</v>
      </c>
      <c r="K51">
        <f>VLOOKUP(D52,Fertilizante2,10,FALSE)</f>
        <v>20.5</v>
      </c>
    </row>
    <row r="52">
      <c r="C52" t="str">
        <v>Nombre:</v>
      </c>
      <c r="D52" t="str">
        <v>Solubor</v>
      </c>
      <c r="E52" t="str">
        <f>VLOOKUP(D52,Fertilizante2,11,FALSE)</f>
        <v>Gramos</v>
      </c>
    </row>
    <row r="53">
      <c r="C53" t="str">
        <v>Lps:</v>
      </c>
      <c r="D53">
        <f>VLOOKUP(D52,Fertilizante2,3,FALSE)</f>
        <v>0.0123</v>
      </c>
    </row>
    <row r="55">
      <c r="C55" t="str">
        <v>Ácido Fosforico</v>
      </c>
    </row>
    <row r="56">
      <c r="C56" t="str">
        <v>Lps:</v>
      </c>
      <c r="D56">
        <v>11.7</v>
      </c>
    </row>
    <row r="57">
      <c r="E57" t="str">
        <v>Lts</v>
      </c>
    </row>
    <row r="59">
      <c r="C59" t="str">
        <v>Melaza</v>
      </c>
    </row>
    <row r="60">
      <c r="C60" t="str">
        <v>Lps:</v>
      </c>
      <c r="D60">
        <v>1.45</v>
      </c>
    </row>
    <row r="61">
      <c r="E61" t="str">
        <v>Lts</v>
      </c>
    </row>
    <row r="66" ht="36" customHeight="1">
      <c r="C66" t="str">
        <v>Paso 3. Completar la información de los análisis de suelos (Si no tiene análisis dejarlo en muy bajo)</v>
      </c>
    </row>
    <row r="68">
      <c r="C68" t="str">
        <v>Mehlich-1 (doble ácido)</v>
      </c>
    </row>
    <row r="69">
      <c r="C69" t="str">
        <v>Elemento</v>
      </c>
      <c r="D69" t="str">
        <v>Resultado Análisis ppm</v>
      </c>
      <c r="E69" t="str">
        <v>Estatus del Elemento</v>
      </c>
      <c r="F69" t="str">
        <v>Tipo de Fertilización a Usar</v>
      </c>
    </row>
    <row r="70">
      <c r="C70" t="str">
        <v>P</v>
      </c>
      <c r="D70">
        <v>13</v>
      </c>
      <c r="E70" t="str">
        <f>IF($D$70&lt;14,"Muy Bajo",IF($D$70&lt;28,"Bajo",IF($D$70&lt;46,"Medio",IF($D$70&lt;91,"Alto",IF($D$70&gt;=91,"Muy Alto")))))</f>
        <v>Muy Bajo</v>
      </c>
      <c r="F70" t="str">
        <f>IF(D70&lt;14,"100%",IF(D70&lt;28,"85%",IF(D70&lt;46,"65%",IF(D70&lt;91,"45%",IF(D70&gt;=91,"25%")))))</f>
        <v>100%</v>
      </c>
    </row>
    <row r="71">
      <c r="C71" t="str">
        <v>K</v>
      </c>
      <c r="D71">
        <v>29</v>
      </c>
      <c r="E71" t="str">
        <f>IF($D$71&lt;30,"Muy Bajo",IF($D$71&lt;71,"Bajo",IF($D$71&lt;135,"Medio",IF($D$71&lt;268,"Alto",IF($D$71&gt;=268,"Muy Alto")))))</f>
        <v>Muy Bajo</v>
      </c>
      <c r="F71" t="str">
        <f>IF(D71&lt;30,"100%",IF(D71&lt;71,"85%",IF(D71&lt;135,"65%",IF(D71&lt;268,"45%",IF(D71&gt;=268,"25%")))))</f>
        <v>100%</v>
      </c>
    </row>
    <row r="72">
      <c r="C72" t="str">
        <v>Mg</v>
      </c>
      <c r="D72">
        <v>35</v>
      </c>
      <c r="E72" t="str">
        <f>IF($D$72&lt;36,"Muy Bajo",IF($D$72&lt;71,"Bajo",IF($D$72&lt;125,"Medio",IF($D$72&lt;265,"Alto",IF($D$72&gt;=265,"Muy Alto")))))</f>
        <v>Muy Bajo</v>
      </c>
      <c r="F72" t="str">
        <f>IF(D72&lt;36,"100%",IF(D72&lt;71,"85%",IF(D72&lt;125,"65%",IF(D72&lt;265,"45%",IF(D72&gt;=265,"25%")))))</f>
        <v>100%</v>
      </c>
    </row>
    <row r="73">
      <c r="C73" t="str">
        <v>Ca</v>
      </c>
      <c r="D73">
        <v>400</v>
      </c>
      <c r="E73" t="str">
        <f>IF($D$73&lt;401,"Muy Bajo",IF($D$73&lt;801,"Bajo",IF($D$73&lt;1201,"Medio",IF($D$73&lt;1600,"Alto",IF($D$73&gt;=1600,"Muy Alto")))))</f>
        <v>Muy Bajo</v>
      </c>
      <c r="F73" t="str">
        <f>IF(D73&lt;401,"100%",IF(D73&lt;801,"85%",IF(D73&lt;1201,"65%",IF(D73&lt;1600,"45%",IF(D73&gt;=1600,"25%")))))</f>
        <v>100%</v>
      </c>
    </row>
    <row r="76" ht="18" customHeight="1"/>
    <row r="77">
      <c r="C77" t="str">
        <v>Paso 4. Imprimir el Calendario Requerido</v>
      </c>
    </row>
    <row r="78" ht="20.1" customHeight="1"/>
    <row r="79" ht="20.1" customHeight="1"/>
    <row r="80" ht="20.1" customHeight="1">
      <c r="C80" t="str">
        <v>Imprimir Calendario de Fertilización por Goteo Diario</v>
      </c>
    </row>
    <row r="81" ht="20.1" customHeight="1"/>
    <row r="82" ht="20.1" customHeight="1"/>
    <row r="83" ht="20.1" customHeight="1">
      <c r="C83" t="str">
        <v>Imprimir Calendario de Fertilización por Goteo 3 Veces Por Semana</v>
      </c>
    </row>
    <row r="84" ht="20.1" customHeight="1"/>
    <row r="85" ht="20.1" customHeight="1"/>
    <row r="86" ht="20.1" customHeight="1">
      <c r="C86" t="str">
        <v>Imprimir Calendario de Fertilización por Goteo 2 Veces Por Semana</v>
      </c>
    </row>
    <row r="87" ht="20.1" customHeight="1"/>
    <row r="88" ht="20.1" customHeight="1"/>
    <row r="89" ht="20.1" customHeight="1">
      <c r="C89" t="str">
        <v>Imprimir Calendario de Fertilización por Goteo 1 Vez Por Semana</v>
      </c>
    </row>
    <row r="90" ht="20.1" customHeight="1"/>
    <row r="91" ht="20.1" customHeight="1"/>
    <row r="92" ht="20.1" customHeight="1">
      <c r="C92" t="str">
        <v>Imprimir Calendario de Fertilización Cada 14 Días o a Mano</v>
      </c>
    </row>
    <row r="93" ht="20.1" customHeight="1"/>
    <row r="94" ht="20.1" customHeight="1"/>
    <row r="95" ht="20.1" customHeight="1"/>
    <row r="96" ht="20.1" customHeight="1"/>
    <row r="97" ht="20.1" customHeight="1"/>
  </sheetData>
  <sheetProtection sheet="1"/>
  <mergeCells count="45">
    <mergeCell ref="C8:J8"/>
    <mergeCell ref="C10:M10"/>
    <mergeCell ref="E12:I12"/>
    <mergeCell ref="E13:I13"/>
    <mergeCell ref="C9:H9"/>
    <mergeCell ref="E14:I14"/>
    <mergeCell ref="C13:D13"/>
    <mergeCell ref="C12:D12"/>
    <mergeCell ref="F17:H17"/>
    <mergeCell ref="C14:D14"/>
    <mergeCell ref="E16:I16"/>
    <mergeCell ref="E18:I18"/>
    <mergeCell ref="E15:I15"/>
    <mergeCell ref="C15:D15"/>
    <mergeCell ref="C16:D16"/>
    <mergeCell ref="C17:D17"/>
    <mergeCell ref="C18:D18"/>
    <mergeCell ref="E19:I19"/>
    <mergeCell ref="H24:M25"/>
    <mergeCell ref="H29:M30"/>
    <mergeCell ref="C40:D40"/>
    <mergeCell ref="C29:D29"/>
    <mergeCell ref="C24:D24"/>
    <mergeCell ref="J40:M41"/>
    <mergeCell ref="C19:D19"/>
    <mergeCell ref="C22:M22"/>
    <mergeCell ref="C34:D34"/>
    <mergeCell ref="C83:I83"/>
    <mergeCell ref="C86:I86"/>
    <mergeCell ref="C89:I89"/>
    <mergeCell ref="C92:I92"/>
    <mergeCell ref="F69:G69"/>
    <mergeCell ref="C50:D50"/>
    <mergeCell ref="C55:D55"/>
    <mergeCell ref="C66:M66"/>
    <mergeCell ref="H34:M35"/>
    <mergeCell ref="I45:M46"/>
    <mergeCell ref="C77:M77"/>
    <mergeCell ref="C80:I80"/>
    <mergeCell ref="F72:G72"/>
    <mergeCell ref="F73:G73"/>
    <mergeCell ref="F70:G70"/>
    <mergeCell ref="F71:G71"/>
    <mergeCell ref="C59:D59"/>
    <mergeCell ref="C45:D45"/>
  </mergeCells>
  <pageMargins left="0.7" right="0.7" top="0.75" bottom="0.75" header="0.5" footer="0.5"/>
  <ignoredErrors>
    <ignoredError numberStoredAsText="1" sqref="A1:Z125"/>
  </ignoredErrors>
  <legacyDrawing r:id="rId1"/>
</worksheet>
</file>

<file path=xl/worksheets/sheet2.xml><?xml version="1.0" encoding="utf-8"?>
<worksheet xmlns="http://schemas.openxmlformats.org/spreadsheetml/2006/main" xmlns:r="http://schemas.openxmlformats.org/officeDocument/2006/relationships">
  <dimension ref="A1:V147"/>
  <sheetViews>
    <sheetView workbookViewId="0" rightToLeft="0"/>
  </sheetViews>
  <sheetData>
    <row r="1">
      <c r="A1" t="str">
        <v>Calendario de Fertilización para Goteo Diario</v>
      </c>
    </row>
    <row r="2" ht="29.25" customHeight="1">
      <c r="A2" t="str">
        <f>Main!E16</f>
        <v>Zucchini/ Enterprise</v>
      </c>
    </row>
    <row r="3" ht="26.25" customHeight="1">
      <c r="A3" t="str">
        <f>Main!C8</f>
        <v>"Sin Fertilización Base"</v>
      </c>
    </row>
    <row r="4" ht="14.25" customHeight="1"/>
    <row r="5" ht="20.1" customHeight="1">
      <c r="A5" t="str">
        <v>Productor</v>
      </c>
      <c r="C5" t="str">
        <f>Main!E12</f>
        <v>Pancho Pérez</v>
      </c>
      <c r="F5" t="str">
        <v>Parcela</v>
      </c>
      <c r="I5" t="str">
        <f>Main!E14</f>
        <v>La Frondosa</v>
      </c>
    </row>
    <row r="6" ht="20.1" customHeight="1">
      <c r="A6" t="str">
        <v>Zona</v>
      </c>
      <c r="C6" t="str">
        <f>Main!E13</f>
        <v>La Flecha</v>
      </c>
      <c r="F6" t="str">
        <v>Técnico</v>
      </c>
      <c r="I6" t="str">
        <f>Main!E15</f>
        <v>Luis Torres</v>
      </c>
    </row>
    <row r="7" ht="20.1" customHeight="1">
      <c r="A7" t="str">
        <v>Área Mz.</v>
      </c>
      <c r="C7">
        <f>Main!E17</f>
        <v>1.43</v>
      </c>
      <c r="F7" t="str">
        <v>Fecha:</v>
      </c>
      <c r="I7">
        <f>Main!E18</f>
        <v>38519</v>
      </c>
    </row>
    <row r="8" ht="20.1" customHeight="1">
      <c r="A8" t="str">
        <v>Área Ha.</v>
      </c>
      <c r="C8">
        <f>Main!I17</f>
        <v>1.001</v>
      </c>
      <c r="F8" t="str">
        <v>Fecha de Cosecha:</v>
      </c>
      <c r="I8">
        <f>I7+Main!E19</f>
        <v>38572</v>
      </c>
    </row>
    <row r="9" ht="19.5" customHeight="1"/>
    <row r="10" ht="28.5" customHeight="1">
      <c r="A10" t="str">
        <v>Semana</v>
      </c>
      <c r="B10" t="str">
        <v>DDT</v>
      </c>
      <c r="C10" t="str">
        <v>FECHA</v>
      </c>
      <c r="E10" t="str">
        <f>ReSemanalFert!C4</f>
        <v>Urea</v>
      </c>
      <c r="G10" t="str">
        <f>ReSemanalFert!E4</f>
        <v>MAP 12-61-0</v>
      </c>
      <c r="I10" t="str">
        <f>ReSemanalFert!G4</f>
        <v>Kcl Soluble</v>
      </c>
      <c r="K10" t="str">
        <f>ReSemanalFert!I4</f>
        <v>Sulfato de Magnesio</v>
      </c>
      <c r="M10" t="str">
        <f>ReSemanalFert!K4</f>
        <v>Nitrato de Calcio</v>
      </c>
      <c r="O10" t="str">
        <f>ReSemanalFert!M4</f>
        <v>Solubor</v>
      </c>
      <c r="Q10" t="str">
        <v>,@ Melaza</v>
      </c>
      <c r="S10" t="str">
        <v>Costo / Aplicación</v>
      </c>
    </row>
    <row r="11">
      <c r="D11" t="str">
        <v>Cambios</v>
      </c>
      <c r="E11" t="str">
        <f>Main!E36</f>
        <v>Lbs</v>
      </c>
      <c r="F11" t="str">
        <v>Cambios</v>
      </c>
      <c r="G11" t="str">
        <f>Main!E26</f>
        <v>Lbs</v>
      </c>
      <c r="H11" t="str">
        <v>Cambios</v>
      </c>
      <c r="I11" t="str">
        <f>Main!E31</f>
        <v>Lbs</v>
      </c>
      <c r="J11" t="str">
        <v>Cambios</v>
      </c>
      <c r="K11" t="str">
        <f>Main!E42</f>
        <v>Lbs</v>
      </c>
      <c r="L11" t="str">
        <v>Cambios</v>
      </c>
      <c r="M11" t="str">
        <f>Main!E47</f>
        <v>Lbs</v>
      </c>
      <c r="N11" t="str">
        <v>Cambios</v>
      </c>
      <c r="O11" t="str">
        <f>Main!E52</f>
        <v>Gramos</v>
      </c>
      <c r="P11" t="str">
        <v>Cambios</v>
      </c>
      <c r="Q11" t="str">
        <f>Main!E61</f>
        <v>Lts</v>
      </c>
      <c r="R11" t="str">
        <v>Cambios</v>
      </c>
    </row>
    <row r="12" ht="18.75" customHeight="1">
      <c r="A12">
        <v>1</v>
      </c>
      <c r="B12">
        <v>1</v>
      </c>
      <c r="C12">
        <f>$I$7+B12</f>
        <v>38520</v>
      </c>
      <c r="E12">
        <f>IF($C$8*ReDiarioFert!C7&lt;=0,"0",$C$8*ReDiarioFert!C7)</f>
        <v>3.2744116749957124</v>
      </c>
      <c r="G12">
        <f>$C$8*ReDiarioFert!E7</f>
        <v>2.405369624936967</v>
      </c>
      <c r="I12">
        <f>$C$8*ReDiarioFert!G7</f>
        <v>4.703480640191667</v>
      </c>
      <c r="K12">
        <f>$C$8*ReDiarioFert!I7</f>
        <v>2.8447168749999996</v>
      </c>
      <c r="M12">
        <f>$C$8*ReDiarioFert!K7</f>
        <v>2.613044800106481</v>
      </c>
      <c r="O12">
        <f>$C$8*ReDiarioFert!M7</f>
        <v>24.866793170731707</v>
      </c>
      <c r="Q12">
        <f>20*$C$8</f>
        <v>20.019999999999996</v>
      </c>
      <c r="S12">
        <f>((E12/100)*$G$134+(G12/100)*$G$135+(I12/100)*$G$136+(K12/100)*$G$137+(M12/100)*$G$138+(O12)*$G$139+(Q12*$G$140))</f>
        <v>110.8068331425315</v>
      </c>
    </row>
    <row r="13" ht="18.75" customHeight="1">
      <c r="B13">
        <v>2</v>
      </c>
      <c r="C13">
        <f>$I$7+B13</f>
        <v>38521</v>
      </c>
      <c r="E13">
        <f>IF($C$8*ReDiarioFert!C8&lt;=0,"0",$C$8*ReDiarioFert!C8)</f>
        <v>3.2744116749957124</v>
      </c>
      <c r="G13">
        <f>$C$8*ReDiarioFert!E8</f>
        <v>2.405369624936967</v>
      </c>
      <c r="I13">
        <f>$C$8*ReDiarioFert!G8</f>
        <v>4.703480640191667</v>
      </c>
      <c r="K13">
        <f>$C$8*ReDiarioFert!I8</f>
        <v>2.8447168749999996</v>
      </c>
      <c r="M13">
        <f>$C$8*ReDiarioFert!K8</f>
        <v>2.613044800106481</v>
      </c>
      <c r="O13">
        <f>$C$8*ReDiarioFert!M8</f>
        <v>24.866793170731707</v>
      </c>
      <c r="S13">
        <f>((E13/100)*$G$134+(G13/100)*$G$135+(I13/100)*$G$136+(K13/100)*$G$137+(M13/100)*$G$138+(O13)*$G$139+(Q13*$G$140))</f>
        <v>81.7778331425315</v>
      </c>
    </row>
    <row r="14" ht="18.75" customHeight="1">
      <c r="B14">
        <v>3</v>
      </c>
      <c r="C14">
        <f>$I$7+B14</f>
        <v>38522</v>
      </c>
      <c r="E14">
        <f>IF($C$8*ReDiarioFert!C9&lt;=0,"0",$C$8*ReDiarioFert!C9)</f>
        <v>3.2744116749957124</v>
      </c>
      <c r="G14">
        <f>$C$8*ReDiarioFert!E9</f>
        <v>2.405369624936967</v>
      </c>
      <c r="I14">
        <f>$C$8*ReDiarioFert!G9</f>
        <v>4.703480640191667</v>
      </c>
      <c r="K14">
        <f>$C$8*ReDiarioFert!I9</f>
        <v>2.8447168749999996</v>
      </c>
      <c r="M14">
        <f>$C$8*ReDiarioFert!K9</f>
        <v>2.613044800106481</v>
      </c>
      <c r="O14">
        <f>$C$8*ReDiarioFert!M9</f>
        <v>24.866793170731707</v>
      </c>
      <c r="S14">
        <f>((E14/100)*$G$134+(G14/100)*$G$135+(I14/100)*$G$136+(K14/100)*$G$137+(M14/100)*$G$138+(O14)*$G$139+(Q14*$G$140))</f>
        <v>81.7778331425315</v>
      </c>
    </row>
    <row r="15" ht="18.75" customHeight="1">
      <c r="B15">
        <v>4</v>
      </c>
      <c r="C15">
        <f>$I$7+B15</f>
        <v>38523</v>
      </c>
      <c r="E15">
        <f>IF($C$8*ReDiarioFert!C10&lt;=0,"0",$C$8*ReDiarioFert!C10)</f>
        <v>3.2744116749957124</v>
      </c>
      <c r="G15">
        <f>$C$8*ReDiarioFert!E10</f>
        <v>2.405369624936967</v>
      </c>
      <c r="I15">
        <f>$C$8*ReDiarioFert!G10</f>
        <v>4.703480640191667</v>
      </c>
      <c r="K15">
        <f>$C$8*ReDiarioFert!I10</f>
        <v>2.8447168749999996</v>
      </c>
      <c r="M15">
        <f>$C$8*ReDiarioFert!K10</f>
        <v>2.613044800106481</v>
      </c>
      <c r="O15">
        <f>$C$8*ReDiarioFert!M10</f>
        <v>24.866793170731707</v>
      </c>
      <c r="S15">
        <f>((E15/100)*$G$134+(G15/100)*$G$135+(I15/100)*$G$136+(K15/100)*$G$137+(M15/100)*$G$138+(O15)*$G$139+(Q15*$G$140))</f>
        <v>81.7778331425315</v>
      </c>
    </row>
    <row r="16" ht="18.75" customHeight="1">
      <c r="B16">
        <v>5</v>
      </c>
      <c r="C16">
        <f>$I$7+B16</f>
        <v>38524</v>
      </c>
      <c r="E16">
        <f>IF($C$8*ReDiarioFert!C11&lt;=0,"0",$C$8*ReDiarioFert!C11)</f>
        <v>3.2744116749957124</v>
      </c>
      <c r="G16">
        <f>$C$8*ReDiarioFert!E11</f>
        <v>2.405369624936967</v>
      </c>
      <c r="I16">
        <f>$C$8*ReDiarioFert!G11</f>
        <v>4.703480640191667</v>
      </c>
      <c r="K16">
        <f>$C$8*ReDiarioFert!I11</f>
        <v>2.8447168749999996</v>
      </c>
      <c r="M16">
        <f>$C$8*ReDiarioFert!K11</f>
        <v>2.613044800106481</v>
      </c>
      <c r="O16">
        <f>$C$8*ReDiarioFert!M11</f>
        <v>24.866793170731707</v>
      </c>
      <c r="S16">
        <f>((E16/100)*$G$134+(G16/100)*$G$135+(I16/100)*$G$136+(K16/100)*$G$137+(M16/100)*$G$138+(O16)*$G$139+(Q16*$G$140))</f>
        <v>81.7778331425315</v>
      </c>
    </row>
    <row r="17" ht="18.75" customHeight="1">
      <c r="B17">
        <v>6</v>
      </c>
      <c r="C17">
        <f>$I$7+B17</f>
        <v>38525</v>
      </c>
      <c r="E17">
        <f>IF($C$8*ReDiarioFert!C12&lt;=0,"0",$C$8*ReDiarioFert!C12)</f>
        <v>3.2744116749957124</v>
      </c>
      <c r="G17">
        <f>$C$8*ReDiarioFert!E12</f>
        <v>2.405369624936967</v>
      </c>
      <c r="I17">
        <f>$C$8*ReDiarioFert!G12</f>
        <v>4.703480640191667</v>
      </c>
      <c r="K17">
        <f>$C$8*ReDiarioFert!I12</f>
        <v>2.8447168749999996</v>
      </c>
      <c r="M17">
        <f>$C$8*ReDiarioFert!K12</f>
        <v>2.613044800106481</v>
      </c>
      <c r="O17">
        <f>$C$8*ReDiarioFert!M12</f>
        <v>24.866793170731707</v>
      </c>
      <c r="S17">
        <f>((E17/100)*$G$134+(G17/100)*$G$135+(I17/100)*$G$136+(K17/100)*$G$137+(M17/100)*$G$138+(O17)*$G$139+(Q17*$G$140))</f>
        <v>81.7778331425315</v>
      </c>
    </row>
    <row r="18" ht="18.75" customHeight="1">
      <c r="B18">
        <v>7</v>
      </c>
      <c r="C18">
        <f>$I$7+B18</f>
        <v>38526</v>
      </c>
      <c r="E18">
        <f>IF($C$8*ReDiarioFert!C13&lt;=0,"0",$C$8*ReDiarioFert!C13)</f>
        <v>3.2744116749957124</v>
      </c>
      <c r="G18">
        <f>$C$8*ReDiarioFert!E13</f>
        <v>2.405369624936967</v>
      </c>
      <c r="I18">
        <f>$C$8*ReDiarioFert!G13</f>
        <v>4.703480640191667</v>
      </c>
      <c r="K18">
        <f>$C$8*ReDiarioFert!I13</f>
        <v>2.8447168749999996</v>
      </c>
      <c r="M18">
        <f>$C$8*ReDiarioFert!K13</f>
        <v>2.613044800106481</v>
      </c>
      <c r="O18">
        <f>$C$8*ReDiarioFert!M13</f>
        <v>24.866793170731707</v>
      </c>
      <c r="S18">
        <f>((E18/100)*$G$134+(G18/100)*$G$135+(I18/100)*$G$136+(K18/100)*$G$137+(M18/100)*$G$138+(O18)*$G$139+(Q18*$G$140))</f>
        <v>81.7778331425315</v>
      </c>
    </row>
    <row r="19">
      <c r="A19">
        <v>2</v>
      </c>
      <c r="B19">
        <v>8</v>
      </c>
      <c r="C19">
        <f>$I$7+B19</f>
        <v>38527</v>
      </c>
      <c r="E19">
        <f>IF($C$8*ReDiarioFert!C14&lt;=0,"0",$C$8*ReDiarioFert!C14)</f>
        <v>3.2744116749957124</v>
      </c>
      <c r="G19">
        <f>$C$8*ReDiarioFert!E14</f>
        <v>2.405369624936967</v>
      </c>
      <c r="I19">
        <f>$C$8*ReDiarioFert!G14</f>
        <v>4.703480640191667</v>
      </c>
      <c r="K19">
        <f>$C$8*ReDiarioFert!I14</f>
        <v>2.8447168749999996</v>
      </c>
      <c r="M19">
        <f>$C$8*ReDiarioFert!K14</f>
        <v>2.613044800106481</v>
      </c>
      <c r="O19">
        <f>$C$8*ReDiarioFert!M14</f>
        <v>24.866793170731707</v>
      </c>
      <c r="Q19">
        <f>20*$C$8</f>
        <v>20.019999999999996</v>
      </c>
      <c r="S19">
        <f>((E19/100)*$G$134+(G19/100)*$G$135+(I19/100)*$G$136+(K19/100)*$G$137+(M19/100)*$G$138+(O19)*$G$139+(Q19*$G$140))</f>
        <v>110.8068331425315</v>
      </c>
    </row>
    <row r="20">
      <c r="B20">
        <v>9</v>
      </c>
      <c r="C20">
        <f>$I$7+B20</f>
        <v>38528</v>
      </c>
      <c r="E20">
        <f>IF($C$8*ReDiarioFert!C15&lt;=0,"0",$C$8*ReDiarioFert!C15)</f>
        <v>3.2744116749957124</v>
      </c>
      <c r="G20">
        <f>$C$8*ReDiarioFert!E15</f>
        <v>2.405369624936967</v>
      </c>
      <c r="I20">
        <f>$C$8*ReDiarioFert!G15</f>
        <v>4.703480640191667</v>
      </c>
      <c r="K20">
        <f>$C$8*ReDiarioFert!I15</f>
        <v>2.8447168749999996</v>
      </c>
      <c r="M20">
        <f>$C$8*ReDiarioFert!K15</f>
        <v>2.613044800106481</v>
      </c>
      <c r="O20">
        <f>$C$8*ReDiarioFert!M15</f>
        <v>24.866793170731707</v>
      </c>
      <c r="S20">
        <f>((E20/100)*$G$134+(G20/100)*$G$135+(I20/100)*$G$136+(K20/100)*$G$137+(M20/100)*$G$138+(O20)*$G$139+(Q20*$G$140))</f>
        <v>81.7778331425315</v>
      </c>
    </row>
    <row r="21">
      <c r="B21">
        <v>10</v>
      </c>
      <c r="C21">
        <f>$I$7+B21</f>
        <v>38529</v>
      </c>
      <c r="E21">
        <f>IF($C$8*ReDiarioFert!C16&lt;=0,"0",$C$8*ReDiarioFert!C16)</f>
        <v>3.2744116749957124</v>
      </c>
      <c r="G21">
        <f>$C$8*ReDiarioFert!E16</f>
        <v>2.405369624936967</v>
      </c>
      <c r="I21">
        <f>$C$8*ReDiarioFert!G16</f>
        <v>4.703480640191667</v>
      </c>
      <c r="K21">
        <f>$C$8*ReDiarioFert!I16</f>
        <v>2.8447168749999996</v>
      </c>
      <c r="M21">
        <f>$C$8*ReDiarioFert!K16</f>
        <v>2.613044800106481</v>
      </c>
      <c r="O21">
        <f>$C$8*ReDiarioFert!M16</f>
        <v>24.866793170731707</v>
      </c>
      <c r="S21">
        <f>((E21/100)*$G$134+(G21/100)*$G$135+(I21/100)*$G$136+(K21/100)*$G$137+(M21/100)*$G$138+(O21)*$G$139+(Q21*$G$140))</f>
        <v>81.7778331425315</v>
      </c>
    </row>
    <row r="22">
      <c r="B22">
        <v>11</v>
      </c>
      <c r="C22">
        <f>$I$7+B22</f>
        <v>38530</v>
      </c>
      <c r="E22">
        <f>IF($C$8*ReDiarioFert!C17&lt;=0,"0",$C$8*ReDiarioFert!C17)</f>
        <v>3.2744116749957124</v>
      </c>
      <c r="G22">
        <f>$C$8*ReDiarioFert!E17</f>
        <v>2.405369624936967</v>
      </c>
      <c r="I22">
        <f>$C$8*ReDiarioFert!G17</f>
        <v>4.703480640191667</v>
      </c>
      <c r="K22">
        <f>$C$8*ReDiarioFert!I17</f>
        <v>2.8447168749999996</v>
      </c>
      <c r="M22">
        <f>$C$8*ReDiarioFert!K17</f>
        <v>2.613044800106481</v>
      </c>
      <c r="O22">
        <f>$C$8*ReDiarioFert!M17</f>
        <v>44.76032536585365</v>
      </c>
      <c r="S22">
        <f>((E22/100)*$G$134+(G22/100)*$G$135+(I22/100)*$G$136+(K22/100)*$G$137+(M22/100)*$G$138+(O22)*$G$139+(Q22*$G$140))</f>
        <v>82.02252358853151</v>
      </c>
    </row>
    <row r="23">
      <c r="B23">
        <v>12</v>
      </c>
      <c r="C23">
        <f>$I$7+B23</f>
        <v>38531</v>
      </c>
      <c r="E23">
        <f>IF($C$8*ReDiarioFert!C18&lt;=0,"0",$C$8*ReDiarioFert!C18)</f>
        <v>3.2744116749957124</v>
      </c>
      <c r="G23">
        <f>$C$8*ReDiarioFert!E18</f>
        <v>2.405369624936967</v>
      </c>
      <c r="I23">
        <f>$C$8*ReDiarioFert!G18</f>
        <v>4.703480640191667</v>
      </c>
      <c r="K23">
        <f>$C$8*ReDiarioFert!I18</f>
        <v>2.8447168749999996</v>
      </c>
      <c r="M23">
        <f>$C$8*ReDiarioFert!K18</f>
        <v>2.613044800106481</v>
      </c>
      <c r="O23">
        <f>$C$8*ReDiarioFert!M18</f>
        <v>44.76032536585365</v>
      </c>
      <c r="S23">
        <f>((E23/100)*$G$134+(G23/100)*$G$135+(I23/100)*$G$136+(K23/100)*$G$137+(M23/100)*$G$138+(O23)*$G$139+(Q23*$G$140))</f>
        <v>82.02252358853151</v>
      </c>
    </row>
    <row r="24">
      <c r="B24">
        <v>13</v>
      </c>
      <c r="C24">
        <f>$I$7+B24</f>
        <v>38532</v>
      </c>
      <c r="E24">
        <f>IF($C$8*ReDiarioFert!C19&lt;=0,"0",$C$8*ReDiarioFert!C19)</f>
        <v>3.2744116749957124</v>
      </c>
      <c r="G24">
        <f>$C$8*ReDiarioFert!E19</f>
        <v>2.405369624936967</v>
      </c>
      <c r="I24">
        <f>$C$8*ReDiarioFert!G19</f>
        <v>4.703480640191667</v>
      </c>
      <c r="K24">
        <f>$C$8*ReDiarioFert!I19</f>
        <v>2.8447168749999996</v>
      </c>
      <c r="M24">
        <f>$C$8*ReDiarioFert!K19</f>
        <v>2.613044800106481</v>
      </c>
      <c r="O24">
        <f>$C$8*ReDiarioFert!M19</f>
        <v>44.76032536585365</v>
      </c>
      <c r="S24">
        <f>((E24/100)*$G$134+(G24/100)*$G$135+(I24/100)*$G$136+(K24/100)*$G$137+(M24/100)*$G$138+(O24)*$G$139+(Q24*$G$140))</f>
        <v>82.02252358853151</v>
      </c>
    </row>
    <row r="25">
      <c r="B25">
        <v>14</v>
      </c>
      <c r="C25">
        <f>$I$7+B25</f>
        <v>38533</v>
      </c>
      <c r="E25">
        <f>IF($C$8*ReDiarioFert!C20&lt;=0,"0",$C$8*ReDiarioFert!C20)</f>
        <v>3.2744116749957124</v>
      </c>
      <c r="G25">
        <f>$C$8*ReDiarioFert!E20</f>
        <v>2.405369624936967</v>
      </c>
      <c r="I25">
        <f>$C$8*ReDiarioFert!G20</f>
        <v>4.703480640191667</v>
      </c>
      <c r="K25">
        <f>$C$8*ReDiarioFert!I20</f>
        <v>2.8447168749999996</v>
      </c>
      <c r="M25">
        <f>$C$8*ReDiarioFert!K20</f>
        <v>2.613044800106481</v>
      </c>
      <c r="O25">
        <f>$C$8*ReDiarioFert!M20</f>
        <v>44.76032536585365</v>
      </c>
      <c r="S25">
        <f>((E25/100)*$G$134+(G25/100)*$G$135+(I25/100)*$G$136+(K25/100)*$G$137+(M25/100)*$G$138+(O25)*$G$139+(Q25*$G$140))</f>
        <v>82.02252358853151</v>
      </c>
    </row>
    <row r="26">
      <c r="A26">
        <v>3</v>
      </c>
      <c r="B26">
        <v>15</v>
      </c>
      <c r="C26">
        <f>$I$7+B26</f>
        <v>38534</v>
      </c>
      <c r="E26">
        <f>IF($C$8*ReDiarioFert!C21&lt;=0,"0",$C$8*ReDiarioFert!C21)</f>
        <v>6.071712930118381</v>
      </c>
      <c r="G26">
        <f>$C$8*ReDiarioFert!E21</f>
        <v>6.639662526053934</v>
      </c>
      <c r="I26">
        <f>$C$8*ReDiarioFert!G21</f>
        <v>9.406961280383333</v>
      </c>
      <c r="K26">
        <f>$C$8*ReDiarioFert!I21</f>
        <v>5.689433749999999</v>
      </c>
      <c r="M26">
        <f>$C$8*ReDiarioFert!K21</f>
        <v>5.226089600212962</v>
      </c>
      <c r="O26">
        <f>$C$8*ReDiarioFert!M21</f>
        <v>44.76032536585365</v>
      </c>
      <c r="Q26">
        <f>20*$C$8</f>
        <v>20.019999999999996</v>
      </c>
      <c r="S26">
        <f>((E26/100)*$G$134+(G26/100)*$G$135+(I26/100)*$G$136+(K26/100)*$G$137+(M26/100)*$G$138+(O26)*$G$139+(Q26*$G$140))</f>
        <v>212.99153218761654</v>
      </c>
    </row>
    <row r="27">
      <c r="B27">
        <v>16</v>
      </c>
      <c r="C27">
        <f>$I$7+B27</f>
        <v>38535</v>
      </c>
      <c r="E27">
        <f>IF($C$8*ReDiarioFert!C22&lt;=0,"0",$C$8*ReDiarioFert!C22)</f>
        <v>6.071712930118381</v>
      </c>
      <c r="G27">
        <f>$C$8*ReDiarioFert!E22</f>
        <v>6.639662526053934</v>
      </c>
      <c r="I27">
        <f>$C$8*ReDiarioFert!G22</f>
        <v>9.406961280383333</v>
      </c>
      <c r="K27">
        <f>$C$8*ReDiarioFert!I22</f>
        <v>5.689433749999999</v>
      </c>
      <c r="M27">
        <f>$C$8*ReDiarioFert!K22</f>
        <v>5.226089600212962</v>
      </c>
      <c r="O27">
        <f>$C$8*ReDiarioFert!M22</f>
        <v>44.76032536585365</v>
      </c>
      <c r="S27">
        <f>((E27/100)*$G$134+(G27/100)*$G$135+(I27/100)*$G$136+(K27/100)*$G$137+(M27/100)*$G$138+(O27)*$G$139+(Q27*$G$140))</f>
        <v>183.96253218761655</v>
      </c>
    </row>
    <row r="28">
      <c r="B28">
        <v>17</v>
      </c>
      <c r="C28">
        <f>$I$7+B28</f>
        <v>38536</v>
      </c>
      <c r="E28">
        <f>IF($C$8*ReDiarioFert!C23&lt;=0,"0",$C$8*ReDiarioFert!C23)</f>
        <v>6.071712930118381</v>
      </c>
      <c r="G28">
        <f>$C$8*ReDiarioFert!E23</f>
        <v>6.639662526053934</v>
      </c>
      <c r="I28">
        <f>$C$8*ReDiarioFert!G23</f>
        <v>9.406961280383333</v>
      </c>
      <c r="K28">
        <f>$C$8*ReDiarioFert!I23</f>
        <v>5.689433749999999</v>
      </c>
      <c r="M28">
        <f>$C$8*ReDiarioFert!K23</f>
        <v>5.226089600212962</v>
      </c>
      <c r="O28">
        <f>$C$8*ReDiarioFert!M23</f>
        <v>44.76032536585365</v>
      </c>
      <c r="S28">
        <f>((E28/100)*$G$134+(G28/100)*$G$135+(I28/100)*$G$136+(K28/100)*$G$137+(M28/100)*$G$138+(O28)*$G$139+(Q28*$G$140))</f>
        <v>183.96253218761655</v>
      </c>
    </row>
    <row r="29">
      <c r="B29">
        <v>18</v>
      </c>
      <c r="C29">
        <f>$I$7+B29</f>
        <v>38537</v>
      </c>
      <c r="E29">
        <f>IF($C$8*ReDiarioFert!C24&lt;=0,"0",$C$8*ReDiarioFert!C24)</f>
        <v>6.071712930118381</v>
      </c>
      <c r="G29">
        <f>$C$8*ReDiarioFert!E24</f>
        <v>6.639662526053934</v>
      </c>
      <c r="I29">
        <f>$C$8*ReDiarioFert!G24</f>
        <v>9.406961280383333</v>
      </c>
      <c r="K29">
        <f>$C$8*ReDiarioFert!I24</f>
        <v>5.689433749999999</v>
      </c>
      <c r="M29">
        <f>$C$8*ReDiarioFert!K24</f>
        <v>5.226089600212962</v>
      </c>
      <c r="O29">
        <f>$C$8*ReDiarioFert!M24</f>
        <v>59.680108292682924</v>
      </c>
      <c r="S29">
        <f>((E29/100)*$G$134+(G29/100)*$G$135+(I29/100)*$G$136+(K29/100)*$G$137+(M29/100)*$G$138+(O29)*$G$139+(Q29*$G$140))</f>
        <v>184.14604551761656</v>
      </c>
    </row>
    <row r="30">
      <c r="B30">
        <v>19</v>
      </c>
      <c r="C30">
        <f>$I$7+B30</f>
        <v>38538</v>
      </c>
      <c r="E30">
        <f>IF($C$8*ReDiarioFert!C25&lt;=0,"0",$C$8*ReDiarioFert!C25)</f>
        <v>6.071712930118381</v>
      </c>
      <c r="G30">
        <f>$C$8*ReDiarioFert!E25</f>
        <v>6.639662526053934</v>
      </c>
      <c r="I30">
        <f>$C$8*ReDiarioFert!G25</f>
        <v>9.406961280383333</v>
      </c>
      <c r="K30">
        <f>$C$8*ReDiarioFert!I25</f>
        <v>5.689433749999999</v>
      </c>
      <c r="M30">
        <f>$C$8*ReDiarioFert!K25</f>
        <v>5.226089600212962</v>
      </c>
      <c r="O30">
        <f>$C$8*ReDiarioFert!M25</f>
        <v>59.680108292682924</v>
      </c>
      <c r="S30">
        <f>((E30/100)*$G$134+(G30/100)*$G$135+(I30/100)*$G$136+(K30/100)*$G$137+(M30/100)*$G$138+(O30)*$G$139+(Q30*$G$140))</f>
        <v>184.14604551761656</v>
      </c>
    </row>
    <row r="31">
      <c r="B31">
        <v>20</v>
      </c>
      <c r="C31">
        <f>$I$7+B31</f>
        <v>38539</v>
      </c>
      <c r="E31">
        <f>IF($C$8*ReDiarioFert!C26&lt;=0,"0",$C$8*ReDiarioFert!C26)</f>
        <v>6.071712930118381</v>
      </c>
      <c r="G31">
        <f>$C$8*ReDiarioFert!E26</f>
        <v>6.639662526053934</v>
      </c>
      <c r="I31">
        <f>$C$8*ReDiarioFert!G26</f>
        <v>9.406961280383333</v>
      </c>
      <c r="K31">
        <f>$C$8*ReDiarioFert!I26</f>
        <v>5.689433749999999</v>
      </c>
      <c r="M31">
        <f>$C$8*ReDiarioFert!K26</f>
        <v>5.226089600212962</v>
      </c>
      <c r="O31">
        <f>$C$8*ReDiarioFert!M26</f>
        <v>59.680108292682924</v>
      </c>
      <c r="S31">
        <f>((E31/100)*$G$134+(G31/100)*$G$135+(I31/100)*$G$136+(K31/100)*$G$137+(M31/100)*$G$138+(O31)*$G$139+(Q31*$G$140))</f>
        <v>184.14604551761656</v>
      </c>
    </row>
    <row r="32">
      <c r="B32">
        <v>21</v>
      </c>
      <c r="C32">
        <f>$I$7+B32</f>
        <v>38540</v>
      </c>
      <c r="E32">
        <f>IF($C$8*ReDiarioFert!C27&lt;=0,"0",$C$8*ReDiarioFert!C27)</f>
        <v>6.071712930118381</v>
      </c>
      <c r="G32">
        <f>$C$8*ReDiarioFert!E27</f>
        <v>6.639662526053934</v>
      </c>
      <c r="I32">
        <f>$C$8*ReDiarioFert!G27</f>
        <v>9.406961280383333</v>
      </c>
      <c r="K32">
        <f>$C$8*ReDiarioFert!I27</f>
        <v>5.689433749999999</v>
      </c>
      <c r="M32">
        <f>$C$8*ReDiarioFert!K27</f>
        <v>5.226089600212962</v>
      </c>
      <c r="O32">
        <f>$C$8*ReDiarioFert!M27</f>
        <v>59.680108292682924</v>
      </c>
      <c r="S32">
        <f>((E32/100)*$G$134+(G32/100)*$G$135+(I32/100)*$G$136+(K32/100)*$G$137+(M32/100)*$G$138+(O32)*$G$139+(Q32*$G$140))</f>
        <v>184.14604551761656</v>
      </c>
    </row>
    <row r="33">
      <c r="A33">
        <v>4</v>
      </c>
      <c r="B33">
        <v>22</v>
      </c>
      <c r="C33">
        <f>$I$7+B33</f>
        <v>38541</v>
      </c>
      <c r="E33">
        <f>IF($C$8*ReDiarioFert!C28&lt;=0,"0",$C$8*ReDiarioFert!C28)</f>
        <v>6.071712930118381</v>
      </c>
      <c r="G33">
        <f>$C$8*ReDiarioFert!E28</f>
        <v>6.639662526053934</v>
      </c>
      <c r="I33">
        <f>$C$8*ReDiarioFert!G28</f>
        <v>9.406961280383333</v>
      </c>
      <c r="K33">
        <f>$C$8*ReDiarioFert!I28</f>
        <v>5.689433749999999</v>
      </c>
      <c r="M33">
        <f>$C$8*ReDiarioFert!K28</f>
        <v>5.226089600212962</v>
      </c>
      <c r="O33">
        <f>$C$8*ReDiarioFert!M28</f>
        <v>59.680108292682924</v>
      </c>
      <c r="Q33">
        <f>20*$C$8</f>
        <v>20.019999999999996</v>
      </c>
      <c r="S33">
        <f>((E33/100)*$G$134+(G33/100)*$G$135+(I33/100)*$G$136+(K33/100)*$G$137+(M33/100)*$G$138+(O33)*$G$139+(Q33*$G$140))</f>
        <v>213.17504551761655</v>
      </c>
    </row>
    <row r="34">
      <c r="B34">
        <v>23</v>
      </c>
      <c r="C34">
        <f>$I$7+B34</f>
        <v>38542</v>
      </c>
      <c r="E34">
        <f>IF($C$8*ReDiarioFert!C29&lt;=0,"0",$C$8*ReDiarioFert!C29)</f>
        <v>6.071712930118381</v>
      </c>
      <c r="G34">
        <f>$C$8*ReDiarioFert!E29</f>
        <v>6.639662526053934</v>
      </c>
      <c r="I34">
        <f>$C$8*ReDiarioFert!G29</f>
        <v>9.406961280383333</v>
      </c>
      <c r="K34">
        <f>$C$8*ReDiarioFert!I29</f>
        <v>5.689433749999999</v>
      </c>
      <c r="M34">
        <f>$C$8*ReDiarioFert!K29</f>
        <v>5.226089600212962</v>
      </c>
      <c r="O34">
        <f>$C$8*ReDiarioFert!M29</f>
        <v>59.680108292682924</v>
      </c>
      <c r="S34">
        <f>((E34/100)*$G$134+(G34/100)*$G$135+(I34/100)*$G$136+(K34/100)*$G$137+(M34/100)*$G$138+(O34)*$G$139+(Q34*$G$140))</f>
        <v>184.14604551761656</v>
      </c>
    </row>
    <row r="35">
      <c r="B35">
        <v>24</v>
      </c>
      <c r="C35">
        <f>$I$7+B35</f>
        <v>38543</v>
      </c>
      <c r="E35">
        <f>IF($C$8*ReDiarioFert!C30&lt;=0,"0",$C$8*ReDiarioFert!C30)</f>
        <v>6.071712930118381</v>
      </c>
      <c r="G35">
        <f>$C$8*ReDiarioFert!E30</f>
        <v>6.639662526053934</v>
      </c>
      <c r="I35">
        <f>$C$8*ReDiarioFert!G30</f>
        <v>9.406961280383333</v>
      </c>
      <c r="K35">
        <f>$C$8*ReDiarioFert!I30</f>
        <v>5.689433749999999</v>
      </c>
      <c r="M35">
        <f>$C$8*ReDiarioFert!K30</f>
        <v>5.226089600212962</v>
      </c>
      <c r="O35">
        <f>$C$8*ReDiarioFert!M30</f>
        <v>59.680108292682924</v>
      </c>
      <c r="S35">
        <f>((E35/100)*$G$134+(G35/100)*$G$135+(I35/100)*$G$136+(K35/100)*$G$137+(M35/100)*$G$138+(O35)*$G$139+(Q35*$G$140))</f>
        <v>184.14604551761656</v>
      </c>
    </row>
    <row r="36">
      <c r="B36">
        <v>25</v>
      </c>
      <c r="C36">
        <f>$I$7+B36</f>
        <v>38544</v>
      </c>
      <c r="E36">
        <f>IF($C$8*ReDiarioFert!C31&lt;=0,"0",$C$8*ReDiarioFert!C31)</f>
        <v>6.071712930118381</v>
      </c>
      <c r="G36">
        <f>$C$8*ReDiarioFert!E31</f>
        <v>6.639662526053934</v>
      </c>
      <c r="I36">
        <f>$C$8*ReDiarioFert!G31</f>
        <v>9.406961280383333</v>
      </c>
      <c r="K36">
        <f>$C$8*ReDiarioFert!I31</f>
        <v>5.689433749999999</v>
      </c>
      <c r="M36">
        <f>$C$8*ReDiarioFert!K31</f>
        <v>5.226089600212962</v>
      </c>
      <c r="O36">
        <f>$C$8*ReDiarioFert!M31</f>
        <v>59.680108292682924</v>
      </c>
      <c r="S36">
        <f>((E36/100)*$G$134+(G36/100)*$G$135+(I36/100)*$G$136+(K36/100)*$G$137+(M36/100)*$G$138+(O36)*$G$139+(Q36*$G$140))</f>
        <v>184.14604551761656</v>
      </c>
    </row>
    <row r="37">
      <c r="B37">
        <v>26</v>
      </c>
      <c r="C37">
        <f>$I$7+B37</f>
        <v>38545</v>
      </c>
      <c r="E37">
        <f>IF($C$8*ReDiarioFert!C32&lt;=0,"0",$C$8*ReDiarioFert!C32)</f>
        <v>6.071712930118381</v>
      </c>
      <c r="G37">
        <f>$C$8*ReDiarioFert!E32</f>
        <v>6.639662526053934</v>
      </c>
      <c r="I37">
        <f>$C$8*ReDiarioFert!G32</f>
        <v>9.406961280383333</v>
      </c>
      <c r="K37">
        <f>$C$8*ReDiarioFert!I32</f>
        <v>5.689433749999999</v>
      </c>
      <c r="M37">
        <f>$C$8*ReDiarioFert!K32</f>
        <v>5.226089600212962</v>
      </c>
      <c r="O37">
        <f>$C$8*ReDiarioFert!M32</f>
        <v>59.680108292682924</v>
      </c>
      <c r="S37">
        <f>((E37/100)*$G$134+(G37/100)*$G$135+(I37/100)*$G$136+(K37/100)*$G$137+(M37/100)*$G$138+(O37)*$G$139+(Q37*$G$140))</f>
        <v>184.14604551761656</v>
      </c>
    </row>
    <row r="38">
      <c r="B38">
        <v>27</v>
      </c>
      <c r="C38">
        <f>$I$7+B38</f>
        <v>38546</v>
      </c>
      <c r="E38">
        <f>IF($C$8*ReDiarioFert!C33&lt;=0,"0",$C$8*ReDiarioFert!C33)</f>
        <v>6.071712930118381</v>
      </c>
      <c r="G38">
        <f>$C$8*ReDiarioFert!E33</f>
        <v>6.639662526053934</v>
      </c>
      <c r="I38">
        <f>$C$8*ReDiarioFert!G33</f>
        <v>9.406961280383333</v>
      </c>
      <c r="K38">
        <f>$C$8*ReDiarioFert!I33</f>
        <v>5.689433749999999</v>
      </c>
      <c r="M38">
        <f>$C$8*ReDiarioFert!K33</f>
        <v>5.226089600212962</v>
      </c>
      <c r="O38">
        <f>$C$8*ReDiarioFert!M33</f>
        <v>59.680108292682924</v>
      </c>
      <c r="S38">
        <f>((E38/100)*$G$134+(G38/100)*$G$135+(I38/100)*$G$136+(K38/100)*$G$137+(M38/100)*$G$138+(O38)*$G$139+(Q38*$G$140))</f>
        <v>184.14604551761656</v>
      </c>
    </row>
    <row r="39">
      <c r="B39">
        <v>28</v>
      </c>
      <c r="C39">
        <f>$I$7+B39</f>
        <v>38547</v>
      </c>
      <c r="E39">
        <f>IF($C$8*ReDiarioFert!C34&lt;=0,"0",$C$8*ReDiarioFert!C34)</f>
        <v>6.071712930118381</v>
      </c>
      <c r="G39">
        <f>$C$8*ReDiarioFert!E34</f>
        <v>6.639662526053934</v>
      </c>
      <c r="I39">
        <f>$C$8*ReDiarioFert!G34</f>
        <v>9.406961280383333</v>
      </c>
      <c r="K39">
        <f>$C$8*ReDiarioFert!I34</f>
        <v>5.689433749999999</v>
      </c>
      <c r="M39">
        <f>$C$8*ReDiarioFert!K34</f>
        <v>5.226089600212962</v>
      </c>
      <c r="O39">
        <f>$C$8*ReDiarioFert!M34</f>
        <v>59.680108292682924</v>
      </c>
      <c r="S39">
        <f>((E39/100)*$G$134+(G39/100)*$G$135+(I39/100)*$G$136+(K39/100)*$G$137+(M39/100)*$G$138+(O39)*$G$139+(Q39*$G$140))</f>
        <v>184.14604551761656</v>
      </c>
    </row>
    <row r="40">
      <c r="A40">
        <v>5</v>
      </c>
      <c r="B40">
        <v>29</v>
      </c>
      <c r="C40">
        <f>$I$7+B40</f>
        <v>38548</v>
      </c>
      <c r="E40">
        <f>IF($C$8*ReDiarioFert!C35&lt;=0,"0",$C$8*ReDiarioFert!C35)</f>
        <v>6.071712930118381</v>
      </c>
      <c r="G40">
        <f>$C$8*ReDiarioFert!E35</f>
        <v>6.639662526053934</v>
      </c>
      <c r="I40">
        <f>$C$8*ReDiarioFert!G35</f>
        <v>9.406961280383333</v>
      </c>
      <c r="K40">
        <f>$C$8*ReDiarioFert!I35</f>
        <v>5.689433749999999</v>
      </c>
      <c r="M40">
        <f>$C$8*ReDiarioFert!K35</f>
        <v>5.226089600212962</v>
      </c>
      <c r="O40">
        <f>$C$8*ReDiarioFert!M35</f>
        <v>59.680108292682924</v>
      </c>
      <c r="Q40">
        <f>20*$C$8</f>
        <v>20.019999999999996</v>
      </c>
      <c r="S40">
        <f>((E40/100)*$G$134+(G40/100)*$G$135+(I40/100)*$G$136+(K40/100)*$G$137+(M40/100)*$G$138+(O40)*$G$139+(Q40*$G$140))</f>
        <v>213.17504551761655</v>
      </c>
    </row>
    <row r="41">
      <c r="B41">
        <v>30</v>
      </c>
      <c r="C41">
        <f>$I$7+B41</f>
        <v>38549</v>
      </c>
      <c r="E41">
        <f>IF($C$8*ReDiarioFert!C36&lt;=0,"0",$C$8*ReDiarioFert!C36)</f>
        <v>6.071712930118381</v>
      </c>
      <c r="G41">
        <f>$C$8*ReDiarioFert!E36</f>
        <v>6.639662526053934</v>
      </c>
      <c r="I41">
        <f>$C$8*ReDiarioFert!G36</f>
        <v>9.406961280383333</v>
      </c>
      <c r="K41">
        <f>$C$8*ReDiarioFert!I36</f>
        <v>5.689433749999999</v>
      </c>
      <c r="M41">
        <f>$C$8*ReDiarioFert!K36</f>
        <v>5.226089600212962</v>
      </c>
      <c r="O41">
        <f>$C$8*ReDiarioFert!M36</f>
        <v>59.680108292682924</v>
      </c>
      <c r="S41">
        <f>((E41/100)*$G$134+(G41/100)*$G$135+(I41/100)*$G$136+(K41/100)*$G$137+(M41/100)*$G$138+(O41)*$G$139+(Q41*$G$140))</f>
        <v>184.14604551761656</v>
      </c>
    </row>
    <row r="42">
      <c r="B42">
        <v>31</v>
      </c>
      <c r="C42">
        <f>$I$7+B42</f>
        <v>38550</v>
      </c>
      <c r="E42">
        <f>IF($C$8*ReDiarioFert!C37&lt;=0,"0",$C$8*ReDiarioFert!C37)</f>
        <v>6.071712930118381</v>
      </c>
      <c r="G42">
        <f>$C$8*ReDiarioFert!E37</f>
        <v>6.639662526053934</v>
      </c>
      <c r="I42">
        <f>$C$8*ReDiarioFert!G37</f>
        <v>9.406961280383333</v>
      </c>
      <c r="K42">
        <f>$C$8*ReDiarioFert!I37</f>
        <v>5.689433749999999</v>
      </c>
      <c r="M42">
        <f>$C$8*ReDiarioFert!K37</f>
        <v>5.226089600212962</v>
      </c>
      <c r="O42">
        <f>$C$8*ReDiarioFert!M37</f>
        <v>59.680108292682924</v>
      </c>
      <c r="S42">
        <f>((E42/100)*$G$134+(G42/100)*$G$135+(I42/100)*$G$136+(K42/100)*$G$137+(M42/100)*$G$138+(O42)*$G$139+(Q42*$G$140))</f>
        <v>184.14604551761656</v>
      </c>
    </row>
    <row r="43">
      <c r="B43">
        <v>32</v>
      </c>
      <c r="C43">
        <f>$I$7+B43</f>
        <v>38551</v>
      </c>
      <c r="E43">
        <f>IF($C$8*ReDiarioFert!C38&lt;=0,"0",$C$8*ReDiarioFert!C38)</f>
        <v>6.071712930118381</v>
      </c>
      <c r="G43">
        <f>$C$8*ReDiarioFert!E38</f>
        <v>6.639662526053934</v>
      </c>
      <c r="I43">
        <f>$C$8*ReDiarioFert!G38</f>
        <v>9.406961280383333</v>
      </c>
      <c r="K43">
        <f>$C$8*ReDiarioFert!I38</f>
        <v>5.689433749999999</v>
      </c>
      <c r="M43">
        <f>$C$8*ReDiarioFert!K38</f>
        <v>5.226089600212962</v>
      </c>
      <c r="O43">
        <f>$C$8*ReDiarioFert!M38</f>
        <v>59.680108292682924</v>
      </c>
      <c r="S43">
        <f>((E43/100)*$G$134+(G43/100)*$G$135+(I43/100)*$G$136+(K43/100)*$G$137+(M43/100)*$G$138+(O43)*$G$139+(Q43*$G$140))</f>
        <v>184.14604551761656</v>
      </c>
    </row>
    <row r="44">
      <c r="B44">
        <v>33</v>
      </c>
      <c r="C44">
        <f>$I$7+B44</f>
        <v>38552</v>
      </c>
      <c r="E44">
        <f>IF($C$8*ReDiarioFert!C39&lt;=0,"0",$C$8*ReDiarioFert!C39)</f>
        <v>6.071712930118381</v>
      </c>
      <c r="G44">
        <f>$C$8*ReDiarioFert!E39</f>
        <v>6.639662526053934</v>
      </c>
      <c r="I44">
        <f>$C$8*ReDiarioFert!G39</f>
        <v>9.406961280383333</v>
      </c>
      <c r="K44">
        <f>$C$8*ReDiarioFert!I39</f>
        <v>5.689433749999999</v>
      </c>
      <c r="M44">
        <f>$C$8*ReDiarioFert!K39</f>
        <v>5.226089600212962</v>
      </c>
      <c r="O44">
        <f>$C$8*ReDiarioFert!M39</f>
        <v>84.54738975609757</v>
      </c>
      <c r="S44">
        <f>((E44/100)*$G$134+(G44/100)*$G$135+(I44/100)*$G$136+(K44/100)*$G$137+(M44/100)*$G$138+(O44)*$G$139+(Q44*$G$140))</f>
        <v>184.45191307961656</v>
      </c>
    </row>
    <row r="45">
      <c r="B45">
        <v>34</v>
      </c>
      <c r="C45">
        <f>$I$7+B45</f>
        <v>38553</v>
      </c>
      <c r="E45">
        <f>IF($C$8*ReDiarioFert!C40&lt;=0,"0",$C$8*ReDiarioFert!C40)</f>
        <v>6.071712930118381</v>
      </c>
      <c r="G45">
        <f>$C$8*ReDiarioFert!E40</f>
        <v>6.639662526053934</v>
      </c>
      <c r="I45">
        <f>$C$8*ReDiarioFert!G40</f>
        <v>9.406961280383333</v>
      </c>
      <c r="K45">
        <f>$C$8*ReDiarioFert!I40</f>
        <v>5.689433749999999</v>
      </c>
      <c r="M45">
        <f>$C$8*ReDiarioFert!K40</f>
        <v>5.226089600212962</v>
      </c>
      <c r="O45">
        <f>$C$8*ReDiarioFert!M40</f>
        <v>84.54738975609757</v>
      </c>
      <c r="S45">
        <f>((E45/100)*$G$134+(G45/100)*$G$135+(I45/100)*$G$136+(K45/100)*$G$137+(M45/100)*$G$138+(O45)*$G$139+(Q45*$G$140))</f>
        <v>184.45191307961656</v>
      </c>
    </row>
    <row r="46">
      <c r="B46">
        <v>35</v>
      </c>
      <c r="C46">
        <f>$I$7+B46</f>
        <v>38554</v>
      </c>
      <c r="E46">
        <f>IF($C$8*ReDiarioFert!C41&lt;=0,"0",$C$8*ReDiarioFert!C41)</f>
        <v>6.071712930118381</v>
      </c>
      <c r="G46">
        <f>$C$8*ReDiarioFert!E41</f>
        <v>6.639662526053934</v>
      </c>
      <c r="I46">
        <f>$C$8*ReDiarioFert!G41</f>
        <v>9.406961280383333</v>
      </c>
      <c r="K46">
        <f>$C$8*ReDiarioFert!I41</f>
        <v>5.689433749999999</v>
      </c>
      <c r="M46">
        <f>$C$8*ReDiarioFert!K41</f>
        <v>5.226089600212962</v>
      </c>
      <c r="O46">
        <f>$C$8*ReDiarioFert!M41</f>
        <v>84.54738975609757</v>
      </c>
      <c r="S46">
        <f>((E46/100)*$G$134+(G46/100)*$G$135+(I46/100)*$G$136+(K46/100)*$G$137+(M46/100)*$G$138+(O46)*$G$139+(Q46*$G$140))</f>
        <v>184.45191307961656</v>
      </c>
    </row>
    <row r="47">
      <c r="A47">
        <v>6</v>
      </c>
      <c r="B47">
        <v>36</v>
      </c>
      <c r="C47">
        <f>$I$7+B47</f>
        <v>38555</v>
      </c>
      <c r="E47">
        <f>IF($C$8*ReDiarioFert!C42&lt;=0,"0",$C$8*ReDiarioFert!C42)</f>
        <v>6.071712930118381</v>
      </c>
      <c r="G47">
        <f>$C$8*ReDiarioFert!E42</f>
        <v>6.639662526053934</v>
      </c>
      <c r="I47">
        <f>$C$8*ReDiarioFert!G42</f>
        <v>9.406961280383333</v>
      </c>
      <c r="K47">
        <f>$C$8*ReDiarioFert!I42</f>
        <v>5.689433749999999</v>
      </c>
      <c r="M47">
        <f>$C$8*ReDiarioFert!K42</f>
        <v>5.226089600212962</v>
      </c>
      <c r="O47">
        <f>$C$8*ReDiarioFert!M42</f>
        <v>84.54738975609757</v>
      </c>
      <c r="Q47">
        <f>20*$C$8</f>
        <v>20.019999999999996</v>
      </c>
      <c r="S47">
        <f>((E47/100)*$G$134+(G47/100)*$G$135+(I47/100)*$G$136+(K47/100)*$G$137+(M47/100)*$G$138+(O47)*$G$139+(Q47*$G$140))</f>
        <v>213.48091307961656</v>
      </c>
    </row>
    <row r="48">
      <c r="B48">
        <v>37</v>
      </c>
      <c r="C48">
        <f>$I$7+B48</f>
        <v>38556</v>
      </c>
      <c r="E48">
        <f>IF($C$8*ReDiarioFert!C43&lt;=0,"0",$C$8*ReDiarioFert!C43)</f>
        <v>6.071712930118381</v>
      </c>
      <c r="G48">
        <f>$C$8*ReDiarioFert!E43</f>
        <v>6.639662526053934</v>
      </c>
      <c r="I48">
        <f>$C$8*ReDiarioFert!G43</f>
        <v>9.406961280383333</v>
      </c>
      <c r="K48">
        <f>$C$8*ReDiarioFert!I43</f>
        <v>5.689433749999999</v>
      </c>
      <c r="M48">
        <f>$C$8*ReDiarioFert!K43</f>
        <v>5.226089600212962</v>
      </c>
      <c r="O48">
        <f>$C$8*ReDiarioFert!M43</f>
        <v>84.54738975609757</v>
      </c>
      <c r="S48">
        <f>((E48/100)*$G$134+(G48/100)*$G$135+(I48/100)*$G$136+(K48/100)*$G$137+(M48/100)*$G$138+(O48)*$G$139+(Q48*$G$140))</f>
        <v>184.45191307961656</v>
      </c>
    </row>
    <row r="49">
      <c r="B49">
        <v>38</v>
      </c>
      <c r="C49">
        <f>$I$7+B49</f>
        <v>38557</v>
      </c>
      <c r="E49">
        <f>IF($C$8*ReDiarioFert!C44&lt;=0,"0",$C$8*ReDiarioFert!C44)</f>
        <v>6.071712930118381</v>
      </c>
      <c r="G49">
        <f>$C$8*ReDiarioFert!E44</f>
        <v>6.639662526053934</v>
      </c>
      <c r="I49">
        <f>$C$8*ReDiarioFert!G44</f>
        <v>9.406961280383333</v>
      </c>
      <c r="K49">
        <f>$C$8*ReDiarioFert!I44</f>
        <v>5.689433749999999</v>
      </c>
      <c r="M49">
        <f>$C$8*ReDiarioFert!K44</f>
        <v>5.226089600212962</v>
      </c>
      <c r="O49">
        <f>$C$8*ReDiarioFert!M44</f>
        <v>84.54738975609757</v>
      </c>
      <c r="S49">
        <f>((E49/100)*$G$134+(G49/100)*$G$135+(I49/100)*$G$136+(K49/100)*$G$137+(M49/100)*$G$138+(O49)*$G$139+(Q49*$G$140))</f>
        <v>184.45191307961656</v>
      </c>
    </row>
    <row r="50">
      <c r="B50">
        <v>39</v>
      </c>
      <c r="C50">
        <f>$I$7+B50</f>
        <v>38558</v>
      </c>
      <c r="E50">
        <f>IF($C$8*ReDiarioFert!C45&lt;=0,"0",$C$8*ReDiarioFert!C45)</f>
        <v>6.071712930118381</v>
      </c>
      <c r="G50">
        <f>$C$8*ReDiarioFert!E45</f>
        <v>6.639662526053934</v>
      </c>
      <c r="I50">
        <f>$C$8*ReDiarioFert!G45</f>
        <v>9.406961280383333</v>
      </c>
      <c r="K50">
        <f>$C$8*ReDiarioFert!I45</f>
        <v>5.689433749999999</v>
      </c>
      <c r="M50">
        <f>$C$8*ReDiarioFert!K45</f>
        <v>5.226089600212962</v>
      </c>
      <c r="O50">
        <f>$C$8*ReDiarioFert!M45</f>
        <v>84.54738975609757</v>
      </c>
      <c r="S50">
        <f>((E50/100)*$G$134+(G50/100)*$G$135+(I50/100)*$G$136+(K50/100)*$G$137+(M50/100)*$G$138+(O50)*$G$139+(Q50*$G$140))</f>
        <v>184.45191307961656</v>
      </c>
    </row>
    <row r="51">
      <c r="B51">
        <v>40</v>
      </c>
      <c r="C51">
        <f>$I$7+B51</f>
        <v>38559</v>
      </c>
      <c r="E51">
        <f>IF($C$8*ReDiarioFert!C46&lt;=0,"0",$C$8*ReDiarioFert!C46)</f>
        <v>6.071712930118381</v>
      </c>
      <c r="G51">
        <f>$C$8*ReDiarioFert!E46</f>
        <v>6.639662526053934</v>
      </c>
      <c r="I51">
        <f>$C$8*ReDiarioFert!G46</f>
        <v>9.406961280383333</v>
      </c>
      <c r="K51">
        <f>$C$8*ReDiarioFert!I46</f>
        <v>5.689433749999999</v>
      </c>
      <c r="M51">
        <f>$C$8*ReDiarioFert!K46</f>
        <v>5.226089600212962</v>
      </c>
      <c r="O51">
        <f>$C$8*ReDiarioFert!M46</f>
        <v>84.54738975609757</v>
      </c>
      <c r="S51">
        <f>((E51/100)*$G$134+(G51/100)*$G$135+(I51/100)*$G$136+(K51/100)*$G$137+(M51/100)*$G$138+(O51)*$G$139+(Q51*$G$140))</f>
        <v>184.45191307961656</v>
      </c>
    </row>
    <row r="52">
      <c r="B52">
        <v>41</v>
      </c>
      <c r="C52">
        <f>$I$7+B52</f>
        <v>38560</v>
      </c>
      <c r="E52">
        <f>IF($C$8*ReDiarioFert!C47&lt;=0,"0",$C$8*ReDiarioFert!C47)</f>
        <v>6.071712930118381</v>
      </c>
      <c r="G52">
        <f>$C$8*ReDiarioFert!E47</f>
        <v>6.639662526053934</v>
      </c>
      <c r="I52">
        <f>$C$8*ReDiarioFert!G47</f>
        <v>9.406961280383333</v>
      </c>
      <c r="K52">
        <f>$C$8*ReDiarioFert!I47</f>
        <v>5.689433749999999</v>
      </c>
      <c r="M52">
        <f>$C$8*ReDiarioFert!K47</f>
        <v>5.226089600212962</v>
      </c>
      <c r="O52">
        <f>$C$8*ReDiarioFert!M47</f>
        <v>84.54738975609757</v>
      </c>
      <c r="S52">
        <f>((E52/100)*$G$134+(G52/100)*$G$135+(I52/100)*$G$136+(K52/100)*$G$137+(M52/100)*$G$138+(O52)*$G$139+(Q52*$G$140))</f>
        <v>184.45191307961656</v>
      </c>
    </row>
    <row r="53">
      <c r="B53">
        <v>42</v>
      </c>
      <c r="C53">
        <f>$I$7+B53</f>
        <v>38561</v>
      </c>
      <c r="E53">
        <f>IF($C$8*ReDiarioFert!C48&lt;=0,"0",$C$8*ReDiarioFert!C48)</f>
        <v>6.071712930118381</v>
      </c>
      <c r="G53">
        <f>$C$8*ReDiarioFert!E48</f>
        <v>6.639662526053934</v>
      </c>
      <c r="I53">
        <f>$C$8*ReDiarioFert!G48</f>
        <v>9.406961280383333</v>
      </c>
      <c r="K53">
        <f>$C$8*ReDiarioFert!I48</f>
        <v>5.689433749999999</v>
      </c>
      <c r="M53">
        <f>$C$8*ReDiarioFert!K48</f>
        <v>5.226089600212962</v>
      </c>
      <c r="O53">
        <f>$C$8*ReDiarioFert!M48</f>
        <v>84.54738975609757</v>
      </c>
      <c r="S53">
        <f>((E53/100)*$G$134+(G53/100)*$G$135+(I53/100)*$G$136+(K53/100)*$G$137+(M53/100)*$G$138+(O53)*$G$139+(Q53*$G$140))</f>
        <v>184.45191307961656</v>
      </c>
    </row>
    <row r="54">
      <c r="A54">
        <v>7</v>
      </c>
      <c r="B54">
        <v>43</v>
      </c>
      <c r="C54">
        <f>$I$7+B54</f>
        <v>38562</v>
      </c>
      <c r="E54">
        <f>IF($C$8*ReDiarioFert!C49&lt;=0,"0",$C$8*ReDiarioFert!C49)</f>
        <v>6.071712930118381</v>
      </c>
      <c r="G54">
        <f>$C$8*ReDiarioFert!E49</f>
        <v>6.639662526053934</v>
      </c>
      <c r="I54">
        <f>$C$8*ReDiarioFert!G49</f>
        <v>9.406961280383333</v>
      </c>
      <c r="K54">
        <f>$C$8*ReDiarioFert!I49</f>
        <v>5.689433749999999</v>
      </c>
      <c r="M54">
        <f>$C$8*ReDiarioFert!K49</f>
        <v>5.226089600212962</v>
      </c>
      <c r="O54">
        <f>$C$8*ReDiarioFert!M49</f>
        <v>84.54738975609757</v>
      </c>
      <c r="Q54">
        <f>20*$C$8</f>
        <v>20.019999999999996</v>
      </c>
      <c r="S54">
        <f>((E54/100)*$G$134+(G54/100)*$G$135+(I54/100)*$G$136+(K54/100)*$G$137+(M54/100)*$G$138+(O54)*$G$139+(Q54*$G$140))</f>
        <v>213.48091307961656</v>
      </c>
    </row>
    <row r="55">
      <c r="B55">
        <v>44</v>
      </c>
      <c r="C55">
        <f>$I$7+B55</f>
        <v>38563</v>
      </c>
      <c r="E55">
        <f>IF($C$8*ReDiarioFert!C50&lt;=0,"0",$C$8*ReDiarioFert!C50)</f>
        <v>6.071712930118381</v>
      </c>
      <c r="G55">
        <f>$C$8*ReDiarioFert!E50</f>
        <v>6.639662526053934</v>
      </c>
      <c r="I55">
        <f>$C$8*ReDiarioFert!G50</f>
        <v>9.406961280383333</v>
      </c>
      <c r="K55">
        <f>$C$8*ReDiarioFert!I50</f>
        <v>5.689433749999999</v>
      </c>
      <c r="M55">
        <f>$C$8*ReDiarioFert!K50</f>
        <v>5.226089600212962</v>
      </c>
      <c r="O55">
        <f>$C$8*ReDiarioFert!M50</f>
        <v>84.54738975609757</v>
      </c>
      <c r="S55">
        <f>((E55/100)*$G$134+(G55/100)*$G$135+(I55/100)*$G$136+(K55/100)*$G$137+(M55/100)*$G$138+(O55)*$G$139+(Q55*$G$140))</f>
        <v>184.45191307961656</v>
      </c>
    </row>
    <row r="56">
      <c r="B56">
        <v>45</v>
      </c>
      <c r="C56">
        <f>$I$7+B56</f>
        <v>38564</v>
      </c>
      <c r="E56">
        <f>IF($C$8*ReDiarioFert!C51&lt;=0,"0",$C$8*ReDiarioFert!C51)</f>
        <v>6.071712930118381</v>
      </c>
      <c r="G56">
        <f>$C$8*ReDiarioFert!E51</f>
        <v>6.639662526053934</v>
      </c>
      <c r="I56">
        <f>$C$8*ReDiarioFert!G51</f>
        <v>9.406961280383333</v>
      </c>
      <c r="K56">
        <f>$C$8*ReDiarioFert!I51</f>
        <v>5.689433749999999</v>
      </c>
      <c r="M56">
        <f>$C$8*ReDiarioFert!K51</f>
        <v>5.226089600212962</v>
      </c>
      <c r="O56">
        <f>$C$8*ReDiarioFert!M51</f>
        <v>84.54738975609757</v>
      </c>
      <c r="S56">
        <f>((E56/100)*$G$134+(G56/100)*$G$135+(I56/100)*$G$136+(K56/100)*$G$137+(M56/100)*$G$138+(O56)*$G$139+(Q56*$G$140))</f>
        <v>184.45191307961656</v>
      </c>
    </row>
    <row r="57">
      <c r="B57">
        <v>46</v>
      </c>
      <c r="C57">
        <f>$I$7+B57</f>
        <v>38565</v>
      </c>
      <c r="E57">
        <f>IF($C$8*ReDiarioFert!C52&lt;=0,"0",$C$8*ReDiarioFert!C52)</f>
        <v>6.071712930118381</v>
      </c>
      <c r="G57">
        <f>$C$8*ReDiarioFert!E52</f>
        <v>6.639662526053934</v>
      </c>
      <c r="I57">
        <f>$C$8*ReDiarioFert!G52</f>
        <v>9.406961280383333</v>
      </c>
      <c r="K57">
        <f>$C$8*ReDiarioFert!I52</f>
        <v>5.689433749999999</v>
      </c>
      <c r="M57">
        <f>$C$8*ReDiarioFert!K52</f>
        <v>5.226089600212962</v>
      </c>
      <c r="O57">
        <f>$C$8*ReDiarioFert!M52</f>
        <v>84.54738975609757</v>
      </c>
      <c r="S57">
        <f>((E57/100)*$G$134+(G57/100)*$G$135+(I57/100)*$G$136+(K57/100)*$G$137+(M57/100)*$G$138+(O57)*$G$139+(Q57*$G$140))</f>
        <v>184.45191307961656</v>
      </c>
    </row>
    <row r="58">
      <c r="B58">
        <v>47</v>
      </c>
      <c r="C58">
        <f>$I$7+B58</f>
        <v>38566</v>
      </c>
      <c r="E58">
        <f>IF($C$8*ReDiarioFert!C53&lt;=0,"0",$C$8*ReDiarioFert!C53)</f>
        <v>6.071712930118381</v>
      </c>
      <c r="G58">
        <f>$C$8*ReDiarioFert!E53</f>
        <v>6.639662526053934</v>
      </c>
      <c r="I58">
        <f>$C$8*ReDiarioFert!G53</f>
        <v>9.406961280383333</v>
      </c>
      <c r="K58">
        <f>$C$8*ReDiarioFert!I53</f>
        <v>5.689433749999999</v>
      </c>
      <c r="M58">
        <f>$C$8*ReDiarioFert!K53</f>
        <v>5.226089600212962</v>
      </c>
      <c r="O58">
        <f>$C$8*ReDiarioFert!M53</f>
        <v>84.54738975609757</v>
      </c>
      <c r="S58">
        <f>((E58/100)*$G$134+(G58/100)*$G$135+(I58/100)*$G$136+(K58/100)*$G$137+(M58/100)*$G$138+(O58)*$G$139+(Q58*$G$140))</f>
        <v>184.45191307961656</v>
      </c>
    </row>
    <row r="59">
      <c r="B59">
        <v>48</v>
      </c>
      <c r="C59">
        <f>$I$7+B59</f>
        <v>38567</v>
      </c>
      <c r="E59">
        <f>IF($C$8*ReDiarioFert!C54&lt;=0,"0",$C$8*ReDiarioFert!C54)</f>
        <v>6.071712930118381</v>
      </c>
      <c r="G59">
        <f>$C$8*ReDiarioFert!E54</f>
        <v>6.639662526053934</v>
      </c>
      <c r="I59">
        <f>$C$8*ReDiarioFert!G54</f>
        <v>9.406961280383333</v>
      </c>
      <c r="K59">
        <f>$C$8*ReDiarioFert!I54</f>
        <v>5.689433749999999</v>
      </c>
      <c r="M59">
        <f>$C$8*ReDiarioFert!K54</f>
        <v>5.226089600212962</v>
      </c>
      <c r="O59">
        <f>$C$8*ReDiarioFert!M54</f>
        <v>114.387443902439</v>
      </c>
      <c r="S59">
        <f>((E59/100)*$G$134+(G59/100)*$G$135+(I59/100)*$G$136+(K59/100)*$G$137+(M59/100)*$G$138+(O59)*$G$139+(Q59*$G$140))</f>
        <v>184.81894574561656</v>
      </c>
    </row>
    <row r="60">
      <c r="B60">
        <v>49</v>
      </c>
      <c r="C60">
        <f>$I$7+B60</f>
        <v>38568</v>
      </c>
      <c r="E60">
        <f>IF($C$8*ReDiarioFert!C55&lt;=0,"0",$C$8*ReDiarioFert!C55)</f>
        <v>6.071712930118381</v>
      </c>
      <c r="G60">
        <f>$C$8*ReDiarioFert!E55</f>
        <v>6.639662526053934</v>
      </c>
      <c r="I60">
        <f>$C$8*ReDiarioFert!G55</f>
        <v>9.406961280383333</v>
      </c>
      <c r="K60">
        <f>$C$8*ReDiarioFert!I55</f>
        <v>5.689433749999999</v>
      </c>
      <c r="M60">
        <f>$C$8*ReDiarioFert!K55</f>
        <v>5.226089600212962</v>
      </c>
      <c r="O60">
        <f>$C$8*ReDiarioFert!M55</f>
        <v>114.387443902439</v>
      </c>
      <c r="S60">
        <f>((E60/100)*$G$134+(G60/100)*$G$135+(I60/100)*$G$136+(K60/100)*$G$137+(M60/100)*$G$138+(O60)*$G$139+(Q60*$G$140))</f>
        <v>184.81894574561656</v>
      </c>
    </row>
    <row r="61">
      <c r="A61">
        <v>8</v>
      </c>
      <c r="B61">
        <v>50</v>
      </c>
      <c r="C61">
        <f>$I$7+B61</f>
        <v>38569</v>
      </c>
      <c r="E61">
        <f>IF($C$8*ReDiarioFert!C56&lt;=0,"0",$C$8*ReDiarioFert!C56)</f>
        <v>6.496885826394086</v>
      </c>
      <c r="G61">
        <f>$C$8*ReDiarioFert!E56</f>
        <v>2.972892655601721</v>
      </c>
      <c r="I61">
        <f>$C$8*ReDiarioFert!G56</f>
        <v>9.406961280383333</v>
      </c>
      <c r="K61">
        <f>$C$8*ReDiarioFert!I56</f>
        <v>5.689433749999999</v>
      </c>
      <c r="M61">
        <f>$C$8*ReDiarioFert!K56</f>
        <v>5.226089600212962</v>
      </c>
      <c r="O61">
        <f>$C$8*ReDiarioFert!M56</f>
        <v>114.387443902439</v>
      </c>
      <c r="Q61">
        <f>20*$C$8</f>
        <v>20.019999999999996</v>
      </c>
      <c r="S61">
        <f>((E61/100)*$G$134+(G61/100)*$G$135+(I61/100)*$G$136+(K61/100)*$G$137+(M61/100)*$G$138+(O61)*$G$139+(Q61*$G$140))</f>
        <v>171.16474327864472</v>
      </c>
    </row>
    <row r="62">
      <c r="B62">
        <v>51</v>
      </c>
      <c r="C62">
        <f>$I$7+B62</f>
        <v>38570</v>
      </c>
      <c r="E62">
        <f>IF($C$8*ReDiarioFert!C57&lt;=0,"0",$C$8*ReDiarioFert!C57)</f>
        <v>6.496885826394086</v>
      </c>
      <c r="G62">
        <f>$C$8*ReDiarioFert!E57</f>
        <v>2.972892655601721</v>
      </c>
      <c r="I62">
        <f>$C$8*ReDiarioFert!G57</f>
        <v>9.406961280383333</v>
      </c>
      <c r="K62">
        <f>$C$8*ReDiarioFert!I57</f>
        <v>5.689433749999999</v>
      </c>
      <c r="M62">
        <f>$C$8*ReDiarioFert!K57</f>
        <v>5.226089600212962</v>
      </c>
      <c r="O62">
        <f>$C$8*ReDiarioFert!M57</f>
        <v>114.387443902439</v>
      </c>
      <c r="S62">
        <f>((E62/100)*$G$134+(G62/100)*$G$135+(I62/100)*$G$136+(K62/100)*$G$137+(M62/100)*$G$138+(O62)*$G$139+(Q62*$G$140))</f>
        <v>142.13574327864472</v>
      </c>
    </row>
    <row r="63">
      <c r="B63">
        <v>52</v>
      </c>
      <c r="C63">
        <f>$I$7+B63</f>
        <v>38571</v>
      </c>
      <c r="E63">
        <f>IF($C$8*ReDiarioFert!C58&lt;=0,"0",$C$8*ReDiarioFert!C58)</f>
        <v>6.496885826394086</v>
      </c>
      <c r="G63">
        <f>$C$8*ReDiarioFert!E58</f>
        <v>2.972892655601721</v>
      </c>
      <c r="I63">
        <f>$C$8*ReDiarioFert!G58</f>
        <v>9.406961280383333</v>
      </c>
      <c r="K63">
        <f>$C$8*ReDiarioFert!I58</f>
        <v>5.689433749999999</v>
      </c>
      <c r="M63">
        <f>$C$8*ReDiarioFert!K58</f>
        <v>5.226089600212962</v>
      </c>
      <c r="O63">
        <f>$C$8*ReDiarioFert!M58</f>
        <v>114.387443902439</v>
      </c>
      <c r="S63">
        <f>((E63/100)*$G$134+(G63/100)*$G$135+(I63/100)*$G$136+(K63/100)*$G$137+(M63/100)*$G$138+(O63)*$G$139+(Q63*$G$140))</f>
        <v>142.13574327864472</v>
      </c>
    </row>
    <row r="64">
      <c r="B64">
        <v>53</v>
      </c>
      <c r="C64">
        <f>$I$7+B64</f>
        <v>38572</v>
      </c>
      <c r="E64">
        <f>IF($C$8*ReDiarioFert!C59&lt;=0,"0",$C$8*ReDiarioFert!C59)</f>
        <v>6.496885826394086</v>
      </c>
      <c r="G64">
        <f>$C$8*ReDiarioFert!E59</f>
        <v>2.972892655601721</v>
      </c>
      <c r="I64">
        <f>$C$8*ReDiarioFert!G59</f>
        <v>9.406961280383333</v>
      </c>
      <c r="K64">
        <f>$C$8*ReDiarioFert!I59</f>
        <v>5.689433749999999</v>
      </c>
      <c r="M64">
        <f>$C$8*ReDiarioFert!K59</f>
        <v>5.226089600212962</v>
      </c>
      <c r="O64">
        <f>$C$8*ReDiarioFert!M59</f>
        <v>114.387443902439</v>
      </c>
      <c r="S64">
        <f>((E64/100)*$G$134+(G64/100)*$G$135+(I64/100)*$G$136+(K64/100)*$G$137+(M64/100)*$G$138+(O64)*$G$139+(Q64*$G$140))</f>
        <v>142.13574327864472</v>
      </c>
    </row>
    <row r="65">
      <c r="B65">
        <v>54</v>
      </c>
      <c r="C65">
        <f>$I$7+B65</f>
        <v>38573</v>
      </c>
      <c r="E65">
        <f>IF($C$8*ReDiarioFert!C60&lt;=0,"0",$C$8*ReDiarioFert!C60)</f>
        <v>6.496885826394086</v>
      </c>
      <c r="G65">
        <f>$C$8*ReDiarioFert!E60</f>
        <v>2.972892655601721</v>
      </c>
      <c r="I65">
        <f>$C$8*ReDiarioFert!G60</f>
        <v>9.406961280383333</v>
      </c>
      <c r="K65">
        <f>$C$8*ReDiarioFert!I60</f>
        <v>5.689433749999999</v>
      </c>
      <c r="M65">
        <f>$C$8*ReDiarioFert!K60</f>
        <v>5.226089600212962</v>
      </c>
      <c r="O65">
        <f>$C$8*ReDiarioFert!M60</f>
        <v>114.387443902439</v>
      </c>
      <c r="S65">
        <f>((E65/100)*$G$134+(G65/100)*$G$135+(I65/100)*$G$136+(K65/100)*$G$137+(M65/100)*$G$138+(O65)*$G$139+(Q65*$G$140))</f>
        <v>142.13574327864472</v>
      </c>
    </row>
    <row r="66">
      <c r="B66">
        <v>55</v>
      </c>
      <c r="C66">
        <f>$I$7+B66</f>
        <v>38574</v>
      </c>
      <c r="E66">
        <f>IF($C$8*ReDiarioFert!C61&lt;=0,"0",$C$8*ReDiarioFert!C61)</f>
        <v>6.496885826394086</v>
      </c>
      <c r="G66">
        <f>$C$8*ReDiarioFert!E61</f>
        <v>2.972892655601721</v>
      </c>
      <c r="I66">
        <f>$C$8*ReDiarioFert!G61</f>
        <v>9.406961280383333</v>
      </c>
      <c r="K66">
        <f>$C$8*ReDiarioFert!I61</f>
        <v>5.689433749999999</v>
      </c>
      <c r="M66">
        <f>$C$8*ReDiarioFert!K61</f>
        <v>5.226089600212962</v>
      </c>
      <c r="O66">
        <f>$C$8*ReDiarioFert!M61</f>
        <v>114.387443902439</v>
      </c>
      <c r="S66">
        <f>((E66/100)*$G$134+(G66/100)*$G$135+(I66/100)*$G$136+(K66/100)*$G$137+(M66/100)*$G$138+(O66)*$G$139+(Q66*$G$140))</f>
        <v>142.13574327864472</v>
      </c>
    </row>
    <row r="67">
      <c r="B67">
        <v>56</v>
      </c>
      <c r="C67">
        <f>$I$7+B67</f>
        <v>38575</v>
      </c>
      <c r="E67">
        <f>IF($C$8*ReDiarioFert!C62&lt;=0,"0",$C$8*ReDiarioFert!C62)</f>
        <v>6.496885826394086</v>
      </c>
      <c r="G67">
        <f>$C$8*ReDiarioFert!E62</f>
        <v>2.972892655601721</v>
      </c>
      <c r="I67">
        <f>$C$8*ReDiarioFert!G62</f>
        <v>9.406961280383333</v>
      </c>
      <c r="K67">
        <f>$C$8*ReDiarioFert!I62</f>
        <v>5.689433749999999</v>
      </c>
      <c r="M67">
        <f>$C$8*ReDiarioFert!K62</f>
        <v>5.226089600212962</v>
      </c>
      <c r="O67">
        <f>$C$8*ReDiarioFert!M62</f>
        <v>114.387443902439</v>
      </c>
      <c r="S67">
        <f>((E67/100)*$G$134+(G67/100)*$G$135+(I67/100)*$G$136+(K67/100)*$G$137+(M67/100)*$G$138+(O67)*$G$139+(Q67*$G$140))</f>
        <v>142.13574327864472</v>
      </c>
    </row>
    <row r="68">
      <c r="A68">
        <v>9</v>
      </c>
      <c r="B68">
        <v>57</v>
      </c>
      <c r="C68">
        <f>$I$7+B68</f>
        <v>38576</v>
      </c>
      <c r="E68">
        <f>IF($C$8*ReDiarioFert!C63&lt;=0,"0",$C$8*ReDiarioFert!C63)</f>
        <v>6.496885826394086</v>
      </c>
      <c r="G68">
        <f>$C$8*ReDiarioFert!E63</f>
        <v>2.972892655601721</v>
      </c>
      <c r="I68">
        <f>$C$8*ReDiarioFert!G63</f>
        <v>9.406961280383333</v>
      </c>
      <c r="K68">
        <f>$C$8*ReDiarioFert!I63</f>
        <v>5.689433749999999</v>
      </c>
      <c r="M68">
        <f>$C$8*ReDiarioFert!K63</f>
        <v>5.226089600212962</v>
      </c>
      <c r="O68">
        <f>$C$8*ReDiarioFert!M63</f>
        <v>114.387443902439</v>
      </c>
      <c r="Q68">
        <f>20*$C$8</f>
        <v>20.019999999999996</v>
      </c>
      <c r="S68">
        <f>((E68/100)*$G$134+(G68/100)*$G$135+(I68/100)*$G$136+(K68/100)*$G$137+(M68/100)*$G$138+(O68)*$G$139+(Q68*$G$140))</f>
        <v>171.16474327864472</v>
      </c>
    </row>
    <row r="69">
      <c r="B69">
        <v>58</v>
      </c>
      <c r="C69">
        <f>$I$7+B69</f>
        <v>38577</v>
      </c>
      <c r="E69">
        <f>IF($C$8*ReDiarioFert!C64&lt;=0,"0",$C$8*ReDiarioFert!C64)</f>
        <v>6.496885826394086</v>
      </c>
      <c r="G69">
        <f>$C$8*ReDiarioFert!E64</f>
        <v>2.972892655601721</v>
      </c>
      <c r="I69">
        <f>$C$8*ReDiarioFert!G64</f>
        <v>9.406961280383333</v>
      </c>
      <c r="K69">
        <f>$C$8*ReDiarioFert!I64</f>
        <v>5.689433749999999</v>
      </c>
      <c r="M69">
        <f>$C$8*ReDiarioFert!K64</f>
        <v>5.226089600212962</v>
      </c>
      <c r="O69">
        <f>$C$8*ReDiarioFert!M64</f>
        <v>114.387443902439</v>
      </c>
      <c r="S69">
        <f>((E69/100)*$G$134+(G69/100)*$G$135+(I69/100)*$G$136+(K69/100)*$G$137+(M69/100)*$G$138+(O69)*$G$139+(Q69*$G$140))</f>
        <v>142.13574327864472</v>
      </c>
    </row>
    <row r="70">
      <c r="B70">
        <v>59</v>
      </c>
      <c r="C70">
        <f>$I$7+B70</f>
        <v>38578</v>
      </c>
      <c r="E70">
        <f>IF($C$8*ReDiarioFert!C65&lt;=0,"0",$C$8*ReDiarioFert!C65)</f>
        <v>6.496885826394086</v>
      </c>
      <c r="G70">
        <f>$C$8*ReDiarioFert!E65</f>
        <v>2.972892655601721</v>
      </c>
      <c r="I70">
        <f>$C$8*ReDiarioFert!G65</f>
        <v>9.406961280383333</v>
      </c>
      <c r="K70">
        <f>$C$8*ReDiarioFert!I65</f>
        <v>5.689433749999999</v>
      </c>
      <c r="M70">
        <f>$C$8*ReDiarioFert!K65</f>
        <v>5.226089600212962</v>
      </c>
      <c r="O70">
        <f>$C$8*ReDiarioFert!M65</f>
        <v>114.387443902439</v>
      </c>
      <c r="S70">
        <f>((E70/100)*$G$134+(G70/100)*$G$135+(I70/100)*$G$136+(K70/100)*$G$137+(M70/100)*$G$138+(O70)*$G$139+(Q70*$G$140))</f>
        <v>142.13574327864472</v>
      </c>
    </row>
    <row r="71">
      <c r="B71">
        <v>60</v>
      </c>
      <c r="C71">
        <f>$I$7+B71</f>
        <v>38579</v>
      </c>
      <c r="E71">
        <f>IF($C$8*ReDiarioFert!C66&lt;=0,"0",$C$8*ReDiarioFert!C66)</f>
        <v>6.496885826394086</v>
      </c>
      <c r="G71">
        <f>$C$8*ReDiarioFert!E66</f>
        <v>2.972892655601721</v>
      </c>
      <c r="I71">
        <f>$C$8*ReDiarioFert!G66</f>
        <v>9.406961280383333</v>
      </c>
      <c r="K71">
        <f>$C$8*ReDiarioFert!I66</f>
        <v>5.689433749999999</v>
      </c>
      <c r="M71">
        <f>$C$8*ReDiarioFert!K66</f>
        <v>5.226089600212962</v>
      </c>
      <c r="O71">
        <f>$C$8*ReDiarioFert!M66</f>
        <v>114.387443902439</v>
      </c>
      <c r="S71">
        <f>((E71/100)*$G$134+(G71/100)*$G$135+(I71/100)*$G$136+(K71/100)*$G$137+(M71/100)*$G$138+(O71)*$G$139+(Q71*$G$140))</f>
        <v>142.13574327864472</v>
      </c>
    </row>
    <row r="72">
      <c r="B72">
        <v>61</v>
      </c>
      <c r="C72">
        <f>$I$7+B72</f>
        <v>38580</v>
      </c>
      <c r="E72">
        <f>IF($C$8*ReDiarioFert!C67&lt;=0,"0",$C$8*ReDiarioFert!C67)</f>
        <v>6.496885826394086</v>
      </c>
      <c r="G72">
        <f>$C$8*ReDiarioFert!E67</f>
        <v>2.972892655601721</v>
      </c>
      <c r="I72">
        <f>$C$8*ReDiarioFert!G67</f>
        <v>9.406961280383333</v>
      </c>
      <c r="K72">
        <f>$C$8*ReDiarioFert!I67</f>
        <v>5.689433749999999</v>
      </c>
      <c r="M72">
        <f>$C$8*ReDiarioFert!K67</f>
        <v>5.226089600212962</v>
      </c>
      <c r="O72">
        <f>$C$8*ReDiarioFert!M67</f>
        <v>114.387443902439</v>
      </c>
      <c r="S72">
        <f>((E72/100)*$G$134+(G72/100)*$G$135+(I72/100)*$G$136+(K72/100)*$G$137+(M72/100)*$G$138+(O72)*$G$139+(Q72*$G$140))</f>
        <v>142.13574327864472</v>
      </c>
    </row>
    <row r="73">
      <c r="B73">
        <v>62</v>
      </c>
      <c r="C73">
        <f>$I$7+B73</f>
        <v>38581</v>
      </c>
      <c r="E73">
        <f>IF($C$8*ReDiarioFert!C68&lt;=0,"0",$C$8*ReDiarioFert!C68)</f>
        <v>6.496885826394086</v>
      </c>
      <c r="G73">
        <f>$C$8*ReDiarioFert!E68</f>
        <v>2.972892655601721</v>
      </c>
      <c r="I73">
        <f>$C$8*ReDiarioFert!G68</f>
        <v>9.406961280383333</v>
      </c>
      <c r="K73">
        <f>$C$8*ReDiarioFert!I68</f>
        <v>5.689433749999999</v>
      </c>
      <c r="M73">
        <f>$C$8*ReDiarioFert!K68</f>
        <v>5.226089600212962</v>
      </c>
      <c r="O73">
        <f>$C$8*ReDiarioFert!M68</f>
        <v>114.387443902439</v>
      </c>
      <c r="S73">
        <f>((E73/100)*$G$134+(G73/100)*$G$135+(I73/100)*$G$136+(K73/100)*$G$137+(M73/100)*$G$138+(O73)*$G$139+(Q73*$G$140))</f>
        <v>142.13574327864472</v>
      </c>
    </row>
    <row r="74">
      <c r="B74">
        <v>63</v>
      </c>
      <c r="C74">
        <f>$I$7+B74</f>
        <v>38582</v>
      </c>
      <c r="E74">
        <f>IF($C$8*ReDiarioFert!C69&lt;=0,"0",$C$8*ReDiarioFert!C69)</f>
        <v>6.496885826394086</v>
      </c>
      <c r="G74">
        <f>$C$8*ReDiarioFert!E69</f>
        <v>2.972892655601721</v>
      </c>
      <c r="I74">
        <f>$C$8*ReDiarioFert!G69</f>
        <v>9.406961280383333</v>
      </c>
      <c r="K74">
        <f>$C$8*ReDiarioFert!I69</f>
        <v>5.689433749999999</v>
      </c>
      <c r="M74">
        <f>$C$8*ReDiarioFert!K69</f>
        <v>5.226089600212962</v>
      </c>
      <c r="O74">
        <f>$C$8*ReDiarioFert!M69</f>
        <v>144.2279863414634</v>
      </c>
      <c r="S74">
        <f>((E74/100)*$G$134+(G74/100)*$G$135+(I74/100)*$G$136+(K74/100)*$G$137+(M74/100)*$G$138+(O74)*$G$139+(Q74*$G$140))</f>
        <v>142.50278195064473</v>
      </c>
    </row>
    <row r="75">
      <c r="A75">
        <v>10</v>
      </c>
      <c r="B75">
        <v>64</v>
      </c>
      <c r="C75">
        <f>$I$7+B75</f>
        <v>38583</v>
      </c>
      <c r="E75">
        <f>IF($C$8*ReDiarioFert!C70&lt;=0,"0",$C$8*ReDiarioFert!C70)</f>
        <v>6.496885826394086</v>
      </c>
      <c r="G75">
        <f>$C$8*ReDiarioFert!E70</f>
        <v>2.972892655601721</v>
      </c>
      <c r="I75">
        <f>$C$8*ReDiarioFert!G70</f>
        <v>9.406961280383333</v>
      </c>
      <c r="K75">
        <f>$C$8*ReDiarioFert!I70</f>
        <v>5.689433749999999</v>
      </c>
      <c r="M75">
        <f>$C$8*ReDiarioFert!K70</f>
        <v>5.226089600212962</v>
      </c>
      <c r="O75">
        <f>$C$8*ReDiarioFert!M70</f>
        <v>144.2279863414634</v>
      </c>
      <c r="Q75">
        <f>20*$C$8</f>
        <v>20.019999999999996</v>
      </c>
      <c r="S75">
        <f>((E75/100)*$G$134+(G75/100)*$G$135+(I75/100)*$G$136+(K75/100)*$G$137+(M75/100)*$G$138+(O75)*$G$139+(Q75*$G$140))</f>
        <v>171.53178195064473</v>
      </c>
    </row>
    <row r="76">
      <c r="B76">
        <v>65</v>
      </c>
      <c r="C76">
        <f>$I$7+B76</f>
        <v>38584</v>
      </c>
      <c r="E76">
        <f>IF($C$8*ReDiarioFert!C71&lt;=0,"0",$C$8*ReDiarioFert!C71)</f>
        <v>6.496885826394086</v>
      </c>
      <c r="G76">
        <f>$C$8*ReDiarioFert!E71</f>
        <v>2.972892655601721</v>
      </c>
      <c r="I76">
        <f>$C$8*ReDiarioFert!G71</f>
        <v>9.406961280383333</v>
      </c>
      <c r="K76">
        <f>$C$8*ReDiarioFert!I71</f>
        <v>5.689433749999999</v>
      </c>
      <c r="M76">
        <f>$C$8*ReDiarioFert!K71</f>
        <v>5.226089600212962</v>
      </c>
      <c r="O76">
        <f>$C$8*ReDiarioFert!M71</f>
        <v>144.2279863414634</v>
      </c>
      <c r="S76">
        <f>((E76/100)*$G$134+(G76/100)*$G$135+(I76/100)*$G$136+(K76/100)*$G$137+(M76/100)*$G$138+(O76)*$G$139+(Q76*$G$140))</f>
        <v>142.50278195064473</v>
      </c>
    </row>
    <row r="77">
      <c r="B77">
        <v>66</v>
      </c>
      <c r="C77">
        <f>$I$7+B77</f>
        <v>38585</v>
      </c>
      <c r="E77">
        <f>IF($C$8*ReDiarioFert!C72&lt;=0,"0",$C$8*ReDiarioFert!C72)</f>
        <v>6.496885826394086</v>
      </c>
      <c r="G77">
        <f>$C$8*ReDiarioFert!E72</f>
        <v>2.972892655601721</v>
      </c>
      <c r="I77">
        <f>$C$8*ReDiarioFert!G72</f>
        <v>9.406961280383333</v>
      </c>
      <c r="K77">
        <f>$C$8*ReDiarioFert!I72</f>
        <v>5.689433749999999</v>
      </c>
      <c r="M77">
        <f>$C$8*ReDiarioFert!K72</f>
        <v>5.226089600212962</v>
      </c>
      <c r="O77">
        <f>$C$8*ReDiarioFert!M72</f>
        <v>144.2279863414634</v>
      </c>
      <c r="S77">
        <f>((E77/100)*$G$134+(G77/100)*$G$135+(I77/100)*$G$136+(K77/100)*$G$137+(M77/100)*$G$138+(O77)*$G$139+(Q77*$G$140))</f>
        <v>142.50278195064473</v>
      </c>
    </row>
    <row r="78">
      <c r="B78">
        <v>67</v>
      </c>
      <c r="C78">
        <f>$I$7+B78</f>
        <v>38586</v>
      </c>
      <c r="E78">
        <f>IF($C$8*ReDiarioFert!C73&lt;=0,"0",$C$8*ReDiarioFert!C73)</f>
        <v>6.496885826394086</v>
      </c>
      <c r="G78">
        <f>$C$8*ReDiarioFert!E73</f>
        <v>2.972892655601721</v>
      </c>
      <c r="I78">
        <f>$C$8*ReDiarioFert!G73</f>
        <v>9.406961280383333</v>
      </c>
      <c r="K78">
        <f>$C$8*ReDiarioFert!I73</f>
        <v>5.689433749999999</v>
      </c>
      <c r="M78">
        <f>$C$8*ReDiarioFert!K73</f>
        <v>5.226089600212962</v>
      </c>
      <c r="O78">
        <f>$C$8*ReDiarioFert!M73</f>
        <v>144.2279863414634</v>
      </c>
      <c r="S78">
        <f>((E78/100)*$G$134+(G78/100)*$G$135+(I78/100)*$G$136+(K78/100)*$G$137+(M78/100)*$G$138+(O78)*$G$139+(Q78*$G$140))</f>
        <v>142.50278195064473</v>
      </c>
    </row>
    <row r="79">
      <c r="B79">
        <v>68</v>
      </c>
      <c r="C79">
        <f>$I$7+B79</f>
        <v>38587</v>
      </c>
      <c r="E79">
        <f>IF($C$8*ReDiarioFert!C74&lt;=0,"0",$C$8*ReDiarioFert!C74)</f>
        <v>6.496885826394086</v>
      </c>
      <c r="G79">
        <f>$C$8*ReDiarioFert!E74</f>
        <v>2.972892655601721</v>
      </c>
      <c r="I79">
        <f>$C$8*ReDiarioFert!G74</f>
        <v>9.406961280383333</v>
      </c>
      <c r="K79">
        <f>$C$8*ReDiarioFert!I74</f>
        <v>5.689433749999999</v>
      </c>
      <c r="M79">
        <f>$C$8*ReDiarioFert!K74</f>
        <v>5.226089600212962</v>
      </c>
      <c r="O79">
        <f>$C$8*ReDiarioFert!M74</f>
        <v>144.2279863414634</v>
      </c>
      <c r="S79">
        <f>((E79/100)*$G$134+(G79/100)*$G$135+(I79/100)*$G$136+(K79/100)*$G$137+(M79/100)*$G$138+(O79)*$G$139+(Q79*$G$140))</f>
        <v>142.50278195064473</v>
      </c>
    </row>
    <row r="80">
      <c r="B80">
        <v>69</v>
      </c>
      <c r="C80">
        <f>$I$7+B80</f>
        <v>38588</v>
      </c>
      <c r="E80">
        <f>IF($C$8*ReDiarioFert!C75&lt;=0,"0",$C$8*ReDiarioFert!C75)</f>
        <v>6.496885826394086</v>
      </c>
      <c r="G80">
        <f>$C$8*ReDiarioFert!E75</f>
        <v>2.972892655601721</v>
      </c>
      <c r="I80">
        <f>$C$8*ReDiarioFert!G75</f>
        <v>9.406961280383333</v>
      </c>
      <c r="K80">
        <f>$C$8*ReDiarioFert!I75</f>
        <v>5.689433749999999</v>
      </c>
      <c r="M80">
        <f>$C$8*ReDiarioFert!K75</f>
        <v>5.226089600212962</v>
      </c>
      <c r="O80">
        <f>$C$8*ReDiarioFert!M75</f>
        <v>144.2279863414634</v>
      </c>
      <c r="S80">
        <f>((E80/100)*$G$134+(G80/100)*$G$135+(I80/100)*$G$136+(K80/100)*$G$137+(M80/100)*$G$138+(O80)*$G$139+(Q80*$G$140))</f>
        <v>142.50278195064473</v>
      </c>
    </row>
    <row r="81">
      <c r="B81">
        <v>70</v>
      </c>
      <c r="C81">
        <f>$I$7+B81</f>
        <v>38589</v>
      </c>
      <c r="E81">
        <f>IF($C$8*ReDiarioFert!C76&lt;=0,"0",$C$8*ReDiarioFert!C76)</f>
        <v>6.496885826394086</v>
      </c>
      <c r="G81">
        <f>$C$8*ReDiarioFert!E76</f>
        <v>2.972892655601721</v>
      </c>
      <c r="I81">
        <f>$C$8*ReDiarioFert!G76</f>
        <v>9.406961280383333</v>
      </c>
      <c r="K81">
        <f>$C$8*ReDiarioFert!I76</f>
        <v>5.689433749999999</v>
      </c>
      <c r="M81">
        <f>$C$8*ReDiarioFert!K76</f>
        <v>5.226089600212962</v>
      </c>
      <c r="O81">
        <f>$C$8*ReDiarioFert!M76</f>
        <v>144.2279863414634</v>
      </c>
      <c r="S81">
        <f>((E81/100)*$G$134+(G81/100)*$G$135+(I81/100)*$G$136+(K81/100)*$G$137+(M81/100)*$G$138+(O81)*$G$139+(Q81*$G$140))</f>
        <v>142.50278195064473</v>
      </c>
    </row>
    <row r="82">
      <c r="A82">
        <v>11</v>
      </c>
      <c r="B82">
        <v>71</v>
      </c>
      <c r="C82">
        <f>$I$7+B82</f>
        <v>38590</v>
      </c>
      <c r="E82">
        <f>IF($C$8*ReDiarioFert!C77&lt;=0,"0",$C$8*ReDiarioFert!C77)</f>
        <v>6.496885826394086</v>
      </c>
      <c r="G82">
        <f>$C$8*ReDiarioFert!E77</f>
        <v>2.972892655601721</v>
      </c>
      <c r="I82">
        <f>$C$8*ReDiarioFert!G77</f>
        <v>9.406961280383333</v>
      </c>
      <c r="K82">
        <f>$C$8*ReDiarioFert!I77</f>
        <v>5.689433749999999</v>
      </c>
      <c r="M82">
        <f>$C$8*ReDiarioFert!K77</f>
        <v>5.226089600212962</v>
      </c>
      <c r="O82">
        <f>$C$8*ReDiarioFert!M77</f>
        <v>144.2279863414634</v>
      </c>
      <c r="Q82">
        <f>20*$C$8</f>
        <v>20.019999999999996</v>
      </c>
      <c r="S82">
        <f>((E82/100)*$G$134+(G82/100)*$G$135+(I82/100)*$G$136+(K82/100)*$G$137+(M82/100)*$G$138+(O82)*$G$139+(Q82*$G$140))</f>
        <v>171.53178195064473</v>
      </c>
    </row>
    <row r="83">
      <c r="B83">
        <v>72</v>
      </c>
      <c r="C83">
        <f>$I$7+B83</f>
        <v>38591</v>
      </c>
      <c r="E83">
        <f>IF($C$8*ReDiarioFert!C78&lt;=0,"0",$C$8*ReDiarioFert!C78)</f>
        <v>6.496885826394086</v>
      </c>
      <c r="G83">
        <f>$C$8*ReDiarioFert!E78</f>
        <v>2.972892655601721</v>
      </c>
      <c r="I83">
        <f>$C$8*ReDiarioFert!G78</f>
        <v>9.406961280383333</v>
      </c>
      <c r="K83">
        <f>$C$8*ReDiarioFert!I78</f>
        <v>5.689433749999999</v>
      </c>
      <c r="M83">
        <f>$C$8*ReDiarioFert!K78</f>
        <v>5.226089600212962</v>
      </c>
      <c r="O83">
        <f>$C$8*ReDiarioFert!M78</f>
        <v>144.2279863414634</v>
      </c>
      <c r="S83">
        <f>((E83/100)*$G$134+(G83/100)*$G$135+(I83/100)*$G$136+(K83/100)*$G$137+(M83/100)*$G$138+(O83)*$G$139+(Q83*$G$140))</f>
        <v>142.50278195064473</v>
      </c>
    </row>
    <row r="84">
      <c r="B84">
        <v>73</v>
      </c>
      <c r="C84">
        <f>$I$7+B84</f>
        <v>38592</v>
      </c>
      <c r="E84">
        <f>IF($C$8*ReDiarioFert!C79&lt;=0,"0",$C$8*ReDiarioFert!C79)</f>
        <v>6.496885826394086</v>
      </c>
      <c r="G84">
        <f>$C$8*ReDiarioFert!E79</f>
        <v>2.972892655601721</v>
      </c>
      <c r="I84">
        <f>$C$8*ReDiarioFert!G79</f>
        <v>9.406961280383333</v>
      </c>
      <c r="K84">
        <f>$C$8*ReDiarioFert!I79</f>
        <v>5.689433749999999</v>
      </c>
      <c r="M84">
        <f>$C$8*ReDiarioFert!K79</f>
        <v>5.226089600212962</v>
      </c>
      <c r="O84">
        <f>$C$8*ReDiarioFert!M79</f>
        <v>144.2279863414634</v>
      </c>
      <c r="S84">
        <f>((E84/100)*$G$134+(G84/100)*$G$135+(I84/100)*$G$136+(K84/100)*$G$137+(M84/100)*$G$138+(O84)*$G$139+(Q84*$G$140))</f>
        <v>142.50278195064473</v>
      </c>
    </row>
    <row r="85">
      <c r="B85">
        <v>74</v>
      </c>
      <c r="C85">
        <f>$I$7+B85</f>
        <v>38593</v>
      </c>
      <c r="E85">
        <f>IF($C$8*ReDiarioFert!C80&lt;=0,"0",$C$8*ReDiarioFert!C80)</f>
        <v>6.496885826394086</v>
      </c>
      <c r="G85">
        <f>$C$8*ReDiarioFert!E80</f>
        <v>2.972892655601721</v>
      </c>
      <c r="I85">
        <f>$C$8*ReDiarioFert!G80</f>
        <v>9.406961280383333</v>
      </c>
      <c r="K85">
        <f>$C$8*ReDiarioFert!I80</f>
        <v>5.689433749999999</v>
      </c>
      <c r="M85">
        <f>$C$8*ReDiarioFert!K80</f>
        <v>5.226089600212962</v>
      </c>
      <c r="O85">
        <f>$C$8*ReDiarioFert!M80</f>
        <v>144.2279863414634</v>
      </c>
      <c r="S85">
        <f>((E85/100)*$G$134+(G85/100)*$G$135+(I85/100)*$G$136+(K85/100)*$G$137+(M85/100)*$G$138+(O85)*$G$139+(Q85*$G$140))</f>
        <v>142.50278195064473</v>
      </c>
    </row>
    <row r="86">
      <c r="B86">
        <v>75</v>
      </c>
      <c r="C86">
        <f>$I$7+B86</f>
        <v>38594</v>
      </c>
      <c r="E86">
        <f>IF($C$8*ReDiarioFert!C81&lt;=0,"0",$C$8*ReDiarioFert!C81)</f>
        <v>6.496885826394086</v>
      </c>
      <c r="G86">
        <f>$C$8*ReDiarioFert!E81</f>
        <v>2.972892655601721</v>
      </c>
      <c r="I86">
        <f>$C$8*ReDiarioFert!G81</f>
        <v>9.406961280383333</v>
      </c>
      <c r="K86">
        <f>$C$8*ReDiarioFert!I81</f>
        <v>5.689433749999999</v>
      </c>
      <c r="M86">
        <f>$C$8*ReDiarioFert!K81</f>
        <v>5.226089600212962</v>
      </c>
      <c r="O86">
        <f>$C$8*ReDiarioFert!M81</f>
        <v>144.2279863414634</v>
      </c>
      <c r="S86">
        <f>((E86/100)*$G$134+(G86/100)*$G$135+(I86/100)*$G$136+(K86/100)*$G$137+(M86/100)*$G$138+(O86)*$G$139+(Q86*$G$140))</f>
        <v>142.50278195064473</v>
      </c>
    </row>
    <row r="87">
      <c r="B87">
        <v>76</v>
      </c>
      <c r="C87">
        <f>$I$7+B87</f>
        <v>38595</v>
      </c>
      <c r="E87">
        <f>IF($C$8*ReDiarioFert!C82&lt;=0,"0",$C$8*ReDiarioFert!C82)</f>
        <v>6.496885826394086</v>
      </c>
      <c r="G87">
        <f>$C$8*ReDiarioFert!E82</f>
        <v>2.972892655601721</v>
      </c>
      <c r="I87">
        <f>$C$8*ReDiarioFert!G82</f>
        <v>9.406961280383333</v>
      </c>
      <c r="K87">
        <f>$C$8*ReDiarioFert!I82</f>
        <v>5.689433749999999</v>
      </c>
      <c r="M87">
        <f>$C$8*ReDiarioFert!K82</f>
        <v>5.226089600212962</v>
      </c>
      <c r="O87">
        <f>$C$8*ReDiarioFert!M82</f>
        <v>144.2279863414634</v>
      </c>
      <c r="S87">
        <f>((E87/100)*$G$134+(G87/100)*$G$135+(I87/100)*$G$136+(K87/100)*$G$137+(M87/100)*$G$138+(O87)*$G$139+(Q87*$G$140))</f>
        <v>142.50278195064473</v>
      </c>
    </row>
    <row r="88">
      <c r="B88">
        <v>77</v>
      </c>
      <c r="C88">
        <f>$I$7+B88</f>
        <v>38596</v>
      </c>
      <c r="E88">
        <f>IF($C$8*ReDiarioFert!C83&lt;=0,"0",$C$8*ReDiarioFert!C83)</f>
        <v>6.496885826394086</v>
      </c>
      <c r="G88">
        <f>$C$8*ReDiarioFert!E83</f>
        <v>2.972892655601721</v>
      </c>
      <c r="I88">
        <f>$C$8*ReDiarioFert!G83</f>
        <v>9.406961280383333</v>
      </c>
      <c r="K88">
        <f>$C$8*ReDiarioFert!I83</f>
        <v>5.689433749999999</v>
      </c>
      <c r="M88">
        <f>$C$8*ReDiarioFert!K83</f>
        <v>5.226089600212962</v>
      </c>
      <c r="O88">
        <f>$C$8*ReDiarioFert!M83</f>
        <v>144.2279863414634</v>
      </c>
      <c r="S88">
        <f>((E88/100)*$G$134+(G88/100)*$G$135+(I88/100)*$G$136+(K88/100)*$G$137+(M88/100)*$G$138+(O88)*$G$139+(Q88*$G$140))</f>
        <v>142.50278195064473</v>
      </c>
    </row>
    <row r="89">
      <c r="A89">
        <v>12</v>
      </c>
      <c r="B89">
        <v>78</v>
      </c>
      <c r="C89">
        <f>$I$7+B89</f>
        <v>38597</v>
      </c>
      <c r="E89">
        <f>IF($C$8*ReDiarioFert!C84&lt;=0,"0",$C$8*ReDiarioFert!C84)</f>
        <v>4.675835765343092</v>
      </c>
      <c r="G89">
        <f>$C$8*ReDiarioFert!E84</f>
        <v>2.972892655601721</v>
      </c>
      <c r="I89">
        <f>$C$8*ReDiarioFert!G84</f>
        <v>7.051412473939166</v>
      </c>
      <c r="K89">
        <f>$C$8*ReDiarioFert!I84</f>
        <v>4.264760499999999</v>
      </c>
      <c r="M89">
        <f>$C$8*ReDiarioFert!K84</f>
        <v>3.9174513744106476</v>
      </c>
      <c r="O89">
        <f>$C$8*ReDiarioFert!M84</f>
        <v>144.2279863414634</v>
      </c>
      <c r="Q89">
        <f>20*$C$8</f>
        <v>20.019999999999996</v>
      </c>
      <c r="S89">
        <f>((E89/100)*$G$134+(G89/100)*$G$135+(I89/100)*$G$136+(K89/100)*$G$137+(M89/100)*$G$138+(O89)*$G$139+(Q89*$G$140))</f>
        <v>144.62367661708234</v>
      </c>
    </row>
    <row r="90">
      <c r="B90">
        <v>79</v>
      </c>
      <c r="C90">
        <f>$I$7+B90</f>
        <v>38598</v>
      </c>
      <c r="E90">
        <f>IF($C$8*ReDiarioFert!C85&lt;=0,"0",$C$8*ReDiarioFert!C85)</f>
        <v>4.675835765343092</v>
      </c>
      <c r="G90">
        <f>$C$8*ReDiarioFert!E85</f>
        <v>2.972892655601721</v>
      </c>
      <c r="I90">
        <f>$C$8*ReDiarioFert!G85</f>
        <v>7.051412473939166</v>
      </c>
      <c r="K90">
        <f>$C$8*ReDiarioFert!I85</f>
        <v>4.264760499999999</v>
      </c>
      <c r="M90">
        <f>$C$8*ReDiarioFert!K85</f>
        <v>3.9174513744106476</v>
      </c>
      <c r="O90">
        <f>$C$8*ReDiarioFert!M85</f>
        <v>144.2279863414634</v>
      </c>
      <c r="S90">
        <f>((E90/100)*$G$134+(G90/100)*$G$135+(I90/100)*$G$136+(K90/100)*$G$137+(M90/100)*$G$138+(O90)*$G$139+(Q90*$G$140))</f>
        <v>115.59467661708234</v>
      </c>
    </row>
    <row r="91">
      <c r="B91">
        <v>80</v>
      </c>
      <c r="C91">
        <f>$I$7+B91</f>
        <v>38599</v>
      </c>
      <c r="E91">
        <f>IF($C$8*ReDiarioFert!C86&lt;=0,"0",$C$8*ReDiarioFert!C86)</f>
        <v>4.675835765343092</v>
      </c>
      <c r="G91">
        <f>$C$8*ReDiarioFert!E86</f>
        <v>2.972892655601721</v>
      </c>
      <c r="I91">
        <f>$C$8*ReDiarioFert!G86</f>
        <v>7.051412473939166</v>
      </c>
      <c r="K91">
        <f>$C$8*ReDiarioFert!I86</f>
        <v>4.264760499999999</v>
      </c>
      <c r="M91">
        <f>$C$8*ReDiarioFert!K86</f>
        <v>3.9174513744106476</v>
      </c>
      <c r="O91">
        <f>$C$8*ReDiarioFert!M86</f>
        <v>144.2279863414634</v>
      </c>
      <c r="S91">
        <f>((E91/100)*$G$134+(G91/100)*$G$135+(I91/100)*$G$136+(K91/100)*$G$137+(M91/100)*$G$138+(O91)*$G$139+(Q91*$G$140))</f>
        <v>115.59467661708234</v>
      </c>
    </row>
    <row r="92">
      <c r="B92">
        <v>81</v>
      </c>
      <c r="C92">
        <f>$I$7+B92</f>
        <v>38600</v>
      </c>
      <c r="E92">
        <f>IF($C$8*ReDiarioFert!C87&lt;=0,"0",$C$8*ReDiarioFert!C87)</f>
        <v>4.675835765343092</v>
      </c>
      <c r="G92">
        <f>$C$8*ReDiarioFert!E87</f>
        <v>2.972892655601721</v>
      </c>
      <c r="I92">
        <f>$C$8*ReDiarioFert!G87</f>
        <v>7.051412473939166</v>
      </c>
      <c r="K92">
        <f>$C$8*ReDiarioFert!I87</f>
        <v>4.264760499999999</v>
      </c>
      <c r="M92">
        <f>$C$8*ReDiarioFert!K87</f>
        <v>3.9174513744106476</v>
      </c>
      <c r="O92">
        <f>$C$8*ReDiarioFert!M87</f>
        <v>174.06804048780486</v>
      </c>
      <c r="S92">
        <f>((E92/100)*$G$134+(G92/100)*$G$135+(I92/100)*$G$136+(K92/100)*$G$137+(M92/100)*$G$138+(O92)*$G$139+(Q92*$G$140))</f>
        <v>115.96170928308234</v>
      </c>
    </row>
    <row r="93">
      <c r="B93">
        <v>82</v>
      </c>
      <c r="C93">
        <f>$I$7+B93</f>
        <v>38601</v>
      </c>
      <c r="E93">
        <f>IF($C$8*ReDiarioFert!C88&lt;=0,"0",$C$8*ReDiarioFert!C88)</f>
        <v>4.675835765343092</v>
      </c>
      <c r="G93">
        <f>$C$8*ReDiarioFert!E88</f>
        <v>2.972892655601721</v>
      </c>
      <c r="I93">
        <f>$C$8*ReDiarioFert!G88</f>
        <v>7.051412473939166</v>
      </c>
      <c r="K93">
        <f>$C$8*ReDiarioFert!I88</f>
        <v>4.264760499999999</v>
      </c>
      <c r="M93">
        <f>$C$8*ReDiarioFert!K88</f>
        <v>3.9174513744106476</v>
      </c>
      <c r="O93">
        <f>$C$8*ReDiarioFert!M88</f>
        <v>174.06804048780486</v>
      </c>
      <c r="S93">
        <f>((E93/100)*$G$134+(G93/100)*$G$135+(I93/100)*$G$136+(K93/100)*$G$137+(M93/100)*$G$138+(O93)*$G$139+(Q93*$G$140))</f>
        <v>115.96170928308234</v>
      </c>
    </row>
    <row r="94">
      <c r="B94">
        <v>83</v>
      </c>
      <c r="C94">
        <f>$I$7+B94</f>
        <v>38602</v>
      </c>
      <c r="E94">
        <f>IF($C$8*ReDiarioFert!C89&lt;=0,"0",$C$8*ReDiarioFert!C89)</f>
        <v>4.675835765343092</v>
      </c>
      <c r="G94">
        <f>$C$8*ReDiarioFert!E89</f>
        <v>2.972892655601721</v>
      </c>
      <c r="I94">
        <f>$C$8*ReDiarioFert!G89</f>
        <v>7.051412473939166</v>
      </c>
      <c r="K94">
        <f>$C$8*ReDiarioFert!I89</f>
        <v>4.264760499999999</v>
      </c>
      <c r="M94">
        <f>$C$8*ReDiarioFert!K89</f>
        <v>3.9174513744106476</v>
      </c>
      <c r="O94">
        <f>$C$8*ReDiarioFert!M89</f>
        <v>174.06804048780486</v>
      </c>
      <c r="S94">
        <f>((E94/100)*$G$134+(G94/100)*$G$135+(I94/100)*$G$136+(K94/100)*$G$137+(M94/100)*$G$138+(O94)*$G$139+(Q94*$G$140))</f>
        <v>115.96170928308234</v>
      </c>
    </row>
    <row r="95">
      <c r="B95">
        <v>84</v>
      </c>
      <c r="C95">
        <f>$I$7+B95</f>
        <v>38603</v>
      </c>
      <c r="E95">
        <f>IF($C$8*ReDiarioFert!C90&lt;=0,"0",$C$8*ReDiarioFert!C90)</f>
        <v>4.675835765343092</v>
      </c>
      <c r="G95">
        <f>$C$8*ReDiarioFert!E90</f>
        <v>2.972892655601721</v>
      </c>
      <c r="I95">
        <f>$C$8*ReDiarioFert!G90</f>
        <v>7.051412473939166</v>
      </c>
      <c r="K95">
        <f>$C$8*ReDiarioFert!I90</f>
        <v>4.264760499999999</v>
      </c>
      <c r="M95">
        <f>$C$8*ReDiarioFert!K90</f>
        <v>3.9174513744106476</v>
      </c>
      <c r="O95">
        <f>$C$8*ReDiarioFert!M90</f>
        <v>174.06804048780486</v>
      </c>
      <c r="S95">
        <f>((E95/100)*$G$134+(G95/100)*$G$135+(I95/100)*$G$136+(K95/100)*$G$137+(M95/100)*$G$138+(O95)*$G$139+(Q95*$G$140))</f>
        <v>115.96170928308234</v>
      </c>
    </row>
    <row r="96" ht="18" customHeight="1">
      <c r="A96">
        <v>13</v>
      </c>
      <c r="B96">
        <v>85</v>
      </c>
      <c r="C96">
        <f>$I$7+B96</f>
        <v>38604</v>
      </c>
      <c r="E96">
        <f>IF($C$8*ReDiarioFert!C91&lt;=0,"0",$C$8*ReDiarioFert!C91)</f>
        <v>4.675835765343092</v>
      </c>
      <c r="G96">
        <f>$C$8*ReDiarioFert!E91</f>
        <v>2.972892655601721</v>
      </c>
      <c r="I96">
        <f>$C$8*ReDiarioFert!G91</f>
        <v>7.051412473939166</v>
      </c>
      <c r="K96">
        <f>$C$8*ReDiarioFert!I91</f>
        <v>4.264760499999999</v>
      </c>
      <c r="M96">
        <f>$C$8*ReDiarioFert!K91</f>
        <v>3.9174513744106476</v>
      </c>
      <c r="O96">
        <f>$C$8*ReDiarioFert!M91</f>
        <v>174.06804048780486</v>
      </c>
      <c r="Q96">
        <f>20*$C$8</f>
        <v>20.019999999999996</v>
      </c>
      <c r="S96">
        <f>((E96/100)*$G$134+(G96/100)*$G$135+(I96/100)*$G$136+(K96/100)*$G$137+(M96/100)*$G$138+(O96)*$G$139+(Q96*$G$140))</f>
        <v>144.99070928308234</v>
      </c>
    </row>
    <row r="97" ht="18" customHeight="1">
      <c r="B97">
        <v>86</v>
      </c>
      <c r="C97">
        <f>$I$7+B97</f>
        <v>38605</v>
      </c>
      <c r="E97">
        <f>IF($C$8*ReDiarioFert!C92&lt;=0,"0",$C$8*ReDiarioFert!C92)</f>
        <v>4.675835765343092</v>
      </c>
      <c r="G97">
        <f>$C$8*ReDiarioFert!E92</f>
        <v>2.972892655601721</v>
      </c>
      <c r="I97">
        <f>$C$8*ReDiarioFert!G92</f>
        <v>7.051412473939166</v>
      </c>
      <c r="K97">
        <f>$C$8*ReDiarioFert!I92</f>
        <v>4.264760499999999</v>
      </c>
      <c r="M97">
        <f>$C$8*ReDiarioFert!K92</f>
        <v>3.9174513744106476</v>
      </c>
      <c r="O97">
        <f>$C$8*ReDiarioFert!M92</f>
        <v>174.06804048780486</v>
      </c>
      <c r="S97">
        <f>((E97/100)*$G$134+(G97/100)*$G$135+(I97/100)*$G$136+(K97/100)*$G$137+(M97/100)*$G$138+(O97)*$G$139+(Q97*$G$140))</f>
        <v>115.96170928308234</v>
      </c>
    </row>
    <row r="98" ht="18" customHeight="1">
      <c r="B98">
        <v>87</v>
      </c>
      <c r="C98">
        <f>$I$7+B98</f>
        <v>38606</v>
      </c>
      <c r="E98">
        <f>IF($C$8*ReDiarioFert!C93&lt;=0,"0",$C$8*ReDiarioFert!C93)</f>
        <v>4.675835765343092</v>
      </c>
      <c r="G98">
        <f>$C$8*ReDiarioFert!E93</f>
        <v>2.972892655601721</v>
      </c>
      <c r="I98">
        <f>$C$8*ReDiarioFert!G93</f>
        <v>7.051412473939166</v>
      </c>
      <c r="K98">
        <f>$C$8*ReDiarioFert!I93</f>
        <v>4.264760499999999</v>
      </c>
      <c r="M98">
        <f>$C$8*ReDiarioFert!K93</f>
        <v>3.9174513744106476</v>
      </c>
      <c r="O98">
        <f>$C$8*ReDiarioFert!M93</f>
        <v>174.06804048780486</v>
      </c>
      <c r="S98">
        <f>((E98/100)*$G$134+(G98/100)*$G$135+(I98/100)*$G$136+(K98/100)*$G$137+(M98/100)*$G$138+(O98)*$G$139+(Q98*$G$140))</f>
        <v>115.96170928308234</v>
      </c>
    </row>
    <row r="99" ht="18" customHeight="1">
      <c r="B99">
        <v>88</v>
      </c>
      <c r="C99">
        <f>$I$7+B99</f>
        <v>38607</v>
      </c>
      <c r="E99">
        <f>IF($C$8*ReDiarioFert!C94&lt;=0,"0",$C$8*ReDiarioFert!C94)</f>
        <v>4.675835765343092</v>
      </c>
      <c r="G99">
        <f>$C$8*ReDiarioFert!E94</f>
        <v>2.972892655601721</v>
      </c>
      <c r="I99">
        <f>$C$8*ReDiarioFert!G94</f>
        <v>7.051412473939166</v>
      </c>
      <c r="K99">
        <f>$C$8*ReDiarioFert!I94</f>
        <v>4.264760499999999</v>
      </c>
      <c r="M99">
        <f>$C$8*ReDiarioFert!K94</f>
        <v>3.9174513744106476</v>
      </c>
      <c r="O99">
        <f>$C$8*ReDiarioFert!M94</f>
        <v>174.06804048780486</v>
      </c>
      <c r="S99">
        <f>((E99/100)*$G$134+(G99/100)*$G$135+(I99/100)*$G$136+(K99/100)*$G$137+(M99/100)*$G$138+(O99)*$G$139+(Q99*$G$140))</f>
        <v>115.96170928308234</v>
      </c>
    </row>
    <row r="100" ht="18" customHeight="1">
      <c r="B100">
        <v>89</v>
      </c>
      <c r="C100">
        <f>$I$7+B100</f>
        <v>38608</v>
      </c>
      <c r="E100">
        <f>IF($C$8*ReDiarioFert!C95&lt;=0,"0",$C$8*ReDiarioFert!C95)</f>
        <v>4.675835765343092</v>
      </c>
      <c r="G100">
        <f>$C$8*ReDiarioFert!E95</f>
        <v>2.972892655601721</v>
      </c>
      <c r="I100">
        <f>$C$8*ReDiarioFert!G95</f>
        <v>7.051412473939166</v>
      </c>
      <c r="K100">
        <f>$C$8*ReDiarioFert!I95</f>
        <v>4.264760499999999</v>
      </c>
      <c r="M100">
        <f>$C$8*ReDiarioFert!K95</f>
        <v>3.9174513744106476</v>
      </c>
      <c r="O100">
        <f>$C$8*ReDiarioFert!M95</f>
        <v>174.06804048780486</v>
      </c>
      <c r="S100">
        <f>((E100/100)*$G$134+(G100/100)*$G$135+(I100/100)*$G$136+(K100/100)*$G$137+(M100/100)*$G$138+(O100)*$G$139+(Q100*$G$140))</f>
        <v>115.96170928308234</v>
      </c>
    </row>
    <row r="101" ht="18" customHeight="1">
      <c r="B101">
        <v>90</v>
      </c>
      <c r="C101">
        <f>$I$7+B101</f>
        <v>38609</v>
      </c>
      <c r="E101">
        <f>IF($C$8*ReDiarioFert!C96&lt;=0,"0",$C$8*ReDiarioFert!C96)</f>
        <v>4.675835765343092</v>
      </c>
      <c r="G101">
        <f>$C$8*ReDiarioFert!E96</f>
        <v>2.972892655601721</v>
      </c>
      <c r="I101">
        <f>$C$8*ReDiarioFert!G96</f>
        <v>7.051412473939166</v>
      </c>
      <c r="K101">
        <f>$C$8*ReDiarioFert!I96</f>
        <v>4.264760499999999</v>
      </c>
      <c r="M101">
        <f>$C$8*ReDiarioFert!K96</f>
        <v>3.9174513744106476</v>
      </c>
      <c r="O101">
        <f>$C$8*ReDiarioFert!M96</f>
        <v>174.06804048780486</v>
      </c>
      <c r="S101">
        <f>((E101/100)*$G$134+(G101/100)*$G$135+(I101/100)*$G$136+(K101/100)*$G$137+(M101/100)*$G$138+(O101)*$G$139+(Q101*$G$140))</f>
        <v>115.96170928308234</v>
      </c>
    </row>
    <row r="102" ht="18" customHeight="1">
      <c r="B102">
        <v>91</v>
      </c>
      <c r="C102">
        <f>$I$7+B102</f>
        <v>38610</v>
      </c>
      <c r="E102">
        <f>IF($C$8*ReDiarioFert!C97&lt;=0,"0",$C$8*ReDiarioFert!C97)</f>
        <v>4.675835765343092</v>
      </c>
      <c r="G102">
        <f>$C$8*ReDiarioFert!E97</f>
        <v>2.972892655601721</v>
      </c>
      <c r="I102">
        <f>$C$8*ReDiarioFert!G97</f>
        <v>7.051412473939166</v>
      </c>
      <c r="K102">
        <f>$C$8*ReDiarioFert!I97</f>
        <v>4.264760499999999</v>
      </c>
      <c r="M102">
        <f>$C$8*ReDiarioFert!K97</f>
        <v>3.9174513744106476</v>
      </c>
      <c r="O102">
        <f>$C$8*ReDiarioFert!M97</f>
        <v>174.06804048780486</v>
      </c>
      <c r="S102">
        <f>((E102/100)*$G$134+(G102/100)*$G$135+(I102/100)*$G$136+(K102/100)*$G$137+(M102/100)*$G$138+(O102)*$G$139+(Q102*$G$140))</f>
        <v>115.96170928308234</v>
      </c>
    </row>
    <row r="103">
      <c r="A103">
        <v>14</v>
      </c>
      <c r="B103">
        <v>92</v>
      </c>
      <c r="C103">
        <f>$I$7+B103</f>
        <v>38611</v>
      </c>
      <c r="E103">
        <f>IF($C$8*ReDiarioFert!C98&lt;=0,"0",$C$8*ReDiarioFert!C98)</f>
        <v>4.675835765343092</v>
      </c>
      <c r="G103">
        <f>$C$8*ReDiarioFert!E98</f>
        <v>2.972892655601721</v>
      </c>
      <c r="I103">
        <f>$C$8*ReDiarioFert!G98</f>
        <v>7.051412473939166</v>
      </c>
      <c r="K103">
        <f>$C$8*ReDiarioFert!I98</f>
        <v>4.264760499999999</v>
      </c>
      <c r="M103">
        <f>$C$8*ReDiarioFert!K98</f>
        <v>3.9174513744106476</v>
      </c>
      <c r="O103">
        <f>$C$8*ReDiarioFert!M98</f>
        <v>174.06804048780486</v>
      </c>
      <c r="Q103">
        <f>20*$C$8</f>
        <v>20.019999999999996</v>
      </c>
      <c r="S103">
        <f>((E103/100)*$G$134+(G103/100)*$G$135+(I103/100)*$G$136+(K103/100)*$G$137+(M103/100)*$G$138+(O103)*$G$139+(Q103*$G$140))</f>
        <v>144.99070928308234</v>
      </c>
    </row>
    <row r="104">
      <c r="B104">
        <v>93</v>
      </c>
      <c r="C104">
        <f>$I$7+B104</f>
        <v>38612</v>
      </c>
      <c r="E104">
        <f>IF($C$8*ReDiarioFert!C99&lt;=0,"0",$C$8*ReDiarioFert!C99)</f>
        <v>4.675835765343092</v>
      </c>
      <c r="G104">
        <f>$C$8*ReDiarioFert!E99</f>
        <v>2.972892655601721</v>
      </c>
      <c r="I104">
        <f>$C$8*ReDiarioFert!G99</f>
        <v>7.051412473939166</v>
      </c>
      <c r="K104">
        <f>$C$8*ReDiarioFert!I99</f>
        <v>4.264760499999999</v>
      </c>
      <c r="M104">
        <f>$C$8*ReDiarioFert!K99</f>
        <v>3.9174513744106476</v>
      </c>
      <c r="O104">
        <f>$C$8*ReDiarioFert!M99</f>
        <v>174.06804048780486</v>
      </c>
      <c r="S104">
        <f>((E104/100)*$G$134+(G104/100)*$G$135+(I104/100)*$G$136+(K104/100)*$G$137+(M104/100)*$G$138+(O104)*$G$139+(Q104*$G$140))</f>
        <v>115.96170928308234</v>
      </c>
    </row>
    <row r="105">
      <c r="B105">
        <v>94</v>
      </c>
      <c r="C105">
        <f>$I$7+B105</f>
        <v>38613</v>
      </c>
      <c r="E105">
        <f>IF($C$8*ReDiarioFert!C100&lt;=0,"0",$C$8*ReDiarioFert!C100)</f>
        <v>4.675835765343092</v>
      </c>
      <c r="G105">
        <f>$C$8*ReDiarioFert!E100</f>
        <v>2.972892655601721</v>
      </c>
      <c r="I105">
        <f>$C$8*ReDiarioFert!G100</f>
        <v>7.051412473939166</v>
      </c>
      <c r="K105">
        <f>$C$8*ReDiarioFert!I100</f>
        <v>4.264760499999999</v>
      </c>
      <c r="M105">
        <f>$C$8*ReDiarioFert!K100</f>
        <v>3.9174513744106476</v>
      </c>
      <c r="O105">
        <f>$C$8*ReDiarioFert!M100</f>
        <v>174.06804048780486</v>
      </c>
      <c r="S105">
        <f>((E105/100)*$G$134+(G105/100)*$G$135+(I105/100)*$G$136+(K105/100)*$G$137+(M105/100)*$G$138+(O105)*$G$139+(Q105*$G$140))</f>
        <v>115.96170928308234</v>
      </c>
    </row>
    <row r="106">
      <c r="B106">
        <v>95</v>
      </c>
      <c r="C106">
        <f>$I$7+B106</f>
        <v>38614</v>
      </c>
      <c r="E106">
        <f>IF($C$8*ReDiarioFert!C101&lt;=0,"0",$C$8*ReDiarioFert!C101)</f>
        <v>4.675835765343092</v>
      </c>
      <c r="G106">
        <f>$C$8*ReDiarioFert!E101</f>
        <v>2.972892655601721</v>
      </c>
      <c r="I106">
        <f>$C$8*ReDiarioFert!G101</f>
        <v>7.051412473939166</v>
      </c>
      <c r="K106">
        <f>$C$8*ReDiarioFert!I101</f>
        <v>4.264760499999999</v>
      </c>
      <c r="M106">
        <f>$C$8*ReDiarioFert!K101</f>
        <v>3.9174513744106476</v>
      </c>
      <c r="O106">
        <f>$C$8*ReDiarioFert!M101</f>
        <v>174.06804048780486</v>
      </c>
      <c r="S106">
        <f>((E106/100)*$G$134+(G106/100)*$G$135+(I106/100)*$G$136+(K106/100)*$G$137+(M106/100)*$G$138+(O106)*$G$139+(Q106*$G$140))</f>
        <v>115.96170928308234</v>
      </c>
    </row>
    <row r="107">
      <c r="B107">
        <v>96</v>
      </c>
      <c r="C107">
        <f>$I$7+B107</f>
        <v>38615</v>
      </c>
      <c r="E107">
        <f>IF($C$8*ReDiarioFert!C102&lt;=0,"0",$C$8*ReDiarioFert!C102)</f>
        <v>4.675835765343092</v>
      </c>
      <c r="G107">
        <f>$C$8*ReDiarioFert!E102</f>
        <v>2.972892655601721</v>
      </c>
      <c r="I107">
        <f>$C$8*ReDiarioFert!G102</f>
        <v>7.051412473939166</v>
      </c>
      <c r="K107">
        <f>$C$8*ReDiarioFert!I102</f>
        <v>4.264760499999999</v>
      </c>
      <c r="M107">
        <f>$C$8*ReDiarioFert!K102</f>
        <v>3.9174513744106476</v>
      </c>
      <c r="O107">
        <f>$C$8*ReDiarioFert!M102</f>
        <v>174.06804048780486</v>
      </c>
      <c r="S107">
        <f>((E107/100)*$G$134+(G107/100)*$G$135+(I107/100)*$G$136+(K107/100)*$G$137+(M107/100)*$G$138+(O107)*$G$139+(Q107*$G$140))</f>
        <v>115.96170928308234</v>
      </c>
    </row>
    <row r="108">
      <c r="B108">
        <v>97</v>
      </c>
      <c r="C108">
        <f>$I$7+B108</f>
        <v>38616</v>
      </c>
      <c r="E108">
        <f>IF($C$8*ReDiarioFert!C103&lt;=0,"0",$C$8*ReDiarioFert!C103)</f>
        <v>4.675835765343092</v>
      </c>
      <c r="G108">
        <f>$C$8*ReDiarioFert!E103</f>
        <v>2.972892655601721</v>
      </c>
      <c r="I108">
        <f>$C$8*ReDiarioFert!G103</f>
        <v>7.051412473939166</v>
      </c>
      <c r="K108">
        <f>$C$8*ReDiarioFert!I103</f>
        <v>4.264760499999999</v>
      </c>
      <c r="M108">
        <f>$C$8*ReDiarioFert!K103</f>
        <v>3.9174513744106476</v>
      </c>
      <c r="O108">
        <f>$C$8*ReDiarioFert!M103</f>
        <v>174.06804048780486</v>
      </c>
      <c r="S108">
        <f>((E108/100)*$G$134+(G108/100)*$G$135+(I108/100)*$G$136+(K108/100)*$G$137+(M108/100)*$G$138+(O108)*$G$139+(Q108*$G$140))</f>
        <v>115.96170928308234</v>
      </c>
    </row>
    <row r="109">
      <c r="B109">
        <v>98</v>
      </c>
      <c r="C109">
        <f>$I$7+B109</f>
        <v>38617</v>
      </c>
      <c r="E109">
        <f>IF($C$8*ReDiarioFert!C104&lt;=0,"0",$C$8*ReDiarioFert!C104)</f>
        <v>4.675835765343092</v>
      </c>
      <c r="G109">
        <f>$C$8*ReDiarioFert!E104</f>
        <v>2.972892655601721</v>
      </c>
      <c r="I109">
        <f>$C$8*ReDiarioFert!G104</f>
        <v>7.051412473939166</v>
      </c>
      <c r="K109">
        <f>$C$8*ReDiarioFert!I104</f>
        <v>4.264760499999999</v>
      </c>
      <c r="M109">
        <f>$C$8*ReDiarioFert!K104</f>
        <v>3.9174513744106476</v>
      </c>
      <c r="O109">
        <f>$C$8*ReDiarioFert!M104</f>
        <v>174.06804048780486</v>
      </c>
      <c r="S109">
        <f>((E109/100)*$G$134+(G109/100)*$G$135+(I109/100)*$G$136+(K109/100)*$G$137+(M109/100)*$G$138+(O109)*$G$139+(Q109*$G$140))</f>
        <v>115.96170928308234</v>
      </c>
    </row>
    <row r="110">
      <c r="A110">
        <v>15</v>
      </c>
      <c r="B110">
        <v>99</v>
      </c>
      <c r="C110">
        <f>$I$7+B110</f>
        <v>38618</v>
      </c>
      <c r="E110">
        <f>IF($C$8*ReDiarioFert!C105&lt;=0,"0",$C$8*ReDiarioFert!C105)</f>
        <v>4.675835765343092</v>
      </c>
      <c r="G110">
        <f>$C$8*ReDiarioFert!E105</f>
        <v>2.972892655601721</v>
      </c>
      <c r="I110">
        <f>$C$8*ReDiarioFert!G105</f>
        <v>7.051412473939166</v>
      </c>
      <c r="K110">
        <f>$C$8*ReDiarioFert!I105</f>
        <v>4.264760499999999</v>
      </c>
      <c r="M110">
        <f>$C$8*ReDiarioFert!K105</f>
        <v>3.9174513744106476</v>
      </c>
      <c r="O110">
        <f>$C$8*ReDiarioFert!M105</f>
        <v>174.06804048780486</v>
      </c>
      <c r="Q110">
        <f>20*$C$8</f>
        <v>20.019999999999996</v>
      </c>
      <c r="S110">
        <f>((E110/100)*$G$134+(G110/100)*$G$135+(I110/100)*$G$136+(K110/100)*$G$137+(M110/100)*$G$138+(O110)*$G$139+(Q110*$G$140))</f>
        <v>144.99070928308234</v>
      </c>
    </row>
    <row r="111">
      <c r="B111">
        <v>100</v>
      </c>
      <c r="C111">
        <f>$I$7+B111</f>
        <v>38619</v>
      </c>
      <c r="E111">
        <f>IF($C$8*ReDiarioFert!C106&lt;=0,"0",$C$8*ReDiarioFert!C106)</f>
        <v>4.675835765343092</v>
      </c>
      <c r="G111">
        <f>$C$8*ReDiarioFert!E106</f>
        <v>2.972892655601721</v>
      </c>
      <c r="I111">
        <f>$C$8*ReDiarioFert!G106</f>
        <v>7.051412473939166</v>
      </c>
      <c r="K111">
        <f>$C$8*ReDiarioFert!I106</f>
        <v>4.264760499999999</v>
      </c>
      <c r="M111">
        <f>$C$8*ReDiarioFert!K106</f>
        <v>3.9174513744106476</v>
      </c>
      <c r="O111">
        <f>$C$8*ReDiarioFert!M106</f>
        <v>174.06804048780486</v>
      </c>
      <c r="S111">
        <f>((E111/100)*$G$134+(G111/100)*$G$135+(I111/100)*$G$136+(K111/100)*$G$137+(M111/100)*$G$138+(O111)*$G$139+(Q111*$G$140))</f>
        <v>115.96170928308234</v>
      </c>
    </row>
    <row r="112">
      <c r="B112">
        <v>101</v>
      </c>
      <c r="C112">
        <f>$I$7+B112</f>
        <v>38620</v>
      </c>
      <c r="E112">
        <f>IF($C$8*ReDiarioFert!C107&lt;=0,"0",$C$8*ReDiarioFert!C107)</f>
        <v>4.675835765343092</v>
      </c>
      <c r="G112">
        <f>$C$8*ReDiarioFert!E107</f>
        <v>2.972892655601721</v>
      </c>
      <c r="I112">
        <f>$C$8*ReDiarioFert!G107</f>
        <v>7.051412473939166</v>
      </c>
      <c r="K112">
        <f>$C$8*ReDiarioFert!I107</f>
        <v>4.264760499999999</v>
      </c>
      <c r="M112">
        <f>$C$8*ReDiarioFert!K107</f>
        <v>3.9174513744106476</v>
      </c>
      <c r="O112">
        <f>$C$8*ReDiarioFert!M107</f>
        <v>174.06804048780486</v>
      </c>
      <c r="S112">
        <f>((E112/100)*$G$134+(G112/100)*$G$135+(I112/100)*$G$136+(K112/100)*$G$137+(M112/100)*$G$138+(O112)*$G$139+(Q112*$G$140))</f>
        <v>115.96170928308234</v>
      </c>
    </row>
    <row r="113">
      <c r="B113">
        <v>102</v>
      </c>
      <c r="C113">
        <f>$I$7+B113</f>
        <v>38621</v>
      </c>
      <c r="E113">
        <f>IF($C$8*ReDiarioFert!C108&lt;=0,"0",$C$8*ReDiarioFert!C108)</f>
        <v>4.675835765343092</v>
      </c>
      <c r="G113">
        <f>$C$8*ReDiarioFert!E108</f>
        <v>2.972892655601721</v>
      </c>
      <c r="I113">
        <f>$C$8*ReDiarioFert!G108</f>
        <v>7.051412473939166</v>
      </c>
      <c r="K113">
        <f>$C$8*ReDiarioFert!I108</f>
        <v>4.264760499999999</v>
      </c>
      <c r="M113">
        <f>$C$8*ReDiarioFert!K108</f>
        <v>3.9174513744106476</v>
      </c>
      <c r="O113">
        <f>$C$8*ReDiarioFert!M108</f>
        <v>174.06804048780486</v>
      </c>
      <c r="S113">
        <f>((E113/100)*$G$134+(G113/100)*$G$135+(I113/100)*$G$136+(K113/100)*$G$137+(M113/100)*$G$138+(O113)*$G$139+(Q113*$G$140))</f>
        <v>115.96170928308234</v>
      </c>
    </row>
    <row r="114">
      <c r="B114">
        <v>103</v>
      </c>
      <c r="C114">
        <f>$I$7+B114</f>
        <v>38622</v>
      </c>
      <c r="E114">
        <f>IF($C$8*ReDiarioFert!C109&lt;=0,"0",$C$8*ReDiarioFert!C109)</f>
        <v>4.675835765343092</v>
      </c>
      <c r="G114">
        <f>$C$8*ReDiarioFert!E109</f>
        <v>2.972892655601721</v>
      </c>
      <c r="I114">
        <f>$C$8*ReDiarioFert!G109</f>
        <v>7.051412473939166</v>
      </c>
      <c r="K114">
        <f>$C$8*ReDiarioFert!I109</f>
        <v>4.264760499999999</v>
      </c>
      <c r="M114">
        <f>$C$8*ReDiarioFert!K109</f>
        <v>3.9174513744106476</v>
      </c>
      <c r="O114">
        <f>$C$8*ReDiarioFert!M109</f>
        <v>174.06804048780486</v>
      </c>
      <c r="S114">
        <f>((E114/100)*$G$134+(G114/100)*$G$135+(I114/100)*$G$136+(K114/100)*$G$137+(M114/100)*$G$138+(O114)*$G$139+(Q114*$G$140))</f>
        <v>115.96170928308234</v>
      </c>
    </row>
    <row r="115">
      <c r="B115">
        <v>104</v>
      </c>
      <c r="C115">
        <f>$I$7+B115</f>
        <v>38623</v>
      </c>
      <c r="E115">
        <f>IF($C$8*ReDiarioFert!C110&lt;=0,"0",$C$8*ReDiarioFert!C110)</f>
        <v>4.675835765343092</v>
      </c>
      <c r="G115">
        <f>$C$8*ReDiarioFert!E110</f>
        <v>2.972892655601721</v>
      </c>
      <c r="I115">
        <f>$C$8*ReDiarioFert!G110</f>
        <v>7.051412473939166</v>
      </c>
      <c r="K115">
        <f>$C$8*ReDiarioFert!I110</f>
        <v>4.264760499999999</v>
      </c>
      <c r="M115">
        <f>$C$8*ReDiarioFert!K110</f>
        <v>3.9174513744106476</v>
      </c>
      <c r="O115">
        <f>$C$8*ReDiarioFert!M110</f>
        <v>174.06804048780486</v>
      </c>
      <c r="S115">
        <f>((E115/100)*$G$134+(G115/100)*$G$135+(I115/100)*$G$136+(K115/100)*$G$137+(M115/100)*$G$138+(O115)*$G$139+(Q115*$G$140))</f>
        <v>115.96170928308234</v>
      </c>
    </row>
    <row r="116">
      <c r="B116">
        <v>105</v>
      </c>
      <c r="C116">
        <f>$I$7+B116</f>
        <v>38624</v>
      </c>
      <c r="E116">
        <f>IF($C$8*ReDiarioFert!C111&lt;=0,"0",$C$8*ReDiarioFert!C111)</f>
        <v>4.675835765343092</v>
      </c>
      <c r="G116">
        <f>$C$8*ReDiarioFert!E111</f>
        <v>2.972892655601721</v>
      </c>
      <c r="I116">
        <f>$C$8*ReDiarioFert!G111</f>
        <v>7.051412473939166</v>
      </c>
      <c r="K116">
        <f>$C$8*ReDiarioFert!I111</f>
        <v>4.264760499999999</v>
      </c>
      <c r="M116">
        <f>$C$8*ReDiarioFert!K111</f>
        <v>3.9174513744106476</v>
      </c>
      <c r="O116">
        <f>$C$8*ReDiarioFert!M111</f>
        <v>174.06804048780486</v>
      </c>
      <c r="S116">
        <f>((E116/100)*$G$134+(G116/100)*$G$135+(I116/100)*$G$136+(K116/100)*$G$137+(M116/100)*$G$138+(O116)*$G$139+(Q116*$G$140))</f>
        <v>115.96170928308234</v>
      </c>
    </row>
    <row r="117">
      <c r="A117">
        <v>16</v>
      </c>
      <c r="B117">
        <v>106</v>
      </c>
      <c r="C117">
        <f>$I$7+B117</f>
        <v>38625</v>
      </c>
      <c r="E117">
        <f>IF($C$8*ReDiarioFert!C112&lt;=0,"0",$C$8*ReDiarioFert!C112)</f>
        <v>4.675835765343092</v>
      </c>
      <c r="G117">
        <f>$C$8*ReDiarioFert!E112</f>
        <v>2.972892655601721</v>
      </c>
      <c r="I117">
        <f>$C$8*ReDiarioFert!G112</f>
        <v>7.051412473939166</v>
      </c>
      <c r="K117">
        <f>$C$8*ReDiarioFert!I112</f>
        <v>4.264760499999999</v>
      </c>
      <c r="M117">
        <f>$C$8*ReDiarioFert!K112</f>
        <v>3.9174513744106476</v>
      </c>
      <c r="O117">
        <f>$C$8*ReDiarioFert!M112</f>
        <v>174.06804048780486</v>
      </c>
      <c r="Q117">
        <f>20*$C$8</f>
        <v>20.019999999999996</v>
      </c>
      <c r="S117">
        <f>((E117/100)*$G$134+(G117/100)*$G$135+(I117/100)*$G$136+(K117/100)*$G$137+(M117/100)*$G$138+(O117)*$G$139+(Q117*$G$140))</f>
        <v>144.99070928308234</v>
      </c>
    </row>
    <row r="118">
      <c r="B118">
        <v>107</v>
      </c>
      <c r="C118">
        <f>$I$7+B118</f>
        <v>38626</v>
      </c>
      <c r="E118">
        <f>IF($C$8*ReDiarioFert!C113&lt;=0,"0",$C$8*ReDiarioFert!C113)</f>
        <v>4.675835765343092</v>
      </c>
      <c r="G118">
        <f>$C$8*ReDiarioFert!E113</f>
        <v>2.972892655601721</v>
      </c>
      <c r="I118">
        <f>$C$8*ReDiarioFert!G113</f>
        <v>7.051412473939166</v>
      </c>
      <c r="K118">
        <f>$C$8*ReDiarioFert!I113</f>
        <v>4.264760499999999</v>
      </c>
      <c r="M118">
        <f>$C$8*ReDiarioFert!K113</f>
        <v>3.9174513744106476</v>
      </c>
      <c r="O118">
        <f>$C$8*ReDiarioFert!M113</f>
        <v>174.06804048780486</v>
      </c>
      <c r="S118">
        <f>((E118/100)*$G$134+(G118/100)*$G$135+(I118/100)*$G$136+(K118/100)*$G$137+(M118/100)*$G$138+(O118)*$G$139+(Q118*$G$140))</f>
        <v>115.96170928308234</v>
      </c>
    </row>
    <row r="119">
      <c r="B119">
        <v>108</v>
      </c>
      <c r="C119">
        <f>$I$7+B119</f>
        <v>38627</v>
      </c>
      <c r="E119">
        <f>IF($C$8*ReDiarioFert!C114&lt;=0,"0",$C$8*ReDiarioFert!C114)</f>
        <v>4.675835765343092</v>
      </c>
      <c r="G119">
        <f>$C$8*ReDiarioFert!E114</f>
        <v>2.972892655601721</v>
      </c>
      <c r="I119">
        <f>$C$8*ReDiarioFert!G114</f>
        <v>7.051412473939166</v>
      </c>
      <c r="K119">
        <f>$C$8*ReDiarioFert!I114</f>
        <v>4.264760499999999</v>
      </c>
      <c r="M119">
        <f>$C$8*ReDiarioFert!K114</f>
        <v>3.9174513744106476</v>
      </c>
      <c r="O119">
        <f>$C$8*ReDiarioFert!M114</f>
        <v>174.06804048780486</v>
      </c>
      <c r="S119">
        <f>((E119/100)*$G$134+(G119/100)*$G$135+(I119/100)*$G$136+(K119/100)*$G$137+(M119/100)*$G$138+(O119)*$G$139+(Q119*$G$140))</f>
        <v>115.96170928308234</v>
      </c>
    </row>
    <row r="120">
      <c r="B120">
        <v>109</v>
      </c>
      <c r="C120">
        <f>$I$7+B120</f>
        <v>38628</v>
      </c>
      <c r="E120">
        <f>IF($C$8*ReDiarioFert!C115&lt;=0,"0",$C$8*ReDiarioFert!C115)</f>
        <v>4.675835765343092</v>
      </c>
      <c r="G120">
        <f>$C$8*ReDiarioFert!E115</f>
        <v>2.972892655601721</v>
      </c>
      <c r="I120">
        <f>$C$8*ReDiarioFert!G115</f>
        <v>7.051412473939166</v>
      </c>
      <c r="K120">
        <f>$C$8*ReDiarioFert!I115</f>
        <v>4.264760499999999</v>
      </c>
      <c r="M120">
        <f>$C$8*ReDiarioFert!K115</f>
        <v>3.9174513744106476</v>
      </c>
      <c r="O120">
        <f>$C$8*ReDiarioFert!M115</f>
        <v>174.06804048780486</v>
      </c>
      <c r="S120">
        <f>((E120/100)*$G$134+(G120/100)*$G$135+(I120/100)*$G$136+(K120/100)*$G$137+(M120/100)*$G$138+(O120)*$G$139+(Q120*$G$140))</f>
        <v>115.96170928308234</v>
      </c>
    </row>
    <row r="121">
      <c r="B121">
        <v>110</v>
      </c>
      <c r="C121">
        <f>$I$7+B121</f>
        <v>38629</v>
      </c>
      <c r="E121">
        <f>IF($C$8*ReDiarioFert!C116&lt;=0,"0",$C$8*ReDiarioFert!C116)</f>
        <v>4.675835765343092</v>
      </c>
      <c r="G121">
        <f>$C$8*ReDiarioFert!E116</f>
        <v>2.972892655601721</v>
      </c>
      <c r="I121">
        <f>$C$8*ReDiarioFert!G116</f>
        <v>7.051412473939166</v>
      </c>
      <c r="K121">
        <f>$C$8*ReDiarioFert!I116</f>
        <v>4.264760499999999</v>
      </c>
      <c r="M121">
        <f>$C$8*ReDiarioFert!K116</f>
        <v>3.9174513744106476</v>
      </c>
      <c r="O121">
        <f>$C$8*ReDiarioFert!M116</f>
        <v>174.06804048780486</v>
      </c>
      <c r="S121">
        <f>((E121/100)*$G$134+(G121/100)*$G$135+(I121/100)*$G$136+(K121/100)*$G$137+(M121/100)*$G$138+(O121)*$G$139+(Q121*$G$140))</f>
        <v>115.96170928308234</v>
      </c>
    </row>
    <row r="122">
      <c r="B122">
        <v>111</v>
      </c>
      <c r="C122">
        <f>$I$7+B122</f>
        <v>38630</v>
      </c>
      <c r="E122">
        <f>IF($C$8*ReDiarioFert!C117&lt;=0,"0",$C$8*ReDiarioFert!C117)</f>
        <v>4.675835765343092</v>
      </c>
      <c r="G122">
        <f>$C$8*ReDiarioFert!E117</f>
        <v>2.972892655601721</v>
      </c>
      <c r="I122">
        <f>$C$8*ReDiarioFert!G117</f>
        <v>7.051412473939166</v>
      </c>
      <c r="K122">
        <f>$C$8*ReDiarioFert!I117</f>
        <v>4.264760499999999</v>
      </c>
      <c r="M122">
        <f>$C$8*ReDiarioFert!K117</f>
        <v>3.9174513744106476</v>
      </c>
      <c r="O122">
        <f>$C$8*ReDiarioFert!M117</f>
        <v>174.06804048780486</v>
      </c>
      <c r="S122">
        <f>((E122/100)*$G$134+(G122/100)*$G$135+(I122/100)*$G$136+(K122/100)*$G$137+(M122/100)*$G$138+(O122)*$G$139+(Q122*$G$140))</f>
        <v>115.96170928308234</v>
      </c>
    </row>
    <row r="123">
      <c r="B123">
        <v>112</v>
      </c>
      <c r="C123">
        <f>$I$7+B123</f>
        <v>38631</v>
      </c>
      <c r="E123">
        <f>IF($C$8*ReDiarioFert!C118&lt;=0,"0",$C$8*ReDiarioFert!C118)</f>
        <v>4.675835765343092</v>
      </c>
      <c r="G123">
        <f>$C$8*ReDiarioFert!E118</f>
        <v>2.972892655601721</v>
      </c>
      <c r="I123">
        <f>$C$8*ReDiarioFert!G118</f>
        <v>7.051412473939166</v>
      </c>
      <c r="K123">
        <f>$C$8*ReDiarioFert!I118</f>
        <v>4.264760499999999</v>
      </c>
      <c r="M123">
        <f>$C$8*ReDiarioFert!K118</f>
        <v>3.9174513744106476</v>
      </c>
      <c r="O123">
        <f>$C$8*ReDiarioFert!M118</f>
        <v>174.06804048780486</v>
      </c>
      <c r="S123">
        <f>((E123/100)*$G$134+(G123/100)*$G$135+(I123/100)*$G$136+(K123/100)*$G$137+(M123/100)*$G$138+(O123)*$G$139+(Q123*$G$140))</f>
        <v>115.96170928308234</v>
      </c>
    </row>
    <row r="124">
      <c r="A124">
        <v>17</v>
      </c>
      <c r="B124">
        <v>113</v>
      </c>
      <c r="C124">
        <f>$I$7+B124</f>
        <v>38632</v>
      </c>
      <c r="E124">
        <f>IF($C$8*ReDiarioFert!C119&lt;=0,"0",$C$8*ReDiarioFert!C119)</f>
        <v>4.675835765343092</v>
      </c>
      <c r="G124">
        <f>$C$8*ReDiarioFert!E119</f>
        <v>2.972892655601721</v>
      </c>
      <c r="I124">
        <f>$C$8*ReDiarioFert!G119</f>
        <v>7.051412473939166</v>
      </c>
      <c r="K124">
        <f>$C$8*ReDiarioFert!I119</f>
        <v>4.264760499999999</v>
      </c>
      <c r="M124">
        <f>$C$8*ReDiarioFert!K119</f>
        <v>3.9174513744106476</v>
      </c>
      <c r="O124">
        <f>$C$8*ReDiarioFert!M119</f>
        <v>174.06804048780486</v>
      </c>
      <c r="Q124">
        <f>20*$C$8</f>
        <v>20.019999999999996</v>
      </c>
      <c r="S124">
        <f>((E124/100)*$G$134+(G124/100)*$G$135+(I124/100)*$G$136+(K124/100)*$G$137+(M124/100)*$G$138+(O124)*$G$139+(Q124*$G$140))</f>
        <v>144.99070928308234</v>
      </c>
    </row>
    <row r="125">
      <c r="B125">
        <v>114</v>
      </c>
      <c r="C125">
        <f>$I$7+B125</f>
        <v>38633</v>
      </c>
      <c r="E125">
        <f>IF($C$8*ReDiarioFert!C120&lt;=0,"0",$C$8*ReDiarioFert!C120)</f>
        <v>4.675835765343092</v>
      </c>
      <c r="G125">
        <f>$C$8*ReDiarioFert!E120</f>
        <v>2.972892655601721</v>
      </c>
      <c r="I125">
        <f>$C$8*ReDiarioFert!G120</f>
        <v>7.051412473939166</v>
      </c>
      <c r="K125">
        <f>$C$8*ReDiarioFert!I120</f>
        <v>4.264760499999999</v>
      </c>
      <c r="M125">
        <f>$C$8*ReDiarioFert!K120</f>
        <v>3.9174513744106476</v>
      </c>
      <c r="O125">
        <f>$C$8*ReDiarioFert!M120</f>
        <v>174.06804048780486</v>
      </c>
      <c r="S125">
        <f>((E125/100)*$G$134+(G125/100)*$G$135+(I125/100)*$G$136+(K125/100)*$G$137+(M125/100)*$G$138+(O125)*$G$139+(Q125*$G$140))</f>
        <v>115.96170928308234</v>
      </c>
    </row>
    <row r="126">
      <c r="B126">
        <v>115</v>
      </c>
      <c r="C126">
        <f>$I$7+B126</f>
        <v>38634</v>
      </c>
      <c r="E126">
        <f>IF($C$8*ReDiarioFert!C121&lt;=0,"0",$C$8*ReDiarioFert!C121)</f>
        <v>4.675835765343092</v>
      </c>
      <c r="G126">
        <f>$C$8*ReDiarioFert!E121</f>
        <v>2.972892655601721</v>
      </c>
      <c r="I126">
        <f>$C$8*ReDiarioFert!G121</f>
        <v>7.051412473939166</v>
      </c>
      <c r="K126">
        <f>$C$8*ReDiarioFert!I121</f>
        <v>4.264760499999999</v>
      </c>
      <c r="M126">
        <f>$C$8*ReDiarioFert!K121</f>
        <v>3.9174513744106476</v>
      </c>
      <c r="O126">
        <f>$C$8*ReDiarioFert!M121</f>
        <v>174.06804048780486</v>
      </c>
      <c r="S126">
        <f>((E126/100)*$G$134+(G126/100)*$G$135+(I126/100)*$G$136+(K126/100)*$G$137+(M126/100)*$G$138+(O126)*$G$139+(Q126*$G$140))</f>
        <v>115.96170928308234</v>
      </c>
    </row>
    <row r="127">
      <c r="B127">
        <v>116</v>
      </c>
      <c r="C127">
        <f>$I$7+B127</f>
        <v>38635</v>
      </c>
      <c r="E127">
        <f>IF($C$8*ReDiarioFert!C122&lt;=0,"0",$C$8*ReDiarioFert!C122)</f>
        <v>4.675835765343092</v>
      </c>
      <c r="G127">
        <f>$C$8*ReDiarioFert!E122</f>
        <v>2.972892655601721</v>
      </c>
      <c r="I127">
        <f>$C$8*ReDiarioFert!G122</f>
        <v>7.051412473939166</v>
      </c>
      <c r="K127">
        <f>$C$8*ReDiarioFert!I122</f>
        <v>4.264760499999999</v>
      </c>
      <c r="M127">
        <f>$C$8*ReDiarioFert!K122</f>
        <v>3.9174513744106476</v>
      </c>
      <c r="O127">
        <f>$C$8*ReDiarioFert!M122</f>
        <v>174.06804048780486</v>
      </c>
      <c r="S127">
        <f>((E127/100)*$G$134+(G127/100)*$G$135+(I127/100)*$G$136+(K127/100)*$G$137+(M127/100)*$G$138+(O127)*$G$139+(Q127*$G$140))</f>
        <v>115.96170928308234</v>
      </c>
    </row>
    <row r="128">
      <c r="B128">
        <v>117</v>
      </c>
      <c r="C128">
        <f>$I$7+B128</f>
        <v>38636</v>
      </c>
      <c r="E128">
        <f>IF($C$8*ReDiarioFert!C123&lt;=0,"0",$C$8*ReDiarioFert!C123)</f>
        <v>4.675835765343092</v>
      </c>
      <c r="G128">
        <f>$C$8*ReDiarioFert!E123</f>
        <v>2.972892655601721</v>
      </c>
      <c r="I128">
        <f>$C$8*ReDiarioFert!G123</f>
        <v>7.051412473939166</v>
      </c>
      <c r="K128">
        <f>$C$8*ReDiarioFert!I123</f>
        <v>4.264760499999999</v>
      </c>
      <c r="M128">
        <f>$C$8*ReDiarioFert!K123</f>
        <v>3.9174513744106476</v>
      </c>
      <c r="O128">
        <f>$C$8*ReDiarioFert!M123</f>
        <v>174.06804048780486</v>
      </c>
      <c r="S128">
        <f>((E128/100)*$G$134+(G128/100)*$G$135+(I128/100)*$G$136+(K128/100)*$G$137+(M128/100)*$G$138+(O128)*$G$139+(Q128*$G$140))</f>
        <v>115.96170928308234</v>
      </c>
    </row>
    <row r="129">
      <c r="B129">
        <v>118</v>
      </c>
      <c r="C129">
        <f>$I$7+B129</f>
        <v>38637</v>
      </c>
      <c r="E129">
        <f>IF($C$8*ReDiarioFert!C124&lt;=0,"0",$C$8*ReDiarioFert!C124)</f>
        <v>4.675835765343092</v>
      </c>
      <c r="G129">
        <f>$C$8*ReDiarioFert!E124</f>
        <v>2.972892655601721</v>
      </c>
      <c r="I129">
        <f>$C$8*ReDiarioFert!G124</f>
        <v>7.051412473939166</v>
      </c>
      <c r="K129">
        <f>$C$8*ReDiarioFert!I124</f>
        <v>4.264760499999999</v>
      </c>
      <c r="M129">
        <f>$C$8*ReDiarioFert!K124</f>
        <v>3.9174513744106476</v>
      </c>
      <c r="O129">
        <f>$C$8*ReDiarioFert!M124</f>
        <v>174.06804048780486</v>
      </c>
      <c r="S129">
        <f>((E129/100)*$G$134+(G129/100)*$G$135+(I129/100)*$G$136+(K129/100)*$G$137+(M129/100)*$G$138+(O129)*$G$139+(Q129*$G$140))</f>
        <v>115.96170928308234</v>
      </c>
    </row>
    <row r="130">
      <c r="B130">
        <v>119</v>
      </c>
      <c r="C130">
        <f>$I$7+B130</f>
        <v>38638</v>
      </c>
      <c r="E130">
        <f>IF($C$8*ReDiarioFert!C125&lt;=0,"0",$C$8*ReDiarioFert!C125)</f>
        <v>4.675835765343092</v>
      </c>
      <c r="G130">
        <f>$C$8*ReDiarioFert!E125</f>
        <v>2.972892655601721</v>
      </c>
      <c r="I130">
        <f>$C$8*ReDiarioFert!G125</f>
        <v>7.051412473939166</v>
      </c>
      <c r="K130">
        <f>$C$8*ReDiarioFert!I125</f>
        <v>4.264760499999999</v>
      </c>
      <c r="M130">
        <f>$C$8*ReDiarioFert!K125</f>
        <v>3.9174513744106476</v>
      </c>
      <c r="O130">
        <f>$C$8*ReDiarioFert!M125</f>
        <v>174.06804048780486</v>
      </c>
      <c r="S130">
        <f>((E130/100)*$G$134+(G130/100)*$G$135+(I130/100)*$G$136+(K130/100)*$G$137+(M130/100)*$G$138+(O130)*$G$139+(Q130*$G$140))</f>
        <v>115.96170928308234</v>
      </c>
    </row>
    <row r="131">
      <c r="C131" t="str">
        <v>Total</v>
      </c>
      <c r="E131">
        <f>SUM(E12:E130)</f>
        <v>636.6496212875277</v>
      </c>
      <c r="G131">
        <f>SUM(G12:G130)</f>
        <v>474.1658490531242</v>
      </c>
      <c r="I131">
        <f>SUM(I12:I130)</f>
        <v>954.6466135322796</v>
      </c>
      <c r="K131">
        <f>SUM(K12:K130)</f>
        <v>577.3803034999997</v>
      </c>
      <c r="M131">
        <f>SUM(M12:M130)</f>
        <v>530.359229740154</v>
      </c>
      <c r="O131">
        <f>SUM(O12:O130)</f>
        <v>13825.971671707288</v>
      </c>
      <c r="Q131">
        <f>SUM(Q12:Q130)</f>
        <v>340.3399999999998</v>
      </c>
      <c r="S131">
        <f>SUM(S12:S130)</f>
        <v>16944.45337656554</v>
      </c>
    </row>
    <row r="133" ht="39.75" customHeight="1">
      <c r="B133" t="str">
        <v>Producto</v>
      </c>
      <c r="F133" t="str">
        <v>Lbs/Ha</v>
      </c>
      <c r="G133" t="str">
        <v>Costo Lps/qq</v>
      </c>
    </row>
    <row r="134">
      <c r="B134" t="str">
        <f>ReSemanalFert!C4</f>
        <v>Urea</v>
      </c>
      <c r="F134">
        <f>E131/C8</f>
        <v>636.013607679848</v>
      </c>
      <c r="G134">
        <f>Main!D37</f>
        <v>310</v>
      </c>
    </row>
    <row r="135">
      <c r="B135" t="str">
        <f>ReSemanalFert!E4</f>
        <v>MAP 12-61-0</v>
      </c>
      <c r="F135">
        <f>G131/C8</f>
        <v>473.692156896228</v>
      </c>
      <c r="G135">
        <f>Main!D27</f>
        <v>1200</v>
      </c>
    </row>
    <row r="136">
      <c r="B136" t="str">
        <f>ReSemanalFert!G4</f>
        <v>Kcl Soluble</v>
      </c>
      <c r="F136">
        <f>I131/C8</f>
        <v>953.692920611668</v>
      </c>
      <c r="G136">
        <f>Main!D32</f>
        <v>390</v>
      </c>
    </row>
    <row r="137">
      <c r="B137" t="str">
        <f>ReSemanalFert!I4</f>
        <v>Sulfato de Magnesio</v>
      </c>
      <c r="F137">
        <f>K131/C8</f>
        <v>576.8034999999998</v>
      </c>
      <c r="G137">
        <f>Main!D43</f>
        <v>370</v>
      </c>
      <c r="I137" t="str">
        <v xml:space="preserve">Preparado y Autorizado Por </v>
      </c>
    </row>
    <row r="138">
      <c r="B138" t="str">
        <f>ReSemanalFert!K4</f>
        <v>Nitrato de Calcio</v>
      </c>
      <c r="F138">
        <f>M131/C8</f>
        <v>529.8294003398142</v>
      </c>
      <c r="G138">
        <f>Main!D48</f>
        <v>520</v>
      </c>
      <c r="I138" t="str">
        <v>MSc Ricardo D. Lardizábal</v>
      </c>
    </row>
    <row r="139">
      <c r="B139" t="str">
        <f>ReSemanalFert!M4</f>
        <v>Solubor</v>
      </c>
      <c r="F139">
        <f>O131/C8</f>
        <v>13812.159512195094</v>
      </c>
      <c r="G139">
        <f>Main!D53</f>
        <v>0.0123</v>
      </c>
    </row>
    <row r="140" ht="18" customHeight="1">
      <c r="B140" t="str">
        <v>Melaza</v>
      </c>
      <c r="F140">
        <f>Q131/C8</f>
        <v>339.99999999999983</v>
      </c>
      <c r="G140">
        <f>Main!D60</f>
        <v>1.45</v>
      </c>
    </row>
    <row r="141">
      <c r="B141" t="str">
        <v>NOTA: El Nitrato de Calcio se debe de diluir en un barril aparte para inyectarse al sistema</v>
      </c>
    </row>
    <row r="143">
      <c r="B143" t="str">
        <v>,@ La Melaza del calendario de fertilización se usan para la limpieza de la cinta. La aplicación de ellos es después de la fertilización y en la ultima media hora de riego.  Para mas detalles ver el boletín técnico numero 16 de Fintrac/CDA.</v>
      </c>
    </row>
    <row r="145">
      <c r="B145" t="str">
        <v>Abreviaciones usadas</v>
      </c>
    </row>
    <row r="146">
      <c r="B146" t="str">
        <v>Mz-Manzanas, Ha-Hectáreas, Lbs-Libras, Lts-Litros y DDT-Días después de Transplante</v>
      </c>
    </row>
  </sheetData>
  <sheetProtection sheet="1"/>
  <mergeCells count="44">
    <mergeCell ref="A2:L2"/>
    <mergeCell ref="Q10:R10"/>
    <mergeCell ref="C10:D10"/>
    <mergeCell ref="E10:F10"/>
    <mergeCell ref="G10:H10"/>
    <mergeCell ref="I10:J10"/>
    <mergeCell ref="K10:L10"/>
    <mergeCell ref="O10:P10"/>
    <mergeCell ref="F7:H7"/>
    <mergeCell ref="F8:H8"/>
    <mergeCell ref="B138:E138"/>
    <mergeCell ref="B140:E140"/>
    <mergeCell ref="B146:M146"/>
    <mergeCell ref="B141:I142"/>
    <mergeCell ref="B143:S144"/>
    <mergeCell ref="I138:Q138"/>
    <mergeCell ref="B145:D145"/>
    <mergeCell ref="B139:E139"/>
    <mergeCell ref="M10:N10"/>
    <mergeCell ref="B137:E137"/>
    <mergeCell ref="B133:E133"/>
    <mergeCell ref="B134:E134"/>
    <mergeCell ref="B135:E135"/>
    <mergeCell ref="B136:E136"/>
    <mergeCell ref="A10:A11"/>
    <mergeCell ref="B10:B11"/>
    <mergeCell ref="A7:B7"/>
    <mergeCell ref="A8:B8"/>
    <mergeCell ref="F6:H6"/>
    <mergeCell ref="C5:E5"/>
    <mergeCell ref="A5:B5"/>
    <mergeCell ref="I8:M8"/>
    <mergeCell ref="C7:E7"/>
    <mergeCell ref="C8:E8"/>
    <mergeCell ref="A1:K1"/>
    <mergeCell ref="A3:K3"/>
    <mergeCell ref="I137:Q137"/>
    <mergeCell ref="S10:S11"/>
    <mergeCell ref="I5:M5"/>
    <mergeCell ref="I6:M6"/>
    <mergeCell ref="I7:M7"/>
    <mergeCell ref="A6:B6"/>
    <mergeCell ref="C6:E6"/>
    <mergeCell ref="F5:H5"/>
  </mergeCells>
  <pageMargins left="0.44" right="0" top="0.2" bottom="0.56" header="0" footer="0.25"/>
  <ignoredErrors>
    <ignoredError numberStoredAsText="1" sqref="A1:V147"/>
  </ignoredErrors>
  <legacyDrawing r:id="rId1"/>
</worksheet>
</file>

<file path=xl/worksheets/sheet3.xml><?xml version="1.0" encoding="utf-8"?>
<worksheet xmlns="http://schemas.openxmlformats.org/spreadsheetml/2006/main" xmlns:r="http://schemas.openxmlformats.org/officeDocument/2006/relationships">
  <dimension ref="A1:V88"/>
  <sheetViews>
    <sheetView workbookViewId="0" rightToLeft="0"/>
  </sheetViews>
  <sheetData>
    <row r="1">
      <c r="A1" t="str">
        <v>Calendario de Fertilización para Goteo 3 Veces Por Semana</v>
      </c>
    </row>
    <row r="2" ht="29.25" customHeight="1">
      <c r="A2" t="str">
        <f>Main!E16</f>
        <v>Zucchini/ Enterprise</v>
      </c>
    </row>
    <row r="3" ht="26.25" customHeight="1">
      <c r="A3" t="str">
        <f>Main!C8</f>
        <v>"Sin Fertilización Base"</v>
      </c>
    </row>
    <row r="4" ht="14.25" customHeight="1"/>
    <row r="5" ht="20.1" customHeight="1">
      <c r="A5" t="str">
        <v>Productor</v>
      </c>
      <c r="C5" t="str">
        <f>Main!E12</f>
        <v>Pancho Pérez</v>
      </c>
      <c r="F5" t="str">
        <v>Parcela</v>
      </c>
      <c r="I5" t="str">
        <f>Main!E14</f>
        <v>La Frondosa</v>
      </c>
    </row>
    <row r="6" ht="20.1" customHeight="1">
      <c r="A6" t="str">
        <v>Zona</v>
      </c>
      <c r="C6" t="str">
        <f>Main!E13</f>
        <v>La Flecha</v>
      </c>
      <c r="F6" t="str">
        <v>Técnico</v>
      </c>
      <c r="I6" t="str">
        <f>Main!E15</f>
        <v>Luis Torres</v>
      </c>
    </row>
    <row r="7" ht="20.1" customHeight="1">
      <c r="A7" t="str">
        <v>Área Mz.</v>
      </c>
      <c r="C7">
        <f>Main!E17</f>
        <v>1.43</v>
      </c>
      <c r="F7" t="str">
        <v>Fecha:</v>
      </c>
      <c r="I7">
        <f>Main!E18</f>
        <v>38519</v>
      </c>
    </row>
    <row r="8" ht="20.1" customHeight="1">
      <c r="A8" t="str">
        <v>Área Ha.</v>
      </c>
      <c r="C8">
        <f>Main!I17</f>
        <v>1.001</v>
      </c>
      <c r="F8" t="str">
        <v>Fecha de Cosecha:</v>
      </c>
      <c r="I8">
        <f>I7+Main!E19</f>
        <v>38572</v>
      </c>
    </row>
    <row r="9" ht="19.5" customHeight="1"/>
    <row r="10" ht="27.600000000000005" customHeight="1">
      <c r="A10" t="str">
        <v>Semana</v>
      </c>
      <c r="B10" t="str">
        <v>DDT</v>
      </c>
      <c r="C10" t="str">
        <v>FECHA</v>
      </c>
      <c r="E10" t="str">
        <f>ReSemanalFert!C4</f>
        <v>Urea</v>
      </c>
      <c r="G10" t="str">
        <f>ReSemanalFert!E4</f>
        <v>MAP 12-61-0</v>
      </c>
      <c r="I10" t="str">
        <f>ReSemanalFert!G4</f>
        <v>Kcl Soluble</v>
      </c>
      <c r="K10" t="str">
        <f>ReSemanalFert!I4</f>
        <v>Sulfato de Magnesio</v>
      </c>
      <c r="M10" t="str">
        <f>ReSemanalFert!K4</f>
        <v>Nitrato de Calcio</v>
      </c>
      <c r="O10" t="str">
        <f>ReSemanalFert!M4</f>
        <v>Solubor</v>
      </c>
      <c r="Q10" t="str">
        <v>,@ Melaza</v>
      </c>
      <c r="S10" t="str">
        <v>Costo / Aplicación</v>
      </c>
    </row>
    <row r="11">
      <c r="D11" t="str">
        <v>Cambios</v>
      </c>
      <c r="E11" t="str">
        <f>Main!E36</f>
        <v>Lbs</v>
      </c>
      <c r="F11" t="str">
        <v>Cambios</v>
      </c>
      <c r="G11" t="str">
        <f>Main!E26</f>
        <v>Lbs</v>
      </c>
      <c r="H11" t="str">
        <v>Cambios</v>
      </c>
      <c r="I11" t="str">
        <f>Main!E31</f>
        <v>Lbs</v>
      </c>
      <c r="J11" t="str">
        <v>Cambios</v>
      </c>
      <c r="K11" t="str">
        <f>Main!E42</f>
        <v>Lbs</v>
      </c>
      <c r="L11" t="str">
        <v>Cambios</v>
      </c>
      <c r="M11" t="str">
        <f>Main!E47</f>
        <v>Lbs</v>
      </c>
      <c r="N11" t="str">
        <v>Cambios</v>
      </c>
      <c r="O11" t="str">
        <f>Main!E52</f>
        <v>Gramos</v>
      </c>
      <c r="P11" t="str">
        <v>Cambios</v>
      </c>
      <c r="Q11" t="str">
        <f>Main!E61</f>
        <v>Lts</v>
      </c>
      <c r="R11" t="str">
        <v>Cambios</v>
      </c>
    </row>
    <row r="12" ht="18.75" customHeight="1">
      <c r="A12">
        <v>1</v>
      </c>
      <c r="B12">
        <v>1</v>
      </c>
      <c r="C12">
        <f>$I$7+B12</f>
        <v>38520</v>
      </c>
      <c r="E12">
        <f>IF(($C$8*(ReDiarioFert!C7+ReDiarioFert!C8))&lt;=0,"0",($C$8*(ReDiarioFert!C7+ReDiarioFert!C8)))</f>
        <v>6.548823349991425</v>
      </c>
      <c r="G12">
        <f>$C$8*(ReDiarioFert!E7+ReDiarioFert!E8)</f>
        <v>4.810739249873934</v>
      </c>
      <c r="I12">
        <f>$C$8*(ReDiarioFert!G7+ReDiarioFert!G8)</f>
        <v>9.406961280383333</v>
      </c>
      <c r="K12">
        <f>$C$8*(ReDiarioFert!I7+ReDiarioFert!I8)</f>
        <v>5.689433749999999</v>
      </c>
      <c r="M12">
        <f>$C$8*(ReDiarioFert!K7+ReDiarioFert!K8)</f>
        <v>5.226089600212962</v>
      </c>
      <c r="O12">
        <f>$C$8*(ReDiarioFert!M7+ReDiarioFert!M8)</f>
        <v>49.733586341463415</v>
      </c>
      <c r="Q12">
        <f>20*$C$8</f>
        <v>20.019999999999996</v>
      </c>
      <c r="S12">
        <f>((E12/100)*$G$66+(G12/100)*$G$67+(I12/100)*$G$68+(K12/100)*$G$69+(M12/100)*$G$70+(O12)*$G$71+(Q12*$G$72))</f>
        <v>192.584666285063</v>
      </c>
    </row>
    <row r="13" ht="18.75" customHeight="1">
      <c r="B13">
        <v>3</v>
      </c>
      <c r="C13">
        <f>$I$7+B13</f>
        <v>38522</v>
      </c>
      <c r="E13">
        <f>IF(($C$8*(ReDiarioFert!C9+ReDiarioFert!C10))&lt;=0,"0",($C$8*(ReDiarioFert!C9+ReDiarioFert!C10)))</f>
        <v>6.548823349991425</v>
      </c>
      <c r="G13">
        <f>$C$8*(ReDiarioFert!E9+ReDiarioFert!E10)</f>
        <v>4.810739249873934</v>
      </c>
      <c r="I13">
        <f>$C$8*(ReDiarioFert!G9+ReDiarioFert!G10)</f>
        <v>9.406961280383333</v>
      </c>
      <c r="K13">
        <f>$C$8*(ReDiarioFert!I9+ReDiarioFert!I10)</f>
        <v>5.689433749999999</v>
      </c>
      <c r="M13">
        <f>$C$8*(ReDiarioFert!K9+ReDiarioFert!K10)</f>
        <v>5.226089600212962</v>
      </c>
      <c r="O13">
        <f>$C$8*(ReDiarioFert!M9+ReDiarioFert!M10)</f>
        <v>49.733586341463415</v>
      </c>
      <c r="S13">
        <f>((E13/100)*$G$66+(G13/100)*$G$67+(I13/100)*$G$68+(K13/100)*$G$69+(M13/100)*$G$70+(O13)*$G$71+(Q13*$G$72))</f>
        <v>163.555666285063</v>
      </c>
    </row>
    <row r="14" ht="18.75" customHeight="1">
      <c r="B14">
        <v>5</v>
      </c>
      <c r="C14">
        <f>$I$7+B14</f>
        <v>38524</v>
      </c>
      <c r="E14">
        <f>IF(($C$8*(ReDiarioFert!C11+ReDiarioFert!C12+ReDiarioFert!C13))&lt;=0,"0",($C$8*(ReDiarioFert!C11+ReDiarioFert!C12+ReDiarioFert!C13)))</f>
        <v>9.823235024987138</v>
      </c>
      <c r="G14">
        <f>$C$8*(ReDiarioFert!E11+ReDiarioFert!E12+ReDiarioFert!E13)</f>
        <v>7.216108874810901</v>
      </c>
      <c r="I14">
        <f>$C$8*(ReDiarioFert!G11+ReDiarioFert!G12+ReDiarioFert!G13)</f>
        <v>14.110441920575</v>
      </c>
      <c r="K14">
        <f>$C$8*(ReDiarioFert!I11+ReDiarioFert!I12+ReDiarioFert!I13)</f>
        <v>8.534150624999999</v>
      </c>
      <c r="M14">
        <f>$C$8*(ReDiarioFert!K11+ReDiarioFert!K12+ReDiarioFert!K13)</f>
        <v>7.839134400319443</v>
      </c>
      <c r="O14">
        <f>$C$8*(ReDiarioFert!M11+ReDiarioFert!M12+ReDiarioFert!M13)</f>
        <v>74.60037951219512</v>
      </c>
      <c r="S14">
        <f>((E14/100)*$G$66+(G14/100)*$G$67+(I14/100)*$G$68+(K14/100)*$G$69+(M14/100)*$G$70+(O14)*$G$71+(Q14*$G$72))</f>
        <v>245.33349942759455</v>
      </c>
    </row>
    <row r="15">
      <c r="A15">
        <v>2</v>
      </c>
      <c r="B15">
        <f>B14+3</f>
        <v>8</v>
      </c>
      <c r="C15">
        <f>$I$7+B15</f>
        <v>38527</v>
      </c>
      <c r="E15">
        <f>IF(($C$8*(ReDiarioFert!C14+ReDiarioFert!C15))&lt;=0,"0",($C$8*(ReDiarioFert!C14+ReDiarioFert!C15)))</f>
        <v>6.548823349991425</v>
      </c>
      <c r="G15">
        <f>$C$8*(ReDiarioFert!E14+ReDiarioFert!E15)</f>
        <v>4.810739249873934</v>
      </c>
      <c r="I15">
        <f>$C$8*(ReDiarioFert!G14+ReDiarioFert!G15)</f>
        <v>9.406961280383333</v>
      </c>
      <c r="K15">
        <f>$C$8*(ReDiarioFert!I14+ReDiarioFert!I15)</f>
        <v>5.689433749999999</v>
      </c>
      <c r="M15">
        <f>$C$8*(ReDiarioFert!K14+ReDiarioFert!K15)</f>
        <v>5.226089600212962</v>
      </c>
      <c r="O15">
        <f>$C$8*(ReDiarioFert!M14+ReDiarioFert!M15)</f>
        <v>49.733586341463415</v>
      </c>
      <c r="Q15">
        <f>20*$C$8</f>
        <v>20.019999999999996</v>
      </c>
      <c r="S15">
        <f>((E15/100)*$G$66+(G15/100)*$G$67+(I15/100)*$G$68+(K15/100)*$G$69+(M15/100)*$G$70+(O15)*$G$71+(Q15*$G$72))</f>
        <v>192.584666285063</v>
      </c>
    </row>
    <row r="16">
      <c r="B16">
        <f>B15+2</f>
        <v>10</v>
      </c>
      <c r="C16">
        <f>$I$7+B16</f>
        <v>38529</v>
      </c>
      <c r="E16">
        <f>IF(($C$8*(ReDiarioFert!C16+ReDiarioFert!C17))&lt;=0,"0",($C$8*(ReDiarioFert!C16+ReDiarioFert!C17)))</f>
        <v>6.548823349991425</v>
      </c>
      <c r="G16">
        <f>$C$8*(ReDiarioFert!E16+ReDiarioFert!E17)</f>
        <v>4.810739249873934</v>
      </c>
      <c r="I16">
        <f>$C$8*(ReDiarioFert!G16+ReDiarioFert!G17)</f>
        <v>9.406961280383333</v>
      </c>
      <c r="K16">
        <f>$C$8*(ReDiarioFert!I16+ReDiarioFert!I17)</f>
        <v>5.689433749999999</v>
      </c>
      <c r="M16">
        <f>$C$8*(ReDiarioFert!K16+ReDiarioFert!K17)</f>
        <v>5.226089600212962</v>
      </c>
      <c r="O16">
        <f>$C$8*(ReDiarioFert!M16+ReDiarioFert!M17)</f>
        <v>69.62711853658536</v>
      </c>
      <c r="S16">
        <f>((E16/100)*$G$66+(G16/100)*$G$67+(I16/100)*$G$68+(K16/100)*$G$69+(M16/100)*$G$70+(O16)*$G$71+(Q16*$G$72))</f>
        <v>163.800356731063</v>
      </c>
    </row>
    <row r="17">
      <c r="B17">
        <f>B16+2</f>
        <v>12</v>
      </c>
      <c r="C17">
        <f>$I$7+B17</f>
        <v>38531</v>
      </c>
      <c r="E17">
        <f>IF(($C$8*(ReDiarioFert!C18+ReDiarioFert!C19+ReDiarioFert!C20))&lt;=0,"0",($C$8*(ReDiarioFert!C18+ReDiarioFert!C19+ReDiarioFert!C20)))</f>
        <v>9.823235024987138</v>
      </c>
      <c r="G17">
        <f>$C$8*(ReDiarioFert!E18+ReDiarioFert!E19+ReDiarioFert!E20)</f>
        <v>7.216108874810901</v>
      </c>
      <c r="I17">
        <f>$C$8*(ReDiarioFert!G18+ReDiarioFert!G19+ReDiarioFert!G20)</f>
        <v>14.110441920575</v>
      </c>
      <c r="K17">
        <f>$C$8*(ReDiarioFert!I18+ReDiarioFert!I19+ReDiarioFert!I20)</f>
        <v>8.534150624999999</v>
      </c>
      <c r="M17">
        <f>$C$8*(ReDiarioFert!K18+ReDiarioFert!K19+ReDiarioFert!K20)</f>
        <v>7.839134400319443</v>
      </c>
      <c r="O17">
        <f>$C$8*(ReDiarioFert!M18+ReDiarioFert!M19+ReDiarioFert!M20)</f>
        <v>134.28097609756097</v>
      </c>
      <c r="S17">
        <f>((E17/100)*$G$66+(G17/100)*$G$67+(I17/100)*$G$68+(K17/100)*$G$69+(M17/100)*$G$70+(O17)*$G$71+(Q17*$G$72))</f>
        <v>246.06757076559455</v>
      </c>
    </row>
    <row r="18">
      <c r="A18">
        <v>3</v>
      </c>
      <c r="B18">
        <f>B17+3</f>
        <v>15</v>
      </c>
      <c r="C18">
        <f>$I$7+B18</f>
        <v>38534</v>
      </c>
      <c r="E18">
        <f>IF(($C$8*(ReDiarioFert!C21+ReDiarioFert!C22))&lt;=0,"0",($C$8*(ReDiarioFert!C21+ReDiarioFert!C22)))</f>
        <v>12.143425860236762</v>
      </c>
      <c r="G18">
        <f>$C$8*(ReDiarioFert!E21+ReDiarioFert!E22)</f>
        <v>13.279325052107868</v>
      </c>
      <c r="I18">
        <f>$C$8*(ReDiarioFert!G21+ReDiarioFert!G22)</f>
        <v>18.813922560766667</v>
      </c>
      <c r="K18">
        <f>$C$8*(ReDiarioFert!I21+ReDiarioFert!I22)</f>
        <v>11.378867499999998</v>
      </c>
      <c r="M18">
        <f>$C$8*(ReDiarioFert!K21+ReDiarioFert!K22)</f>
        <v>10.452179200425924</v>
      </c>
      <c r="O18">
        <f>$C$8*(ReDiarioFert!M21+ReDiarioFert!M22)</f>
        <v>89.5206507317073</v>
      </c>
      <c r="Q18">
        <f>20*$C$8</f>
        <v>20.019999999999996</v>
      </c>
      <c r="S18">
        <f>((E18/100)*$G$66+(G18/100)*$G$67+(I18/100)*$G$68+(K18/100)*$G$69+(M18/100)*$G$70+(O18)*$G$71+(Q18*$G$72))</f>
        <v>396.9540643752331</v>
      </c>
    </row>
    <row r="19">
      <c r="B19">
        <f>B18+2</f>
        <v>17</v>
      </c>
      <c r="C19">
        <f>$I$7+B19</f>
        <v>38536</v>
      </c>
      <c r="E19">
        <f>IF(($C$8*(ReDiarioFert!C23+ReDiarioFert!C24))&lt;=0,"0",($C$8*(ReDiarioFert!C23+ReDiarioFert!C24)))</f>
        <v>12.143425860236762</v>
      </c>
      <c r="G19">
        <f>$C$8*(ReDiarioFert!E23+ReDiarioFert!E24)</f>
        <v>13.279325052107868</v>
      </c>
      <c r="I19">
        <f>$C$8*(ReDiarioFert!G23+ReDiarioFert!G24)</f>
        <v>18.813922560766667</v>
      </c>
      <c r="K19">
        <f>$C$8*(ReDiarioFert!I23+ReDiarioFert!I24)</f>
        <v>11.378867499999998</v>
      </c>
      <c r="M19">
        <f>$C$8*(ReDiarioFert!K23+ReDiarioFert!K24)</f>
        <v>10.452179200425924</v>
      </c>
      <c r="O19">
        <f>$C$8*(ReDiarioFert!M23+ReDiarioFert!M24)</f>
        <v>104.44043365853658</v>
      </c>
      <c r="S19">
        <f>((E19/100)*$G$66+(G19/100)*$G$67+(I19/100)*$G$68+(K19/100)*$G$69+(M19/100)*$G$70+(O19)*$G$71+(Q19*$G$72))</f>
        <v>368.10857770523313</v>
      </c>
    </row>
    <row r="20">
      <c r="B20">
        <f>B19+2</f>
        <v>19</v>
      </c>
      <c r="C20">
        <f>$I$7+B20</f>
        <v>38538</v>
      </c>
      <c r="E20">
        <f>IF(($C$8*(ReDiarioFert!C25+ReDiarioFert!C26+ReDiarioFert!C27))&lt;=0,"0",($C$8*(ReDiarioFert!C25+ReDiarioFert!C26+ReDiarioFert!C27)))</f>
        <v>18.215138790355144</v>
      </c>
      <c r="G20">
        <f>$C$8*(ReDiarioFert!E25+ReDiarioFert!E26+ReDiarioFert!E27)</f>
        <v>19.9189875781618</v>
      </c>
      <c r="I20">
        <f>$C$8*(ReDiarioFert!G25+ReDiarioFert!G26+ReDiarioFert!G27)</f>
        <v>28.22088384115</v>
      </c>
      <c r="K20">
        <f>$C$8*(ReDiarioFert!I25+ReDiarioFert!I26+ReDiarioFert!I27)</f>
        <v>17.068301249999998</v>
      </c>
      <c r="M20">
        <f>$C$8*(ReDiarioFert!K25+ReDiarioFert!K26+ReDiarioFert!K27)</f>
        <v>15.678268800638886</v>
      </c>
      <c r="O20">
        <f>$C$8*(ReDiarioFert!M25+ReDiarioFert!M26+ReDiarioFert!M27)</f>
        <v>179.04032487804878</v>
      </c>
      <c r="S20">
        <f>((E20/100)*$G$66+(G20/100)*$G$67+(I20/100)*$G$68+(K20/100)*$G$69+(M20/100)*$G$70+(O20)*$G$71+(Q20*$G$72))</f>
        <v>552.4381365528498</v>
      </c>
    </row>
    <row r="21">
      <c r="A21">
        <v>4</v>
      </c>
      <c r="B21">
        <f>B20+3</f>
        <v>22</v>
      </c>
      <c r="C21">
        <f>$I$7+B21</f>
        <v>38541</v>
      </c>
      <c r="E21">
        <f>IF(($C$8*(ReDiarioFert!C28+ReDiarioFert!C29))&lt;=0,"0",($C$8*(ReDiarioFert!C28+ReDiarioFert!C29)))</f>
        <v>12.143425860236762</v>
      </c>
      <c r="G21">
        <f>$C$8*(ReDiarioFert!E28+ReDiarioFert!E29)</f>
        <v>13.279325052107868</v>
      </c>
      <c r="I21">
        <f>$C$8*(ReDiarioFert!G28+ReDiarioFert!G29)</f>
        <v>18.813922560766667</v>
      </c>
      <c r="K21">
        <f>$C$8*(ReDiarioFert!I28+ReDiarioFert!I29)</f>
        <v>11.378867499999998</v>
      </c>
      <c r="M21">
        <f>$C$8*(ReDiarioFert!K28+ReDiarioFert!K29)</f>
        <v>10.452179200425924</v>
      </c>
      <c r="O21">
        <f>$C$8*(ReDiarioFert!M28+ReDiarioFert!M29)</f>
        <v>119.36021658536585</v>
      </c>
      <c r="Q21">
        <f>20*$C$8</f>
        <v>20.019999999999996</v>
      </c>
      <c r="S21">
        <f>((E21/100)*$G$66+(G21/100)*$G$67+(I21/100)*$G$68+(K21/100)*$G$69+(M21/100)*$G$70+(O21)*$G$71+(Q21*$G$72))</f>
        <v>397.3210910352331</v>
      </c>
    </row>
    <row r="22">
      <c r="B22">
        <f>B21+2</f>
        <v>24</v>
      </c>
      <c r="C22">
        <f>$I$7+B22</f>
        <v>38543</v>
      </c>
      <c r="E22">
        <f>IF(($C$8*(ReDiarioFert!C30+ReDiarioFert!C31))&lt;=0,"0",($C$8*(ReDiarioFert!C30+ReDiarioFert!C31)))</f>
        <v>12.143425860236762</v>
      </c>
      <c r="G22">
        <f>$C$8*(ReDiarioFert!E30+ReDiarioFert!E31)</f>
        <v>13.279325052107868</v>
      </c>
      <c r="I22">
        <f>$C$8*(ReDiarioFert!G30+ReDiarioFert!G31)</f>
        <v>18.813922560766667</v>
      </c>
      <c r="K22">
        <f>$C$8*(ReDiarioFert!I30+ReDiarioFert!I31)</f>
        <v>11.378867499999998</v>
      </c>
      <c r="M22">
        <f>$C$8*(ReDiarioFert!K30+ReDiarioFert!K31)</f>
        <v>10.452179200425924</v>
      </c>
      <c r="O22">
        <f>$C$8*(ReDiarioFert!M30+ReDiarioFert!M31)</f>
        <v>119.36021658536585</v>
      </c>
      <c r="S22">
        <f>((E22/100)*$G$66+(G22/100)*$G$67+(I22/100)*$G$68+(K22/100)*$G$69+(M22/100)*$G$70+(O22)*$G$71+(Q22*$G$72))</f>
        <v>368.2920910352331</v>
      </c>
    </row>
    <row r="23">
      <c r="B23">
        <f>B22+2</f>
        <v>26</v>
      </c>
      <c r="C23">
        <f>$I$7+B23</f>
        <v>38545</v>
      </c>
      <c r="E23">
        <f>IF(($C$8*(ReDiarioFert!C32+ReDiarioFert!C33+ReDiarioFert!C34))&lt;=0,"0",($C$8*(ReDiarioFert!C32+ReDiarioFert!C33+ReDiarioFert!C34)))</f>
        <v>18.215138790355144</v>
      </c>
      <c r="G23">
        <f>$C$8*(ReDiarioFert!E32+ReDiarioFert!E33+ReDiarioFert!E34)</f>
        <v>19.9189875781618</v>
      </c>
      <c r="I23">
        <f>$C$8*(ReDiarioFert!G32+ReDiarioFert!G33+ReDiarioFert!G34)</f>
        <v>28.22088384115</v>
      </c>
      <c r="K23">
        <f>$C$8*(ReDiarioFert!I32+ReDiarioFert!I33+ReDiarioFert!I34)</f>
        <v>17.068301249999998</v>
      </c>
      <c r="M23">
        <f>$C$8*(ReDiarioFert!K32+ReDiarioFert!K33+ReDiarioFert!K34)</f>
        <v>15.678268800638886</v>
      </c>
      <c r="O23">
        <f>$C$8*(ReDiarioFert!M32+ReDiarioFert!M33+ReDiarioFert!M34)</f>
        <v>179.04032487804878</v>
      </c>
      <c r="S23">
        <f>((E23/100)*$G$66+(G23/100)*$G$67+(I23/100)*$G$68+(K23/100)*$G$69+(M23/100)*$G$70+(O23)*$G$71+(Q23*$G$72))</f>
        <v>552.4381365528498</v>
      </c>
    </row>
    <row r="24">
      <c r="A24">
        <v>5</v>
      </c>
      <c r="B24">
        <f>B23+3</f>
        <v>29</v>
      </c>
      <c r="C24">
        <f>$I$7+B24</f>
        <v>38548</v>
      </c>
      <c r="E24">
        <f>IF(($C$8*(ReDiarioFert!C35+ReDiarioFert!C36))&lt;=0,"0",($C$8*(ReDiarioFert!C35+ReDiarioFert!C36)))</f>
        <v>12.143425860236762</v>
      </c>
      <c r="G24">
        <f>$C$8*(ReDiarioFert!E35+ReDiarioFert!E36)</f>
        <v>13.279325052107868</v>
      </c>
      <c r="I24">
        <f>$C$8*(ReDiarioFert!G35+ReDiarioFert!G36)</f>
        <v>18.813922560766667</v>
      </c>
      <c r="K24">
        <f>$C$8*(ReDiarioFert!I35+ReDiarioFert!I36)</f>
        <v>11.378867499999998</v>
      </c>
      <c r="M24">
        <f>$C$8*(ReDiarioFert!K35+ReDiarioFert!K36)</f>
        <v>10.452179200425924</v>
      </c>
      <c r="O24">
        <f>$C$8*(ReDiarioFert!M35+ReDiarioFert!M36)</f>
        <v>119.36021658536585</v>
      </c>
      <c r="Q24">
        <f>20*$C$8</f>
        <v>20.019999999999996</v>
      </c>
      <c r="S24">
        <f>((E24/100)*$G$66+(G24/100)*$G$67+(I24/100)*$G$68+(K24/100)*$G$69+(M24/100)*$G$70+(O24)*$G$71+(Q24*$G$72))</f>
        <v>397.3210910352331</v>
      </c>
    </row>
    <row r="25">
      <c r="B25">
        <f>B24+2</f>
        <v>31</v>
      </c>
      <c r="C25">
        <f>$I$7+B25</f>
        <v>38550</v>
      </c>
      <c r="E25">
        <f>IF(($C$8*(ReDiarioFert!C37+ReDiarioFert!C38))&lt;=0,"0",($C$8*(ReDiarioFert!C37+ReDiarioFert!C38)))</f>
        <v>12.143425860236762</v>
      </c>
      <c r="G25">
        <f>$C$8*(ReDiarioFert!E37+ReDiarioFert!E38)</f>
        <v>13.279325052107868</v>
      </c>
      <c r="I25">
        <f>$C$8*(ReDiarioFert!G37+ReDiarioFert!G38)</f>
        <v>18.813922560766667</v>
      </c>
      <c r="K25">
        <f>$C$8*(ReDiarioFert!I37+ReDiarioFert!I38)</f>
        <v>11.378867499999998</v>
      </c>
      <c r="M25">
        <f>$C$8*(ReDiarioFert!K37+ReDiarioFert!K38)</f>
        <v>10.452179200425924</v>
      </c>
      <c r="O25">
        <f>$C$8*(ReDiarioFert!M37+ReDiarioFert!M38)</f>
        <v>119.36021658536585</v>
      </c>
      <c r="S25">
        <f>((E25/100)*$G$66+(G25/100)*$G$67+(I25/100)*$G$68+(K25/100)*$G$69+(M25/100)*$G$70+(O25)*$G$71+(Q25*$G$72))</f>
        <v>368.2920910352331</v>
      </c>
    </row>
    <row r="26">
      <c r="B26">
        <f>B25+2</f>
        <v>33</v>
      </c>
      <c r="C26">
        <f>$I$7+B26</f>
        <v>38552</v>
      </c>
      <c r="E26">
        <f>IF(($C$8*(ReDiarioFert!C39+ReDiarioFert!C40+ReDiarioFert!C41))&lt;=0,"0",($C$8*(ReDiarioFert!C39+ReDiarioFert!C40+ReDiarioFert!C41)))</f>
        <v>18.215138790355144</v>
      </c>
      <c r="G26">
        <f>$C$8*(ReDiarioFert!E39+ReDiarioFert!E40+ReDiarioFert!E41)</f>
        <v>19.9189875781618</v>
      </c>
      <c r="I26">
        <f>$C$8*(ReDiarioFert!G39+ReDiarioFert!G40+ReDiarioFert!G41)</f>
        <v>28.22088384115</v>
      </c>
      <c r="K26">
        <f>$C$8*(ReDiarioFert!I39+ReDiarioFert!I40+ReDiarioFert!I41)</f>
        <v>17.068301249999998</v>
      </c>
      <c r="M26">
        <f>$C$8*(ReDiarioFert!K39+ReDiarioFert!K40+ReDiarioFert!K41)</f>
        <v>15.678268800638886</v>
      </c>
      <c r="O26">
        <f>$C$8*(ReDiarioFert!M39+ReDiarioFert!M40+ReDiarioFert!M41)</f>
        <v>253.6421692682927</v>
      </c>
      <c r="S26">
        <f>((E26/100)*$G$66+(G26/100)*$G$67+(I26/100)*$G$68+(K26/100)*$G$69+(M26/100)*$G$70+(O26)*$G$71+(Q26*$G$72))</f>
        <v>553.3557392388498</v>
      </c>
    </row>
    <row r="27">
      <c r="A27">
        <v>6</v>
      </c>
      <c r="B27">
        <f>B26+3</f>
        <v>36</v>
      </c>
      <c r="C27">
        <f>$I$7+B27</f>
        <v>38555</v>
      </c>
      <c r="E27">
        <f>IF(($C$8*(ReDiarioFert!C42+ReDiarioFert!C43))&lt;=0,"0",($C$8*(ReDiarioFert!C42+ReDiarioFert!C43)))</f>
        <v>12.143425860236762</v>
      </c>
      <c r="G27">
        <f>$C$8*(ReDiarioFert!E42+ReDiarioFert!E43)</f>
        <v>13.279325052107868</v>
      </c>
      <c r="I27">
        <f>$C$8*(ReDiarioFert!G42+ReDiarioFert!G43)</f>
        <v>18.813922560766667</v>
      </c>
      <c r="K27">
        <f>$C$8*(ReDiarioFert!I42+ReDiarioFert!I43)</f>
        <v>11.378867499999998</v>
      </c>
      <c r="M27">
        <f>$C$8*(ReDiarioFert!K42+ReDiarioFert!K43)</f>
        <v>10.452179200425924</v>
      </c>
      <c r="O27">
        <f>$C$8*(ReDiarioFert!M42+ReDiarioFert!M43)</f>
        <v>169.09477951219515</v>
      </c>
      <c r="Q27">
        <f>20*$C$8</f>
        <v>20.019999999999996</v>
      </c>
      <c r="S27">
        <f>((E27/100)*$G$66+(G27/100)*$G$67+(I27/100)*$G$68+(K27/100)*$G$69+(M27/100)*$G$70+(O27)*$G$71+(Q27*$G$72))</f>
        <v>397.9328261592331</v>
      </c>
    </row>
    <row r="28">
      <c r="B28">
        <f>B27+2</f>
        <v>38</v>
      </c>
      <c r="C28">
        <f>$I$7+B28</f>
        <v>38557</v>
      </c>
      <c r="E28">
        <f>IF(($C$8*(ReDiarioFert!C44+ReDiarioFert!C45))&lt;=0,"0",($C$8*(ReDiarioFert!C44+ReDiarioFert!C45)))</f>
        <v>12.143425860236762</v>
      </c>
      <c r="G28">
        <f>$C$8*(ReDiarioFert!E44+ReDiarioFert!E45)</f>
        <v>13.279325052107868</v>
      </c>
      <c r="I28">
        <f>$C$8*(ReDiarioFert!G44+ReDiarioFert!G45)</f>
        <v>18.813922560766667</v>
      </c>
      <c r="K28">
        <f>$C$8*(ReDiarioFert!I44+ReDiarioFert!I45)</f>
        <v>11.378867499999998</v>
      </c>
      <c r="M28">
        <f>$C$8*(ReDiarioFert!K44+ReDiarioFert!K45)</f>
        <v>10.452179200425924</v>
      </c>
      <c r="O28">
        <f>$C$8*(ReDiarioFert!M44+ReDiarioFert!M45)</f>
        <v>169.09477951219515</v>
      </c>
      <c r="S28">
        <f>((E28/100)*$G$66+(G28/100)*$G$67+(I28/100)*$G$68+(K28/100)*$G$69+(M28/100)*$G$70+(O28)*$G$71+(Q28*$G$72))</f>
        <v>368.9038261592331</v>
      </c>
    </row>
    <row r="29">
      <c r="B29">
        <f>B28+2</f>
        <v>40</v>
      </c>
      <c r="C29">
        <f>$I$7+B29</f>
        <v>38559</v>
      </c>
      <c r="E29">
        <f>IF(($C$8*(ReDiarioFert!C46+ReDiarioFert!C47+ReDiarioFert!C48))&lt;=0,"0",($C$8*(ReDiarioFert!C46+ReDiarioFert!C47+ReDiarioFert!C48)))</f>
        <v>18.215138790355144</v>
      </c>
      <c r="G29">
        <f>$C$8*(ReDiarioFert!E46+ReDiarioFert!E47+ReDiarioFert!E48)</f>
        <v>19.9189875781618</v>
      </c>
      <c r="I29">
        <f>$C$8*(ReDiarioFert!G46+ReDiarioFert!G47+ReDiarioFert!G48)</f>
        <v>28.22088384115</v>
      </c>
      <c r="K29">
        <f>$C$8*(ReDiarioFert!I46+ReDiarioFert!I47+ReDiarioFert!I48)</f>
        <v>17.068301249999998</v>
      </c>
      <c r="M29">
        <f>$C$8*(ReDiarioFert!K46+ReDiarioFert!K47+ReDiarioFert!K48)</f>
        <v>15.678268800638886</v>
      </c>
      <c r="O29">
        <f>$C$8*(ReDiarioFert!M46+ReDiarioFert!M47+ReDiarioFert!M48)</f>
        <v>253.6421692682927</v>
      </c>
      <c r="S29">
        <f>((E29/100)*$G$66+(G29/100)*$G$67+(I29/100)*$G$68+(K29/100)*$G$69+(M29/100)*$G$70+(O29)*$G$71+(Q29*$G$72))</f>
        <v>553.3557392388498</v>
      </c>
    </row>
    <row r="30">
      <c r="A30">
        <v>7</v>
      </c>
      <c r="B30">
        <f>B29+3</f>
        <v>43</v>
      </c>
      <c r="C30">
        <f>$I$7+B30</f>
        <v>38562</v>
      </c>
      <c r="E30">
        <f>IF(($C$8*(ReDiarioFert!C49+ReDiarioFert!C50))&lt;=0,"0",($C$8*(ReDiarioFert!C49+ReDiarioFert!C50)))</f>
        <v>12.143425860236762</v>
      </c>
      <c r="G30">
        <f>$C$8*(ReDiarioFert!E49+ReDiarioFert!E50)</f>
        <v>13.279325052107868</v>
      </c>
      <c r="I30">
        <f>$C$8*(ReDiarioFert!G49+ReDiarioFert!G50)</f>
        <v>18.813922560766667</v>
      </c>
      <c r="K30">
        <f>$C$8*(ReDiarioFert!I49+ReDiarioFert!I50)</f>
        <v>11.378867499999998</v>
      </c>
      <c r="M30">
        <f>$C$8*(ReDiarioFert!K49+ReDiarioFert!K50)</f>
        <v>10.452179200425924</v>
      </c>
      <c r="O30">
        <f>$C$8*(ReDiarioFert!M49+ReDiarioFert!M50)</f>
        <v>169.09477951219515</v>
      </c>
      <c r="Q30">
        <f>20*$C$8</f>
        <v>20.019999999999996</v>
      </c>
      <c r="S30">
        <f>((E30/100)*$G$66+(G30/100)*$G$67+(I30/100)*$G$68+(K30/100)*$G$69+(M30/100)*$G$70+(O30)*$G$71+(Q30*$G$72))</f>
        <v>397.9328261592331</v>
      </c>
    </row>
    <row r="31">
      <c r="B31">
        <f>B30+2</f>
        <v>45</v>
      </c>
      <c r="C31">
        <f>$I$7+B31</f>
        <v>38564</v>
      </c>
      <c r="E31">
        <f>IF(($C$8*(ReDiarioFert!C51+ReDiarioFert!C52))&lt;=0,"0",($C$8*(ReDiarioFert!C51+ReDiarioFert!C52)))</f>
        <v>12.143425860236762</v>
      </c>
      <c r="G31">
        <f>$C$8*(ReDiarioFert!E51+ReDiarioFert!E52)</f>
        <v>13.279325052107868</v>
      </c>
      <c r="I31">
        <f>$C$8*(ReDiarioFert!G51+ReDiarioFert!G52)</f>
        <v>18.813922560766667</v>
      </c>
      <c r="K31">
        <f>$C$8*(ReDiarioFert!I51+ReDiarioFert!I52)</f>
        <v>11.378867499999998</v>
      </c>
      <c r="M31">
        <f>$C$8*(ReDiarioFert!K51+ReDiarioFert!K52)</f>
        <v>10.452179200425924</v>
      </c>
      <c r="O31">
        <f>$C$8*(ReDiarioFert!M51+ReDiarioFert!M52)</f>
        <v>169.09477951219515</v>
      </c>
      <c r="S31">
        <f>((E31/100)*$G$66+(G31/100)*$G$67+(I31/100)*$G$68+(K31/100)*$G$69+(M31/100)*$G$70+(O31)*$G$71+(Q31*$G$72))</f>
        <v>368.9038261592331</v>
      </c>
    </row>
    <row r="32">
      <c r="B32">
        <f>B31+2</f>
        <v>47</v>
      </c>
      <c r="C32">
        <f>$I$7+B32</f>
        <v>38566</v>
      </c>
      <c r="E32">
        <f>IF(($C$8*(ReDiarioFert!C53+ReDiarioFert!C54+ReDiarioFert!C55))&lt;=0,"0",($C$8*(ReDiarioFert!C53+ReDiarioFert!C54+ReDiarioFert!C55)))</f>
        <v>18.215138790355144</v>
      </c>
      <c r="G32">
        <f>$C$8*(ReDiarioFert!E53+ReDiarioFert!E54+ReDiarioFert!E55)</f>
        <v>19.9189875781618</v>
      </c>
      <c r="I32">
        <f>$C$8*(ReDiarioFert!G53+ReDiarioFert!G54+ReDiarioFert!G55)</f>
        <v>28.22088384115</v>
      </c>
      <c r="K32">
        <f>$C$8*(ReDiarioFert!I53+ReDiarioFert!I54+ReDiarioFert!I55)</f>
        <v>17.068301249999998</v>
      </c>
      <c r="M32">
        <f>$C$8*(ReDiarioFert!K53+ReDiarioFert!K54+ReDiarioFert!K55)</f>
        <v>15.678268800638886</v>
      </c>
      <c r="O32">
        <f>$C$8*(ReDiarioFert!M53+ReDiarioFert!M54+ReDiarioFert!M55)</f>
        <v>313.3222775609756</v>
      </c>
      <c r="S32">
        <f>((E32/100)*$G$66+(G32/100)*$G$67+(I32/100)*$G$68+(K32/100)*$G$69+(M32/100)*$G$70+(O32)*$G$71+(Q32*$G$72))</f>
        <v>554.0898045708498</v>
      </c>
    </row>
    <row r="33">
      <c r="A33">
        <v>8</v>
      </c>
      <c r="B33">
        <f>B32+3</f>
        <v>50</v>
      </c>
      <c r="C33">
        <f>$I$7+B33</f>
        <v>38569</v>
      </c>
      <c r="E33">
        <f>IF(($C$8*(ReDiarioFert!C56+ReDiarioFert!C57))&lt;=0,"0",($C$8*(ReDiarioFert!C56+ReDiarioFert!C57)))</f>
        <v>12.993771652788173</v>
      </c>
      <c r="G33">
        <f>$C$8*(ReDiarioFert!E56+ReDiarioFert!E57)</f>
        <v>5.945785311203442</v>
      </c>
      <c r="I33">
        <f>$C$8*(ReDiarioFert!G56+ReDiarioFert!G57)</f>
        <v>18.813922560766667</v>
      </c>
      <c r="K33">
        <f>$C$8*(ReDiarioFert!I56+ReDiarioFert!I57)</f>
        <v>11.378867499999998</v>
      </c>
      <c r="M33">
        <f>$C$8*(ReDiarioFert!K56+ReDiarioFert!K57)</f>
        <v>10.452179200425924</v>
      </c>
      <c r="O33">
        <f>$C$8*(ReDiarioFert!M56+ReDiarioFert!M57)</f>
        <v>228.774887804878</v>
      </c>
      <c r="Q33">
        <f>20*$C$8</f>
        <v>20.019999999999996</v>
      </c>
      <c r="S33">
        <f>((E33/100)*$G$66+(G33/100)*$G$67+(I33/100)*$G$68+(K33/100)*$G$69+(M33/100)*$G$70+(O33)*$G$71+(Q33*$G$72))</f>
        <v>313.30048655728945</v>
      </c>
    </row>
    <row r="34">
      <c r="B34">
        <f>B33+2</f>
        <v>52</v>
      </c>
      <c r="C34">
        <f>$I$7+B34</f>
        <v>38571</v>
      </c>
      <c r="E34">
        <f>IF(($C$8*(ReDiarioFert!C58+ReDiarioFert!C59))&lt;=0,"0",($C$8*(ReDiarioFert!C58+ReDiarioFert!C59)))</f>
        <v>12.993771652788173</v>
      </c>
      <c r="G34">
        <f>$C$8*(ReDiarioFert!E58+ReDiarioFert!E59)</f>
        <v>5.945785311203442</v>
      </c>
      <c r="I34">
        <f>$C$8*(ReDiarioFert!G58+ReDiarioFert!G59)</f>
        <v>18.813922560766667</v>
      </c>
      <c r="K34">
        <f>$C$8*(ReDiarioFert!I58+ReDiarioFert!I59)</f>
        <v>11.378867499999998</v>
      </c>
      <c r="M34">
        <f>$C$8*(ReDiarioFert!K58+ReDiarioFert!K59)</f>
        <v>10.452179200425924</v>
      </c>
      <c r="O34">
        <f>$C$8*(ReDiarioFert!M58+ReDiarioFert!M59)</f>
        <v>228.774887804878</v>
      </c>
      <c r="S34">
        <f>((E34/100)*$G$66+(G34/100)*$G$67+(I34/100)*$G$68+(K34/100)*$G$69+(M34/100)*$G$70+(O34)*$G$71+(Q34*$G$72))</f>
        <v>284.27148655728945</v>
      </c>
    </row>
    <row r="35">
      <c r="B35">
        <f>B34+2</f>
        <v>54</v>
      </c>
      <c r="C35">
        <f>$I$7+B35</f>
        <v>38573</v>
      </c>
      <c r="E35">
        <f>IF(($C$8*(ReDiarioFert!C60+ReDiarioFert!C61+ReDiarioFert!C62))&lt;=0,"0",($C$8*(ReDiarioFert!C60+ReDiarioFert!C61+ReDiarioFert!C62)))</f>
        <v>19.490657479182257</v>
      </c>
      <c r="G35">
        <f>$C$8*(ReDiarioFert!E60+ReDiarioFert!E61+ReDiarioFert!E62)</f>
        <v>8.918677966805163</v>
      </c>
      <c r="I35">
        <f>$C$8*(ReDiarioFert!G60+ReDiarioFert!G61+ReDiarioFert!G62)</f>
        <v>28.22088384115</v>
      </c>
      <c r="K35">
        <f>$C$8*(ReDiarioFert!I60+ReDiarioFert!I61+ReDiarioFert!I62)</f>
        <v>17.068301249999998</v>
      </c>
      <c r="M35">
        <f>$C$8*(ReDiarioFert!K60+ReDiarioFert!K61+ReDiarioFert!K62)</f>
        <v>15.678268800638886</v>
      </c>
      <c r="O35">
        <f>$C$8*(ReDiarioFert!M60+ReDiarioFert!M61+ReDiarioFert!M62)</f>
        <v>343.16233170731704</v>
      </c>
      <c r="S35">
        <f>((E35/100)*$G$66+(G35/100)*$G$67+(I35/100)*$G$68+(K35/100)*$G$69+(M35/100)*$G$70+(O35)*$G$71+(Q35*$G$72))</f>
        <v>426.4072298359341</v>
      </c>
    </row>
    <row r="36">
      <c r="A36">
        <v>9</v>
      </c>
      <c r="B36">
        <f>B35+3</f>
        <v>57</v>
      </c>
      <c r="C36">
        <f>$I$7+B36</f>
        <v>38576</v>
      </c>
      <c r="E36">
        <f>IF(($C$8*(ReDiarioFert!C63+ReDiarioFert!C64))&lt;=0,"0",($C$8*(ReDiarioFert!C63+ReDiarioFert!C64)))</f>
        <v>12.993771652788173</v>
      </c>
      <c r="G36">
        <f>$C$8*(ReDiarioFert!E63+ReDiarioFert!E64)</f>
        <v>5.945785311203442</v>
      </c>
      <c r="I36">
        <f>$C$8*(ReDiarioFert!G63+ReDiarioFert!G64)</f>
        <v>18.813922560766667</v>
      </c>
      <c r="K36">
        <f>$C$8*(ReDiarioFert!I63+ReDiarioFert!I64)</f>
        <v>11.378867499999998</v>
      </c>
      <c r="M36">
        <f>$C$8*(ReDiarioFert!K63+ReDiarioFert!K64)</f>
        <v>10.452179200425924</v>
      </c>
      <c r="O36">
        <f>$C$8*(ReDiarioFert!M63+ReDiarioFert!M64)</f>
        <v>228.774887804878</v>
      </c>
      <c r="Q36">
        <f>20*$C$8</f>
        <v>20.019999999999996</v>
      </c>
      <c r="S36">
        <f>((E36/100)*$G$66+(G36/100)*$G$67+(I36/100)*$G$68+(K36/100)*$G$69+(M36/100)*$G$70+(O36)*$G$71+(Q36*$G$72))</f>
        <v>313.30048655728945</v>
      </c>
    </row>
    <row r="37">
      <c r="B37">
        <f>B36+2</f>
        <v>59</v>
      </c>
      <c r="C37">
        <f>$I$7+B37</f>
        <v>38578</v>
      </c>
      <c r="E37">
        <f>IF(($C$8*(ReDiarioFert!C65+ReDiarioFert!C66))&lt;=0,"0",($C$8*(ReDiarioFert!C65+ReDiarioFert!C66)))</f>
        <v>12.993771652788173</v>
      </c>
      <c r="G37">
        <f>$C$8*(ReDiarioFert!E65+ReDiarioFert!E66)</f>
        <v>5.945785311203442</v>
      </c>
      <c r="I37">
        <f>$C$8*(ReDiarioFert!G65+ReDiarioFert!G66)</f>
        <v>18.813922560766667</v>
      </c>
      <c r="K37">
        <f>$C$8*(ReDiarioFert!I65+ReDiarioFert!I66)</f>
        <v>11.378867499999998</v>
      </c>
      <c r="M37">
        <f>$C$8*(ReDiarioFert!K65+ReDiarioFert!K66)</f>
        <v>10.452179200425924</v>
      </c>
      <c r="O37">
        <f>$C$8*(ReDiarioFert!M65+ReDiarioFert!M66)</f>
        <v>228.774887804878</v>
      </c>
      <c r="S37">
        <f>((E37/100)*$G$66+(G37/100)*$G$67+(I37/100)*$G$68+(K37/100)*$G$69+(M37/100)*$G$70+(O37)*$G$71+(Q37*$G$72))</f>
        <v>284.27148655728945</v>
      </c>
    </row>
    <row r="38">
      <c r="B38">
        <f>B37+2</f>
        <v>61</v>
      </c>
      <c r="C38">
        <f>$I$7+B38</f>
        <v>38580</v>
      </c>
      <c r="E38">
        <f>IF(($C$8*(ReDiarioFert!C67+ReDiarioFert!C68+ReDiarioFert!C69))&lt;=0,"0",($C$8*(ReDiarioFert!C67+ReDiarioFert!C68+ReDiarioFert!C69)))</f>
        <v>19.490657479182257</v>
      </c>
      <c r="G38">
        <f>$C$8*(ReDiarioFert!E67+ReDiarioFert!E68+ReDiarioFert!E69)</f>
        <v>8.918677966805163</v>
      </c>
      <c r="I38">
        <f>$C$8*(ReDiarioFert!G67+ReDiarioFert!G68+ReDiarioFert!G69)</f>
        <v>28.22088384115</v>
      </c>
      <c r="K38">
        <f>$C$8*(ReDiarioFert!I67+ReDiarioFert!I68+ReDiarioFert!I69)</f>
        <v>17.068301249999998</v>
      </c>
      <c r="M38">
        <f>$C$8*(ReDiarioFert!K67+ReDiarioFert!K68+ReDiarioFert!K69)</f>
        <v>15.678268800638886</v>
      </c>
      <c r="O38">
        <f>$C$8*(ReDiarioFert!M67+ReDiarioFert!M68+ReDiarioFert!M69)</f>
        <v>373.0028741463414</v>
      </c>
      <c r="S38">
        <f>((E38/100)*$G$66+(G38/100)*$G$67+(I38/100)*$G$68+(K38/100)*$G$69+(M38/100)*$G$70+(O38)*$G$71+(Q38*$G$72))</f>
        <v>426.7742685079341</v>
      </c>
    </row>
    <row r="39">
      <c r="A39">
        <v>10</v>
      </c>
      <c r="B39">
        <f>B38+3</f>
        <v>64</v>
      </c>
      <c r="C39">
        <f>$I$7+B39</f>
        <v>38583</v>
      </c>
      <c r="E39">
        <f>IF(($C$8*(ReDiarioFert!C70+ReDiarioFert!C71))&lt;=0,"0",($C$8*(ReDiarioFert!C70+ReDiarioFert!C71)))</f>
        <v>12.993771652788173</v>
      </c>
      <c r="G39">
        <f>$C$8*(ReDiarioFert!E70+ReDiarioFert!E71)</f>
        <v>5.945785311203442</v>
      </c>
      <c r="I39">
        <f>$C$8*(ReDiarioFert!G70+ReDiarioFert!G71)</f>
        <v>18.813922560766667</v>
      </c>
      <c r="K39">
        <f>$C$8*(ReDiarioFert!I70+ReDiarioFert!I71)</f>
        <v>11.378867499999998</v>
      </c>
      <c r="M39">
        <f>$C$8*(ReDiarioFert!K70+ReDiarioFert!K71)</f>
        <v>10.452179200425924</v>
      </c>
      <c r="O39">
        <f>$C$8*(ReDiarioFert!M70+ReDiarioFert!M71)</f>
        <v>288.4559726829268</v>
      </c>
      <c r="Q39">
        <f>20*$C$8</f>
        <v>20.019999999999996</v>
      </c>
      <c r="S39">
        <f>((E39/100)*$G$66+(G39/100)*$G$67+(I39/100)*$G$68+(K39/100)*$G$69+(M39/100)*$G$70+(O39)*$G$71+(Q39*$G$72))</f>
        <v>314.03456390128946</v>
      </c>
    </row>
    <row r="40">
      <c r="B40">
        <f>B39+2</f>
        <v>66</v>
      </c>
      <c r="C40">
        <f>$I$7+B40</f>
        <v>38585</v>
      </c>
      <c r="E40">
        <f>IF(($C$8*(ReDiarioFert!C72+ReDiarioFert!C73))&lt;=0,"0",($C$8*(ReDiarioFert!C72+ReDiarioFert!C73)))</f>
        <v>12.993771652788173</v>
      </c>
      <c r="G40">
        <f>$C$8*(ReDiarioFert!E72+ReDiarioFert!E73)</f>
        <v>5.945785311203442</v>
      </c>
      <c r="I40">
        <f>$C$8*(ReDiarioFert!G72+ReDiarioFert!G73)</f>
        <v>18.813922560766667</v>
      </c>
      <c r="K40">
        <f>$C$8*(ReDiarioFert!I72+ReDiarioFert!I73)</f>
        <v>11.378867499999998</v>
      </c>
      <c r="M40">
        <f>$C$8*(ReDiarioFert!K72+ReDiarioFert!K73)</f>
        <v>10.452179200425924</v>
      </c>
      <c r="O40">
        <f>$C$8*(ReDiarioFert!M72+ReDiarioFert!M73)</f>
        <v>288.4559726829268</v>
      </c>
      <c r="S40">
        <f>((E40/100)*$G$66+(G40/100)*$G$67+(I40/100)*$G$68+(K40/100)*$G$69+(M40/100)*$G$70+(O40)*$G$71+(Q40*$G$72))</f>
        <v>285.00556390128946</v>
      </c>
    </row>
    <row r="41">
      <c r="B41">
        <f>B40+2</f>
        <v>68</v>
      </c>
      <c r="C41">
        <f>$I$7+B41</f>
        <v>38587</v>
      </c>
      <c r="E41">
        <f>IF(($C$8*(ReDiarioFert!C74+ReDiarioFert!C75+ReDiarioFert!C76))&lt;=0,"0",($C$8*(ReDiarioFert!C74+ReDiarioFert!C75+ReDiarioFert!C76)))</f>
        <v>19.490657479182257</v>
      </c>
      <c r="G41">
        <f>$C$8*(ReDiarioFert!E74+ReDiarioFert!E75+ReDiarioFert!E76)</f>
        <v>8.918677966805163</v>
      </c>
      <c r="I41">
        <f>$C$8*(ReDiarioFert!G74+ReDiarioFert!G75+ReDiarioFert!G76)</f>
        <v>28.22088384115</v>
      </c>
      <c r="K41">
        <f>$C$8*(ReDiarioFert!I74+ReDiarioFert!I75+ReDiarioFert!I76)</f>
        <v>17.068301249999998</v>
      </c>
      <c r="M41">
        <f>$C$8*(ReDiarioFert!K74+ReDiarioFert!K75+ReDiarioFert!K76)</f>
        <v>15.678268800638886</v>
      </c>
      <c r="O41">
        <f>$C$8*(ReDiarioFert!M74+ReDiarioFert!M75+ReDiarioFert!M76)</f>
        <v>432.6839590243902</v>
      </c>
      <c r="S41">
        <f>((E41/100)*$G$66+(G41/100)*$G$67+(I41/100)*$G$68+(K41/100)*$G$69+(M41/100)*$G$70+(O41)*$G$71+(Q41*$G$72))</f>
        <v>427.5083458519341</v>
      </c>
    </row>
    <row r="42">
      <c r="A42">
        <v>11</v>
      </c>
      <c r="B42">
        <f>B41+3</f>
        <v>71</v>
      </c>
      <c r="C42">
        <f>$I$7+B42</f>
        <v>38590</v>
      </c>
      <c r="E42">
        <f>IF(($C$8*(ReDiarioFert!C77+ReDiarioFert!C78))&lt;=0,"0",($C$8*(ReDiarioFert!C77+ReDiarioFert!C78)))</f>
        <v>12.993771652788173</v>
      </c>
      <c r="G42">
        <f>$C$8*(ReDiarioFert!E77+ReDiarioFert!E78)</f>
        <v>5.945785311203442</v>
      </c>
      <c r="I42">
        <f>$C$8*(ReDiarioFert!G77+ReDiarioFert!G78)</f>
        <v>18.813922560766667</v>
      </c>
      <c r="K42">
        <f>$C$8*(ReDiarioFert!I77+ReDiarioFert!I78)</f>
        <v>11.378867499999998</v>
      </c>
      <c r="M42">
        <f>$C$8*(ReDiarioFert!K77+ReDiarioFert!K78)</f>
        <v>10.452179200425924</v>
      </c>
      <c r="O42">
        <f>$C$8*(ReDiarioFert!M77+ReDiarioFert!M78)</f>
        <v>288.4559726829268</v>
      </c>
      <c r="Q42">
        <f>20*$C$8</f>
        <v>20.019999999999996</v>
      </c>
      <c r="S42">
        <f>((E42/100)*$G$66+(G42/100)*$G$67+(I42/100)*$G$68+(K42/100)*$G$69+(M42/100)*$G$70+(O42)*$G$71+(Q42*$G$72))</f>
        <v>314.03456390128946</v>
      </c>
    </row>
    <row r="43">
      <c r="B43">
        <f>B42+2</f>
        <v>73</v>
      </c>
      <c r="C43">
        <f>$I$7+B43</f>
        <v>38592</v>
      </c>
      <c r="E43">
        <f>IF(($C$8*(ReDiarioFert!C79+ReDiarioFert!C80))&lt;=0,"0",($C$8*(ReDiarioFert!C79+ReDiarioFert!C80)))</f>
        <v>12.993771652788173</v>
      </c>
      <c r="G43">
        <f>$C$8*(ReDiarioFert!E79+ReDiarioFert!E80)</f>
        <v>5.945785311203442</v>
      </c>
      <c r="I43">
        <f>$C$8*(ReDiarioFert!G79+ReDiarioFert!G80)</f>
        <v>18.813922560766667</v>
      </c>
      <c r="K43">
        <f>$C$8*(ReDiarioFert!I79+ReDiarioFert!I80)</f>
        <v>11.378867499999998</v>
      </c>
      <c r="M43">
        <f>$C$8*(ReDiarioFert!K79+ReDiarioFert!K80)</f>
        <v>10.452179200425924</v>
      </c>
      <c r="O43">
        <f>$C$8*(ReDiarioFert!M79+ReDiarioFert!M80)</f>
        <v>288.4559726829268</v>
      </c>
      <c r="S43">
        <f>((E43/100)*$G$66+(G43/100)*$G$67+(I43/100)*$G$68+(K43/100)*$G$69+(M43/100)*$G$70+(O43)*$G$71+(Q43*$G$72))</f>
        <v>285.00556390128946</v>
      </c>
    </row>
    <row r="44">
      <c r="B44">
        <f>B43+2</f>
        <v>75</v>
      </c>
      <c r="C44">
        <f>$I$7+B44</f>
        <v>38594</v>
      </c>
      <c r="E44">
        <f>IF(($C$8*(ReDiarioFert!C81+ReDiarioFert!C82+ReDiarioFert!C83))&lt;=0,"0",($C$8*(ReDiarioFert!C81+ReDiarioFert!C82+ReDiarioFert!C83)))</f>
        <v>19.490657479182257</v>
      </c>
      <c r="G44">
        <f>$C$8*(ReDiarioFert!E81+ReDiarioFert!E82+ReDiarioFert!E83)</f>
        <v>8.918677966805163</v>
      </c>
      <c r="I44">
        <f>$C$8*(ReDiarioFert!G81+ReDiarioFert!G82+ReDiarioFert!G83)</f>
        <v>28.22088384115</v>
      </c>
      <c r="K44">
        <f>$C$8*(ReDiarioFert!I81+ReDiarioFert!I82+ReDiarioFert!I83)</f>
        <v>17.068301249999998</v>
      </c>
      <c r="M44">
        <f>$C$8*(ReDiarioFert!K81+ReDiarioFert!K82+ReDiarioFert!K83)</f>
        <v>15.678268800638886</v>
      </c>
      <c r="O44">
        <f>$C$8*(ReDiarioFert!M81+ReDiarioFert!M82+ReDiarioFert!M83)</f>
        <v>432.6839590243902</v>
      </c>
      <c r="S44">
        <f>((E44/100)*$G$66+(G44/100)*$G$67+(I44/100)*$G$68+(K44/100)*$G$69+(M44/100)*$G$70+(O44)*$G$71+(Q44*$G$72))</f>
        <v>427.5083458519341</v>
      </c>
    </row>
    <row r="45">
      <c r="A45">
        <v>12</v>
      </c>
      <c r="B45">
        <f>B44+3</f>
        <v>78</v>
      </c>
      <c r="C45">
        <f>$I$7+B45</f>
        <v>38597</v>
      </c>
      <c r="E45">
        <f>IF(($C$8*(ReDiarioFert!C84+ReDiarioFert!C85))&lt;=0,"0",($C$8*(ReDiarioFert!C84+ReDiarioFert!C85)))</f>
        <v>9.351671530686184</v>
      </c>
      <c r="G45">
        <f>$C$8*(ReDiarioFert!E84+ReDiarioFert!E85)</f>
        <v>5.945785311203442</v>
      </c>
      <c r="I45">
        <f>$C$8*(ReDiarioFert!G84+ReDiarioFert!G85)</f>
        <v>14.102824947878332</v>
      </c>
      <c r="K45">
        <f>$C$8*(ReDiarioFert!I84+ReDiarioFert!I85)</f>
        <v>8.529520999999997</v>
      </c>
      <c r="M45">
        <f>$C$8*(ReDiarioFert!K84+ReDiarioFert!K85)</f>
        <v>7.834902748821295</v>
      </c>
      <c r="O45">
        <f>$C$8*(ReDiarioFert!M84+ReDiarioFert!M85)</f>
        <v>288.4559726829268</v>
      </c>
      <c r="Q45">
        <f>20*$C$8</f>
        <v>20.019999999999996</v>
      </c>
      <c r="S45">
        <f>((E45/100)*$G$66+(G45/100)*$G$67+(I45/100)*$G$68+(K45/100)*$G$69+(M45/100)*$G$70+(O45)*$G$71+(Q45*$G$72))</f>
        <v>260.2183532341647</v>
      </c>
    </row>
    <row r="46">
      <c r="B46">
        <f>B45+2</f>
        <v>80</v>
      </c>
      <c r="C46">
        <f>$I$7+B46</f>
        <v>38599</v>
      </c>
      <c r="E46">
        <f>IF(($C$8*(ReDiarioFert!C86+ReDiarioFert!C87))&lt;=0,"0",($C$8*(ReDiarioFert!C86+ReDiarioFert!C87)))</f>
        <v>9.351671530686184</v>
      </c>
      <c r="G46">
        <f>$C$8*(ReDiarioFert!E86+ReDiarioFert!E87)</f>
        <v>5.945785311203442</v>
      </c>
      <c r="I46">
        <f>$C$8*(ReDiarioFert!G86+ReDiarioFert!G87)</f>
        <v>14.102824947878332</v>
      </c>
      <c r="K46">
        <f>$C$8*(ReDiarioFert!I86+ReDiarioFert!I87)</f>
        <v>8.529520999999997</v>
      </c>
      <c r="M46">
        <f>$C$8*(ReDiarioFert!K86+ReDiarioFert!K87)</f>
        <v>7.834902748821295</v>
      </c>
      <c r="O46">
        <f>$C$8*(ReDiarioFert!M86+ReDiarioFert!M87)</f>
        <v>318.29602682926827</v>
      </c>
      <c r="S46">
        <f>((E46/100)*$G$66+(G46/100)*$G$67+(I46/100)*$G$68+(K46/100)*$G$69+(M46/100)*$G$70+(O46)*$G$71+(Q46*$G$72))</f>
        <v>231.55638590016468</v>
      </c>
    </row>
    <row r="47">
      <c r="B47">
        <f>B46+2</f>
        <v>82</v>
      </c>
      <c r="C47">
        <f>$I$7+B47</f>
        <v>38601</v>
      </c>
      <c r="E47">
        <f>IF(($C$8*(ReDiarioFert!C88+ReDiarioFert!C89+ReDiarioFert!C90))&lt;=0,"0",($C$8*(ReDiarioFert!C88+ReDiarioFert!C89+ReDiarioFert!C90)))</f>
        <v>14.027507296029276</v>
      </c>
      <c r="G47">
        <f>$C$8*(ReDiarioFert!E88+ReDiarioFert!E89+ReDiarioFert!E90)</f>
        <v>8.918677966805163</v>
      </c>
      <c r="I47">
        <f>$C$8*(ReDiarioFert!G88+ReDiarioFert!G89+ReDiarioFert!G90)</f>
        <v>21.1542374218175</v>
      </c>
      <c r="K47">
        <f>$C$8*(ReDiarioFert!I88+ReDiarioFert!I89+ReDiarioFert!I90)</f>
        <v>12.794281499999997</v>
      </c>
      <c r="M47">
        <f>$C$8*(ReDiarioFert!K88+ReDiarioFert!K89+ReDiarioFert!K90)</f>
        <v>11.752354123231942</v>
      </c>
      <c r="O47">
        <f>$C$8*(ReDiarioFert!M88+ReDiarioFert!M89+ReDiarioFert!M90)</f>
        <v>522.2041214634146</v>
      </c>
      <c r="S47">
        <f>((E47/100)*$G$66+(G47/100)*$G$67+(I47/100)*$G$68+(K47/100)*$G$69+(M47/100)*$G$70+(O47)*$G$71+(Q47*$G$72))</f>
        <v>347.885127849247</v>
      </c>
    </row>
    <row r="48" ht="18" customHeight="1">
      <c r="A48">
        <v>13</v>
      </c>
      <c r="B48">
        <f>B47+3</f>
        <v>85</v>
      </c>
      <c r="C48">
        <f>$I$7+B48</f>
        <v>38604</v>
      </c>
      <c r="E48">
        <f>IF(($C$8*(ReDiarioFert!C91+ReDiarioFert!C92))&lt;=0,"0",($C$8*(ReDiarioFert!C91+ReDiarioFert!C92)))</f>
        <v>9.351671530686184</v>
      </c>
      <c r="G48">
        <f>$C$8*(ReDiarioFert!E91+ReDiarioFert!E92)</f>
        <v>5.945785311203442</v>
      </c>
      <c r="I48">
        <f>$C$8*(ReDiarioFert!G91+ReDiarioFert!G92)</f>
        <v>14.102824947878332</v>
      </c>
      <c r="K48">
        <f>$C$8*(ReDiarioFert!I91+ReDiarioFert!I92)</f>
        <v>8.529520999999997</v>
      </c>
      <c r="M48">
        <f>$C$8*(ReDiarioFert!K91+ReDiarioFert!K92)</f>
        <v>7.834902748821295</v>
      </c>
      <c r="O48">
        <f>$C$8*(ReDiarioFert!M91+ReDiarioFert!M92)</f>
        <v>348.13608097560973</v>
      </c>
      <c r="Q48">
        <f>20*$C$8</f>
        <v>20.019999999999996</v>
      </c>
      <c r="S48">
        <f>((E48/100)*$G$66+(G48/100)*$G$67+(I48/100)*$G$68+(K48/100)*$G$69+(M48/100)*$G$70+(O48)*$G$71+(Q48*$G$72))</f>
        <v>260.9524185661647</v>
      </c>
    </row>
    <row r="49" ht="18" customHeight="1">
      <c r="B49">
        <f>B48+2</f>
        <v>87</v>
      </c>
      <c r="C49">
        <f>$I$7+B49</f>
        <v>38606</v>
      </c>
      <c r="E49">
        <f>IF(($C$8*(ReDiarioFert!C93+ReDiarioFert!C94))&lt;=0,"0",($C$8*(ReDiarioFert!C93+ReDiarioFert!C94)))</f>
        <v>9.351671530686184</v>
      </c>
      <c r="G49">
        <f>$C$8*(ReDiarioFert!E93+ReDiarioFert!E94)</f>
        <v>5.945785311203442</v>
      </c>
      <c r="I49">
        <f>$C$8*(ReDiarioFert!G93+ReDiarioFert!G94)</f>
        <v>14.102824947878332</v>
      </c>
      <c r="K49">
        <f>$C$8*(ReDiarioFert!I93+ReDiarioFert!I94)</f>
        <v>8.529520999999997</v>
      </c>
      <c r="M49">
        <f>$C$8*(ReDiarioFert!K93+ReDiarioFert!K94)</f>
        <v>7.834902748821295</v>
      </c>
      <c r="O49">
        <f>$C$8*(ReDiarioFert!M93+ReDiarioFert!M94)</f>
        <v>348.13608097560973</v>
      </c>
      <c r="S49">
        <f>((E49/100)*$G$66+(G49/100)*$G$67+(I49/100)*$G$68+(K49/100)*$G$69+(M49/100)*$G$70+(O49)*$G$71+(Q49*$G$72))</f>
        <v>231.92341856616468</v>
      </c>
    </row>
    <row r="50" ht="18" customHeight="1">
      <c r="B50">
        <f>B49+2</f>
        <v>89</v>
      </c>
      <c r="C50">
        <f>$I$7+B50</f>
        <v>38608</v>
      </c>
      <c r="E50">
        <f>IF(($C$8*(ReDiarioFert!C95+ReDiarioFert!C96+ReDiarioFert!C97))&lt;=0,"0",($C$8*(ReDiarioFert!C95+ReDiarioFert!C96+ReDiarioFert!C97)))</f>
        <v>14.027507296029276</v>
      </c>
      <c r="G50">
        <f>$C$8*(ReDiarioFert!E95+ReDiarioFert!E96+ReDiarioFert!E97)</f>
        <v>8.918677966805163</v>
      </c>
      <c r="I50">
        <f>$C$8*(ReDiarioFert!G95+ReDiarioFert!G96+ReDiarioFert!G97)</f>
        <v>21.1542374218175</v>
      </c>
      <c r="K50">
        <f>$C$8*(ReDiarioFert!I95+ReDiarioFert!I96+ReDiarioFert!I97)</f>
        <v>12.794281499999997</v>
      </c>
      <c r="M50">
        <f>$C$8*(ReDiarioFert!K95+ReDiarioFert!K96+ReDiarioFert!K97)</f>
        <v>11.752354123231942</v>
      </c>
      <c r="O50">
        <f>$C$8*(ReDiarioFert!M95+ReDiarioFert!M96+ReDiarioFert!M97)</f>
        <v>522.2041214634146</v>
      </c>
      <c r="S50">
        <f>((E50/100)*$G$66+(G50/100)*$G$67+(I50/100)*$G$68+(K50/100)*$G$69+(M50/100)*$G$70+(O50)*$G$71+(Q50*$G$72))</f>
        <v>347.885127849247</v>
      </c>
    </row>
    <row r="51">
      <c r="A51">
        <v>14</v>
      </c>
      <c r="B51">
        <f>B50+3</f>
        <v>92</v>
      </c>
      <c r="C51">
        <f>$I$7+B51</f>
        <v>38611</v>
      </c>
      <c r="E51">
        <f>IF(($C$8*(ReDiarioFert!C98+ReDiarioFert!C99))&lt;=0,"0",($C$8*(ReDiarioFert!C98+ReDiarioFert!C99)))</f>
        <v>9.351671530686184</v>
      </c>
      <c r="G51">
        <f>$C$8*(ReDiarioFert!E98+ReDiarioFert!E99)</f>
        <v>5.945785311203442</v>
      </c>
      <c r="I51">
        <f>$C$8*(ReDiarioFert!G98+ReDiarioFert!G99)</f>
        <v>14.102824947878332</v>
      </c>
      <c r="K51">
        <f>$C$8*(ReDiarioFert!I98+ReDiarioFert!I99)</f>
        <v>8.529520999999997</v>
      </c>
      <c r="M51">
        <f>$C$8*(ReDiarioFert!K98+ReDiarioFert!K99)</f>
        <v>7.834902748821295</v>
      </c>
      <c r="O51">
        <f>$C$8*(ReDiarioFert!M98+ReDiarioFert!M99)</f>
        <v>348.13608097560973</v>
      </c>
      <c r="Q51">
        <f>20*$C$8</f>
        <v>20.019999999999996</v>
      </c>
      <c r="S51">
        <f>((E51/100)*$G$66+(G51/100)*$G$67+(I51/100)*$G$68+(K51/100)*$G$69+(M51/100)*$G$70+(O51)*$G$71+(Q51*$G$72))</f>
        <v>260.9524185661647</v>
      </c>
    </row>
    <row r="52">
      <c r="B52">
        <f>B51+2</f>
        <v>94</v>
      </c>
      <c r="C52">
        <f>$I$7+B52</f>
        <v>38613</v>
      </c>
      <c r="E52">
        <f>IF(($C$8*(ReDiarioFert!C100+ReDiarioFert!C101))&lt;=0,"0",($C$8*(ReDiarioFert!C100+ReDiarioFert!C101)))</f>
        <v>9.351671530686184</v>
      </c>
      <c r="G52">
        <f>$C$8*(ReDiarioFert!E100+ReDiarioFert!E101)</f>
        <v>5.945785311203442</v>
      </c>
      <c r="I52">
        <f>$C$8*(ReDiarioFert!G100+ReDiarioFert!G101)</f>
        <v>14.102824947878332</v>
      </c>
      <c r="K52">
        <f>$C$8*(ReDiarioFert!I100+ReDiarioFert!I101)</f>
        <v>8.529520999999997</v>
      </c>
      <c r="M52">
        <f>$C$8*(ReDiarioFert!K100+ReDiarioFert!K101)</f>
        <v>7.834902748821295</v>
      </c>
      <c r="O52">
        <f>$C$8*(ReDiarioFert!M100+ReDiarioFert!M101)</f>
        <v>348.13608097560973</v>
      </c>
      <c r="S52">
        <f>((E52/100)*$G$66+(G52/100)*$G$67+(I52/100)*$G$68+(K52/100)*$G$69+(M52/100)*$G$70+(O52)*$G$71+(Q52*$G$72))</f>
        <v>231.92341856616468</v>
      </c>
    </row>
    <row r="53">
      <c r="B53">
        <f>B52+2</f>
        <v>96</v>
      </c>
      <c r="C53">
        <f>$I$7+B53</f>
        <v>38615</v>
      </c>
      <c r="E53">
        <f>IF(($C$8*(ReDiarioFert!C102+ReDiarioFert!C103+ReDiarioFert!C104))&lt;=0,"0",($C$8*(ReDiarioFert!C102+ReDiarioFert!C103+ReDiarioFert!C104)))</f>
        <v>14.027507296029276</v>
      </c>
      <c r="G53">
        <f>$C$8*(ReDiarioFert!E102+ReDiarioFert!E103+ReDiarioFert!E104)</f>
        <v>8.918677966805163</v>
      </c>
      <c r="I53">
        <f>$C$8*(ReDiarioFert!G102+ReDiarioFert!G103+ReDiarioFert!G104)</f>
        <v>21.1542374218175</v>
      </c>
      <c r="K53">
        <f>$C$8*(ReDiarioFert!I102+ReDiarioFert!I103+ReDiarioFert!I104)</f>
        <v>12.794281499999997</v>
      </c>
      <c r="M53">
        <f>$C$8*(ReDiarioFert!K102+ReDiarioFert!K103+ReDiarioFert!K104)</f>
        <v>11.752354123231942</v>
      </c>
      <c r="O53">
        <f>$C$8*(ReDiarioFert!M102+ReDiarioFert!M103+ReDiarioFert!M104)</f>
        <v>522.2041214634146</v>
      </c>
      <c r="S53">
        <f>((E53/100)*$G$66+(G53/100)*$G$67+(I53/100)*$G$68+(K53/100)*$G$69+(M53/100)*$G$70+(O53)*$G$71+(Q53*$G$72))</f>
        <v>347.885127849247</v>
      </c>
    </row>
    <row r="54">
      <c r="A54">
        <v>15</v>
      </c>
      <c r="B54">
        <f>B53+3</f>
        <v>99</v>
      </c>
      <c r="C54">
        <f>$I$7+B54</f>
        <v>38618</v>
      </c>
      <c r="E54">
        <f>IF(($C$8*(ReDiarioFert!C105+ReDiarioFert!C106))&lt;=0,"0",($C$8*(ReDiarioFert!C105+ReDiarioFert!C106)))</f>
        <v>9.351671530686184</v>
      </c>
      <c r="G54">
        <f>$C$8*(ReDiarioFert!E105+ReDiarioFert!E106)</f>
        <v>5.945785311203442</v>
      </c>
      <c r="I54">
        <f>$C$8*(ReDiarioFert!G105+ReDiarioFert!G106)</f>
        <v>14.102824947878332</v>
      </c>
      <c r="K54">
        <f>$C$8*(ReDiarioFert!I105+ReDiarioFert!I106)</f>
        <v>8.529520999999997</v>
      </c>
      <c r="M54">
        <f>$C$8*(ReDiarioFert!K105+ReDiarioFert!K106)</f>
        <v>7.834902748821295</v>
      </c>
      <c r="O54">
        <f>$C$8*(ReDiarioFert!M105+ReDiarioFert!M106)</f>
        <v>348.13608097560973</v>
      </c>
      <c r="Q54">
        <f>20*$C$8</f>
        <v>20.019999999999996</v>
      </c>
      <c r="S54">
        <f>((E54/100)*$G$66+(G54/100)*$G$67+(I54/100)*$G$68+(K54/100)*$G$69+(M54/100)*$G$70+(O54)*$G$71+(Q54*$G$72))</f>
        <v>260.9524185661647</v>
      </c>
    </row>
    <row r="55">
      <c r="B55">
        <f>B54+2</f>
        <v>101</v>
      </c>
      <c r="C55">
        <f>$I$7+B55</f>
        <v>38620</v>
      </c>
      <c r="E55">
        <f>IF(($C$8*(ReDiarioFert!C107+ReDiarioFert!C108))&lt;=0,"0",($C$8*(ReDiarioFert!C107+ReDiarioFert!C108)))</f>
        <v>9.351671530686184</v>
      </c>
      <c r="G55">
        <f>$C$8*(ReDiarioFert!E107+ReDiarioFert!E108)</f>
        <v>5.945785311203442</v>
      </c>
      <c r="I55">
        <f>$C$8*(ReDiarioFert!G107+ReDiarioFert!G108)</f>
        <v>14.102824947878332</v>
      </c>
      <c r="K55">
        <f>$C$8*(ReDiarioFert!I107+ReDiarioFert!I108)</f>
        <v>8.529520999999997</v>
      </c>
      <c r="M55">
        <f>$C$8*(ReDiarioFert!K107+ReDiarioFert!K108)</f>
        <v>7.834902748821295</v>
      </c>
      <c r="O55">
        <f>$C$8*(ReDiarioFert!M107+ReDiarioFert!M108)</f>
        <v>348.13608097560973</v>
      </c>
      <c r="S55">
        <f>((E55/100)*$G$66+(G55/100)*$G$67+(I55/100)*$G$68+(K55/100)*$G$69+(M55/100)*$G$70+(O55)*$G$71+(Q55*$G$72))</f>
        <v>231.92341856616468</v>
      </c>
    </row>
    <row r="56">
      <c r="B56">
        <f>B55+2</f>
        <v>103</v>
      </c>
      <c r="C56">
        <f>$I$7+B56</f>
        <v>38622</v>
      </c>
      <c r="E56">
        <f>IF(($C$8*(ReDiarioFert!C109+ReDiarioFert!C110+ReDiarioFert!C111))&lt;=0,"0",($C$8*(ReDiarioFert!C109+ReDiarioFert!C110+ReDiarioFert!C111)))</f>
        <v>14.027507296029276</v>
      </c>
      <c r="G56">
        <f>$C$8*(ReDiarioFert!E109+ReDiarioFert!E110+ReDiarioFert!E111)</f>
        <v>8.918677966805163</v>
      </c>
      <c r="I56">
        <f>$C$8*(ReDiarioFert!G109+ReDiarioFert!G110+ReDiarioFert!G111)</f>
        <v>21.1542374218175</v>
      </c>
      <c r="K56">
        <f>$C$8*(ReDiarioFert!I109+ReDiarioFert!I110+ReDiarioFert!I111)</f>
        <v>12.794281499999997</v>
      </c>
      <c r="M56">
        <f>$C$8*(ReDiarioFert!K109+ReDiarioFert!K110+ReDiarioFert!K111)</f>
        <v>11.752354123231942</v>
      </c>
      <c r="O56">
        <f>$C$8*(ReDiarioFert!M109+ReDiarioFert!M110+ReDiarioFert!M111)</f>
        <v>522.2041214634146</v>
      </c>
      <c r="S56">
        <f>((E56/100)*$G$66+(G56/100)*$G$67+(I56/100)*$G$68+(K56/100)*$G$69+(M56/100)*$G$70+(O56)*$G$71+(Q56*$G$72))</f>
        <v>347.885127849247</v>
      </c>
    </row>
    <row r="57">
      <c r="A57">
        <v>16</v>
      </c>
      <c r="B57">
        <f>B56+3</f>
        <v>106</v>
      </c>
      <c r="C57">
        <f>$I$7+B57</f>
        <v>38625</v>
      </c>
      <c r="E57">
        <f>IF(($C$8*(ReDiarioFert!C112+ReDiarioFert!C113))&lt;=0,"0",($C$8*(ReDiarioFert!C112+ReDiarioFert!C113)))</f>
        <v>9.351671530686184</v>
      </c>
      <c r="G57">
        <f>$C$8*(ReDiarioFert!E112+ReDiarioFert!E113)</f>
        <v>5.945785311203442</v>
      </c>
      <c r="I57">
        <f>$C$8*(ReDiarioFert!G112+ReDiarioFert!G113)</f>
        <v>14.102824947878332</v>
      </c>
      <c r="K57">
        <f>$C$8*(ReDiarioFert!I112+ReDiarioFert!I113)</f>
        <v>8.529520999999997</v>
      </c>
      <c r="M57">
        <f>$C$8*(ReDiarioFert!K112+ReDiarioFert!K113)</f>
        <v>7.834902748821295</v>
      </c>
      <c r="O57">
        <f>$C$8*(ReDiarioFert!M112+ReDiarioFert!M113)</f>
        <v>348.13608097560973</v>
      </c>
      <c r="Q57">
        <f>20*$C$8</f>
        <v>20.019999999999996</v>
      </c>
      <c r="S57">
        <f>((E57/100)*$G$66+(G57/100)*$G$67+(I57/100)*$G$68+(K57/100)*$G$69+(M57/100)*$G$70+(O57)*$G$71+(Q57*$G$72))</f>
        <v>260.9524185661647</v>
      </c>
    </row>
    <row r="58">
      <c r="B58">
        <f>B57+2</f>
        <v>108</v>
      </c>
      <c r="C58">
        <f>$I$7+B58</f>
        <v>38627</v>
      </c>
      <c r="E58">
        <f>IF(($C$8*(ReDiarioFert!C114+ReDiarioFert!C115))&lt;=0,"0",($C$8*(ReDiarioFert!C114+ReDiarioFert!C115)))</f>
        <v>9.351671530686184</v>
      </c>
      <c r="G58">
        <f>$C$8*(ReDiarioFert!E114+ReDiarioFert!E115)</f>
        <v>5.945785311203442</v>
      </c>
      <c r="I58">
        <f>$C$8*(ReDiarioFert!G114+ReDiarioFert!G115)</f>
        <v>14.102824947878332</v>
      </c>
      <c r="K58">
        <f>$C$8*(ReDiarioFert!I114+ReDiarioFert!I115)</f>
        <v>8.529520999999997</v>
      </c>
      <c r="M58">
        <f>$C$8*(ReDiarioFert!K114+ReDiarioFert!K115)</f>
        <v>7.834902748821295</v>
      </c>
      <c r="O58">
        <f>$C$8*(ReDiarioFert!M114+ReDiarioFert!M115)</f>
        <v>348.13608097560973</v>
      </c>
      <c r="S58">
        <f>((E58/100)*$G$66+(G58/100)*$G$67+(I58/100)*$G$68+(K58/100)*$G$69+(M58/100)*$G$70+(O58)*$G$71+(Q58*$G$72))</f>
        <v>231.92341856616468</v>
      </c>
    </row>
    <row r="59">
      <c r="B59">
        <f>B58+2</f>
        <v>110</v>
      </c>
      <c r="C59">
        <f>$I$7+B59</f>
        <v>38629</v>
      </c>
      <c r="E59">
        <f>IF(($C$8*(ReDiarioFert!C116+ReDiarioFert!C117+ReDiarioFert!C118))&lt;=0,"0",($C$8*(ReDiarioFert!C116+ReDiarioFert!C117+ReDiarioFert!C118)))</f>
        <v>14.027507296029276</v>
      </c>
      <c r="G59">
        <f>$C$8*(ReDiarioFert!E116+ReDiarioFert!E117+ReDiarioFert!E118)</f>
        <v>8.918677966805163</v>
      </c>
      <c r="I59">
        <f>$C$8*(ReDiarioFert!G116+ReDiarioFert!G117+ReDiarioFert!G118)</f>
        <v>21.1542374218175</v>
      </c>
      <c r="K59">
        <f>$C$8*(ReDiarioFert!I116+ReDiarioFert!I117+ReDiarioFert!I118)</f>
        <v>12.794281499999997</v>
      </c>
      <c r="M59">
        <f>$C$8*(ReDiarioFert!K116+ReDiarioFert!K117+ReDiarioFert!K118)</f>
        <v>11.752354123231942</v>
      </c>
      <c r="O59">
        <f>$C$8*(ReDiarioFert!M116+ReDiarioFert!M117+ReDiarioFert!M118)</f>
        <v>522.2041214634146</v>
      </c>
      <c r="S59">
        <f>((E59/100)*$G$66+(G59/100)*$G$67+(I59/100)*$G$68+(K59/100)*$G$69+(M59/100)*$G$70+(O59)*$G$71+(Q59*$G$72))</f>
        <v>347.885127849247</v>
      </c>
    </row>
    <row r="60">
      <c r="A60">
        <v>17</v>
      </c>
      <c r="B60">
        <f>B59+3</f>
        <v>113</v>
      </c>
      <c r="C60">
        <f>$I$7+B60</f>
        <v>38632</v>
      </c>
      <c r="E60">
        <f>IF(($C$8*(ReDiarioFert!C119+ReDiarioFert!C120))&lt;=0,"0",($C$8*(ReDiarioFert!C119+ReDiarioFert!C120)))</f>
        <v>9.351671530686184</v>
      </c>
      <c r="G60">
        <f>$C$8*(ReDiarioFert!E119+ReDiarioFert!E120)</f>
        <v>5.945785311203442</v>
      </c>
      <c r="I60">
        <f>$C$8*(ReDiarioFert!G119+ReDiarioFert!G120)</f>
        <v>14.102824947878332</v>
      </c>
      <c r="K60">
        <f>$C$8*(ReDiarioFert!I119+ReDiarioFert!I120)</f>
        <v>8.529520999999997</v>
      </c>
      <c r="M60">
        <f>$C$8*(ReDiarioFert!K119+ReDiarioFert!K120)</f>
        <v>7.834902748821295</v>
      </c>
      <c r="O60">
        <f>$C$8*(ReDiarioFert!M119+ReDiarioFert!M120)</f>
        <v>348.13608097560973</v>
      </c>
      <c r="Q60">
        <f>20*$C$8</f>
        <v>20.019999999999996</v>
      </c>
      <c r="S60">
        <f>((E60/100)*$G$66+(G60/100)*$G$67+(I60/100)*$G$68+(K60/100)*$G$69+(M60/100)*$G$70+(O60)*$G$71+(Q60*$G$72))</f>
        <v>260.9524185661647</v>
      </c>
    </row>
    <row r="61">
      <c r="B61">
        <f>B60+2</f>
        <v>115</v>
      </c>
      <c r="C61">
        <f>$I$7+B61</f>
        <v>38634</v>
      </c>
      <c r="E61">
        <f>IF(($C$8*(ReDiarioFert!C121+ReDiarioFert!C122))&lt;=0,"0",($C$8*(ReDiarioFert!C121+ReDiarioFert!C122)))</f>
        <v>9.351671530686184</v>
      </c>
      <c r="G61">
        <f>$C$8*(ReDiarioFert!E121+ReDiarioFert!E122)</f>
        <v>5.945785311203442</v>
      </c>
      <c r="I61">
        <f>$C$8*(ReDiarioFert!G121+ReDiarioFert!G122)</f>
        <v>14.102824947878332</v>
      </c>
      <c r="K61">
        <f>$C$8*(ReDiarioFert!I121+ReDiarioFert!I122)</f>
        <v>8.529520999999997</v>
      </c>
      <c r="M61">
        <f>$C$8*(ReDiarioFert!K121+ReDiarioFert!K122)</f>
        <v>7.834902748821295</v>
      </c>
      <c r="O61">
        <f>$C$8*(ReDiarioFert!M121+ReDiarioFert!M122)</f>
        <v>348.13608097560973</v>
      </c>
      <c r="S61">
        <f>((E61/100)*$G$66+(G61/100)*$G$67+(I61/100)*$G$68+(K61/100)*$G$69+(M61/100)*$G$70+(O61)*$G$71+(Q61*$G$72))</f>
        <v>231.92341856616468</v>
      </c>
    </row>
    <row r="62">
      <c r="B62">
        <f>B61+2</f>
        <v>117</v>
      </c>
      <c r="C62">
        <f>$I$7+B62</f>
        <v>38636</v>
      </c>
      <c r="E62">
        <f>IF(($C$8*(ReDiarioFert!C123+ReDiarioFert!C124+ReDiarioFert!C125))&lt;=0,"0",($C$8*(ReDiarioFert!C123+ReDiarioFert!C124+ReDiarioFert!C125)))</f>
        <v>14.027507296029276</v>
      </c>
      <c r="G62">
        <f>$C$8*(ReDiarioFert!E123+ReDiarioFert!E124+ReDiarioFert!E125)</f>
        <v>8.918677966805163</v>
      </c>
      <c r="I62">
        <f>$C$8*(ReDiarioFert!G123+ReDiarioFert!G124+ReDiarioFert!G125)</f>
        <v>21.1542374218175</v>
      </c>
      <c r="K62">
        <f>$C$8*(ReDiarioFert!I123+ReDiarioFert!I124+ReDiarioFert!I125)</f>
        <v>12.794281499999997</v>
      </c>
      <c r="M62">
        <f>$C$8*(ReDiarioFert!K123+ReDiarioFert!K124+ReDiarioFert!K125)</f>
        <v>11.752354123231942</v>
      </c>
      <c r="O62">
        <f>$C$8*(ReDiarioFert!M123+ReDiarioFert!M124+ReDiarioFert!M125)</f>
        <v>522.2041214634146</v>
      </c>
      <c r="S62">
        <f>((E62/100)*$G$66+(G62/100)*$G$67+(I62/100)*$G$68+(K62/100)*$G$69+(M62/100)*$G$70+(O62)*$G$71+(Q62*$G$72))</f>
        <v>347.885127849247</v>
      </c>
    </row>
    <row r="63">
      <c r="C63" t="str">
        <v>Total</v>
      </c>
      <c r="E63">
        <f>SUM(E12:E62)</f>
        <v>636.6496212875275</v>
      </c>
      <c r="G63">
        <f>SUM(G12:G62)</f>
        <v>474.1658490531258</v>
      </c>
      <c r="I63">
        <f>SUM(I12:I62)</f>
        <v>954.6466135322787</v>
      </c>
      <c r="K63">
        <f>SUM(K12:K62)</f>
        <v>577.3803035000002</v>
      </c>
      <c r="M63">
        <f>SUM(M12:M62)</f>
        <v>530.3592297401548</v>
      </c>
      <c r="O63">
        <f>SUM(O12:O62)</f>
        <v>13825.971671707317</v>
      </c>
      <c r="Q63">
        <f>SUM(Q12:Q62)</f>
        <v>340.3399999999998</v>
      </c>
      <c r="S63">
        <f>SUM(S12:S62)</f>
        <v>16944.453376565536</v>
      </c>
    </row>
    <row r="65" ht="39.75" customHeight="1">
      <c r="B65" t="str">
        <v>Producto</v>
      </c>
      <c r="F65" t="str">
        <v>Lbs/Ha</v>
      </c>
      <c r="G65" t="str">
        <v>Costo Lps/qq</v>
      </c>
    </row>
    <row r="66">
      <c r="B66" t="str">
        <f>ReSemanalFert!C4</f>
        <v>Urea</v>
      </c>
      <c r="F66">
        <f>E63/C8</f>
        <v>636.0136076798477</v>
      </c>
      <c r="G66">
        <f>Main!D37</f>
        <v>310</v>
      </c>
    </row>
    <row r="67">
      <c r="B67" t="str">
        <f>ReSemanalFert!E4</f>
        <v>MAP 12-61-0</v>
      </c>
      <c r="F67">
        <f>G63/C8</f>
        <v>473.6921568962296</v>
      </c>
      <c r="G67">
        <f>Main!D27</f>
        <v>1200</v>
      </c>
    </row>
    <row r="68">
      <c r="B68" t="str">
        <f>ReSemanalFert!G4</f>
        <v>Kcl Soluble</v>
      </c>
      <c r="F68">
        <f>I63/C8</f>
        <v>953.6929206116671</v>
      </c>
      <c r="G68">
        <f>Main!D32</f>
        <v>390</v>
      </c>
      <c r="I68" t="str">
        <v xml:space="preserve">Preparado y Autorizado Por </v>
      </c>
    </row>
    <row r="69">
      <c r="B69" t="str">
        <f>ReSemanalFert!I4</f>
        <v>Sulfato de Magnesio</v>
      </c>
      <c r="F69">
        <f>K63/C8</f>
        <v>576.8035000000002</v>
      </c>
      <c r="G69">
        <f>Main!D43</f>
        <v>370</v>
      </c>
      <c r="I69" t="str">
        <v>MSc Ricardo D. Lardizábal</v>
      </c>
    </row>
    <row r="70">
      <c r="B70" t="str">
        <f>ReSemanalFert!K4</f>
        <v>Nitrato de Calcio</v>
      </c>
      <c r="F70">
        <f>M63/C8</f>
        <v>529.829400339815</v>
      </c>
      <c r="G70">
        <f>Main!D48</f>
        <v>520</v>
      </c>
    </row>
    <row r="71">
      <c r="B71" t="str">
        <f>ReSemanalFert!M4</f>
        <v>Solubor</v>
      </c>
      <c r="F71">
        <f>O63/C8</f>
        <v>13812.159512195123</v>
      </c>
      <c r="G71">
        <f>Main!D53</f>
        <v>0.0123</v>
      </c>
    </row>
    <row r="72" ht="18" customHeight="1">
      <c r="B72" t="str">
        <v>Melaza</v>
      </c>
      <c r="F72">
        <f>Q63/C8</f>
        <v>339.99999999999983</v>
      </c>
      <c r="G72">
        <f>Main!D60</f>
        <v>1.45</v>
      </c>
    </row>
    <row r="73" ht="17.4" customHeight="1">
      <c r="B73" t="str">
        <v>NOTA: El Nitrato de Calcio se debe de diluir en un barril aparte para inyectarse al sistema</v>
      </c>
    </row>
    <row r="75" ht="18" customHeight="1">
      <c r="B75" t="str">
        <v>,@ La Melaza del calendario de fertilización se usan para la limpieza de la cinta. La aplicación de ellos es después de la fertilización y en la ultima media hora de riego.  Para mas detalles ver el boletín técnico numero 16 de Fintrac/CDA.</v>
      </c>
    </row>
    <row r="78">
      <c r="B78" t="str">
        <v>Abreviaciones usadas</v>
      </c>
    </row>
    <row r="79">
      <c r="B79" t="str">
        <v>Mz-Manzanas, Ha-Hectáreas, Lbs-Libras, Lts-Litros y DDT-Días después de Transplante</v>
      </c>
    </row>
  </sheetData>
  <sheetProtection sheet="1"/>
  <mergeCells count="44">
    <mergeCell ref="F6:H6"/>
    <mergeCell ref="A2:L2"/>
    <mergeCell ref="F7:H7"/>
    <mergeCell ref="A1:M1"/>
    <mergeCell ref="A3:K3"/>
    <mergeCell ref="C5:E5"/>
    <mergeCell ref="A5:B5"/>
    <mergeCell ref="F5:H5"/>
    <mergeCell ref="A6:B6"/>
    <mergeCell ref="C6:E6"/>
    <mergeCell ref="B78:C78"/>
    <mergeCell ref="B79:M79"/>
    <mergeCell ref="B72:E72"/>
    <mergeCell ref="B70:E70"/>
    <mergeCell ref="B75:S76"/>
    <mergeCell ref="B73:I74"/>
    <mergeCell ref="B71:E71"/>
    <mergeCell ref="F8:H8"/>
    <mergeCell ref="A10:A11"/>
    <mergeCell ref="B10:B11"/>
    <mergeCell ref="C10:D10"/>
    <mergeCell ref="E10:F10"/>
    <mergeCell ref="G10:H10"/>
    <mergeCell ref="A8:B8"/>
    <mergeCell ref="C7:E7"/>
    <mergeCell ref="C8:E8"/>
    <mergeCell ref="A7:B7"/>
    <mergeCell ref="B69:E69"/>
    <mergeCell ref="B65:E65"/>
    <mergeCell ref="B66:E66"/>
    <mergeCell ref="B67:E67"/>
    <mergeCell ref="B68:E68"/>
    <mergeCell ref="S10:S11"/>
    <mergeCell ref="M10:N10"/>
    <mergeCell ref="Q10:R10"/>
    <mergeCell ref="O10:P10"/>
    <mergeCell ref="I69:Q69"/>
    <mergeCell ref="I5:M5"/>
    <mergeCell ref="I6:M6"/>
    <mergeCell ref="I7:M7"/>
    <mergeCell ref="I8:M8"/>
    <mergeCell ref="I68:Q68"/>
    <mergeCell ref="I10:J10"/>
    <mergeCell ref="K10:L10"/>
  </mergeCells>
  <pageMargins left="0.25" right="0.25" top="0.32" bottom="0.5" header="0.27" footer="0.25"/>
  <ignoredErrors>
    <ignoredError numberStoredAsText="1" sqref="A1:V88"/>
  </ignoredErrors>
  <legacyDrawing r:id="rId1"/>
</worksheet>
</file>

<file path=xl/worksheets/sheet4.xml><?xml version="1.0" encoding="utf-8"?>
<worksheet xmlns="http://schemas.openxmlformats.org/spreadsheetml/2006/main" xmlns:r="http://schemas.openxmlformats.org/officeDocument/2006/relationships">
  <dimension ref="A1:V71"/>
  <sheetViews>
    <sheetView workbookViewId="0" rightToLeft="0"/>
  </sheetViews>
  <sheetData>
    <row r="1">
      <c r="A1" t="str">
        <v>Calendario de Fertilización para Goteo 2 Veces Por Semana</v>
      </c>
    </row>
    <row r="2" ht="29.25" customHeight="1">
      <c r="A2" t="str">
        <f>Main!E16</f>
        <v>Zucchini/ Enterprise</v>
      </c>
    </row>
    <row r="3" ht="26.25" customHeight="1">
      <c r="A3" t="str">
        <f>Main!C8</f>
        <v>"Sin Fertilización Base"</v>
      </c>
    </row>
    <row r="4" ht="14.25" customHeight="1"/>
    <row r="5" ht="20.1" customHeight="1">
      <c r="A5" t="str">
        <v>Productor</v>
      </c>
      <c r="C5" t="str">
        <f>Main!E12</f>
        <v>Pancho Pérez</v>
      </c>
      <c r="G5" t="str">
        <v>Parcela</v>
      </c>
      <c r="J5" t="str">
        <f>Main!E14</f>
        <v>La Frondosa</v>
      </c>
    </row>
    <row r="6" ht="20.1" customHeight="1">
      <c r="A6" t="str">
        <v>Zona</v>
      </c>
      <c r="C6" t="str">
        <f>Main!E13</f>
        <v>La Flecha</v>
      </c>
      <c r="G6" t="str">
        <v>Técnico</v>
      </c>
      <c r="J6" t="str">
        <f>Main!E15</f>
        <v>Luis Torres</v>
      </c>
    </row>
    <row r="7" ht="20.1" customHeight="1">
      <c r="A7" t="str">
        <v>Área Mz.</v>
      </c>
      <c r="C7">
        <f>Main!E17</f>
        <v>1.43</v>
      </c>
      <c r="G7" t="str">
        <v>Fecha:</v>
      </c>
      <c r="J7">
        <f>Main!E18</f>
        <v>38519</v>
      </c>
    </row>
    <row r="8" ht="20.1" customHeight="1">
      <c r="A8" t="str">
        <v>Área Ha.</v>
      </c>
      <c r="C8">
        <f>Main!I17</f>
        <v>1.001</v>
      </c>
      <c r="G8" t="str">
        <v>Fecha de Cosecha:</v>
      </c>
      <c r="J8">
        <f>J7+Main!E19</f>
        <v>38572</v>
      </c>
    </row>
    <row r="9" ht="19.5" customHeight="1"/>
    <row r="10" ht="28.5" customHeight="1">
      <c r="A10" t="str">
        <v>Semana</v>
      </c>
      <c r="B10" t="str">
        <v>DDT</v>
      </c>
      <c r="C10" t="str">
        <v>FECHA</v>
      </c>
      <c r="E10" t="str">
        <f>ReSemanalFert!C4</f>
        <v>Urea</v>
      </c>
      <c r="G10" t="str">
        <f>ReSemanalFert!E4</f>
        <v>MAP 12-61-0</v>
      </c>
      <c r="I10" t="str">
        <f>ReSemanalFert!G4</f>
        <v>Kcl Soluble</v>
      </c>
      <c r="K10" t="str">
        <f>ReSemanalFert!I4</f>
        <v>Sulfato de Magnesio</v>
      </c>
      <c r="M10" t="str">
        <f>ReSemanalFert!K4</f>
        <v>Nitrato de Calcio</v>
      </c>
      <c r="O10" t="str">
        <f>ReSemanalFert!M4</f>
        <v>Solubor</v>
      </c>
      <c r="Q10" t="str">
        <v>,@ Melaza</v>
      </c>
      <c r="S10" t="str">
        <v>Costo / Aplicación</v>
      </c>
    </row>
    <row r="11">
      <c r="D11" t="str">
        <v>Cambios</v>
      </c>
      <c r="E11" t="str">
        <f>Main!E36</f>
        <v>Lbs</v>
      </c>
      <c r="F11" t="str">
        <v>Cambios</v>
      </c>
      <c r="G11" t="str">
        <f>Main!E26</f>
        <v>Lbs</v>
      </c>
      <c r="H11" t="str">
        <v>Cambios</v>
      </c>
      <c r="I11" t="str">
        <f>Main!E31</f>
        <v>Lbs</v>
      </c>
      <c r="J11" t="str">
        <v>Cambios</v>
      </c>
      <c r="K11" t="str">
        <f>Main!E42</f>
        <v>Lbs</v>
      </c>
      <c r="L11" t="str">
        <v>Cambios</v>
      </c>
      <c r="M11" t="str">
        <f>Main!E47</f>
        <v>Lbs</v>
      </c>
      <c r="N11" t="str">
        <v>Cambios</v>
      </c>
      <c r="O11" t="str">
        <f>Main!E52</f>
        <v>Gramos</v>
      </c>
      <c r="P11" t="str">
        <v>Cambios</v>
      </c>
      <c r="Q11" t="str">
        <f>Main!E61</f>
        <v>Lts</v>
      </c>
      <c r="R11" t="str">
        <v>Cambios</v>
      </c>
    </row>
    <row r="12" ht="18.75" customHeight="1">
      <c r="A12">
        <v>1</v>
      </c>
      <c r="B12">
        <v>3</v>
      </c>
      <c r="C12">
        <f>$J$7+B12</f>
        <v>38522</v>
      </c>
      <c r="E12">
        <f>(IF($C$8*ReSemanalFert!C7&lt;=0,"0",$C$8*ReSemanalFert!C7))/2</f>
        <v>11.460440862484994</v>
      </c>
      <c r="G12">
        <f>($C$8*ReSemanalFert!E7)/2</f>
        <v>8.418793687279386</v>
      </c>
      <c r="I12">
        <f>($C$8*ReSemanalFert!G7)/2</f>
        <v>16.462182240670835</v>
      </c>
      <c r="K12">
        <f>($C$8*ReSemanalFert!I7)/2</f>
        <v>9.956509062499999</v>
      </c>
      <c r="M12">
        <f>($C$8*ReSemanalFert!K7)/2</f>
        <v>9.145656800372684</v>
      </c>
      <c r="O12">
        <f>($C$8*ReSemanalFert!M7)/2</f>
        <v>87.03377609756097</v>
      </c>
      <c r="Q12">
        <f>20*$C$8</f>
        <v>20.019999999999996</v>
      </c>
      <c r="S12">
        <f>((E12/100)*$G$49+(G12/100)*$G$50+(I12/100)*$G$51+(K12/100)*$G$52+(M12/100)*$G$53+(O12)*$G$54+(Q12*$G$55))</f>
        <v>315.2514159988603</v>
      </c>
    </row>
    <row r="13" ht="18.75" customHeight="1">
      <c r="B13">
        <v>7</v>
      </c>
      <c r="C13">
        <f>$J$7+B13</f>
        <v>38526</v>
      </c>
      <c r="E13">
        <f>E12</f>
        <v>11.460440862484994</v>
      </c>
      <c r="G13">
        <f>G12</f>
        <v>8.418793687279386</v>
      </c>
      <c r="I13">
        <f>I12</f>
        <v>16.462182240670835</v>
      </c>
      <c r="K13">
        <f>K12</f>
        <v>9.956509062499999</v>
      </c>
      <c r="M13">
        <f>($C$8*ReSemanalFert!K7)/2</f>
        <v>9.145656800372684</v>
      </c>
      <c r="O13">
        <f>($C$8*ReSemanalFert!M7)/2</f>
        <v>87.03377609756097</v>
      </c>
      <c r="S13">
        <f>((E13/100)*$G$49+(G13/100)*$G$50+(I13/100)*$G$51+(K13/100)*$G$52+(M13/100)*$G$53+(O13)*$G$54+(Q13*$G$55))</f>
        <v>286.2224159988603</v>
      </c>
    </row>
    <row r="14">
      <c r="A14">
        <v>2</v>
      </c>
      <c r="B14">
        <f>B13+3</f>
        <v>10</v>
      </c>
      <c r="C14">
        <f>$J$7+B14</f>
        <v>38529</v>
      </c>
      <c r="E14">
        <f>(IF($C$8*ReSemanalFert!C8&lt;=0,"0",$C$8*ReSemanalFert!C8))/2</f>
        <v>11.460440862484994</v>
      </c>
      <c r="G14">
        <f>($C$8*ReSemanalFert!E8)/2</f>
        <v>8.418793687279386</v>
      </c>
      <c r="I14">
        <f>($C$8*ReSemanalFert!G8)/2</f>
        <v>16.462182240670835</v>
      </c>
      <c r="K14">
        <f>($C$8*ReSemanalFert!I8)/2</f>
        <v>9.956509062499999</v>
      </c>
      <c r="M14">
        <f>($C$8*ReSemanalFert!K8)/2</f>
        <v>9.145656800372684</v>
      </c>
      <c r="O14">
        <f>($C$8*ReSemanalFert!M8)/2</f>
        <v>126.82084048780486</v>
      </c>
      <c r="Q14">
        <f>20*$C$8</f>
        <v>20.019999999999996</v>
      </c>
      <c r="S14">
        <f>((E14/100)*$G$49+(G14/100)*$G$50+(I14/100)*$G$51+(K14/100)*$G$52+(M14/100)*$G$53+(O14)*$G$54+(Q14*$G$55))</f>
        <v>315.7407968908603</v>
      </c>
    </row>
    <row r="15">
      <c r="B15">
        <f>B14+4</f>
        <v>14</v>
      </c>
      <c r="C15">
        <f>$J$7+B15</f>
        <v>38533</v>
      </c>
      <c r="E15">
        <f>E14</f>
        <v>11.460440862484994</v>
      </c>
      <c r="G15">
        <f>G14</f>
        <v>8.418793687279386</v>
      </c>
      <c r="I15">
        <f>I14</f>
        <v>16.462182240670835</v>
      </c>
      <c r="K15">
        <f>K14</f>
        <v>9.956509062499999</v>
      </c>
      <c r="M15">
        <f>($C$8*ReSemanalFert!K8)/2</f>
        <v>9.145656800372684</v>
      </c>
      <c r="O15">
        <f>($C$8*ReSemanalFert!M8)/2</f>
        <v>126.82084048780486</v>
      </c>
      <c r="S15">
        <f>((E15/100)*$G$49+(G15/100)*$G$50+(I15/100)*$G$51+(K15/100)*$G$52+(M15/100)*$G$53+(O15)*$G$54+(Q15*$G$55))</f>
        <v>286.7117968908603</v>
      </c>
    </row>
    <row r="16">
      <c r="A16">
        <v>3</v>
      </c>
      <c r="B16">
        <f>B15+3</f>
        <v>17</v>
      </c>
      <c r="C16">
        <f>$J$7+B16</f>
        <v>38536</v>
      </c>
      <c r="E16">
        <f>(IF($C$8*ReSemanalFert!C9&lt;=0,"0",$C$8*ReSemanalFert!C9))/2</f>
        <v>21.250995255414338</v>
      </c>
      <c r="G16">
        <f>($C$8*ReSemanalFert!E9)/2</f>
        <v>23.238818841188767</v>
      </c>
      <c r="I16">
        <f>($C$8*ReSemanalFert!G9)/2</f>
        <v>32.92436448134167</v>
      </c>
      <c r="K16">
        <f>($C$8*ReSemanalFert!I9)/2</f>
        <v>19.913018124999997</v>
      </c>
      <c r="M16">
        <f>($C$8*ReSemanalFert!K9)/2</f>
        <v>18.29131360074537</v>
      </c>
      <c r="O16">
        <f>($C$8*ReSemanalFert!M9)/2</f>
        <v>186.50070463414636</v>
      </c>
      <c r="Q16">
        <f>20*$C$8</f>
        <v>20.019999999999996</v>
      </c>
      <c r="S16">
        <f>((E16/100)*$G$49+(G16/100)*$G$50+(I16/100)*$G$51+(K16/100)*$G$52+(M16/100)*$G$53+(O16)*$G$54+(Q16*$G$55))</f>
        <v>673.2648893166579</v>
      </c>
    </row>
    <row r="17">
      <c r="B17">
        <f>B16+4</f>
        <v>21</v>
      </c>
      <c r="C17">
        <f>$J$7+B17</f>
        <v>38540</v>
      </c>
      <c r="E17">
        <f>E16</f>
        <v>21.250995255414338</v>
      </c>
      <c r="G17">
        <f>G16</f>
        <v>23.238818841188767</v>
      </c>
      <c r="I17">
        <f>I16</f>
        <v>32.92436448134167</v>
      </c>
      <c r="K17">
        <f>K16</f>
        <v>19.913018124999997</v>
      </c>
      <c r="M17">
        <f>($C$8*ReSemanalFert!K9)/2</f>
        <v>18.29131360074537</v>
      </c>
      <c r="O17">
        <f>($C$8*ReSemanalFert!M9)/2</f>
        <v>186.50070463414636</v>
      </c>
      <c r="S17">
        <f>((E17/100)*$G$49+(G17/100)*$G$50+(I17/100)*$G$51+(K17/100)*$G$52+(M17/100)*$G$53+(O17)*$G$54+(Q17*$G$55))</f>
        <v>644.2358893166579</v>
      </c>
    </row>
    <row r="18">
      <c r="A18">
        <v>4</v>
      </c>
      <c r="B18">
        <f>B17+3</f>
        <v>24</v>
      </c>
      <c r="C18">
        <f>$J$7+B18</f>
        <v>38543</v>
      </c>
      <c r="E18">
        <f>(IF($C$8*ReSemanalFert!C10&lt;=0,"0",$C$8*ReSemanalFert!C10))/2</f>
        <v>21.250995255414338</v>
      </c>
      <c r="G18">
        <f>($C$8*ReSemanalFert!E10)/2</f>
        <v>23.238818841188767</v>
      </c>
      <c r="I18">
        <f>($C$8*ReSemanalFert!G10)/2</f>
        <v>32.92436448134167</v>
      </c>
      <c r="K18">
        <f>($C$8*ReSemanalFert!I10)/2</f>
        <v>19.913018124999997</v>
      </c>
      <c r="M18">
        <f>($C$8*ReSemanalFert!K10)/2</f>
        <v>18.29131360074537</v>
      </c>
      <c r="O18">
        <f>($C$8*ReSemanalFert!M10)/2</f>
        <v>208.88037902439024</v>
      </c>
      <c r="Q18">
        <f>20*$C$8</f>
        <v>20.019999999999996</v>
      </c>
      <c r="S18">
        <f>((E18/100)*$G$49+(G18/100)*$G$50+(I18/100)*$G$51+(K18/100)*$G$52+(M18/100)*$G$53+(O18)*$G$54+(Q18*$G$55))</f>
        <v>673.5401593116579</v>
      </c>
    </row>
    <row r="19">
      <c r="B19">
        <f>B18+4</f>
        <v>28</v>
      </c>
      <c r="C19">
        <f>$J$7+B19</f>
        <v>38547</v>
      </c>
      <c r="E19">
        <f>E18</f>
        <v>21.250995255414338</v>
      </c>
      <c r="G19">
        <f>G18</f>
        <v>23.238818841188767</v>
      </c>
      <c r="I19">
        <f>I18</f>
        <v>32.92436448134167</v>
      </c>
      <c r="K19">
        <f>K18</f>
        <v>19.913018124999997</v>
      </c>
      <c r="M19">
        <f>($C$8*ReSemanalFert!K10)/2</f>
        <v>18.29131360074537</v>
      </c>
      <c r="O19">
        <f>($C$8*ReSemanalFert!M10)/2</f>
        <v>208.88037902439024</v>
      </c>
      <c r="S19">
        <f>((E19/100)*$G$49+(G19/100)*$G$50+(I19/100)*$G$51+(K19/100)*$G$52+(M19/100)*$G$53+(O19)*$G$54+(Q19*$G$55))</f>
        <v>644.5111593116579</v>
      </c>
    </row>
    <row r="20">
      <c r="A20">
        <v>5</v>
      </c>
      <c r="B20">
        <f>B19+3</f>
        <v>31</v>
      </c>
      <c r="C20">
        <f>$J$7+B20</f>
        <v>38550</v>
      </c>
      <c r="E20">
        <f>(IF($C$8*ReSemanalFert!C11&lt;=0,"0",$C$8*ReSemanalFert!C11))/2</f>
        <v>21.250995255414338</v>
      </c>
      <c r="G20">
        <f>($C$8*ReSemanalFert!E11)/2</f>
        <v>23.238818841188767</v>
      </c>
      <c r="I20">
        <f>($C$8*ReSemanalFert!G11)/2</f>
        <v>32.92436448134167</v>
      </c>
      <c r="K20">
        <f>($C$8*ReSemanalFert!I11)/2</f>
        <v>19.913018124999997</v>
      </c>
      <c r="M20">
        <f>($C$8*ReSemanalFert!K11)/2</f>
        <v>18.29131360074537</v>
      </c>
      <c r="O20">
        <f>($C$8*ReSemanalFert!M11)/2</f>
        <v>246.18130121951214</v>
      </c>
      <c r="Q20">
        <f>20*$C$8</f>
        <v>20.019999999999996</v>
      </c>
      <c r="S20">
        <f>((E20/100)*$G$49+(G20/100)*$G$50+(I20/100)*$G$51+(K20/100)*$G$52+(M20/100)*$G$53+(O20)*$G$54+(Q20*$G$55))</f>
        <v>673.9989606546579</v>
      </c>
    </row>
    <row r="21">
      <c r="B21">
        <f>B20+4</f>
        <v>35</v>
      </c>
      <c r="C21">
        <f>$J$7+B21</f>
        <v>38554</v>
      </c>
      <c r="E21">
        <f>E20</f>
        <v>21.250995255414338</v>
      </c>
      <c r="G21">
        <f>G20</f>
        <v>23.238818841188767</v>
      </c>
      <c r="I21">
        <f>I20</f>
        <v>32.92436448134167</v>
      </c>
      <c r="K21">
        <f>K20</f>
        <v>19.913018124999997</v>
      </c>
      <c r="M21">
        <f>($C$8*ReSemanalFert!K11)/2</f>
        <v>18.29131360074537</v>
      </c>
      <c r="O21">
        <f>($C$8*ReSemanalFert!M11)/2</f>
        <v>246.18130121951214</v>
      </c>
      <c r="S21">
        <f>((E21/100)*$G$49+(G21/100)*$G$50+(I21/100)*$G$51+(K21/100)*$G$52+(M21/100)*$G$53+(O21)*$G$54+(Q21*$G$55))</f>
        <v>644.9699606546579</v>
      </c>
    </row>
    <row r="22">
      <c r="A22">
        <v>6</v>
      </c>
      <c r="B22">
        <f>B21+3</f>
        <v>38</v>
      </c>
      <c r="C22">
        <f>$J$7+B22</f>
        <v>38557</v>
      </c>
      <c r="E22">
        <f>(IF($C$8*ReSemanalFert!C12&lt;=0,"0",$C$8*ReSemanalFert!C12))/2</f>
        <v>21.250995255414338</v>
      </c>
      <c r="G22">
        <f>($C$8*ReSemanalFert!E12)/2</f>
        <v>23.238818841188767</v>
      </c>
      <c r="I22">
        <f>($C$8*ReSemanalFert!G12)/2</f>
        <v>32.92436448134167</v>
      </c>
      <c r="K22">
        <f>($C$8*ReSemanalFert!I12)/2</f>
        <v>19.913018124999997</v>
      </c>
      <c r="M22">
        <f>($C$8*ReSemanalFert!K12)/2</f>
        <v>18.29131360074537</v>
      </c>
      <c r="O22">
        <f>($C$8*ReSemanalFert!M12)/2</f>
        <v>295.91586414634145</v>
      </c>
      <c r="Q22">
        <f>20*$C$8</f>
        <v>20.019999999999996</v>
      </c>
      <c r="S22">
        <f>((E22/100)*$G$49+(G22/100)*$G$50+(I22/100)*$G$51+(K22/100)*$G$52+(M22/100)*$G$53+(O22)*$G$54+(Q22*$G$55))</f>
        <v>674.6106957786579</v>
      </c>
    </row>
    <row r="23">
      <c r="B23">
        <f>B22+4</f>
        <v>42</v>
      </c>
      <c r="C23">
        <f>$J$7+B23</f>
        <v>38561</v>
      </c>
      <c r="E23">
        <f>E22</f>
        <v>21.250995255414338</v>
      </c>
      <c r="G23">
        <f>G22</f>
        <v>23.238818841188767</v>
      </c>
      <c r="I23">
        <f>I22</f>
        <v>32.92436448134167</v>
      </c>
      <c r="K23">
        <f>K22</f>
        <v>19.913018124999997</v>
      </c>
      <c r="M23">
        <f>($C$8*ReSemanalFert!K12)/2</f>
        <v>18.29131360074537</v>
      </c>
      <c r="O23">
        <f>($C$8*ReSemanalFert!M12)/2</f>
        <v>295.91586414634145</v>
      </c>
      <c r="S23">
        <f>((E23/100)*$G$49+(G23/100)*$G$50+(I23/100)*$G$51+(K23/100)*$G$52+(M23/100)*$G$53+(O23)*$G$54+(Q23*$G$55))</f>
        <v>645.581695778658</v>
      </c>
    </row>
    <row r="24">
      <c r="A24">
        <v>7</v>
      </c>
      <c r="B24">
        <f>B23+3</f>
        <v>45</v>
      </c>
      <c r="C24">
        <f>$J$7+B24</f>
        <v>38564</v>
      </c>
      <c r="E24">
        <f>(IF($C$8*ReSemanalFert!C13&lt;=0,"0",$C$8*ReSemanalFert!C13))/2</f>
        <v>21.250995255414338</v>
      </c>
      <c r="G24">
        <f>($C$8*ReSemanalFert!E13)/2</f>
        <v>23.238818841188767</v>
      </c>
      <c r="I24">
        <f>($C$8*ReSemanalFert!G13)/2</f>
        <v>32.92436448134167</v>
      </c>
      <c r="K24">
        <f>($C$8*ReSemanalFert!I13)/2</f>
        <v>19.913018124999997</v>
      </c>
      <c r="M24">
        <f>($C$8*ReSemanalFert!K13)/2</f>
        <v>18.29131360074537</v>
      </c>
      <c r="O24">
        <f>($C$8*ReSemanalFert!M13)/2</f>
        <v>325.7559182926829</v>
      </c>
      <c r="Q24">
        <f>20*$C$8</f>
        <v>20.019999999999996</v>
      </c>
      <c r="S24">
        <f>((E24/100)*$G$49+(G24/100)*$G$50+(I24/100)*$G$51+(K24/100)*$G$52+(M24/100)*$G$53+(O24)*$G$54+(Q24*$G$55))</f>
        <v>674.9777284446579</v>
      </c>
    </row>
    <row r="25">
      <c r="B25">
        <f>B24+4</f>
        <v>49</v>
      </c>
      <c r="C25">
        <f>$J$7+B25</f>
        <v>38568</v>
      </c>
      <c r="E25">
        <f>E24</f>
        <v>21.250995255414338</v>
      </c>
      <c r="G25">
        <f>G24</f>
        <v>23.238818841188767</v>
      </c>
      <c r="I25">
        <f>I24</f>
        <v>32.92436448134167</v>
      </c>
      <c r="K25">
        <f>K24</f>
        <v>19.913018124999997</v>
      </c>
      <c r="M25">
        <f>($C$8*ReSemanalFert!K13)/2</f>
        <v>18.29131360074537</v>
      </c>
      <c r="O25">
        <f>($C$8*ReSemanalFert!M13)/2</f>
        <v>325.7559182926829</v>
      </c>
      <c r="S25">
        <f>((E25/100)*$G$49+(G25/100)*$G$50+(I25/100)*$G$51+(K25/100)*$G$52+(M25/100)*$G$53+(O25)*$G$54+(Q25*$G$55))</f>
        <v>645.948728444658</v>
      </c>
    </row>
    <row r="26">
      <c r="A26">
        <v>8</v>
      </c>
      <c r="B26">
        <f>B25+3</f>
        <v>52</v>
      </c>
      <c r="C26">
        <f>$J$7+B26</f>
        <v>38571</v>
      </c>
      <c r="E26">
        <f>(IF($C$8*ReSemanalFert!C14&lt;=0,"0",$C$8*ReSemanalFert!C14))/2</f>
        <v>22.739100392379303</v>
      </c>
      <c r="G26">
        <f>($C$8*ReSemanalFert!E14)/2</f>
        <v>10.405124294606024</v>
      </c>
      <c r="I26">
        <f>($C$8*ReSemanalFert!G14)/2</f>
        <v>32.92436448134167</v>
      </c>
      <c r="K26">
        <f>($C$8*ReSemanalFert!I14)/2</f>
        <v>19.913018124999997</v>
      </c>
      <c r="M26">
        <f>($C$8*ReSemanalFert!K14)/2</f>
        <v>18.29131360074537</v>
      </c>
      <c r="O26">
        <f>($C$8*ReSemanalFert!M14)/2</f>
        <v>400.3560536585365</v>
      </c>
      <c r="Q26">
        <f>20*$C$8</f>
        <v>20.019999999999996</v>
      </c>
      <c r="S26">
        <f>((E26/100)*$G$49+(G26/100)*$G$50+(I26/100)*$G$51+(K26/100)*$G$52+(M26/100)*$G$53+(O26)*$G$54+(Q26*$G$55))</f>
        <v>526.5041014752566</v>
      </c>
    </row>
    <row r="27">
      <c r="B27">
        <f>B26+4</f>
        <v>56</v>
      </c>
      <c r="C27">
        <f>$J$7+B27</f>
        <v>38575</v>
      </c>
      <c r="E27">
        <f>E26</f>
        <v>22.739100392379303</v>
      </c>
      <c r="G27">
        <f>G26</f>
        <v>10.405124294606024</v>
      </c>
      <c r="I27">
        <f>I26</f>
        <v>32.92436448134167</v>
      </c>
      <c r="K27">
        <f>K26</f>
        <v>19.913018124999997</v>
      </c>
      <c r="M27">
        <f>($C$8*ReSemanalFert!K14)/2</f>
        <v>18.29131360074537</v>
      </c>
      <c r="O27">
        <f>($C$8*ReSemanalFert!M14)/2</f>
        <v>400.3560536585365</v>
      </c>
      <c r="S27">
        <f>((E27/100)*$G$49+(G27/100)*$G$50+(I27/100)*$G$51+(K27/100)*$G$52+(M27/100)*$G$53+(O27)*$G$54+(Q27*$G$55))</f>
        <v>497.47510147525657</v>
      </c>
    </row>
    <row r="28">
      <c r="A28">
        <v>9</v>
      </c>
      <c r="B28">
        <f>B27+3</f>
        <v>59</v>
      </c>
      <c r="C28">
        <f>$J$7+B28</f>
        <v>38578</v>
      </c>
      <c r="E28">
        <f>(IF($C$8*ReSemanalFert!C15&lt;=0,"0",$C$8*ReSemanalFert!C15))/2</f>
        <v>22.739100392379303</v>
      </c>
      <c r="G28">
        <f>($C$8*ReSemanalFert!E15)/2</f>
        <v>10.405124294606024</v>
      </c>
      <c r="I28">
        <f>($C$8*ReSemanalFert!G15)/2</f>
        <v>32.92436448134167</v>
      </c>
      <c r="K28">
        <f>($C$8*ReSemanalFert!I15)/2</f>
        <v>19.913018124999997</v>
      </c>
      <c r="M28">
        <f>($C$8*ReSemanalFert!K15)/2</f>
        <v>18.29131360074537</v>
      </c>
      <c r="O28">
        <f>($C$8*ReSemanalFert!M15)/2</f>
        <v>415.2763248780487</v>
      </c>
      <c r="Q28">
        <f>20*$C$8</f>
        <v>20.019999999999996</v>
      </c>
      <c r="S28">
        <f>((E28/100)*$G$49+(G28/100)*$G$50+(I28/100)*$G$51+(K28/100)*$G$52+(M28/100)*$G$53+(O28)*$G$54+(Q28*$G$55))</f>
        <v>526.6876208112565</v>
      </c>
    </row>
    <row r="29">
      <c r="B29">
        <f>B28+4</f>
        <v>63</v>
      </c>
      <c r="C29">
        <f>$J$7+B29</f>
        <v>38582</v>
      </c>
      <c r="E29">
        <f>E28</f>
        <v>22.739100392379303</v>
      </c>
      <c r="G29">
        <f>G28</f>
        <v>10.405124294606024</v>
      </c>
      <c r="I29">
        <f>I28</f>
        <v>32.92436448134167</v>
      </c>
      <c r="K29">
        <f>K28</f>
        <v>19.913018124999997</v>
      </c>
      <c r="M29">
        <f>($C$8*ReSemanalFert!K15)/2</f>
        <v>18.29131360074537</v>
      </c>
      <c r="O29">
        <f>($C$8*ReSemanalFert!M15)/2</f>
        <v>415.2763248780487</v>
      </c>
      <c r="S29">
        <f>((E29/100)*$G$49+(G29/100)*$G$50+(I29/100)*$G$51+(K29/100)*$G$52+(M29/100)*$G$53+(O29)*$G$54+(Q29*$G$55))</f>
        <v>497.6586208112565</v>
      </c>
    </row>
    <row r="30">
      <c r="A30">
        <v>10</v>
      </c>
      <c r="B30">
        <f>B29+3</f>
        <v>66</v>
      </c>
      <c r="C30">
        <f>$J$7+B30</f>
        <v>38585</v>
      </c>
      <c r="E30">
        <f>(IF($C$8*ReSemanalFert!C16&lt;=0,"0",$C$8*ReSemanalFert!C16))/2</f>
        <v>22.739100392379303</v>
      </c>
      <c r="G30">
        <f>($C$8*ReSemanalFert!E16)/2</f>
        <v>10.405124294606024</v>
      </c>
      <c r="I30">
        <f>($C$8*ReSemanalFert!G16)/2</f>
        <v>32.92436448134167</v>
      </c>
      <c r="K30">
        <f>($C$8*ReSemanalFert!I16)/2</f>
        <v>19.913018124999997</v>
      </c>
      <c r="M30">
        <f>($C$8*ReSemanalFert!K16)/2</f>
        <v>18.29131360074537</v>
      </c>
      <c r="O30">
        <f>($C$8*ReSemanalFert!M16)/2</f>
        <v>504.7979521951218</v>
      </c>
      <c r="Q30">
        <f>20*$C$8</f>
        <v>20.019999999999996</v>
      </c>
      <c r="S30">
        <f>((E30/100)*$G$49+(G30/100)*$G$50+(I30/100)*$G$51+(K30/100)*$G$52+(M30/100)*$G$53+(O30)*$G$54+(Q30*$G$55))</f>
        <v>527.7887368272566</v>
      </c>
    </row>
    <row r="31">
      <c r="B31">
        <f>B30+4</f>
        <v>70</v>
      </c>
      <c r="C31">
        <f>$J$7+B31</f>
        <v>38589</v>
      </c>
      <c r="E31">
        <f>E30</f>
        <v>22.739100392379303</v>
      </c>
      <c r="G31">
        <f>G30</f>
        <v>10.405124294606024</v>
      </c>
      <c r="I31">
        <f>I30</f>
        <v>32.92436448134167</v>
      </c>
      <c r="K31">
        <f>K30</f>
        <v>19.913018124999997</v>
      </c>
      <c r="M31">
        <f>($C$8*ReSemanalFert!K16)/2</f>
        <v>18.29131360074537</v>
      </c>
      <c r="O31">
        <f>($C$8*ReSemanalFert!M16)/2</f>
        <v>504.7979521951218</v>
      </c>
      <c r="S31">
        <f>((E31/100)*$G$49+(G31/100)*$G$50+(I31/100)*$G$51+(K31/100)*$G$52+(M31/100)*$G$53+(O31)*$G$54+(Q31*$G$55))</f>
        <v>498.7597368272566</v>
      </c>
    </row>
    <row r="32">
      <c r="A32">
        <v>11</v>
      </c>
      <c r="B32">
        <f>B31+3</f>
        <v>73</v>
      </c>
      <c r="C32">
        <f>$J$7+B32</f>
        <v>38592</v>
      </c>
      <c r="E32">
        <f>(IF($C$8*ReSemanalFert!C17&lt;=0,"0",$C$8*ReSemanalFert!C17))/2</f>
        <v>22.739100392379303</v>
      </c>
      <c r="G32">
        <f>($C$8*ReSemanalFert!E17)/2</f>
        <v>10.405124294606024</v>
      </c>
      <c r="I32">
        <f>($C$8*ReSemanalFert!G17)/2</f>
        <v>32.92436448134167</v>
      </c>
      <c r="K32">
        <f>($C$8*ReSemanalFert!I17)/2</f>
        <v>19.913018124999997</v>
      </c>
      <c r="M32">
        <f>($C$8*ReSemanalFert!K17)/2</f>
        <v>18.29131360074537</v>
      </c>
      <c r="O32">
        <f>($C$8*ReSemanalFert!M17)/2</f>
        <v>504.7979521951218</v>
      </c>
      <c r="Q32">
        <f>20*$C$8</f>
        <v>20.019999999999996</v>
      </c>
      <c r="S32">
        <f>((E32/100)*$G$49+(G32/100)*$G$50+(I32/100)*$G$51+(K32/100)*$G$52+(M32/100)*$G$53+(O32)*$G$54+(Q32*$G$55))</f>
        <v>527.7887368272566</v>
      </c>
    </row>
    <row r="33">
      <c r="B33">
        <f>B32+4</f>
        <v>77</v>
      </c>
      <c r="C33">
        <f>$J$7+B33</f>
        <v>38596</v>
      </c>
      <c r="E33">
        <f>E32</f>
        <v>22.739100392379303</v>
      </c>
      <c r="G33">
        <f>G32</f>
        <v>10.405124294606024</v>
      </c>
      <c r="I33">
        <f>I32</f>
        <v>32.92436448134167</v>
      </c>
      <c r="K33">
        <f>K32</f>
        <v>19.913018124999997</v>
      </c>
      <c r="M33">
        <f>($C$8*ReSemanalFert!K17)/2</f>
        <v>18.29131360074537</v>
      </c>
      <c r="O33">
        <f>($C$8*ReSemanalFert!M17)/2</f>
        <v>504.7979521951218</v>
      </c>
      <c r="S33">
        <f>((E33/100)*$G$49+(G33/100)*$G$50+(I33/100)*$G$51+(K33/100)*$G$52+(M33/100)*$G$53+(O33)*$G$54+(Q33*$G$55))</f>
        <v>498.7597368272566</v>
      </c>
    </row>
    <row r="34">
      <c r="A34">
        <v>12</v>
      </c>
      <c r="B34">
        <f>B33+3</f>
        <v>80</v>
      </c>
      <c r="C34">
        <f>$J$7+B34</f>
        <v>38599</v>
      </c>
      <c r="E34">
        <f>(IF($C$8*ReSemanalFert!C18&lt;=0,"0",$C$8*ReSemanalFert!C18))/2</f>
        <v>16.36542517870082</v>
      </c>
      <c r="G34">
        <f>($C$8*ReSemanalFert!E18)/2</f>
        <v>10.405124294606024</v>
      </c>
      <c r="I34">
        <f>($C$8*ReSemanalFert!G18)/2</f>
        <v>24.67994365878708</v>
      </c>
      <c r="K34">
        <f>($C$8*ReSemanalFert!I18)/2</f>
        <v>14.926661749999996</v>
      </c>
      <c r="M34">
        <f>($C$8*ReSemanalFert!K18)/2</f>
        <v>13.711079810437266</v>
      </c>
      <c r="O34">
        <f>($C$8*ReSemanalFert!M18)/2</f>
        <v>564.4780604878049</v>
      </c>
      <c r="Q34">
        <f>20*$C$8</f>
        <v>20.019999999999996</v>
      </c>
      <c r="S34">
        <f>((E34/100)*$G$49+(G34/100)*$G$50+(I34/100)*$G$51+(K34/100)*$G$52+(M34/100)*$G$53+(O34)*$G$54+(Q34*$G$55))</f>
        <v>434.34443349178827</v>
      </c>
    </row>
    <row r="35">
      <c r="B35">
        <f>B34+4</f>
        <v>84</v>
      </c>
      <c r="C35">
        <f>$J$7+B35</f>
        <v>38603</v>
      </c>
      <c r="E35">
        <f>E34</f>
        <v>16.36542517870082</v>
      </c>
      <c r="G35">
        <f>G34</f>
        <v>10.405124294606024</v>
      </c>
      <c r="I35">
        <f>I34</f>
        <v>24.67994365878708</v>
      </c>
      <c r="K35">
        <f>K34</f>
        <v>14.926661749999996</v>
      </c>
      <c r="M35">
        <f>($C$8*ReSemanalFert!K18)/2</f>
        <v>13.711079810437266</v>
      </c>
      <c r="O35">
        <f>($C$8*ReSemanalFert!M18)/2</f>
        <v>564.4780604878049</v>
      </c>
      <c r="S35">
        <f>((E35/100)*$G$49+(G35/100)*$G$50+(I35/100)*$G$51+(K35/100)*$G$52+(M35/100)*$G$53+(O35)*$G$54+(Q35*$G$55))</f>
        <v>405.31543349178827</v>
      </c>
    </row>
    <row r="36" ht="18" customHeight="1">
      <c r="A36">
        <v>13</v>
      </c>
      <c r="B36">
        <f>B35+3</f>
        <v>87</v>
      </c>
      <c r="C36">
        <f>$J$7+B36</f>
        <v>38606</v>
      </c>
      <c r="E36">
        <f>(IF($C$8*ReSemanalFert!C19&lt;=0,"0",$C$8*ReSemanalFert!C19))/2</f>
        <v>16.36542517870082</v>
      </c>
      <c r="G36">
        <f>($C$8*ReSemanalFert!E19)/2</f>
        <v>10.405124294606024</v>
      </c>
      <c r="I36">
        <f>($C$8*ReSemanalFert!G19)/2</f>
        <v>24.67994365878708</v>
      </c>
      <c r="K36">
        <f>($C$8*ReSemanalFert!I19)/2</f>
        <v>14.926661749999996</v>
      </c>
      <c r="M36">
        <f>($C$8*ReSemanalFert!K19)/2</f>
        <v>13.711079810437266</v>
      </c>
      <c r="O36">
        <f>($C$8*ReSemanalFert!M19)/2</f>
        <v>609.2381417073171</v>
      </c>
      <c r="Q36">
        <f>20*$C$8</f>
        <v>20.019999999999996</v>
      </c>
      <c r="S36">
        <f>((E36/100)*$G$49+(G36/100)*$G$50+(I36/100)*$G$51+(K36/100)*$G$52+(M36/100)*$G$53+(O36)*$G$54+(Q36*$G$55))</f>
        <v>434.89498249078827</v>
      </c>
    </row>
    <row r="37" ht="18" customHeight="1">
      <c r="B37">
        <f>B36+4</f>
        <v>91</v>
      </c>
      <c r="C37">
        <f>$J$7+B37</f>
        <v>38610</v>
      </c>
      <c r="E37">
        <f>E36</f>
        <v>16.36542517870082</v>
      </c>
      <c r="G37">
        <f>G36</f>
        <v>10.405124294606024</v>
      </c>
      <c r="I37">
        <f>I36</f>
        <v>24.67994365878708</v>
      </c>
      <c r="K37">
        <f>K36</f>
        <v>14.926661749999996</v>
      </c>
      <c r="M37">
        <f>($C$8*ReSemanalFert!K19)/2</f>
        <v>13.711079810437266</v>
      </c>
      <c r="O37">
        <f>($C$8*ReSemanalFert!M19)/2</f>
        <v>609.2381417073171</v>
      </c>
      <c r="S37">
        <f>((E37/100)*$G$49+(G37/100)*$G$50+(I37/100)*$G$51+(K37/100)*$G$52+(M37/100)*$G$53+(O37)*$G$54+(Q37*$G$55))</f>
        <v>405.86598249078827</v>
      </c>
    </row>
    <row r="38">
      <c r="A38">
        <v>14</v>
      </c>
      <c r="B38">
        <f>B37+3</f>
        <v>94</v>
      </c>
      <c r="C38">
        <f>$J$7+B38</f>
        <v>38613</v>
      </c>
      <c r="E38">
        <f>(IF($C$8*ReSemanalFert!C20&lt;=0,"0",$C$8*ReSemanalFert!C20))/2</f>
        <v>16.36542517870082</v>
      </c>
      <c r="G38">
        <f>($C$8*ReSemanalFert!E20)/2</f>
        <v>10.405124294606024</v>
      </c>
      <c r="I38">
        <f>($C$8*ReSemanalFert!G20)/2</f>
        <v>24.67994365878708</v>
      </c>
      <c r="K38">
        <f>($C$8*ReSemanalFert!I20)/2</f>
        <v>14.926661749999996</v>
      </c>
      <c r="M38">
        <f>($C$8*ReSemanalFert!K20)/2</f>
        <v>13.711079810437266</v>
      </c>
      <c r="O38">
        <f>($C$8*ReSemanalFert!M20)/2</f>
        <v>609.2381417073171</v>
      </c>
      <c r="Q38">
        <f>20*$C$8</f>
        <v>20.019999999999996</v>
      </c>
      <c r="S38">
        <f>((E38/100)*$G$49+(G38/100)*$G$50+(I38/100)*$G$51+(K38/100)*$G$52+(M38/100)*$G$53+(O38)*$G$54+(Q38*$G$55))</f>
        <v>434.89498249078827</v>
      </c>
    </row>
    <row r="39">
      <c r="B39">
        <f>B38+4</f>
        <v>98</v>
      </c>
      <c r="C39">
        <f>$J$7+B39</f>
        <v>38617</v>
      </c>
      <c r="E39">
        <f>E38</f>
        <v>16.36542517870082</v>
      </c>
      <c r="G39">
        <f>G38</f>
        <v>10.405124294606024</v>
      </c>
      <c r="I39">
        <f>I38</f>
        <v>24.67994365878708</v>
      </c>
      <c r="K39">
        <f>K38</f>
        <v>14.926661749999996</v>
      </c>
      <c r="M39">
        <f>($C$8*ReSemanalFert!K20)/2</f>
        <v>13.711079810437266</v>
      </c>
      <c r="O39">
        <f>($C$8*ReSemanalFert!M20)/2</f>
        <v>609.2381417073171</v>
      </c>
      <c r="S39">
        <f>((E39/100)*$G$49+(G39/100)*$G$50+(I39/100)*$G$51+(K39/100)*$G$52+(M39/100)*$G$53+(O39)*$G$54+(Q39*$G$55))</f>
        <v>405.86598249078827</v>
      </c>
    </row>
    <row r="40">
      <c r="A40">
        <v>15</v>
      </c>
      <c r="B40">
        <f>B39+3</f>
        <v>101</v>
      </c>
      <c r="C40">
        <f>$J$7+B40</f>
        <v>38620</v>
      </c>
      <c r="E40">
        <f>(IF($C$8*ReSemanalFert!C21&lt;=0,"0",$C$8*ReSemanalFert!C21))/2</f>
        <v>16.36542517870082</v>
      </c>
      <c r="G40">
        <f>($C$8*ReSemanalFert!E21)/2</f>
        <v>10.405124294606024</v>
      </c>
      <c r="I40">
        <f>($C$8*ReSemanalFert!G21)/2</f>
        <v>24.67994365878708</v>
      </c>
      <c r="K40">
        <f>($C$8*ReSemanalFert!I21)/2</f>
        <v>14.926661749999996</v>
      </c>
      <c r="M40">
        <f>($C$8*ReSemanalFert!K21)/2</f>
        <v>13.711079810437266</v>
      </c>
      <c r="O40">
        <f>($C$8*ReSemanalFert!M21)/2</f>
        <v>609.2381417073171</v>
      </c>
      <c r="Q40">
        <f>20*$C$8</f>
        <v>20.019999999999996</v>
      </c>
      <c r="S40">
        <f>((E40/100)*$G$49+(G40/100)*$G$50+(I40/100)*$G$51+(K40/100)*$G$52+(M40/100)*$G$53+(O40)*$G$54+(Q40*$G$55))</f>
        <v>434.89498249078827</v>
      </c>
    </row>
    <row r="41">
      <c r="B41">
        <f>B40+4</f>
        <v>105</v>
      </c>
      <c r="C41">
        <f>$J$7+B41</f>
        <v>38624</v>
      </c>
      <c r="E41">
        <f>E40</f>
        <v>16.36542517870082</v>
      </c>
      <c r="G41">
        <f>G40</f>
        <v>10.405124294606024</v>
      </c>
      <c r="I41">
        <f>I40</f>
        <v>24.67994365878708</v>
      </c>
      <c r="K41">
        <f>K40</f>
        <v>14.926661749999996</v>
      </c>
      <c r="M41">
        <f>($C$8*ReSemanalFert!K21)/2</f>
        <v>13.711079810437266</v>
      </c>
      <c r="O41">
        <f>($C$8*ReSemanalFert!M21)/2</f>
        <v>609.2381417073171</v>
      </c>
      <c r="S41">
        <f>((E41/100)*$G$49+(G41/100)*$G$50+(I41/100)*$G$51+(K41/100)*$G$52+(M41/100)*$G$53+(O41)*$G$54+(Q41*$G$55))</f>
        <v>405.86598249078827</v>
      </c>
    </row>
    <row r="42">
      <c r="A42">
        <v>16</v>
      </c>
      <c r="B42">
        <f>B41+3</f>
        <v>108</v>
      </c>
      <c r="C42">
        <f>$J$7+B42</f>
        <v>38627</v>
      </c>
      <c r="E42">
        <f>(IF($C$8*ReSemanalFert!C22&lt;=0,"0",$C$8*ReSemanalFert!C22))/2</f>
        <v>16.36542517870082</v>
      </c>
      <c r="G42">
        <f>($C$8*ReSemanalFert!E22)/2</f>
        <v>10.405124294606024</v>
      </c>
      <c r="I42">
        <f>($C$8*ReSemanalFert!G22)/2</f>
        <v>24.67994365878708</v>
      </c>
      <c r="K42">
        <f>($C$8*ReSemanalFert!I22)/2</f>
        <v>14.926661749999996</v>
      </c>
      <c r="M42">
        <f>($C$8*ReSemanalFert!K22)/2</f>
        <v>13.711079810437266</v>
      </c>
      <c r="O42">
        <f>($C$8*ReSemanalFert!M22)/2</f>
        <v>609.2381417073171</v>
      </c>
      <c r="Q42">
        <f>20*$C$8</f>
        <v>20.019999999999996</v>
      </c>
      <c r="S42">
        <f>((E42/100)*$G$49+(G42/100)*$G$50+(I42/100)*$G$51+(K42/100)*$G$52+(M42/100)*$G$53+(O42)*$G$54+(Q42*$G$55))</f>
        <v>434.89498249078827</v>
      </c>
    </row>
    <row r="43">
      <c r="B43">
        <f>B42+4</f>
        <v>112</v>
      </c>
      <c r="C43">
        <f>$J$7+B43</f>
        <v>38631</v>
      </c>
      <c r="E43">
        <f>E42</f>
        <v>16.36542517870082</v>
      </c>
      <c r="G43">
        <f>G42</f>
        <v>10.405124294606024</v>
      </c>
      <c r="I43">
        <f>I42</f>
        <v>24.67994365878708</v>
      </c>
      <c r="K43">
        <f>K42</f>
        <v>14.926661749999996</v>
      </c>
      <c r="M43">
        <f>($C$8*ReSemanalFert!K22)/2</f>
        <v>13.711079810437266</v>
      </c>
      <c r="O43">
        <f>($C$8*ReSemanalFert!M22)/2</f>
        <v>609.2381417073171</v>
      </c>
      <c r="S43">
        <f>((E43/100)*$G$49+(G43/100)*$G$50+(I43/100)*$G$51+(K43/100)*$G$52+(M43/100)*$G$53+(O43)*$G$54+(Q43*$G$55))</f>
        <v>405.86598249078827</v>
      </c>
    </row>
    <row r="44">
      <c r="A44">
        <v>17</v>
      </c>
      <c r="B44">
        <f>B43+3</f>
        <v>115</v>
      </c>
      <c r="C44">
        <f>$J$7+B44</f>
        <v>38634</v>
      </c>
      <c r="E44">
        <f>(IF($C$8*ReSemanalFert!C23&lt;=0,"0",$C$8*ReSemanalFert!C23))/2</f>
        <v>16.36542517870082</v>
      </c>
      <c r="G44">
        <f>($C$8*ReSemanalFert!E23)/2</f>
        <v>10.405124294606024</v>
      </c>
      <c r="I44">
        <f>($C$8*ReSemanalFert!G23)/2</f>
        <v>24.67994365878708</v>
      </c>
      <c r="K44">
        <f>($C$8*ReSemanalFert!I23)/2</f>
        <v>14.926661749999996</v>
      </c>
      <c r="M44">
        <f>($C$8*ReSemanalFert!K23)/2</f>
        <v>13.711079810437266</v>
      </c>
      <c r="O44">
        <f>($C$8*ReSemanalFert!M23)/2</f>
        <v>609.2381417073171</v>
      </c>
      <c r="Q44">
        <f>20*$C$8</f>
        <v>20.019999999999996</v>
      </c>
      <c r="S44">
        <f>((E44/100)*$G$49+(G44/100)*$G$50+(I44/100)*$G$51+(K44/100)*$G$52+(M44/100)*$G$53+(O44)*$G$54+(Q44*$G$55))</f>
        <v>434.89498249078827</v>
      </c>
    </row>
    <row r="45">
      <c r="B45">
        <f>B44+4</f>
        <v>119</v>
      </c>
      <c r="C45">
        <f>$J$7+B45</f>
        <v>38638</v>
      </c>
      <c r="E45">
        <f>E44</f>
        <v>16.36542517870082</v>
      </c>
      <c r="G45">
        <f>G44</f>
        <v>10.405124294606024</v>
      </c>
      <c r="I45">
        <f>I44</f>
        <v>24.67994365878708</v>
      </c>
      <c r="K45">
        <f>K44</f>
        <v>14.926661749999996</v>
      </c>
      <c r="M45">
        <f>($C$8*ReSemanalFert!K23)/2</f>
        <v>13.711079810437266</v>
      </c>
      <c r="O45">
        <f>($C$8*ReSemanalFert!M23)/2</f>
        <v>609.2381417073171</v>
      </c>
      <c r="S45">
        <f>((E45/100)*$G$49+(G45/100)*$G$50+(I45/100)*$G$51+(K45/100)*$G$52+(M45/100)*$G$53+(O45)*$G$54+(Q45*$G$55))</f>
        <v>405.86598249078827</v>
      </c>
    </row>
    <row r="46">
      <c r="C46" t="str">
        <v>Total</v>
      </c>
      <c r="E46">
        <f>SUM(E12:E45)</f>
        <v>636.6496212875276</v>
      </c>
      <c r="G46">
        <f>SUM(G12:G45)</f>
        <v>474.16584905312567</v>
      </c>
      <c r="I46">
        <f>SUM(I12:I45)</f>
        <v>954.6466135322788</v>
      </c>
      <c r="K46">
        <f>SUM(K12:K45)</f>
        <v>577.3803035</v>
      </c>
      <c r="M46">
        <f>SUM(M12:M45)</f>
        <v>530.3592297401541</v>
      </c>
      <c r="O46">
        <f>SUM(O12:O45)</f>
        <v>13825.97167170732</v>
      </c>
      <c r="Q46">
        <f>SUM(Q12:Q45)</f>
        <v>340.3399999999998</v>
      </c>
      <c r="S46">
        <f>SUM(S12:S45)</f>
        <v>16944.453376565532</v>
      </c>
    </row>
    <row r="48" ht="39.75" customHeight="1">
      <c r="B48" t="str">
        <v>Producto</v>
      </c>
      <c r="F48" t="str">
        <v>Lbs/Ha</v>
      </c>
      <c r="G48" t="str">
        <v>Costo Lps/qq</v>
      </c>
    </row>
    <row r="49">
      <c r="B49" t="str">
        <f>ReSemanalFert!C4</f>
        <v>Urea</v>
      </c>
      <c r="F49">
        <f>E46/C8</f>
        <v>636.0136076798478</v>
      </c>
      <c r="G49">
        <f>Main!D37</f>
        <v>310</v>
      </c>
    </row>
    <row r="50">
      <c r="B50" t="str">
        <f>ReSemanalFert!E4</f>
        <v>MAP 12-61-0</v>
      </c>
      <c r="F50">
        <f>G46/C8</f>
        <v>473.6921568962295</v>
      </c>
      <c r="G50">
        <f>Main!D27</f>
        <v>1200</v>
      </c>
    </row>
    <row r="51">
      <c r="B51" t="str">
        <f>ReSemanalFert!G4</f>
        <v>Kcl Soluble</v>
      </c>
      <c r="F51">
        <f>I46/C8</f>
        <v>953.6929206116672</v>
      </c>
      <c r="G51">
        <f>Main!D32</f>
        <v>390</v>
      </c>
      <c r="I51" t="str">
        <v xml:space="preserve">Preparado y Autorizado Por </v>
      </c>
    </row>
    <row r="52">
      <c r="B52" t="str">
        <f>ReSemanalFert!I4</f>
        <v>Sulfato de Magnesio</v>
      </c>
      <c r="F52">
        <f>K46/C8</f>
        <v>576.8035</v>
      </c>
      <c r="G52">
        <f>Main!D43</f>
        <v>370</v>
      </c>
      <c r="I52" t="str">
        <v>MSc Ricardo D. Lardizábal</v>
      </c>
    </row>
    <row r="53">
      <c r="B53" t="str">
        <f>ReSemanalFert!K4</f>
        <v>Nitrato de Calcio</v>
      </c>
      <c r="F53">
        <f>M46/C8</f>
        <v>529.8294003398144</v>
      </c>
      <c r="G53">
        <f>Main!D48</f>
        <v>520</v>
      </c>
    </row>
    <row r="54">
      <c r="B54" t="str">
        <f>ReSemanalFert!M4</f>
        <v>Solubor</v>
      </c>
      <c r="F54">
        <f>O46/C8</f>
        <v>13812.159512195127</v>
      </c>
      <c r="G54">
        <f>Main!D53</f>
        <v>0.0123</v>
      </c>
    </row>
    <row r="55" ht="18" customHeight="1">
      <c r="B55" t="str">
        <v>Melaza</v>
      </c>
      <c r="F55">
        <f>Q46/C8</f>
        <v>339.99999999999983</v>
      </c>
      <c r="G55">
        <f>Main!D60</f>
        <v>1.45</v>
      </c>
    </row>
    <row r="56" ht="17.4" customHeight="1">
      <c r="B56" t="str">
        <v>NOTA: El Nitrato de Calcio se debe de diluir en un barril aparte para inyectarse al sistema</v>
      </c>
    </row>
    <row r="58">
      <c r="B58" t="str">
        <v>,@ La Melaza del calendario de fertilización se usan para la limpieza de la cinta. La aplicación de ellos es después de la fertilización y en la ultima media hora de riego.  Para mas detalles ver el boletín técnico numero 16 de Fintrac/CDA.</v>
      </c>
    </row>
    <row r="61">
      <c r="B61" t="str">
        <v>Abreviaciones usadas</v>
      </c>
    </row>
    <row r="62">
      <c r="B62" t="str">
        <v>Mz-Manzanas, Ha-Hectáreas, Lbs-Libras, Lts-Litros y DDT-Días después de Transplante</v>
      </c>
    </row>
  </sheetData>
  <sheetProtection sheet="1"/>
  <mergeCells count="44">
    <mergeCell ref="B62:M62"/>
    <mergeCell ref="B56:I57"/>
    <mergeCell ref="B53:E53"/>
    <mergeCell ref="B52:E52"/>
    <mergeCell ref="I52:Q52"/>
    <mergeCell ref="B54:E54"/>
    <mergeCell ref="E10:F10"/>
    <mergeCell ref="B61:C61"/>
    <mergeCell ref="B58:S59"/>
    <mergeCell ref="B55:E55"/>
    <mergeCell ref="B48:E48"/>
    <mergeCell ref="B49:E49"/>
    <mergeCell ref="B50:E50"/>
    <mergeCell ref="B51:E51"/>
    <mergeCell ref="C10:D10"/>
    <mergeCell ref="I51:Q51"/>
    <mergeCell ref="A10:A11"/>
    <mergeCell ref="B10:B11"/>
    <mergeCell ref="A7:B7"/>
    <mergeCell ref="A8:B8"/>
    <mergeCell ref="A1:M1"/>
    <mergeCell ref="A6:B6"/>
    <mergeCell ref="G5:I5"/>
    <mergeCell ref="G6:I6"/>
    <mergeCell ref="A5:B5"/>
    <mergeCell ref="A3:K3"/>
    <mergeCell ref="C5:F5"/>
    <mergeCell ref="C6:F6"/>
    <mergeCell ref="A2:L2"/>
    <mergeCell ref="S10:S11"/>
    <mergeCell ref="O10:P10"/>
    <mergeCell ref="Q10:R10"/>
    <mergeCell ref="G10:H10"/>
    <mergeCell ref="I10:J10"/>
    <mergeCell ref="K10:L10"/>
    <mergeCell ref="M10:N10"/>
    <mergeCell ref="C7:F7"/>
    <mergeCell ref="C8:F8"/>
    <mergeCell ref="J5:N5"/>
    <mergeCell ref="J6:N6"/>
    <mergeCell ref="J7:N7"/>
    <mergeCell ref="J8:N8"/>
    <mergeCell ref="G7:I7"/>
    <mergeCell ref="G8:I8"/>
  </mergeCells>
  <pageMargins left="0.25" right="0.25" top="0.81" bottom="1.17" header="0.25" footer="0.25"/>
  <ignoredErrors>
    <ignoredError numberStoredAsText="1" sqref="A1:V71"/>
  </ignoredErrors>
  <legacyDrawing r:id="rId1"/>
</worksheet>
</file>

<file path=xl/worksheets/sheet5.xml><?xml version="1.0" encoding="utf-8"?>
<worksheet xmlns="http://schemas.openxmlformats.org/spreadsheetml/2006/main" xmlns:r="http://schemas.openxmlformats.org/officeDocument/2006/relationships">
  <dimension ref="A1:V52"/>
  <sheetViews>
    <sheetView workbookViewId="0" rightToLeft="0"/>
  </sheetViews>
  <sheetData>
    <row r="1">
      <c r="A1" t="str">
        <v>Calendario de Fertilización para Goteo 1 Vez Por Semana</v>
      </c>
    </row>
    <row r="2" ht="29.25" customHeight="1">
      <c r="A2" t="str">
        <f>Main!E16</f>
        <v>Zucchini/ Enterprise</v>
      </c>
    </row>
    <row r="3" ht="26.25" customHeight="1">
      <c r="A3" t="str">
        <f>Main!C8</f>
        <v>"Sin Fertilización Base"</v>
      </c>
    </row>
    <row r="4" ht="14.25" customHeight="1"/>
    <row r="5" ht="20.1" customHeight="1">
      <c r="A5" t="str">
        <v>Productor</v>
      </c>
      <c r="C5" t="str">
        <f>Main!E12</f>
        <v>Pancho Pérez</v>
      </c>
      <c r="G5" t="str">
        <v>Parcela</v>
      </c>
      <c r="J5" t="str">
        <f>Main!E14</f>
        <v>La Frondosa</v>
      </c>
    </row>
    <row r="6" ht="20.1" customHeight="1">
      <c r="A6" t="str">
        <v>Zona</v>
      </c>
      <c r="C6" t="str">
        <f>Main!E13</f>
        <v>La Flecha</v>
      </c>
      <c r="G6" t="str">
        <v>Técnico</v>
      </c>
      <c r="J6" t="str">
        <f>Main!E15</f>
        <v>Luis Torres</v>
      </c>
    </row>
    <row r="7" ht="20.1" customHeight="1">
      <c r="A7" t="str">
        <v>Área Mz.</v>
      </c>
      <c r="C7">
        <f>Main!E17</f>
        <v>1.43</v>
      </c>
      <c r="G7" t="str">
        <v>Fecha:</v>
      </c>
      <c r="J7">
        <f>Main!E18</f>
        <v>38519</v>
      </c>
    </row>
    <row r="8" ht="20.1" customHeight="1">
      <c r="A8" t="str">
        <v>Área Ha.</v>
      </c>
      <c r="C8">
        <f>Main!I17</f>
        <v>1.001</v>
      </c>
      <c r="G8" t="str">
        <v>Fecha de Cosecha:</v>
      </c>
      <c r="J8">
        <f>J7+Main!E19</f>
        <v>38572</v>
      </c>
    </row>
    <row r="9" ht="19.5" customHeight="1"/>
    <row r="10" ht="26.399999999999995" customHeight="1">
      <c r="A10" t="str">
        <v>Semana</v>
      </c>
      <c r="B10" t="str">
        <v>DDT</v>
      </c>
      <c r="C10" t="str">
        <v>FECHA</v>
      </c>
      <c r="E10" t="str">
        <f>ReSemanalFert!C4</f>
        <v>Urea</v>
      </c>
      <c r="G10" t="str">
        <f>ReSemanalFert!E4</f>
        <v>MAP 12-61-0</v>
      </c>
      <c r="I10" t="str">
        <f>ReSemanalFert!G4</f>
        <v>Kcl Soluble</v>
      </c>
      <c r="K10" t="str">
        <f>ReSemanalFert!I4</f>
        <v>Sulfato de Magnesio</v>
      </c>
      <c r="M10" t="str">
        <f>ReSemanalFert!K4</f>
        <v>Nitrato de Calcio</v>
      </c>
      <c r="O10" t="str">
        <f>ReSemanalFert!M4</f>
        <v>Solubor</v>
      </c>
      <c r="Q10" t="str">
        <v>,@ Melaza</v>
      </c>
      <c r="S10" t="str">
        <v>Costo / Aplicación</v>
      </c>
    </row>
    <row r="11">
      <c r="D11" t="str">
        <v>Cambios</v>
      </c>
      <c r="E11" t="str">
        <f>Main!E36</f>
        <v>Lbs</v>
      </c>
      <c r="F11" t="str">
        <v>Cambios</v>
      </c>
      <c r="G11" t="str">
        <f>Main!E26</f>
        <v>Lbs</v>
      </c>
      <c r="H11" t="str">
        <v>Cambios</v>
      </c>
      <c r="I11" t="str">
        <f>Main!E31</f>
        <v>Lbs</v>
      </c>
      <c r="J11" t="str">
        <v>Cambios</v>
      </c>
      <c r="K11" t="str">
        <f>Main!E42</f>
        <v>Lbs</v>
      </c>
      <c r="L11" t="str">
        <v>Cambios</v>
      </c>
      <c r="M11" t="str">
        <f>Main!E47</f>
        <v>Lbs</v>
      </c>
      <c r="N11" t="str">
        <v>Cambios</v>
      </c>
      <c r="O11" t="str">
        <f>Main!E52</f>
        <v>Gramos</v>
      </c>
      <c r="P11" t="str">
        <v>Cambios</v>
      </c>
      <c r="Q11" t="str">
        <f>Main!E61</f>
        <v>Lts</v>
      </c>
      <c r="R11" t="str">
        <v>Cambios</v>
      </c>
    </row>
    <row r="12" ht="18.75" customHeight="1">
      <c r="A12">
        <v>1</v>
      </c>
      <c r="B12">
        <v>7</v>
      </c>
      <c r="C12">
        <f>$J$7+B12</f>
        <v>38526</v>
      </c>
      <c r="E12">
        <f>IF($C$8*ReSemanalFert!C7&lt;=0,"0",$C$8*ReSemanalFert!C7)</f>
        <v>22.920881724969988</v>
      </c>
      <c r="G12">
        <f>$C$8*ReSemanalFert!E7</f>
        <v>16.837587374558773</v>
      </c>
      <c r="I12">
        <f>$C$8*ReSemanalFert!G7</f>
        <v>32.92436448134167</v>
      </c>
      <c r="K12">
        <f>$C$8*ReSemanalFert!I7</f>
        <v>19.913018124999997</v>
      </c>
      <c r="M12">
        <f>$C$8*ReSemanalFert!K7</f>
        <v>18.29131360074537</v>
      </c>
      <c r="O12">
        <f>$C$8*ReSemanalFert!M7</f>
        <v>174.06755219512195</v>
      </c>
      <c r="Q12">
        <f>20*$C$8</f>
        <v>20.019999999999996</v>
      </c>
      <c r="S12">
        <f>((E12/100)*$G$32+(G12/100)*$G$33+(I12/100)*$G$34+(K12/100)*$G$35+(M12/100)*$G$36+(O12)*$G$37+(Q12*$G$38))</f>
        <v>601.4738319977206</v>
      </c>
    </row>
    <row r="13">
      <c r="A13">
        <v>2</v>
      </c>
      <c r="B13">
        <v>14</v>
      </c>
      <c r="C13">
        <f>$J$7+B13</f>
        <v>38533</v>
      </c>
      <c r="E13">
        <f>IF($C$8*ReSemanalFert!C8&lt;=0,"0",$C$8*ReSemanalFert!C8)</f>
        <v>22.920881724969988</v>
      </c>
      <c r="G13">
        <f>$C$8*ReSemanalFert!E8</f>
        <v>16.837587374558773</v>
      </c>
      <c r="I13">
        <f>$C$8*ReSemanalFert!G8</f>
        <v>32.92436448134167</v>
      </c>
      <c r="K13">
        <f>$C$8*ReSemanalFert!I8</f>
        <v>19.913018124999997</v>
      </c>
      <c r="M13">
        <f>$C$8*ReSemanalFert!K8</f>
        <v>18.29131360074537</v>
      </c>
      <c r="O13">
        <f>$C$8*ReSemanalFert!M8</f>
        <v>253.64168097560972</v>
      </c>
      <c r="Q13">
        <f>20*$C$8</f>
        <v>20.019999999999996</v>
      </c>
      <c r="S13">
        <f>((E13/100)*$G$32+(G13/100)*$G$33+(I13/100)*$G$34+(K13/100)*$G$35+(M13/100)*$G$36+(O13)*$G$37+(Q13*$G$38))</f>
        <v>602.4525937817206</v>
      </c>
    </row>
    <row r="14">
      <c r="A14">
        <v>3</v>
      </c>
      <c r="B14">
        <v>21</v>
      </c>
      <c r="C14">
        <f>$J$7+B14</f>
        <v>38540</v>
      </c>
      <c r="E14">
        <f>IF($C$8*ReSemanalFert!C9&lt;=0,"0",$C$8*ReSemanalFert!C9)</f>
        <v>42.501990510828676</v>
      </c>
      <c r="G14">
        <f>$C$8*ReSemanalFert!E9</f>
        <v>46.477637682377534</v>
      </c>
      <c r="I14">
        <f>$C$8*ReSemanalFert!G9</f>
        <v>65.84872896268334</v>
      </c>
      <c r="K14">
        <f>$C$8*ReSemanalFert!I9</f>
        <v>39.826036249999994</v>
      </c>
      <c r="M14">
        <f>$C$8*ReSemanalFert!K9</f>
        <v>36.58262720149074</v>
      </c>
      <c r="O14">
        <f>$C$8*ReSemanalFert!M9</f>
        <v>373.0014092682927</v>
      </c>
      <c r="Q14">
        <f>20*$C$8</f>
        <v>20.019999999999996</v>
      </c>
      <c r="S14">
        <f>((E14/100)*$G$32+(G14/100)*$G$33+(I14/100)*$G$34+(K14/100)*$G$35+(M14/100)*$G$36+(O14)*$G$37+(Q14*$G$38))</f>
        <v>1317.5007786333158</v>
      </c>
    </row>
    <row r="15">
      <c r="A15">
        <v>4</v>
      </c>
      <c r="B15">
        <v>28</v>
      </c>
      <c r="C15">
        <f>$J$7+B15</f>
        <v>38547</v>
      </c>
      <c r="E15">
        <f>IF($C$8*ReSemanalFert!C10&lt;=0,"0",$C$8*ReSemanalFert!C10)</f>
        <v>42.501990510828676</v>
      </c>
      <c r="G15">
        <f>$C$8*ReSemanalFert!E10</f>
        <v>46.477637682377534</v>
      </c>
      <c r="I15">
        <f>$C$8*ReSemanalFert!G10</f>
        <v>65.84872896268334</v>
      </c>
      <c r="K15">
        <f>$C$8*ReSemanalFert!I10</f>
        <v>39.826036249999994</v>
      </c>
      <c r="M15">
        <f>$C$8*ReSemanalFert!K10</f>
        <v>36.58262720149074</v>
      </c>
      <c r="O15">
        <f>$C$8*ReSemanalFert!M10</f>
        <v>417.7607580487805</v>
      </c>
      <c r="Q15">
        <f>20*$C$8</f>
        <v>20.019999999999996</v>
      </c>
      <c r="S15">
        <f>((E15/100)*$G$32+(G15/100)*$G$33+(I15/100)*$G$34+(K15/100)*$G$35+(M15/100)*$G$36+(O15)*$G$37+(Q15*$G$38))</f>
        <v>1318.0513186233159</v>
      </c>
    </row>
    <row r="16">
      <c r="A16">
        <v>5</v>
      </c>
      <c r="B16">
        <v>35</v>
      </c>
      <c r="C16">
        <f>$J$7+B16</f>
        <v>38554</v>
      </c>
      <c r="E16">
        <f>IF($C$8*ReSemanalFert!C11&lt;=0,"0",$C$8*ReSemanalFert!C11)</f>
        <v>42.501990510828676</v>
      </c>
      <c r="G16">
        <f>$C$8*ReSemanalFert!E11</f>
        <v>46.477637682377534</v>
      </c>
      <c r="I16">
        <f>$C$8*ReSemanalFert!G11</f>
        <v>65.84872896268334</v>
      </c>
      <c r="K16">
        <f>$C$8*ReSemanalFert!I11</f>
        <v>39.826036249999994</v>
      </c>
      <c r="M16">
        <f>$C$8*ReSemanalFert!K11</f>
        <v>36.58262720149074</v>
      </c>
      <c r="O16">
        <f>$C$8*ReSemanalFert!M11</f>
        <v>492.3626024390243</v>
      </c>
      <c r="Q16">
        <f>20*$C$8</f>
        <v>20.019999999999996</v>
      </c>
      <c r="S16">
        <f>((E16/100)*$G$32+(G16/100)*$G$33+(I16/100)*$G$34+(K16/100)*$G$35+(M16/100)*$G$36+(O16)*$G$37+(Q16*$G$38))</f>
        <v>1318.9689213093159</v>
      </c>
    </row>
    <row r="17">
      <c r="A17">
        <v>6</v>
      </c>
      <c r="B17">
        <v>42</v>
      </c>
      <c r="C17">
        <f>$J$7+B17</f>
        <v>38561</v>
      </c>
      <c r="E17">
        <f>IF($C$8*ReSemanalFert!C12&lt;=0,"0",$C$8*ReSemanalFert!C12)</f>
        <v>42.501990510828676</v>
      </c>
      <c r="G17">
        <f>$C$8*ReSemanalFert!E12</f>
        <v>46.477637682377534</v>
      </c>
      <c r="I17">
        <f>$C$8*ReSemanalFert!G12</f>
        <v>65.84872896268334</v>
      </c>
      <c r="K17">
        <f>$C$8*ReSemanalFert!I12</f>
        <v>39.826036249999994</v>
      </c>
      <c r="M17">
        <f>$C$8*ReSemanalFert!K12</f>
        <v>36.58262720149074</v>
      </c>
      <c r="O17">
        <f>$C$8*ReSemanalFert!M12</f>
        <v>591.8317282926829</v>
      </c>
      <c r="Q17">
        <f>20*$C$8</f>
        <v>20.019999999999996</v>
      </c>
      <c r="S17">
        <f>((E17/100)*$G$32+(G17/100)*$G$33+(I17/100)*$G$34+(K17/100)*$G$35+(M17/100)*$G$36+(O17)*$G$37+(Q17*$G$38))</f>
        <v>1320.192391557316</v>
      </c>
    </row>
    <row r="18">
      <c r="A18">
        <v>7</v>
      </c>
      <c r="B18">
        <v>49</v>
      </c>
      <c r="C18">
        <f>$J$7+B18</f>
        <v>38568</v>
      </c>
      <c r="E18">
        <f>IF($C$8*ReSemanalFert!C13&lt;=0,"0",$C$8*ReSemanalFert!C13)</f>
        <v>42.501990510828676</v>
      </c>
      <c r="G18">
        <f>$C$8*ReSemanalFert!E13</f>
        <v>46.477637682377534</v>
      </c>
      <c r="I18">
        <f>$C$8*ReSemanalFert!G13</f>
        <v>65.84872896268334</v>
      </c>
      <c r="K18">
        <f>$C$8*ReSemanalFert!I13</f>
        <v>39.826036249999994</v>
      </c>
      <c r="M18">
        <f>$C$8*ReSemanalFert!K13</f>
        <v>36.58262720149074</v>
      </c>
      <c r="O18">
        <f>$C$8*ReSemanalFert!M13</f>
        <v>651.5118365853658</v>
      </c>
      <c r="Q18">
        <f>20*$C$8</f>
        <v>20.019999999999996</v>
      </c>
      <c r="S18">
        <f>((E18/100)*$G$32+(G18/100)*$G$33+(I18/100)*$G$34+(K18/100)*$G$35+(M18/100)*$G$36+(O18)*$G$37+(Q18*$G$38))</f>
        <v>1320.926456889316</v>
      </c>
    </row>
    <row r="19">
      <c r="A19">
        <v>8</v>
      </c>
      <c r="B19">
        <v>56</v>
      </c>
      <c r="C19">
        <f>$J$7+B19</f>
        <v>38575</v>
      </c>
      <c r="E19">
        <f>IF($C$8*ReSemanalFert!C14&lt;=0,"0",$C$8*ReSemanalFert!C14)</f>
        <v>45.478200784758606</v>
      </c>
      <c r="G19">
        <f>$C$8*ReSemanalFert!E14</f>
        <v>20.810248589212048</v>
      </c>
      <c r="I19">
        <f>$C$8*ReSemanalFert!G14</f>
        <v>65.84872896268334</v>
      </c>
      <c r="K19">
        <f>$C$8*ReSemanalFert!I14</f>
        <v>39.826036249999994</v>
      </c>
      <c r="M19">
        <f>$C$8*ReSemanalFert!K14</f>
        <v>36.58262720149074</v>
      </c>
      <c r="O19">
        <f>$C$8*ReSemanalFert!M14</f>
        <v>800.712107317073</v>
      </c>
      <c r="Q19">
        <f>20*$C$8</f>
        <v>20.019999999999996</v>
      </c>
      <c r="S19">
        <f>((E19/100)*$G$32+(G19/100)*$G$33+(I19/100)*$G$34+(K19/100)*$G$35+(M19/100)*$G$36+(O19)*$G$37+(Q19*$G$38))</f>
        <v>1023.9792029505131</v>
      </c>
    </row>
    <row r="20">
      <c r="A20">
        <v>9</v>
      </c>
      <c r="B20">
        <v>63</v>
      </c>
      <c r="C20">
        <f>$J$7+B20</f>
        <v>38582</v>
      </c>
      <c r="E20">
        <f>IF($C$8*ReSemanalFert!C15&lt;=0,"0",$C$8*ReSemanalFert!C15)</f>
        <v>45.478200784758606</v>
      </c>
      <c r="G20">
        <f>$C$8*ReSemanalFert!E15</f>
        <v>20.810248589212048</v>
      </c>
      <c r="I20">
        <f>$C$8*ReSemanalFert!G15</f>
        <v>65.84872896268334</v>
      </c>
      <c r="K20">
        <f>$C$8*ReSemanalFert!I15</f>
        <v>39.826036249999994</v>
      </c>
      <c r="M20">
        <f>$C$8*ReSemanalFert!K15</f>
        <v>36.58262720149074</v>
      </c>
      <c r="O20">
        <f>$C$8*ReSemanalFert!M15</f>
        <v>830.5526497560974</v>
      </c>
      <c r="Q20">
        <f>20*$C$8</f>
        <v>20.019999999999996</v>
      </c>
      <c r="S20">
        <f>((E20/100)*$G$32+(G20/100)*$G$33+(I20/100)*$G$34+(K20/100)*$G$35+(M20/100)*$G$36+(O20)*$G$37+(Q20*$G$38))</f>
        <v>1024.346241622513</v>
      </c>
    </row>
    <row r="21">
      <c r="A21">
        <v>10</v>
      </c>
      <c r="B21">
        <v>70</v>
      </c>
      <c r="C21">
        <f>$J$7+B21</f>
        <v>38589</v>
      </c>
      <c r="E21">
        <f>IF($C$8*ReSemanalFert!C16&lt;=0,"0",$C$8*ReSemanalFert!C16)</f>
        <v>45.478200784758606</v>
      </c>
      <c r="G21">
        <f>$C$8*ReSemanalFert!E16</f>
        <v>20.810248589212048</v>
      </c>
      <c r="I21">
        <f>$C$8*ReSemanalFert!G16</f>
        <v>65.84872896268334</v>
      </c>
      <c r="K21">
        <f>$C$8*ReSemanalFert!I16</f>
        <v>39.826036249999994</v>
      </c>
      <c r="M21">
        <f>$C$8*ReSemanalFert!K16</f>
        <v>36.58262720149074</v>
      </c>
      <c r="O21">
        <f>$C$8*ReSemanalFert!M16</f>
        <v>1009.5959043902436</v>
      </c>
      <c r="Q21">
        <f>20*$C$8</f>
        <v>20.019999999999996</v>
      </c>
      <c r="S21">
        <f>((E21/100)*$G$32+(G21/100)*$G$33+(I21/100)*$G$34+(K21/100)*$G$35+(M21/100)*$G$36+(O21)*$G$37+(Q21*$G$38))</f>
        <v>1026.5484736545131</v>
      </c>
    </row>
    <row r="22">
      <c r="A22">
        <v>11</v>
      </c>
      <c r="B22">
        <v>77</v>
      </c>
      <c r="C22">
        <f>$J$7+B22</f>
        <v>38596</v>
      </c>
      <c r="E22">
        <f>IF($C$8*ReSemanalFert!C17&lt;=0,"0",$C$8*ReSemanalFert!C17)</f>
        <v>45.478200784758606</v>
      </c>
      <c r="G22">
        <f>$C$8*ReSemanalFert!E17</f>
        <v>20.810248589212048</v>
      </c>
      <c r="I22">
        <f>$C$8*ReSemanalFert!G17</f>
        <v>65.84872896268334</v>
      </c>
      <c r="K22">
        <f>$C$8*ReSemanalFert!I17</f>
        <v>39.826036249999994</v>
      </c>
      <c r="M22">
        <f>$C$8*ReSemanalFert!K17</f>
        <v>36.58262720149074</v>
      </c>
      <c r="O22">
        <f>$C$8*ReSemanalFert!M17</f>
        <v>1009.5959043902436</v>
      </c>
      <c r="Q22">
        <f>20*$C$8</f>
        <v>20.019999999999996</v>
      </c>
      <c r="S22">
        <f>((E22/100)*$G$32+(G22/100)*$G$33+(I22/100)*$G$34+(K22/100)*$G$35+(M22/100)*$G$36+(O22)*$G$37+(Q22*$G$38))</f>
        <v>1026.5484736545131</v>
      </c>
    </row>
    <row r="23">
      <c r="A23">
        <v>12</v>
      </c>
      <c r="B23">
        <v>84</v>
      </c>
      <c r="C23">
        <f>$J$7+B23</f>
        <v>38603</v>
      </c>
      <c r="E23">
        <f>IF($C$8*ReSemanalFert!C18&lt;=0,"0",$C$8*ReSemanalFert!C18)</f>
        <v>32.73085035740164</v>
      </c>
      <c r="G23">
        <f>$C$8*ReSemanalFert!E18</f>
        <v>20.810248589212048</v>
      </c>
      <c r="I23">
        <f>$C$8*ReSemanalFert!G18</f>
        <v>49.35988731757416</v>
      </c>
      <c r="K23">
        <f>$C$8*ReSemanalFert!I18</f>
        <v>29.85332349999999</v>
      </c>
      <c r="M23">
        <f>$C$8*ReSemanalFert!K18</f>
        <v>27.42215962087453</v>
      </c>
      <c r="O23">
        <f>$C$8*ReSemanalFert!M18</f>
        <v>1128.9561209756098</v>
      </c>
      <c r="Q23">
        <f>20*$C$8</f>
        <v>20.019999999999996</v>
      </c>
      <c r="S23">
        <f>((E23/100)*$G$32+(G23/100)*$G$33+(I23/100)*$G$34+(K23/100)*$G$35+(M23/100)*$G$36+(O23)*$G$37+(Q23*$G$38))</f>
        <v>839.6598669835765</v>
      </c>
    </row>
    <row r="24" ht="18" customHeight="1">
      <c r="A24">
        <v>13</v>
      </c>
      <c r="B24">
        <v>91</v>
      </c>
      <c r="C24">
        <f>$J$7+B24</f>
        <v>38610</v>
      </c>
      <c r="E24">
        <f>IF($C$8*ReSemanalFert!C19&lt;=0,"0",$C$8*ReSemanalFert!C19)</f>
        <v>32.73085035740164</v>
      </c>
      <c r="G24">
        <f>$C$8*ReSemanalFert!E19</f>
        <v>20.810248589212048</v>
      </c>
      <c r="I24">
        <f>$C$8*ReSemanalFert!G19</f>
        <v>49.35988731757416</v>
      </c>
      <c r="K24">
        <f>$C$8*ReSemanalFert!I19</f>
        <v>29.85332349999999</v>
      </c>
      <c r="M24">
        <f>$C$8*ReSemanalFert!K19</f>
        <v>27.42215962087453</v>
      </c>
      <c r="O24">
        <f>$C$8*ReSemanalFert!M19</f>
        <v>1218.4762834146343</v>
      </c>
      <c r="Q24">
        <f>20*$C$8</f>
        <v>20.019999999999996</v>
      </c>
      <c r="S24">
        <f>((E24/100)*$G$32+(G24/100)*$G$33+(I24/100)*$G$34+(K24/100)*$G$35+(M24/100)*$G$36+(O24)*$G$37+(Q24*$G$38))</f>
        <v>840.7609649815765</v>
      </c>
    </row>
    <row r="25">
      <c r="A25">
        <v>14</v>
      </c>
      <c r="B25">
        <v>98</v>
      </c>
      <c r="C25">
        <f>$J$7+B25</f>
        <v>38617</v>
      </c>
      <c r="E25">
        <f>IF($C$8*ReSemanalFert!C20&lt;=0,"0",$C$8*ReSemanalFert!C20)</f>
        <v>32.73085035740164</v>
      </c>
      <c r="G25">
        <f>$C$8*ReSemanalFert!E20</f>
        <v>20.810248589212048</v>
      </c>
      <c r="I25">
        <f>$C$8*ReSemanalFert!G20</f>
        <v>49.35988731757416</v>
      </c>
      <c r="K25">
        <f>$C$8*ReSemanalFert!I20</f>
        <v>29.85332349999999</v>
      </c>
      <c r="M25">
        <f>$C$8*ReSemanalFert!K20</f>
        <v>27.42215962087453</v>
      </c>
      <c r="O25">
        <f>$C$8*ReSemanalFert!M20</f>
        <v>1218.4762834146343</v>
      </c>
      <c r="Q25">
        <f>20*$C$8</f>
        <v>20.019999999999996</v>
      </c>
      <c r="S25">
        <f>((E25/100)*$G$32+(G25/100)*$G$33+(I25/100)*$G$34+(K25/100)*$G$35+(M25/100)*$G$36+(O25)*$G$37+(Q25*$G$38))</f>
        <v>840.7609649815765</v>
      </c>
    </row>
    <row r="26">
      <c r="A26">
        <v>15</v>
      </c>
      <c r="B26">
        <v>105</v>
      </c>
      <c r="C26">
        <f>$J$7+B26</f>
        <v>38624</v>
      </c>
      <c r="E26">
        <f>IF($C$8*ReSemanalFert!C21&lt;=0,"0",$C$8*ReSemanalFert!C21)</f>
        <v>32.73085035740164</v>
      </c>
      <c r="G26">
        <f>$C$8*ReSemanalFert!E21</f>
        <v>20.810248589212048</v>
      </c>
      <c r="I26">
        <f>$C$8*ReSemanalFert!G21</f>
        <v>49.35988731757416</v>
      </c>
      <c r="K26">
        <f>$C$8*ReSemanalFert!I21</f>
        <v>29.85332349999999</v>
      </c>
      <c r="M26">
        <f>$C$8*ReSemanalFert!K21</f>
        <v>27.42215962087453</v>
      </c>
      <c r="O26">
        <f>$C$8*ReSemanalFert!M21</f>
        <v>1218.4762834146343</v>
      </c>
      <c r="Q26">
        <f>20*$C$8</f>
        <v>20.019999999999996</v>
      </c>
      <c r="S26">
        <f>((E26/100)*$G$32+(G26/100)*$G$33+(I26/100)*$G$34+(K26/100)*$G$35+(M26/100)*$G$36+(O26)*$G$37+(Q26*$G$38))</f>
        <v>840.7609649815765</v>
      </c>
    </row>
    <row r="27">
      <c r="A27">
        <v>16</v>
      </c>
      <c r="B27">
        <v>112</v>
      </c>
      <c r="C27">
        <f>$J$7+B27</f>
        <v>38631</v>
      </c>
      <c r="E27">
        <f>IF($C$8*ReSemanalFert!C22&lt;=0,"0",$C$8*ReSemanalFert!C22)</f>
        <v>32.73085035740164</v>
      </c>
      <c r="G27">
        <f>$C$8*ReSemanalFert!E22</f>
        <v>20.810248589212048</v>
      </c>
      <c r="I27">
        <f>$C$8*ReSemanalFert!G22</f>
        <v>49.35988731757416</v>
      </c>
      <c r="K27">
        <f>$C$8*ReSemanalFert!I22</f>
        <v>29.85332349999999</v>
      </c>
      <c r="M27">
        <f>$C$8*ReSemanalFert!K22</f>
        <v>27.42215962087453</v>
      </c>
      <c r="O27">
        <f>$C$8*ReSemanalFert!M22</f>
        <v>1218.4762834146343</v>
      </c>
      <c r="Q27">
        <f>20*$C$8</f>
        <v>20.019999999999996</v>
      </c>
      <c r="S27">
        <f>((E27/100)*$G$32+(G27/100)*$G$33+(I27/100)*$G$34+(K27/100)*$G$35+(M27/100)*$G$36+(O27)*$G$37+(Q27*$G$38))</f>
        <v>840.7609649815765</v>
      </c>
    </row>
    <row r="28">
      <c r="A28">
        <v>17</v>
      </c>
      <c r="B28">
        <v>119</v>
      </c>
      <c r="C28">
        <f>$J$7+B28</f>
        <v>38638</v>
      </c>
      <c r="E28">
        <f>IF($C$8*ReSemanalFert!C23&lt;=0,"0",$C$8*ReSemanalFert!C23)</f>
        <v>32.73085035740164</v>
      </c>
      <c r="G28">
        <f>$C$8*ReSemanalFert!E23</f>
        <v>20.810248589212048</v>
      </c>
      <c r="I28">
        <f>$C$8*ReSemanalFert!G23</f>
        <v>49.35988731757416</v>
      </c>
      <c r="K28">
        <f>$C$8*ReSemanalFert!I23</f>
        <v>29.85332349999999</v>
      </c>
      <c r="M28">
        <f>$C$8*ReSemanalFert!K23</f>
        <v>27.42215962087453</v>
      </c>
      <c r="O28">
        <f>$C$8*ReSemanalFert!M23</f>
        <v>1218.4762834146343</v>
      </c>
      <c r="Q28">
        <f>20*$C$8</f>
        <v>20.019999999999996</v>
      </c>
      <c r="S28">
        <f>((E28/100)*$G$32+(G28/100)*$G$33+(I28/100)*$G$34+(K28/100)*$G$35+(M28/100)*$G$36+(O28)*$G$37+(Q28*$G$38))</f>
        <v>840.7609649815765</v>
      </c>
    </row>
    <row r="29">
      <c r="C29" t="str">
        <v>Total</v>
      </c>
      <c r="E29">
        <f>SUM(E12:E28)</f>
        <v>636.6496212875277</v>
      </c>
      <c r="G29">
        <f>SUM(G12:G28)</f>
        <v>474.1658490531257</v>
      </c>
      <c r="I29">
        <f>SUM(I12:I28)</f>
        <v>954.6466135322784</v>
      </c>
      <c r="K29">
        <f>SUM(K12:K28)</f>
        <v>577.3803035</v>
      </c>
      <c r="M29">
        <f>SUM(M12:M28)</f>
        <v>530.3592297401545</v>
      </c>
      <c r="O29">
        <f>SUM(O12:O28)</f>
        <v>13825.97167170732</v>
      </c>
      <c r="Q29">
        <f>SUM(Q12:Q28)</f>
        <v>340.3399999999998</v>
      </c>
      <c r="S29">
        <f>SUM(S12:S28)</f>
        <v>16944.453376565532</v>
      </c>
    </row>
    <row r="31" ht="39.75" customHeight="1">
      <c r="B31" t="str">
        <v>Producto</v>
      </c>
      <c r="F31" t="str">
        <v>Lbs/Ha</v>
      </c>
      <c r="G31" t="str">
        <v>Costo Lps/qq</v>
      </c>
    </row>
    <row r="32">
      <c r="B32" t="str">
        <f>ReSemanalFert!C4</f>
        <v>Urea</v>
      </c>
      <c r="F32">
        <f>E29/C8</f>
        <v>636.013607679848</v>
      </c>
      <c r="G32">
        <f>Main!D37</f>
        <v>310</v>
      </c>
    </row>
    <row r="33">
      <c r="B33" t="str">
        <f>ReSemanalFert!E4</f>
        <v>MAP 12-61-0</v>
      </c>
      <c r="F33">
        <f>G29/C8</f>
        <v>473.69215689622956</v>
      </c>
      <c r="G33">
        <f>Main!D27</f>
        <v>1200</v>
      </c>
    </row>
    <row r="34">
      <c r="B34" t="str">
        <f>ReSemanalFert!G4</f>
        <v>Kcl Soluble</v>
      </c>
      <c r="F34">
        <f>I29/C8</f>
        <v>953.6929206116668</v>
      </c>
      <c r="G34">
        <f>Main!D32</f>
        <v>390</v>
      </c>
      <c r="I34" t="str">
        <v xml:space="preserve">Preparado y Autorizado Por </v>
      </c>
    </row>
    <row r="35">
      <c r="B35" t="str">
        <f>ReSemanalFert!I4</f>
        <v>Sulfato de Magnesio</v>
      </c>
      <c r="F35">
        <f>K29/C8</f>
        <v>576.8035</v>
      </c>
      <c r="G35">
        <f>Main!D43</f>
        <v>370</v>
      </c>
      <c r="I35" t="str">
        <v>MSc Ricardo D. Lardizábal</v>
      </c>
    </row>
    <row r="36">
      <c r="B36" t="str">
        <f>ReSemanalFert!K4</f>
        <v>Nitrato de Calcio</v>
      </c>
      <c r="F36">
        <f>M29/C8</f>
        <v>529.8294003398148</v>
      </c>
      <c r="G36">
        <f>Main!D48</f>
        <v>520</v>
      </c>
    </row>
    <row r="37">
      <c r="B37" t="str">
        <f>ReSemanalFert!M4</f>
        <v>Solubor</v>
      </c>
      <c r="F37">
        <f>O29/C8</f>
        <v>13812.159512195127</v>
      </c>
      <c r="G37">
        <f>Main!D53</f>
        <v>0.0123</v>
      </c>
    </row>
    <row r="38" ht="18" customHeight="1">
      <c r="B38" t="str">
        <v>Melaza</v>
      </c>
      <c r="F38">
        <f>Q29/C8</f>
        <v>339.99999999999983</v>
      </c>
      <c r="G38">
        <f>Main!D60</f>
        <v>1.45</v>
      </c>
    </row>
    <row r="39" ht="17.4" customHeight="1">
      <c r="B39" t="str">
        <v>NOTA: El Nitrato de Calcio se debe de diluir en un barril aparte para inyectarse al sistema</v>
      </c>
    </row>
    <row r="41">
      <c r="B41" t="str">
        <v>,@ La Melaza del calendario de fertilización se usan para la limpieza de la cinta. La aplicación de ellos es después de la fertilización y en la ultima media hora de riego.  Para mas detalles ver el boletín técnico numero 16 de Fintrac/CDA.</v>
      </c>
    </row>
    <row r="42" ht="27.75" customHeight="1"/>
    <row r="43">
      <c r="B43" t="str">
        <v>Abreviaciones usadas</v>
      </c>
    </row>
    <row r="44">
      <c r="B44" t="str">
        <v>Mz-Manzanas, Ha-Hectáreas, Lbs-Libras, Lts-Litros y DDT-Días después de Transplante</v>
      </c>
    </row>
  </sheetData>
  <sheetProtection sheet="1"/>
  <mergeCells count="44">
    <mergeCell ref="A1:M1"/>
    <mergeCell ref="B43:C43"/>
    <mergeCell ref="B44:M44"/>
    <mergeCell ref="B38:E38"/>
    <mergeCell ref="B36:E36"/>
    <mergeCell ref="B41:S42"/>
    <mergeCell ref="B39:I40"/>
    <mergeCell ref="A5:B5"/>
    <mergeCell ref="G5:I5"/>
    <mergeCell ref="C10:D10"/>
    <mergeCell ref="C5:F5"/>
    <mergeCell ref="C7:F7"/>
    <mergeCell ref="C6:F6"/>
    <mergeCell ref="G6:I6"/>
    <mergeCell ref="A10:A11"/>
    <mergeCell ref="B10:B11"/>
    <mergeCell ref="A6:B6"/>
    <mergeCell ref="A8:B8"/>
    <mergeCell ref="A7:B7"/>
    <mergeCell ref="B35:E35"/>
    <mergeCell ref="B31:E31"/>
    <mergeCell ref="B32:E32"/>
    <mergeCell ref="B33:E33"/>
    <mergeCell ref="B34:E34"/>
    <mergeCell ref="S10:S11"/>
    <mergeCell ref="M10:N10"/>
    <mergeCell ref="O10:P10"/>
    <mergeCell ref="Q10:R10"/>
    <mergeCell ref="J7:M7"/>
    <mergeCell ref="J8:M8"/>
    <mergeCell ref="G8:I8"/>
    <mergeCell ref="I35:Q35"/>
    <mergeCell ref="I34:Q34"/>
    <mergeCell ref="G7:I7"/>
    <mergeCell ref="B37:E37"/>
    <mergeCell ref="A2:L2"/>
    <mergeCell ref="A3:L3"/>
    <mergeCell ref="E10:F10"/>
    <mergeCell ref="G10:H10"/>
    <mergeCell ref="I10:J10"/>
    <mergeCell ref="K10:L10"/>
    <mergeCell ref="C8:F8"/>
    <mergeCell ref="J5:M5"/>
    <mergeCell ref="J6:M6"/>
  </mergeCells>
  <pageMargins left="0.35" right="0.25" top="0.32" bottom="0.65" header="0.17" footer="0.16"/>
  <ignoredErrors>
    <ignoredError numberStoredAsText="1" sqref="A1:V52"/>
  </ignoredErrors>
  <legacyDrawing r:id="rId1"/>
</worksheet>
</file>

<file path=xl/worksheets/sheet6.xml><?xml version="1.0" encoding="utf-8"?>
<worksheet xmlns="http://schemas.openxmlformats.org/spreadsheetml/2006/main" xmlns:r="http://schemas.openxmlformats.org/officeDocument/2006/relationships">
  <dimension ref="A1:T37"/>
  <sheetViews>
    <sheetView workbookViewId="0" rightToLeft="0"/>
  </sheetViews>
  <sheetData>
    <row r="1">
      <c r="A1" t="str">
        <v>Calendario de Fertilización Cada 14 Días o a Mano</v>
      </c>
    </row>
    <row r="2" ht="31.5" customHeight="1">
      <c r="A2" t="str">
        <f>Main!E16</f>
        <v>Zucchini/ Enterprise</v>
      </c>
    </row>
    <row r="3" ht="27" customHeight="1">
      <c r="A3" t="str">
        <f>Main!C8</f>
        <v>"Sin Fertilización Base"</v>
      </c>
    </row>
    <row r="5" ht="19.8" customHeight="1">
      <c r="A5" t="str">
        <v>Productor</v>
      </c>
      <c r="C5" t="str">
        <f>'1 Por Sem'!C5</f>
        <v>Pancho Pérez</v>
      </c>
      <c r="F5" t="str">
        <v>Parcela</v>
      </c>
      <c r="I5" t="str">
        <f>'1 Por Sem'!J5</f>
        <v>La Frondosa</v>
      </c>
    </row>
    <row r="6" ht="19.8" customHeight="1">
      <c r="A6" t="str">
        <v>Zona</v>
      </c>
      <c r="C6" t="str">
        <f>'1 Por Sem'!C6</f>
        <v>La Flecha</v>
      </c>
      <c r="F6" t="str">
        <v>Técnico</v>
      </c>
      <c r="I6" t="str">
        <f>'1 Por Sem'!J6</f>
        <v>Luis Torres</v>
      </c>
    </row>
    <row r="7" ht="19.8" customHeight="1">
      <c r="A7" t="str">
        <v>Área Mz.</v>
      </c>
      <c r="C7">
        <f>'1 Por Sem'!C7</f>
        <v>1.43</v>
      </c>
      <c r="F7" t="str">
        <v>Fecha</v>
      </c>
      <c r="I7">
        <f>'1 Por Sem'!J7</f>
        <v>38519</v>
      </c>
    </row>
    <row r="8" ht="19.8" customHeight="1">
      <c r="A8" t="str">
        <v>Área Ha.</v>
      </c>
      <c r="C8">
        <f>Main!I17</f>
        <v>1.001</v>
      </c>
      <c r="F8" t="str">
        <v>Fecha  de Cosecha</v>
      </c>
      <c r="I8">
        <f>'1 Por Sem'!J8</f>
        <v>38572</v>
      </c>
    </row>
    <row r="10" ht="28.8" customHeight="1">
      <c r="A10" t="str">
        <v>Semana</v>
      </c>
      <c r="B10" t="str">
        <v>DDT</v>
      </c>
      <c r="C10" t="str">
        <v>FECHA</v>
      </c>
      <c r="E10" t="str">
        <f>ReSemanalFert!C4</f>
        <v>Urea</v>
      </c>
      <c r="G10" t="str">
        <f>ReSemanalFert!E4</f>
        <v>MAP 12-61-0</v>
      </c>
      <c r="I10" t="str">
        <f>ReSemanalFert!G4</f>
        <v>Kcl Soluble</v>
      </c>
      <c r="K10" t="str">
        <f>ReSemanalFert!I4</f>
        <v>Sulfato de Magnesio</v>
      </c>
      <c r="M10" t="str">
        <f>ReSemanalFert!K4</f>
        <v>Nitrato de Calcio</v>
      </c>
      <c r="O10" t="str">
        <f>ReSemanalFert!M4</f>
        <v>Solubor</v>
      </c>
      <c r="Q10" t="str">
        <v>,@ Melaza</v>
      </c>
      <c r="S10" t="str">
        <v>Costo / Aplicación</v>
      </c>
    </row>
    <row r="11">
      <c r="D11" t="str">
        <v>Cambios</v>
      </c>
      <c r="E11" t="str">
        <f>Main!E36</f>
        <v>Lbs</v>
      </c>
      <c r="F11" t="str">
        <v>Cambios</v>
      </c>
      <c r="G11" t="str">
        <f>Main!E26</f>
        <v>Lbs</v>
      </c>
      <c r="H11" t="str">
        <v>Cambios</v>
      </c>
      <c r="I11" t="str">
        <f>Main!E31</f>
        <v>Lbs</v>
      </c>
      <c r="J11" t="str">
        <v>Cambios</v>
      </c>
      <c r="K11" t="str">
        <f>Main!E42</f>
        <v>Lbs</v>
      </c>
      <c r="L11" t="str">
        <v>Cambios</v>
      </c>
      <c r="M11" t="str">
        <f>Main!E47</f>
        <v>Lbs</v>
      </c>
      <c r="N11" t="str">
        <v>Cambios</v>
      </c>
      <c r="O11" t="str">
        <f>Main!E52</f>
        <v>Gramos</v>
      </c>
      <c r="P11" t="str">
        <v>Cambios</v>
      </c>
      <c r="Q11" t="str">
        <f>Main!E61</f>
        <v>Lts</v>
      </c>
      <c r="R11" t="str">
        <v>Cambios</v>
      </c>
    </row>
    <row r="12">
      <c r="A12">
        <v>2</v>
      </c>
      <c r="B12">
        <v>14</v>
      </c>
      <c r="C12">
        <f>$I$7+B12</f>
        <v>38533</v>
      </c>
      <c r="E12">
        <f>IF($C$8*(ReSemanalFert!C7+ReSemanalFert!C8)&lt;=0,"0",$C$8*(ReSemanalFert!C7+ReSemanalFert!C8))</f>
        <v>45.841763449939975</v>
      </c>
      <c r="G12">
        <f>$C$8*(ReSemanalFert!E7+ReSemanalFert!E8)</f>
        <v>33.675174749117545</v>
      </c>
      <c r="I12">
        <f>$C$8*(ReSemanalFert!G7+ReSemanalFert!G8)</f>
        <v>65.84872896268334</v>
      </c>
      <c r="K12">
        <f>$C$8*(ReSemanalFert!I7+ReSemanalFert!I8)</f>
        <v>39.826036249999994</v>
      </c>
      <c r="M12">
        <f>$C$8*(ReSemanalFert!K7+ReSemanalFert!K8)</f>
        <v>36.58262720149074</v>
      </c>
      <c r="O12">
        <f>$C$8*(ReSemanalFert!M7+ReSemanalFert!M8)</f>
        <v>427.70923317073164</v>
      </c>
      <c r="Q12">
        <f>20*$C$8</f>
        <v>20.019999999999996</v>
      </c>
      <c r="S12">
        <f>((E12/100)*$F$24+(G12/100)*$F$25+(I12/100)*$F$26+(K12/100)*$F$27+(M12/100)*$F$28+(O12)*$F$29+(Q12*$F$30))</f>
        <v>1174.8974257794412</v>
      </c>
    </row>
    <row r="13">
      <c r="A13">
        <v>4</v>
      </c>
      <c r="B13">
        <v>28</v>
      </c>
      <c r="C13">
        <f>$I$7+B13</f>
        <v>38547</v>
      </c>
      <c r="E13">
        <f>IF($C$8*(ReSemanalFert!C9+ReSemanalFert!C10)&lt;=0,"0",$C$8*(ReSemanalFert!C9+ReSemanalFert!C10))</f>
        <v>85.00398102165735</v>
      </c>
      <c r="G13">
        <f>$C$8*(ReSemanalFert!E9+ReSemanalFert!E10)</f>
        <v>92.95527536475507</v>
      </c>
      <c r="I13">
        <f>$C$8*(ReSemanalFert!G9+ReSemanalFert!G10)</f>
        <v>131.69745792536668</v>
      </c>
      <c r="K13">
        <f>$C$8*(ReSemanalFert!I9+ReSemanalFert!I10)</f>
        <v>79.65207249999999</v>
      </c>
      <c r="M13">
        <f>$C$8*(ReSemanalFert!K9+ReSemanalFert!K10)</f>
        <v>73.16525440298147</v>
      </c>
      <c r="O13">
        <f>$C$8*(ReSemanalFert!M9+ReSemanalFert!M10)</f>
        <v>790.7621673170731</v>
      </c>
      <c r="Q13">
        <f>20*$C$8</f>
        <v>20.019999999999996</v>
      </c>
      <c r="S13">
        <f>((E13/100)*$F$24+(G13/100)*$F$25+(I13/100)*$F$26+(K13/100)*$F$27+(M13/100)*$F$28+(O13)*$F$29+(Q13*$F$30))</f>
        <v>2606.523097256632</v>
      </c>
    </row>
    <row r="14">
      <c r="A14">
        <v>6</v>
      </c>
      <c r="B14">
        <v>42</v>
      </c>
      <c r="C14">
        <f>$I$7+B14</f>
        <v>38561</v>
      </c>
      <c r="E14">
        <f>IF($C$8*(ReSemanalFert!C11+ReSemanalFert!C12)&lt;=0,"0",$C$8*(ReSemanalFert!C11+ReSemanalFert!C12))</f>
        <v>85.00398102165735</v>
      </c>
      <c r="G14">
        <f>$C$8*(ReSemanalFert!E11+ReSemanalFert!E12)</f>
        <v>92.95527536475507</v>
      </c>
      <c r="I14">
        <f>$C$8*(ReSemanalFert!G11+ReSemanalFert!G12)</f>
        <v>131.69745792536668</v>
      </c>
      <c r="K14">
        <f>$C$8*(ReSemanalFert!I11+ReSemanalFert!I12)</f>
        <v>79.65207249999999</v>
      </c>
      <c r="M14">
        <f>$C$8*(ReSemanalFert!K11+ReSemanalFert!K12)</f>
        <v>73.16525440298147</v>
      </c>
      <c r="O14">
        <f>$C$8*(ReSemanalFert!M11+ReSemanalFert!M12)</f>
        <v>1084.1943307317072</v>
      </c>
      <c r="Q14">
        <f>20*$C$8</f>
        <v>20.019999999999996</v>
      </c>
      <c r="S14">
        <f>((E14/100)*$F$24+(G14/100)*$F$25+(I14/100)*$F$26+(K14/100)*$F$27+(M14/100)*$F$28+(O14)*$F$29+(Q14*$F$30))</f>
        <v>2610.1323128666318</v>
      </c>
    </row>
    <row r="15">
      <c r="A15">
        <v>8</v>
      </c>
      <c r="B15">
        <v>56</v>
      </c>
      <c r="C15">
        <f>$I$7+B15</f>
        <v>38575</v>
      </c>
      <c r="E15">
        <f>IF($C$8*(ReSemanalFert!C13+ReSemanalFert!C14)&lt;=0,"0",$C$8*(ReSemanalFert!C13+ReSemanalFert!C14))</f>
        <v>87.98019129558728</v>
      </c>
      <c r="G15">
        <f>$C$8*(ReSemanalFert!E13+ReSemanalFert!E14)</f>
        <v>67.28788627158958</v>
      </c>
      <c r="I15">
        <f>$C$8*(ReSemanalFert!G13+ReSemanalFert!G14)</f>
        <v>131.69745792536668</v>
      </c>
      <c r="K15">
        <f>$C$8*(ReSemanalFert!I13+ReSemanalFert!I14)</f>
        <v>79.65207249999999</v>
      </c>
      <c r="M15">
        <f>$C$8*(ReSemanalFert!K13+ReSemanalFert!K14)</f>
        <v>73.16525440298147</v>
      </c>
      <c r="O15">
        <f>$C$8*(ReSemanalFert!M13+ReSemanalFert!M14)</f>
        <v>1452.2239439024386</v>
      </c>
      <c r="Q15">
        <f>20*$C$8</f>
        <v>20.019999999999996</v>
      </c>
      <c r="S15">
        <f>((E15/100)*$F$24+(G15/100)*$F$25+(I15/100)*$F$26+(K15/100)*$F$27+(M15/100)*$F$28+(O15)*$F$29+(Q15*$F$30))</f>
        <v>2315.8766598398292</v>
      </c>
    </row>
    <row r="16">
      <c r="A16">
        <v>10</v>
      </c>
      <c r="B16">
        <v>70</v>
      </c>
      <c r="C16">
        <f>$I$7+B16</f>
        <v>38589</v>
      </c>
      <c r="E16">
        <f>IF($C$8*(ReSemanalFert!C15+ReSemanalFert!C16)&lt;=0,"0",$C$8*(ReSemanalFert!C15+ReSemanalFert!C16))</f>
        <v>90.95640156951721</v>
      </c>
      <c r="G16">
        <f>$C$8*(ReSemanalFert!E15+ReSemanalFert!E16)</f>
        <v>41.620497178424095</v>
      </c>
      <c r="I16">
        <f>$C$8*(ReSemanalFert!G15+ReSemanalFert!G16)</f>
        <v>131.69745792536668</v>
      </c>
      <c r="K16">
        <f>$C$8*(ReSemanalFert!I15+ReSemanalFert!I16)</f>
        <v>79.65207249999999</v>
      </c>
      <c r="M16">
        <f>$C$8*(ReSemanalFert!K15+ReSemanalFert!K16)</f>
        <v>73.16525440298147</v>
      </c>
      <c r="O16">
        <f>$C$8*(ReSemanalFert!M15+ReSemanalFert!M16)</f>
        <v>1840.148554146341</v>
      </c>
      <c r="Q16">
        <f>20*$C$8</f>
        <v>20.019999999999996</v>
      </c>
      <c r="S16">
        <f>((E16/100)*$F$24+(G16/100)*$F$25+(I16/100)*$F$26+(K16/100)*$F$27+(M16/100)*$F$28+(O16)*$F$29+(Q16*$F$30))</f>
        <v>2021.8657152770263</v>
      </c>
    </row>
    <row r="17">
      <c r="A17">
        <v>12</v>
      </c>
      <c r="B17">
        <v>84</v>
      </c>
      <c r="C17">
        <f>$I$7+B17</f>
        <v>38603</v>
      </c>
      <c r="E17">
        <f>IF($C$8*(ReSemanalFert!C17+ReSemanalFert!C18)&lt;=0,"0",$C$8*(ReSemanalFert!C17+ReSemanalFert!C18))</f>
        <v>78.20905114216023</v>
      </c>
      <c r="G17">
        <f>$C$8*(ReSemanalFert!E17+ReSemanalFert!E18)</f>
        <v>41.620497178424095</v>
      </c>
      <c r="I17">
        <f>$C$8*(ReSemanalFert!G17+ReSemanalFert!G18)</f>
        <v>115.2086162802575</v>
      </c>
      <c r="K17">
        <f>$C$8*(ReSemanalFert!I17+ReSemanalFert!I18)</f>
        <v>69.67935974999999</v>
      </c>
      <c r="M17">
        <f>$C$8*(ReSemanalFert!K17+ReSemanalFert!K18)</f>
        <v>64.00478682236526</v>
      </c>
      <c r="O17">
        <f>$C$8*(ReSemanalFert!M17+ReSemanalFert!M18)</f>
        <v>2138.5520253658533</v>
      </c>
      <c r="Q17">
        <f>20*$C$8</f>
        <v>20.019999999999996</v>
      </c>
      <c r="S17">
        <f>((E17/100)*$F$24+(G17/100)*$F$25+(I17/100)*$F$26+(K17/100)*$F$27+(M17/100)*$F$28+(O17)*$F$29+(Q17*$F$30))</f>
        <v>1837.1793406380896</v>
      </c>
    </row>
    <row r="18">
      <c r="A18">
        <v>14</v>
      </c>
      <c r="B18">
        <v>98</v>
      </c>
      <c r="C18">
        <f>$I$7+B18</f>
        <v>38617</v>
      </c>
      <c r="E18">
        <f>IF($C$8*(ReSemanalFert!C19+ReSemanalFert!C20)&lt;=0,"0",$C$8*(ReSemanalFert!C19+ReSemanalFert!C20))</f>
        <v>65.46170071480329</v>
      </c>
      <c r="G18">
        <f>$C$8*(ReSemanalFert!E19+ReSemanalFert!E20)</f>
        <v>41.620497178424095</v>
      </c>
      <c r="I18">
        <f>$C$8*(ReSemanalFert!G19+ReSemanalFert!G20)</f>
        <v>98.71977463514833</v>
      </c>
      <c r="K18">
        <f>$C$8*(ReSemanalFert!I19+ReSemanalFert!I20)</f>
        <v>59.70664699999998</v>
      </c>
      <c r="M18">
        <f>$C$8*(ReSemanalFert!K19+ReSemanalFert!K20)</f>
        <v>54.84431924174906</v>
      </c>
      <c r="O18">
        <f>$C$8*(ReSemanalFert!M19+ReSemanalFert!M20)</f>
        <v>2436.9525668292686</v>
      </c>
      <c r="Q18">
        <f>20*$C$8</f>
        <v>20.019999999999996</v>
      </c>
      <c r="S18">
        <f>((E18/100)*$F$24+(G18/100)*$F$25+(I18/100)*$F$26+(K18/100)*$F$27+(M18/100)*$F$28+(O18)*$F$29+(Q18*$F$30))</f>
        <v>1652.492929963153</v>
      </c>
    </row>
    <row r="19">
      <c r="A19">
        <v>16</v>
      </c>
      <c r="B19">
        <v>112</v>
      </c>
      <c r="C19">
        <f>$I$7+B19</f>
        <v>38631</v>
      </c>
      <c r="E19">
        <f>IF($C$8*(ReSemanalFert!C21+ReSemanalFert!C22)&lt;=0,"0",$C$8*(ReSemanalFert!C21+ReSemanalFert!C22))</f>
        <v>65.46170071480329</v>
      </c>
      <c r="G19">
        <f>$C$8*(ReSemanalFert!E21+ReSemanalFert!E22)</f>
        <v>41.620497178424095</v>
      </c>
      <c r="I19">
        <f>$C$8*(ReSemanalFert!G21+ReSemanalFert!G22)</f>
        <v>98.71977463514833</v>
      </c>
      <c r="K19">
        <f>$C$8*(ReSemanalFert!I21+ReSemanalFert!I22)</f>
        <v>59.70664699999998</v>
      </c>
      <c r="M19">
        <f>$C$8*(ReSemanalFert!K21+ReSemanalFert!K22)</f>
        <v>54.84431924174906</v>
      </c>
      <c r="O19">
        <f>$C$8*(ReSemanalFert!M21+ReSemanalFert!M22)</f>
        <v>2436.9525668292686</v>
      </c>
      <c r="Q19">
        <f>20*$C$8</f>
        <v>20.019999999999996</v>
      </c>
      <c r="S19">
        <f>((E19/100)*$F$24+(G19/100)*$F$25+(I19/100)*$F$26+(K19/100)*$F$27+(M19/100)*$F$28+(O19)*$F$29+(Q19*$F$30))</f>
        <v>1652.492929963153</v>
      </c>
    </row>
    <row r="20">
      <c r="A20">
        <v>18</v>
      </c>
      <c r="B20">
        <v>126</v>
      </c>
      <c r="C20">
        <f>$I$7+B20</f>
        <v>38645</v>
      </c>
      <c r="E20">
        <f>IF($C$8*(ReSemanalFert!C23)&lt;=0,"0",$C$8*(ReSemanalFert!C23))</f>
        <v>32.73085035740164</v>
      </c>
      <c r="G20">
        <f>$C$8*(ReSemanalFert!E23)</f>
        <v>20.810248589212048</v>
      </c>
      <c r="I20">
        <f>$C$8*(ReSemanalFert!G23)</f>
        <v>49.35988731757416</v>
      </c>
      <c r="K20">
        <f>$C$8*(ReSemanalFert!I23)</f>
        <v>29.85332349999999</v>
      </c>
      <c r="M20">
        <f>$C$8*(ReSemanalFert!K23)</f>
        <v>27.42215962087453</v>
      </c>
      <c r="O20">
        <f>$C$8*(ReSemanalFert!M23)</f>
        <v>1218.4762834146343</v>
      </c>
      <c r="Q20">
        <f>20*$C$8</f>
        <v>20.019999999999996</v>
      </c>
      <c r="S20">
        <f>((E20/100)*$F$24+(G20/100)*$F$25+(I20/100)*$F$26+(K20/100)*$F$27+(M20/100)*$F$28+(O20)*$F$29+(Q20*$F$30))</f>
        <v>840.7609649815765</v>
      </c>
    </row>
    <row r="21">
      <c r="C21" t="str">
        <v>Total</v>
      </c>
      <c r="E21">
        <f>SUM(E12:E20)</f>
        <v>636.6496212875277</v>
      </c>
      <c r="G21">
        <f>SUM(G12:G20)</f>
        <v>474.1658490531257</v>
      </c>
      <c r="I21">
        <f>SUM(I12:I20)</f>
        <v>954.6466135322784</v>
      </c>
      <c r="K21">
        <f>SUM(K12:K20)</f>
        <v>577.3803034999999</v>
      </c>
      <c r="M21">
        <f>SUM(M12:M20)</f>
        <v>530.3592297401545</v>
      </c>
      <c r="O21">
        <f>SUM(O12:O20)</f>
        <v>13825.971671707317</v>
      </c>
      <c r="Q21">
        <f>SUM(Q12:Q20)</f>
        <v>180.17999999999995</v>
      </c>
      <c r="S21">
        <f>SUM(S12:S20)</f>
        <v>16712.221376565532</v>
      </c>
    </row>
    <row r="22" ht="31.5" customHeight="1"/>
    <row r="23" ht="33.75" customHeight="1">
      <c r="B23" t="str">
        <v>Producto</v>
      </c>
      <c r="E23" t="str">
        <v>Lbs/Ha</v>
      </c>
      <c r="F23" t="str">
        <v>Costo Lps/qq</v>
      </c>
    </row>
    <row r="24">
      <c r="B24" t="str">
        <f>ReSemanalFert!C4</f>
        <v>Urea</v>
      </c>
      <c r="E24">
        <f>E21/$C$8</f>
        <v>636.013607679848</v>
      </c>
      <c r="F24">
        <f>Main!D37</f>
        <v>310</v>
      </c>
    </row>
    <row r="25">
      <c r="B25" t="str">
        <f>ReSemanalFert!E4</f>
        <v>MAP 12-61-0</v>
      </c>
      <c r="E25">
        <f>G21/$C$8</f>
        <v>473.69215689622956</v>
      </c>
      <c r="F25">
        <f>Main!D27</f>
        <v>1200</v>
      </c>
    </row>
    <row r="26">
      <c r="B26" t="str">
        <f>ReSemanalFert!G4</f>
        <v>Kcl Soluble</v>
      </c>
      <c r="E26">
        <f>I21/$C$8</f>
        <v>953.6929206116668</v>
      </c>
      <c r="F26">
        <f>Main!D32</f>
        <v>390</v>
      </c>
      <c r="G26" t="str">
        <v xml:space="preserve">Preparado y Autorizado Por </v>
      </c>
    </row>
    <row r="27">
      <c r="B27" t="str">
        <f>ReSemanalFert!I4</f>
        <v>Sulfato de Magnesio</v>
      </c>
      <c r="E27">
        <f>K21/$C$8</f>
        <v>576.8034999999999</v>
      </c>
      <c r="F27">
        <f>Main!D43</f>
        <v>370</v>
      </c>
      <c r="G27" t="str">
        <v>MSc Ricardo D. Lardizábal</v>
      </c>
    </row>
    <row r="28">
      <c r="B28" t="str">
        <f>ReSemanalFert!K4</f>
        <v>Nitrato de Calcio</v>
      </c>
      <c r="E28">
        <f>M21/$C$8</f>
        <v>529.8294003398148</v>
      </c>
      <c r="F28">
        <f>Main!D48</f>
        <v>520</v>
      </c>
    </row>
    <row r="29">
      <c r="B29" t="str">
        <f>ReSemanalFert!M4</f>
        <v>Solubor</v>
      </c>
      <c r="E29">
        <f>O21/$C$8</f>
        <v>13812.159512195123</v>
      </c>
      <c r="F29">
        <f>Main!D53</f>
        <v>0.0123</v>
      </c>
    </row>
    <row r="30">
      <c r="B30" t="str">
        <f>Main!C59</f>
        <v>Melaza</v>
      </c>
      <c r="E30">
        <f>Q21/$C$8</f>
        <v>179.99999999999997</v>
      </c>
      <c r="F30">
        <f>Main!D60</f>
        <v>1.45</v>
      </c>
    </row>
    <row r="31">
      <c r="B31" t="str">
        <v>NOTA: El Nitrato de Calcio se debe de diluir en un barril aparte para inyectarse al sistema</v>
      </c>
    </row>
    <row r="33">
      <c r="B33" t="str">
        <v>,@ La Melaza del calendario de fertilización se usan para la limpieza de la cinta. La aplicación de ellos es después de la fertilización y en la ultima media hora de riego.  Para mas detalles ver el boletín técnico numero 16 de Fintrac/CDA.</v>
      </c>
    </row>
    <row r="34" ht="19.5" customHeight="1"/>
    <row r="36">
      <c r="B36" t="str">
        <v>Abreviaciones usadas</v>
      </c>
    </row>
    <row r="37">
      <c r="B37" t="str">
        <v>Mz-Manzanas, Ha-Hectáreas, Lbs-Libras, Lts-Litros y DDT-Días después de Transplante</v>
      </c>
    </row>
  </sheetData>
  <sheetProtection sheet="1"/>
  <mergeCells count="44">
    <mergeCell ref="F6:H6"/>
    <mergeCell ref="F7:H7"/>
    <mergeCell ref="F8:H8"/>
    <mergeCell ref="A1:M1"/>
    <mergeCell ref="A3:K3"/>
    <mergeCell ref="A5:B5"/>
    <mergeCell ref="C5:E5"/>
    <mergeCell ref="A2:K2"/>
    <mergeCell ref="F5:H5"/>
    <mergeCell ref="A8:B8"/>
    <mergeCell ref="B37:Q37"/>
    <mergeCell ref="G26:O26"/>
    <mergeCell ref="G27:O27"/>
    <mergeCell ref="B33:T34"/>
    <mergeCell ref="A10:A11"/>
    <mergeCell ref="C10:D10"/>
    <mergeCell ref="E10:F10"/>
    <mergeCell ref="B36:C36"/>
    <mergeCell ref="B10:B11"/>
    <mergeCell ref="C8:E8"/>
    <mergeCell ref="A6:B6"/>
    <mergeCell ref="C7:E7"/>
    <mergeCell ref="C6:E6"/>
    <mergeCell ref="A7:B7"/>
    <mergeCell ref="S10:S11"/>
    <mergeCell ref="I5:M5"/>
    <mergeCell ref="I6:M6"/>
    <mergeCell ref="I7:M7"/>
    <mergeCell ref="I8:M8"/>
    <mergeCell ref="I10:J10"/>
    <mergeCell ref="K10:L10"/>
    <mergeCell ref="M10:N10"/>
    <mergeCell ref="Q10:R10"/>
    <mergeCell ref="O10:P10"/>
    <mergeCell ref="G10:H10"/>
    <mergeCell ref="B31:I32"/>
    <mergeCell ref="B24:D24"/>
    <mergeCell ref="B25:D25"/>
    <mergeCell ref="B26:D26"/>
    <mergeCell ref="B27:D27"/>
    <mergeCell ref="B28:D28"/>
    <mergeCell ref="B29:D29"/>
    <mergeCell ref="B30:D30"/>
    <mergeCell ref="B23:D23"/>
  </mergeCells>
  <pageMargins left="0.38" right="0.47" top="0.88" bottom="0.72" header="0.18" footer="0.16"/>
  <ignoredErrors>
    <ignoredError numberStoredAsText="1" sqref="A1:T37"/>
  </ignoredErrors>
  <legacyDrawing r:id="rId1"/>
</worksheet>
</file>

<file path=xl/worksheets/sheet7.xml><?xml version="1.0" encoding="utf-8"?>
<worksheet xmlns="http://schemas.openxmlformats.org/spreadsheetml/2006/main" xmlns:r="http://schemas.openxmlformats.org/officeDocument/2006/relationships">
  <dimension ref="A1:Q127"/>
  <sheetViews>
    <sheetView workbookViewId="0" rightToLeft="0"/>
  </sheetViews>
  <sheetData>
    <row r="1">
      <c r="A1" t="str">
        <v>Requerimientos Diario para:</v>
      </c>
      <c r="E1" t="str">
        <f>Main!E16</f>
        <v>Zucchini/ Enterprise</v>
      </c>
    </row>
    <row r="4" ht="30" customHeight="1">
      <c r="A4" t="str">
        <v>Semana</v>
      </c>
      <c r="B4" t="str">
        <v>N</v>
      </c>
      <c r="C4" t="str">
        <f>Main!D36</f>
        <v>Urea</v>
      </c>
      <c r="D4" t="str">
        <v>P2O5</v>
      </c>
      <c r="E4" t="str">
        <f>Main!D26</f>
        <v>MAP 12-61-0</v>
      </c>
      <c r="F4" t="str">
        <v>K2O</v>
      </c>
      <c r="G4" t="str">
        <f>Main!D31</f>
        <v>Kcl Soluble</v>
      </c>
      <c r="H4" t="str">
        <v>MgO</v>
      </c>
      <c r="I4" t="str">
        <f>Main!D42</f>
        <v>Sulfato de Magnesio</v>
      </c>
      <c r="J4" t="str">
        <v>Ca</v>
      </c>
      <c r="K4" t="str">
        <f>Main!D47</f>
        <v>Nitrato de Calcio</v>
      </c>
      <c r="L4" t="str">
        <v>B</v>
      </c>
      <c r="M4" t="str">
        <f>Main!D52</f>
        <v>Solubor</v>
      </c>
    </row>
    <row r="5" ht="17.25" customHeight="1">
      <c r="A5" t="str">
        <v>Porcentaje de Elemento</v>
      </c>
      <c r="C5">
        <f>Main!E35</f>
        <v>46</v>
      </c>
      <c r="E5">
        <f>Main!F25</f>
        <v>61</v>
      </c>
      <c r="G5">
        <f>Main!G30</f>
        <v>60</v>
      </c>
      <c r="I5">
        <f>Main!I41</f>
        <v>16</v>
      </c>
      <c r="K5">
        <f>Main!H46</f>
        <v>27</v>
      </c>
      <c r="M5">
        <f>Main!K51</f>
        <v>20.5</v>
      </c>
    </row>
    <row r="6">
      <c r="C6">
        <f>Main!E35/100</f>
        <v>0.46</v>
      </c>
      <c r="E6">
        <f>(Main!F25/100)/Main!F70</f>
        <v>0.61</v>
      </c>
      <c r="G6">
        <f>(Main!G30/100)/Main!F71</f>
        <v>0.6</v>
      </c>
      <c r="I6">
        <f>(I5/100)/Main!F72</f>
        <v>0.16</v>
      </c>
      <c r="K6">
        <f>(K5/100)/Main!F73</f>
        <v>0.27</v>
      </c>
      <c r="M6">
        <f>M5/100</f>
        <v>0.205</v>
      </c>
    </row>
    <row r="7">
      <c r="A7">
        <v>1</v>
      </c>
      <c r="B7">
        <f>'Req. Diario'!D5</f>
        <v>2.1976979715354332</v>
      </c>
      <c r="C7">
        <f>(B7-((E7*(Main!$E$25/100))+(G7*(Main!$E$30/100))+(I7*(Main!$E$41/100))+(K7*(Main!$E$46/100))))/$C$6</f>
        <v>3.2711405344612516</v>
      </c>
      <c r="D7">
        <f>'Req. Diario'!E5</f>
        <v>1.46580966155</v>
      </c>
      <c r="E7">
        <f>D7/$E$6</f>
        <v>2.4029666582786886</v>
      </c>
      <c r="F7">
        <f>'Req. Diario'!F5</f>
        <v>2.819269115</v>
      </c>
      <c r="G7">
        <f>(F7/$G$6)</f>
        <v>4.698781858333334</v>
      </c>
      <c r="H7">
        <f>'Req. Diario'!G5</f>
        <v>0.4547</v>
      </c>
      <c r="I7">
        <f>H7/$I$6</f>
        <v>2.841875</v>
      </c>
      <c r="J7">
        <f>'Req. Diario'!H5</f>
        <v>0.70481727875</v>
      </c>
      <c r="K7">
        <f>J7/$K$6</f>
        <v>2.6104343657407405</v>
      </c>
      <c r="L7">
        <f>'Req. Diario'!I5</f>
        <v>5.0926</v>
      </c>
      <c r="M7">
        <f>L7/$M$6</f>
        <v>24.841951219512197</v>
      </c>
    </row>
    <row r="8">
      <c r="B8">
        <f>'Req. Diario'!D6</f>
        <v>2.1976979715354332</v>
      </c>
      <c r="C8">
        <f>(B8-((E8*(Main!$E$25/100))+(G8*(Main!$E$30/100))+(I8*(Main!$E$41/100))+(K8*(Main!$E$46/100))))/$C$6</f>
        <v>3.2711405344612516</v>
      </c>
      <c r="D8">
        <f>'Req. Diario'!E6</f>
        <v>1.46580966155</v>
      </c>
      <c r="E8">
        <f>D8/$E$6</f>
        <v>2.4029666582786886</v>
      </c>
      <c r="F8">
        <f>'Req. Diario'!F6</f>
        <v>2.819269115</v>
      </c>
      <c r="G8">
        <f>(F8/$G$6)</f>
        <v>4.698781858333334</v>
      </c>
      <c r="H8">
        <f>'Req. Diario'!G6</f>
        <v>0.4547</v>
      </c>
      <c r="I8">
        <f>H8/$I$6</f>
        <v>2.841875</v>
      </c>
      <c r="J8">
        <f>'Req. Diario'!H6</f>
        <v>0.70481727875</v>
      </c>
      <c r="K8">
        <f>J8/$K$6</f>
        <v>2.6104343657407405</v>
      </c>
      <c r="L8">
        <f>'Req. Diario'!I6</f>
        <v>5.0926</v>
      </c>
      <c r="M8">
        <f>L8/$M$6</f>
        <v>24.841951219512197</v>
      </c>
    </row>
    <row r="9">
      <c r="B9">
        <f>'Req. Diario'!D7</f>
        <v>2.1976979715354332</v>
      </c>
      <c r="C9">
        <f>(B9-((E9*(Main!$E$25/100))+(G9*(Main!$E$30/100))+(I9*(Main!$E$41/100))+(K9*(Main!$E$46/100))))/$C$6</f>
        <v>3.2711405344612516</v>
      </c>
      <c r="D9">
        <f>'Req. Diario'!E7</f>
        <v>1.46580966155</v>
      </c>
      <c r="E9">
        <f>D9/$E$6</f>
        <v>2.4029666582786886</v>
      </c>
      <c r="F9">
        <f>'Req. Diario'!F7</f>
        <v>2.819269115</v>
      </c>
      <c r="G9">
        <f>(F9/$G$6)</f>
        <v>4.698781858333334</v>
      </c>
      <c r="H9">
        <f>'Req. Diario'!G7</f>
        <v>0.4547</v>
      </c>
      <c r="I9">
        <f>H9/$I$6</f>
        <v>2.841875</v>
      </c>
      <c r="J9">
        <f>'Req. Diario'!H7</f>
        <v>0.70481727875</v>
      </c>
      <c r="K9">
        <f>J9/$K$6</f>
        <v>2.6104343657407405</v>
      </c>
      <c r="L9">
        <f>'Req. Diario'!I7</f>
        <v>5.0926</v>
      </c>
      <c r="M9">
        <f>L9/$M$6</f>
        <v>24.841951219512197</v>
      </c>
    </row>
    <row r="10">
      <c r="B10">
        <f>'Req. Diario'!D8</f>
        <v>2.1976979715354332</v>
      </c>
      <c r="C10">
        <f>(B10-((E10*(Main!$E$25/100))+(G10*(Main!$E$30/100))+(I10*(Main!$E$41/100))+(K10*(Main!$E$46/100))))/$C$6</f>
        <v>3.2711405344612516</v>
      </c>
      <c r="D10">
        <f>'Req. Diario'!E8</f>
        <v>1.46580966155</v>
      </c>
      <c r="E10">
        <f>D10/$E$6</f>
        <v>2.4029666582786886</v>
      </c>
      <c r="F10">
        <f>'Req. Diario'!F8</f>
        <v>2.819269115</v>
      </c>
      <c r="G10">
        <f>(F10/$G$6)</f>
        <v>4.698781858333334</v>
      </c>
      <c r="H10">
        <f>'Req. Diario'!G8</f>
        <v>0.4547</v>
      </c>
      <c r="I10">
        <f>H10/$I$6</f>
        <v>2.841875</v>
      </c>
      <c r="J10">
        <f>'Req. Diario'!H8</f>
        <v>0.70481727875</v>
      </c>
      <c r="K10">
        <f>J10/$K$6</f>
        <v>2.6104343657407405</v>
      </c>
      <c r="L10">
        <f>'Req. Diario'!I8</f>
        <v>5.0926</v>
      </c>
      <c r="M10">
        <f>L10/$M$6</f>
        <v>24.841951219512197</v>
      </c>
    </row>
    <row r="11">
      <c r="B11">
        <f>'Req. Diario'!D9</f>
        <v>2.1976979715354332</v>
      </c>
      <c r="C11">
        <f>(B11-((E11*(Main!$E$25/100))+(G11*(Main!$E$30/100))+(I11*(Main!$E$41/100))+(K11*(Main!$E$46/100))))/$C$6</f>
        <v>3.2711405344612516</v>
      </c>
      <c r="D11">
        <f>'Req. Diario'!E9</f>
        <v>1.46580966155</v>
      </c>
      <c r="E11">
        <f>D11/$E$6</f>
        <v>2.4029666582786886</v>
      </c>
      <c r="F11">
        <f>'Req. Diario'!F9</f>
        <v>2.819269115</v>
      </c>
      <c r="G11">
        <f>(F11/$G$6)</f>
        <v>4.698781858333334</v>
      </c>
      <c r="H11">
        <f>'Req. Diario'!G9</f>
        <v>0.4547</v>
      </c>
      <c r="I11">
        <f>H11/$I$6</f>
        <v>2.841875</v>
      </c>
      <c r="J11">
        <f>'Req. Diario'!H9</f>
        <v>0.70481727875</v>
      </c>
      <c r="K11">
        <f>J11/$K$6</f>
        <v>2.6104343657407405</v>
      </c>
      <c r="L11">
        <f>'Req. Diario'!I9</f>
        <v>5.0926</v>
      </c>
      <c r="M11">
        <f>L11/$M$6</f>
        <v>24.841951219512197</v>
      </c>
    </row>
    <row r="12">
      <c r="B12">
        <f>'Req. Diario'!D10</f>
        <v>2.1976979715354332</v>
      </c>
      <c r="C12">
        <f>(B12-((E12*(Main!$E$25/100))+(G12*(Main!$E$30/100))+(I12*(Main!$E$41/100))+(K12*(Main!$E$46/100))))/$C$6</f>
        <v>3.2711405344612516</v>
      </c>
      <c r="D12">
        <f>'Req. Diario'!E10</f>
        <v>1.46580966155</v>
      </c>
      <c r="E12">
        <f>D12/$E$6</f>
        <v>2.4029666582786886</v>
      </c>
      <c r="F12">
        <f>'Req. Diario'!F10</f>
        <v>2.819269115</v>
      </c>
      <c r="G12">
        <f>(F12/$G$6)</f>
        <v>4.698781858333334</v>
      </c>
      <c r="H12">
        <f>'Req. Diario'!G10</f>
        <v>0.4547</v>
      </c>
      <c r="I12">
        <f>H12/$I$6</f>
        <v>2.841875</v>
      </c>
      <c r="J12">
        <f>'Req. Diario'!H10</f>
        <v>0.70481727875</v>
      </c>
      <c r="K12">
        <f>J12/$K$6</f>
        <v>2.6104343657407405</v>
      </c>
      <c r="L12">
        <f>'Req. Diario'!I10</f>
        <v>5.0926</v>
      </c>
      <c r="M12">
        <f>L12/$M$6</f>
        <v>24.841951219512197</v>
      </c>
    </row>
    <row r="13">
      <c r="B13">
        <f>'Req. Diario'!D11</f>
        <v>2.1976979715354332</v>
      </c>
      <c r="C13">
        <f>(B13-((E13*(Main!$E$25/100))+(G13*(Main!$E$30/100))+(I13*(Main!$E$41/100))+(K13*(Main!$E$46/100))))/$C$6</f>
        <v>3.2711405344612516</v>
      </c>
      <c r="D13">
        <f>'Req. Diario'!E11</f>
        <v>1.46580966155</v>
      </c>
      <c r="E13">
        <f>D13/$E$6</f>
        <v>2.4029666582786886</v>
      </c>
      <c r="F13">
        <f>'Req. Diario'!F11</f>
        <v>2.819269115</v>
      </c>
      <c r="G13">
        <f>(F13/$G$6)</f>
        <v>4.698781858333334</v>
      </c>
      <c r="H13">
        <f>'Req. Diario'!G11</f>
        <v>0.4547</v>
      </c>
      <c r="I13">
        <f>H13/$I$6</f>
        <v>2.841875</v>
      </c>
      <c r="J13">
        <f>'Req. Diario'!H11</f>
        <v>0.70481727875</v>
      </c>
      <c r="K13">
        <f>J13/$K$6</f>
        <v>2.6104343657407405</v>
      </c>
      <c r="L13">
        <f>'Req. Diario'!I11</f>
        <v>5.0926</v>
      </c>
      <c r="M13">
        <f>L13/$M$6</f>
        <v>24.841951219512197</v>
      </c>
    </row>
    <row r="14">
      <c r="A14">
        <v>2</v>
      </c>
      <c r="B14">
        <f>'Req. Diario'!D12</f>
        <v>2.1976979715354332</v>
      </c>
      <c r="C14">
        <f>(B14-((E14*(Main!$E$25/100))+(G14*(Main!$E$30/100))+(I14*(Main!$E$41/100))+(K14*(Main!$E$46/100))))/$C$6</f>
        <v>3.2711405344612516</v>
      </c>
      <c r="D14">
        <f>'Req. Diario'!E12</f>
        <v>1.46580966155</v>
      </c>
      <c r="E14">
        <f>D14/$E$6</f>
        <v>2.4029666582786886</v>
      </c>
      <c r="F14">
        <f>'Req. Diario'!F12</f>
        <v>2.819269115</v>
      </c>
      <c r="G14">
        <f>(F14/$G$6)</f>
        <v>4.698781858333334</v>
      </c>
      <c r="H14">
        <f>'Req. Diario'!G12</f>
        <v>0.4547</v>
      </c>
      <c r="I14">
        <f>H14/$I$6</f>
        <v>2.841875</v>
      </c>
      <c r="J14">
        <f>'Req. Diario'!H12</f>
        <v>0.70481727875</v>
      </c>
      <c r="K14">
        <f>J14/$K$6</f>
        <v>2.6104343657407405</v>
      </c>
      <c r="L14">
        <f>'Req. Diario'!I12</f>
        <v>5.0926</v>
      </c>
      <c r="M14">
        <f>L14/$M$6</f>
        <v>24.841951219512197</v>
      </c>
    </row>
    <row r="15">
      <c r="B15">
        <f>'Req. Diario'!D13</f>
        <v>2.1976979715354332</v>
      </c>
      <c r="C15">
        <f>(B15-((E15*(Main!$E$25/100))+(G15*(Main!$E$30/100))+(I15*(Main!$E$41/100))+(K15*(Main!$E$46/100))))/$C$6</f>
        <v>3.2711405344612516</v>
      </c>
      <c r="D15">
        <f>'Req. Diario'!E13</f>
        <v>1.46580966155</v>
      </c>
      <c r="E15">
        <f>D15/$E$6</f>
        <v>2.4029666582786886</v>
      </c>
      <c r="F15">
        <f>'Req. Diario'!F13</f>
        <v>2.819269115</v>
      </c>
      <c r="G15">
        <f>(F15/$G$6)</f>
        <v>4.698781858333334</v>
      </c>
      <c r="H15">
        <f>'Req. Diario'!G13</f>
        <v>0.4547</v>
      </c>
      <c r="I15">
        <f>H15/$I$6</f>
        <v>2.841875</v>
      </c>
      <c r="J15">
        <f>'Req. Diario'!H13</f>
        <v>0.70481727875</v>
      </c>
      <c r="K15">
        <f>J15/$K$6</f>
        <v>2.6104343657407405</v>
      </c>
      <c r="L15">
        <f>'Req. Diario'!I13</f>
        <v>5.0926</v>
      </c>
      <c r="M15">
        <f>L15/$M$6</f>
        <v>24.841951219512197</v>
      </c>
    </row>
    <row r="16">
      <c r="B16">
        <f>'Req. Diario'!D14</f>
        <v>2.1976979715354332</v>
      </c>
      <c r="C16">
        <f>(B16-((E16*(Main!$E$25/100))+(G16*(Main!$E$30/100))+(I16*(Main!$E$41/100))+(K16*(Main!$E$46/100))))/$C$6</f>
        <v>3.2711405344612516</v>
      </c>
      <c r="D16">
        <f>'Req. Diario'!E14</f>
        <v>1.46580966155</v>
      </c>
      <c r="E16">
        <f>D16/$E$6</f>
        <v>2.4029666582786886</v>
      </c>
      <c r="F16">
        <f>'Req. Diario'!F14</f>
        <v>2.819269115</v>
      </c>
      <c r="G16">
        <f>(F16/$G$6)</f>
        <v>4.698781858333334</v>
      </c>
      <c r="H16">
        <f>'Req. Diario'!G14</f>
        <v>0.4547</v>
      </c>
      <c r="I16">
        <f>H16/$I$6</f>
        <v>2.841875</v>
      </c>
      <c r="J16">
        <f>'Req. Diario'!H14</f>
        <v>0.70481727875</v>
      </c>
      <c r="K16">
        <f>J16/$K$6</f>
        <v>2.6104343657407405</v>
      </c>
      <c r="L16">
        <f>'Req. Diario'!I14</f>
        <v>5.0926</v>
      </c>
      <c r="M16">
        <f>L16/$M$6</f>
        <v>24.841951219512197</v>
      </c>
    </row>
    <row r="17">
      <c r="B17">
        <f>'Req. Diario'!D15</f>
        <v>2.1976979715354332</v>
      </c>
      <c r="C17">
        <f>(B17-((E17*(Main!$E$25/100))+(G17*(Main!$E$30/100))+(I17*(Main!$E$41/100))+(K17*(Main!$E$46/100))))/$C$6</f>
        <v>3.2711405344612516</v>
      </c>
      <c r="D17">
        <f>'Req. Diario'!E15</f>
        <v>1.46580966155</v>
      </c>
      <c r="E17">
        <f>D17/$E$6</f>
        <v>2.4029666582786886</v>
      </c>
      <c r="F17">
        <f>'Req. Diario'!F15</f>
        <v>2.819269115</v>
      </c>
      <c r="G17">
        <f>(F17/$G$6)</f>
        <v>4.698781858333334</v>
      </c>
      <c r="H17">
        <f>'Req. Diario'!G15</f>
        <v>0.4547</v>
      </c>
      <c r="I17">
        <f>H17/$I$6</f>
        <v>2.841875</v>
      </c>
      <c r="J17">
        <f>'Req. Diario'!H15</f>
        <v>0.70481727875</v>
      </c>
      <c r="K17">
        <f>J17/$K$6</f>
        <v>2.6104343657407405</v>
      </c>
      <c r="L17">
        <f>'Req. Diario'!I15</f>
        <v>9.1667</v>
      </c>
      <c r="M17">
        <f>L17/$M$6</f>
        <v>44.715609756097564</v>
      </c>
    </row>
    <row r="18">
      <c r="B18">
        <f>'Req. Diario'!D16</f>
        <v>2.1976979715354332</v>
      </c>
      <c r="C18">
        <f>(B18-((E18*(Main!$E$25/100))+(G18*(Main!$E$30/100))+(I18*(Main!$E$41/100))+(K18*(Main!$E$46/100))))/$C$6</f>
        <v>3.2711405344612516</v>
      </c>
      <c r="D18">
        <f>'Req. Diario'!E16</f>
        <v>1.46580966155</v>
      </c>
      <c r="E18">
        <f>D18/$E$6</f>
        <v>2.4029666582786886</v>
      </c>
      <c r="F18">
        <f>'Req. Diario'!F16</f>
        <v>2.819269115</v>
      </c>
      <c r="G18">
        <f>(F18/$G$6)</f>
        <v>4.698781858333334</v>
      </c>
      <c r="H18">
        <f>'Req. Diario'!G16</f>
        <v>0.4547</v>
      </c>
      <c r="I18">
        <f>H18/$I$6</f>
        <v>2.841875</v>
      </c>
      <c r="J18">
        <f>'Req. Diario'!H16</f>
        <v>0.70481727875</v>
      </c>
      <c r="K18">
        <f>J18/$K$6</f>
        <v>2.6104343657407405</v>
      </c>
      <c r="L18">
        <f>'Req. Diario'!I16</f>
        <v>9.1667</v>
      </c>
      <c r="M18">
        <f>L18/$M$6</f>
        <v>44.715609756097564</v>
      </c>
    </row>
    <row r="19">
      <c r="B19">
        <f>'Req. Diario'!D17</f>
        <v>2.1976979715354332</v>
      </c>
      <c r="C19">
        <f>(B19-((E19*(Main!$E$25/100))+(G19*(Main!$E$30/100))+(I19*(Main!$E$41/100))+(K19*(Main!$E$46/100))))/$C$6</f>
        <v>3.2711405344612516</v>
      </c>
      <c r="D19">
        <f>'Req. Diario'!E17</f>
        <v>1.46580966155</v>
      </c>
      <c r="E19">
        <f>D19/$E$6</f>
        <v>2.4029666582786886</v>
      </c>
      <c r="F19">
        <f>'Req. Diario'!F17</f>
        <v>2.819269115</v>
      </c>
      <c r="G19">
        <f>(F19/$G$6)</f>
        <v>4.698781858333334</v>
      </c>
      <c r="H19">
        <f>'Req. Diario'!G17</f>
        <v>0.4547</v>
      </c>
      <c r="I19">
        <f>H19/$I$6</f>
        <v>2.841875</v>
      </c>
      <c r="J19">
        <f>'Req. Diario'!H17</f>
        <v>0.70481727875</v>
      </c>
      <c r="K19">
        <f>J19/$K$6</f>
        <v>2.6104343657407405</v>
      </c>
      <c r="L19">
        <f>'Req. Diario'!I17</f>
        <v>9.1667</v>
      </c>
      <c r="M19">
        <f>L19/$M$6</f>
        <v>44.715609756097564</v>
      </c>
    </row>
    <row r="20">
      <c r="B20">
        <f>'Req. Diario'!D18</f>
        <v>2.1976979715354332</v>
      </c>
      <c r="C20">
        <f>(B20-((E20*(Main!$E$25/100))+(G20*(Main!$E$30/100))+(I20*(Main!$E$41/100))+(K20*(Main!$E$46/100))))/$C$6</f>
        <v>3.2711405344612516</v>
      </c>
      <c r="D20">
        <f>'Req. Diario'!E18</f>
        <v>1.46580966155</v>
      </c>
      <c r="E20">
        <f>D20/$E$6</f>
        <v>2.4029666582786886</v>
      </c>
      <c r="F20">
        <f>'Req. Diario'!F18</f>
        <v>2.819269115</v>
      </c>
      <c r="G20">
        <f>(F20/$G$6)</f>
        <v>4.698781858333334</v>
      </c>
      <c r="H20">
        <f>'Req. Diario'!G18</f>
        <v>0.4547</v>
      </c>
      <c r="I20">
        <f>H20/$I$6</f>
        <v>2.841875</v>
      </c>
      <c r="J20">
        <f>'Req. Diario'!H18</f>
        <v>0.70481727875</v>
      </c>
      <c r="K20">
        <f>J20/$K$6</f>
        <v>2.6104343657407405</v>
      </c>
      <c r="L20">
        <f>'Req. Diario'!I18</f>
        <v>9.1667</v>
      </c>
      <c r="M20">
        <f>L20/$M$6</f>
        <v>44.715609756097564</v>
      </c>
    </row>
    <row r="21">
      <c r="A21">
        <v>3</v>
      </c>
      <c r="B21">
        <f>'Req. Diario'!D19</f>
        <v>4.3953959430708665</v>
      </c>
      <c r="C21">
        <f>(B21-((E21*(Main!$E$25/100))+(G21*(Main!$E$30/100))+(I21*(Main!$E$41/100))+(K21*(Main!$E$46/100))))/$C$6</f>
        <v>6.065647282835546</v>
      </c>
      <c r="D21">
        <f>'Req. Diario'!E19</f>
        <v>4.0461479929</v>
      </c>
      <c r="E21">
        <f>D21/$E$6</f>
        <v>6.633029496557377</v>
      </c>
      <c r="F21">
        <f>'Req. Diario'!F19</f>
        <v>5.63853823</v>
      </c>
      <c r="G21">
        <f>(F21/$G$6)</f>
        <v>9.397563716666667</v>
      </c>
      <c r="H21">
        <f>'Req. Diario'!G19</f>
        <v>0.9094</v>
      </c>
      <c r="I21">
        <f>H21/$I$6</f>
        <v>5.68375</v>
      </c>
      <c r="J21">
        <f>'Req. Diario'!H19</f>
        <v>1.4096345575</v>
      </c>
      <c r="K21">
        <f>J21/$K$6</f>
        <v>5.220868731481481</v>
      </c>
      <c r="L21">
        <f>'Req. Diario'!I19</f>
        <v>9.1667</v>
      </c>
      <c r="M21">
        <f>L21/$M$6</f>
        <v>44.715609756097564</v>
      </c>
    </row>
    <row r="22">
      <c r="B22">
        <f>'Req. Diario'!D20</f>
        <v>4.3953959430708665</v>
      </c>
      <c r="C22">
        <f>(B22-((E22*(Main!$E$25/100))+(G22*(Main!$E$30/100))+(I22*(Main!$E$41/100))+(K22*(Main!$E$46/100))))/$C$6</f>
        <v>6.065647282835546</v>
      </c>
      <c r="D22">
        <f>'Req. Diario'!E20</f>
        <v>4.0461479929</v>
      </c>
      <c r="E22">
        <f>D22/$E$6</f>
        <v>6.633029496557377</v>
      </c>
      <c r="F22">
        <f>'Req. Diario'!F20</f>
        <v>5.63853823</v>
      </c>
      <c r="G22">
        <f>(F22/$G$6)</f>
        <v>9.397563716666667</v>
      </c>
      <c r="H22">
        <f>'Req. Diario'!G20</f>
        <v>0.9094</v>
      </c>
      <c r="I22">
        <f>H22/$I$6</f>
        <v>5.68375</v>
      </c>
      <c r="J22">
        <f>'Req. Diario'!H20</f>
        <v>1.4096345575</v>
      </c>
      <c r="K22">
        <f>J22/$K$6</f>
        <v>5.220868731481481</v>
      </c>
      <c r="L22">
        <f>'Req. Diario'!I20</f>
        <v>9.1667</v>
      </c>
      <c r="M22">
        <f>L22/$M$6</f>
        <v>44.715609756097564</v>
      </c>
    </row>
    <row r="23">
      <c r="B23">
        <f>'Req. Diario'!D21</f>
        <v>4.3953959430708665</v>
      </c>
      <c r="C23">
        <f>(B23-((E23*(Main!$E$25/100))+(G23*(Main!$E$30/100))+(I23*(Main!$E$41/100))+(K23*(Main!$E$46/100))))/$C$6</f>
        <v>6.065647282835546</v>
      </c>
      <c r="D23">
        <f>'Req. Diario'!E21</f>
        <v>4.0461479929</v>
      </c>
      <c r="E23">
        <f>D23/$E$6</f>
        <v>6.633029496557377</v>
      </c>
      <c r="F23">
        <f>'Req. Diario'!F21</f>
        <v>5.63853823</v>
      </c>
      <c r="G23">
        <f>(F23/$G$6)</f>
        <v>9.397563716666667</v>
      </c>
      <c r="H23">
        <f>'Req. Diario'!G21</f>
        <v>0.9094</v>
      </c>
      <c r="I23">
        <f>H23/$I$6</f>
        <v>5.68375</v>
      </c>
      <c r="J23">
        <f>'Req. Diario'!H21</f>
        <v>1.4096345575</v>
      </c>
      <c r="K23">
        <f>J23/$K$6</f>
        <v>5.220868731481481</v>
      </c>
      <c r="L23">
        <f>'Req. Diario'!I21</f>
        <v>9.1667</v>
      </c>
      <c r="M23">
        <f>L23/$M$6</f>
        <v>44.715609756097564</v>
      </c>
    </row>
    <row r="24">
      <c r="B24">
        <f>'Req. Diario'!D22</f>
        <v>4.3953959430708665</v>
      </c>
      <c r="C24">
        <f>(B24-((E24*(Main!$E$25/100))+(G24*(Main!$E$30/100))+(I24*(Main!$E$41/100))+(K24*(Main!$E$46/100))))/$C$6</f>
        <v>6.065647282835546</v>
      </c>
      <c r="D24">
        <f>'Req. Diario'!E22</f>
        <v>4.0461479929</v>
      </c>
      <c r="E24">
        <f>D24/$E$6</f>
        <v>6.633029496557377</v>
      </c>
      <c r="F24">
        <f>'Req. Diario'!F22</f>
        <v>5.63853823</v>
      </c>
      <c r="G24">
        <f>(F24/$G$6)</f>
        <v>9.397563716666667</v>
      </c>
      <c r="H24">
        <f>'Req. Diario'!G22</f>
        <v>0.9094</v>
      </c>
      <c r="I24">
        <f>H24/$I$6</f>
        <v>5.68375</v>
      </c>
      <c r="J24">
        <f>'Req. Diario'!H22</f>
        <v>1.4096345575</v>
      </c>
      <c r="K24">
        <f>J24/$K$6</f>
        <v>5.220868731481481</v>
      </c>
      <c r="L24">
        <f>'Req. Diario'!I22</f>
        <v>12.2222</v>
      </c>
      <c r="M24">
        <f>L24/$M$6</f>
        <v>59.62048780487805</v>
      </c>
    </row>
    <row r="25">
      <c r="B25">
        <f>'Req. Diario'!D23</f>
        <v>4.3953959430708665</v>
      </c>
      <c r="C25">
        <f>(B25-((E25*(Main!$E$25/100))+(G25*(Main!$E$30/100))+(I25*(Main!$E$41/100))+(K25*(Main!$E$46/100))))/$C$6</f>
        <v>6.065647282835546</v>
      </c>
      <c r="D25">
        <f>'Req. Diario'!E23</f>
        <v>4.0461479929</v>
      </c>
      <c r="E25">
        <f>D25/$E$6</f>
        <v>6.633029496557377</v>
      </c>
      <c r="F25">
        <f>'Req. Diario'!F23</f>
        <v>5.63853823</v>
      </c>
      <c r="G25">
        <f>(F25/$G$6)</f>
        <v>9.397563716666667</v>
      </c>
      <c r="H25">
        <f>'Req. Diario'!G23</f>
        <v>0.9094</v>
      </c>
      <c r="I25">
        <f>H25/$I$6</f>
        <v>5.68375</v>
      </c>
      <c r="J25">
        <f>'Req. Diario'!H23</f>
        <v>1.4096345575</v>
      </c>
      <c r="K25">
        <f>J25/$K$6</f>
        <v>5.220868731481481</v>
      </c>
      <c r="L25">
        <f>'Req. Diario'!I23</f>
        <v>12.2222</v>
      </c>
      <c r="M25">
        <f>L25/$M$6</f>
        <v>59.62048780487805</v>
      </c>
    </row>
    <row r="26">
      <c r="B26">
        <f>'Req. Diario'!D24</f>
        <v>4.3953959430708665</v>
      </c>
      <c r="C26">
        <f>(B26-((E26*(Main!$E$25/100))+(G26*(Main!$E$30/100))+(I26*(Main!$E$41/100))+(K26*(Main!$E$46/100))))/$C$6</f>
        <v>6.065647282835546</v>
      </c>
      <c r="D26">
        <f>'Req. Diario'!E24</f>
        <v>4.0461479929</v>
      </c>
      <c r="E26">
        <f>D26/$E$6</f>
        <v>6.633029496557377</v>
      </c>
      <c r="F26">
        <f>'Req. Diario'!F24</f>
        <v>5.63853823</v>
      </c>
      <c r="G26">
        <f>(F26/$G$6)</f>
        <v>9.397563716666667</v>
      </c>
      <c r="H26">
        <f>'Req. Diario'!G24</f>
        <v>0.9094</v>
      </c>
      <c r="I26">
        <f>H26/$I$6</f>
        <v>5.68375</v>
      </c>
      <c r="J26">
        <f>'Req. Diario'!H24</f>
        <v>1.4096345575</v>
      </c>
      <c r="K26">
        <f>J26/$K$6</f>
        <v>5.220868731481481</v>
      </c>
      <c r="L26">
        <f>'Req. Diario'!I24</f>
        <v>12.2222</v>
      </c>
      <c r="M26">
        <f>L26/$M$6</f>
        <v>59.62048780487805</v>
      </c>
    </row>
    <row r="27">
      <c r="B27">
        <f>'Req. Diario'!D25</f>
        <v>4.3953959430708665</v>
      </c>
      <c r="C27">
        <f>(B27-((E27*(Main!$E$25/100))+(G27*(Main!$E$30/100))+(I27*(Main!$E$41/100))+(K27*(Main!$E$46/100))))/$C$6</f>
        <v>6.065647282835546</v>
      </c>
      <c r="D27">
        <f>'Req. Diario'!E25</f>
        <v>4.0461479929</v>
      </c>
      <c r="E27">
        <f>D27/$E$6</f>
        <v>6.633029496557377</v>
      </c>
      <c r="F27">
        <f>'Req. Diario'!F25</f>
        <v>5.63853823</v>
      </c>
      <c r="G27">
        <f>(F27/$G$6)</f>
        <v>9.397563716666667</v>
      </c>
      <c r="H27">
        <f>'Req. Diario'!G25</f>
        <v>0.9094</v>
      </c>
      <c r="I27">
        <f>H27/$I$6</f>
        <v>5.68375</v>
      </c>
      <c r="J27">
        <f>'Req. Diario'!H25</f>
        <v>1.4096345575</v>
      </c>
      <c r="K27">
        <f>J27/$K$6</f>
        <v>5.220868731481481</v>
      </c>
      <c r="L27">
        <f>'Req. Diario'!I25</f>
        <v>12.2222</v>
      </c>
      <c r="M27">
        <f>L27/$M$6</f>
        <v>59.62048780487805</v>
      </c>
    </row>
    <row r="28">
      <c r="A28">
        <v>4</v>
      </c>
      <c r="B28">
        <f>'Req. Diario'!D26</f>
        <v>4.3953959430708665</v>
      </c>
      <c r="C28">
        <f>(B28-((E28*(Main!$E$25/100))+(G28*(Main!$E$30/100))+(I28*(Main!$E$41/100))+(K28*(Main!$E$46/100))))/$C$6</f>
        <v>6.065647282835546</v>
      </c>
      <c r="D28">
        <f>'Req. Diario'!E26</f>
        <v>4.0461479929</v>
      </c>
      <c r="E28">
        <f>D28/$E$6</f>
        <v>6.633029496557377</v>
      </c>
      <c r="F28">
        <f>'Req. Diario'!F26</f>
        <v>5.63853823</v>
      </c>
      <c r="G28">
        <f>(F28/$G$6)</f>
        <v>9.397563716666667</v>
      </c>
      <c r="H28">
        <f>'Req. Diario'!G26</f>
        <v>0.9094</v>
      </c>
      <c r="I28">
        <f>H28/$I$6</f>
        <v>5.68375</v>
      </c>
      <c r="J28">
        <f>'Req. Diario'!H26</f>
        <v>1.4096345575</v>
      </c>
      <c r="K28">
        <f>J28/$K$6</f>
        <v>5.220868731481481</v>
      </c>
      <c r="L28">
        <f>'Req. Diario'!I26</f>
        <v>12.2222</v>
      </c>
      <c r="M28">
        <f>L28/$M$6</f>
        <v>59.62048780487805</v>
      </c>
    </row>
    <row r="29">
      <c r="B29">
        <f>'Req. Diario'!D27</f>
        <v>4.3953959430708665</v>
      </c>
      <c r="C29">
        <f>(B29-((E29*(Main!$E$25/100))+(G29*(Main!$E$30/100))+(I29*(Main!$E$41/100))+(K29*(Main!$E$46/100))))/$C$6</f>
        <v>6.065647282835546</v>
      </c>
      <c r="D29">
        <f>'Req. Diario'!E27</f>
        <v>4.0461479929</v>
      </c>
      <c r="E29">
        <f>D29/$E$6</f>
        <v>6.633029496557377</v>
      </c>
      <c r="F29">
        <f>'Req. Diario'!F27</f>
        <v>5.63853823</v>
      </c>
      <c r="G29">
        <f>(F29/$G$6)</f>
        <v>9.397563716666667</v>
      </c>
      <c r="H29">
        <f>'Req. Diario'!G27</f>
        <v>0.9094</v>
      </c>
      <c r="I29">
        <f>H29/$I$6</f>
        <v>5.68375</v>
      </c>
      <c r="J29">
        <f>'Req. Diario'!H27</f>
        <v>1.4096345575</v>
      </c>
      <c r="K29">
        <f>J29/$K$6</f>
        <v>5.220868731481481</v>
      </c>
      <c r="L29">
        <f>'Req. Diario'!I27</f>
        <v>12.2222</v>
      </c>
      <c r="M29">
        <f>L29/$M$6</f>
        <v>59.62048780487805</v>
      </c>
    </row>
    <row r="30">
      <c r="B30">
        <f>'Req. Diario'!D28</f>
        <v>4.3953959430708665</v>
      </c>
      <c r="C30">
        <f>(B30-((E30*(Main!$E$25/100))+(G30*(Main!$E$30/100))+(I30*(Main!$E$41/100))+(K30*(Main!$E$46/100))))/$C$6</f>
        <v>6.065647282835546</v>
      </c>
      <c r="D30">
        <f>'Req. Diario'!E28</f>
        <v>4.0461479929</v>
      </c>
      <c r="E30">
        <f>D30/$E$6</f>
        <v>6.633029496557377</v>
      </c>
      <c r="F30">
        <f>'Req. Diario'!F28</f>
        <v>5.63853823</v>
      </c>
      <c r="G30">
        <f>(F30/$G$6)</f>
        <v>9.397563716666667</v>
      </c>
      <c r="H30">
        <f>'Req. Diario'!G28</f>
        <v>0.9094</v>
      </c>
      <c r="I30">
        <f>H30/$I$6</f>
        <v>5.68375</v>
      </c>
      <c r="J30">
        <f>'Req. Diario'!H28</f>
        <v>1.4096345575</v>
      </c>
      <c r="K30">
        <f>J30/$K$6</f>
        <v>5.220868731481481</v>
      </c>
      <c r="L30">
        <f>'Req. Diario'!I28</f>
        <v>12.2222</v>
      </c>
      <c r="M30">
        <f>L30/$M$6</f>
        <v>59.62048780487805</v>
      </c>
    </row>
    <row r="31">
      <c r="B31">
        <f>'Req. Diario'!D29</f>
        <v>4.3953959430708665</v>
      </c>
      <c r="C31">
        <f>(B31-((E31*(Main!$E$25/100))+(G31*(Main!$E$30/100))+(I31*(Main!$E$41/100))+(K31*(Main!$E$46/100))))/$C$6</f>
        <v>6.065647282835546</v>
      </c>
      <c r="D31">
        <f>'Req. Diario'!E29</f>
        <v>4.0461479929</v>
      </c>
      <c r="E31">
        <f>D31/$E$6</f>
        <v>6.633029496557377</v>
      </c>
      <c r="F31">
        <f>'Req. Diario'!F29</f>
        <v>5.63853823</v>
      </c>
      <c r="G31">
        <f>(F31/$G$6)</f>
        <v>9.397563716666667</v>
      </c>
      <c r="H31">
        <f>'Req. Diario'!G29</f>
        <v>0.9094</v>
      </c>
      <c r="I31">
        <f>H31/$I$6</f>
        <v>5.68375</v>
      </c>
      <c r="J31">
        <f>'Req. Diario'!H29</f>
        <v>1.4096345575</v>
      </c>
      <c r="K31">
        <f>J31/$K$6</f>
        <v>5.220868731481481</v>
      </c>
      <c r="L31">
        <f>'Req. Diario'!I29</f>
        <v>12.2222</v>
      </c>
      <c r="M31">
        <f>L31/$M$6</f>
        <v>59.62048780487805</v>
      </c>
    </row>
    <row r="32">
      <c r="B32">
        <f>'Req. Diario'!D30</f>
        <v>4.3953959430708665</v>
      </c>
      <c r="C32">
        <f>(B32-((E32*(Main!$E$25/100))+(G32*(Main!$E$30/100))+(I32*(Main!$E$41/100))+(K32*(Main!$E$46/100))))/$C$6</f>
        <v>6.065647282835546</v>
      </c>
      <c r="D32">
        <f>'Req. Diario'!E30</f>
        <v>4.0461479929</v>
      </c>
      <c r="E32">
        <f>D32/$E$6</f>
        <v>6.633029496557377</v>
      </c>
      <c r="F32">
        <f>'Req. Diario'!F30</f>
        <v>5.63853823</v>
      </c>
      <c r="G32">
        <f>(F32/$G$6)</f>
        <v>9.397563716666667</v>
      </c>
      <c r="H32">
        <f>'Req. Diario'!G30</f>
        <v>0.9094</v>
      </c>
      <c r="I32">
        <f>H32/$I$6</f>
        <v>5.68375</v>
      </c>
      <c r="J32">
        <f>'Req. Diario'!H30</f>
        <v>1.4096345575</v>
      </c>
      <c r="K32">
        <f>J32/$K$6</f>
        <v>5.220868731481481</v>
      </c>
      <c r="L32">
        <f>'Req. Diario'!I30</f>
        <v>12.2222</v>
      </c>
      <c r="M32">
        <f>L32/$M$6</f>
        <v>59.62048780487805</v>
      </c>
    </row>
    <row r="33">
      <c r="B33">
        <f>'Req. Diario'!D31</f>
        <v>4.3953959430708665</v>
      </c>
      <c r="C33">
        <f>(B33-((E33*(Main!$E$25/100))+(G33*(Main!$E$30/100))+(I33*(Main!$E$41/100))+(K33*(Main!$E$46/100))))/$C$6</f>
        <v>6.065647282835546</v>
      </c>
      <c r="D33">
        <f>'Req. Diario'!E31</f>
        <v>4.0461479929</v>
      </c>
      <c r="E33">
        <f>D33/$E$6</f>
        <v>6.633029496557377</v>
      </c>
      <c r="F33">
        <f>'Req. Diario'!F31</f>
        <v>5.63853823</v>
      </c>
      <c r="G33">
        <f>(F33/$G$6)</f>
        <v>9.397563716666667</v>
      </c>
      <c r="H33">
        <f>'Req. Diario'!G31</f>
        <v>0.9094</v>
      </c>
      <c r="I33">
        <f>H33/$I$6</f>
        <v>5.68375</v>
      </c>
      <c r="J33">
        <f>'Req. Diario'!H31</f>
        <v>1.4096345575</v>
      </c>
      <c r="K33">
        <f>J33/$K$6</f>
        <v>5.220868731481481</v>
      </c>
      <c r="L33">
        <f>'Req. Diario'!I31</f>
        <v>12.2222</v>
      </c>
      <c r="M33">
        <f>L33/$M$6</f>
        <v>59.62048780487805</v>
      </c>
    </row>
    <row r="34">
      <c r="B34">
        <f>'Req. Diario'!D32</f>
        <v>4.3953959430708665</v>
      </c>
      <c r="C34">
        <f>(B34-((E34*(Main!$E$25/100))+(G34*(Main!$E$30/100))+(I34*(Main!$E$41/100))+(K34*(Main!$E$46/100))))/$C$6</f>
        <v>6.065647282835546</v>
      </c>
      <c r="D34">
        <f>'Req. Diario'!E32</f>
        <v>4.0461479929</v>
      </c>
      <c r="E34">
        <f>D34/$E$6</f>
        <v>6.633029496557377</v>
      </c>
      <c r="F34">
        <f>'Req. Diario'!F32</f>
        <v>5.63853823</v>
      </c>
      <c r="G34">
        <f>(F34/$G$6)</f>
        <v>9.397563716666667</v>
      </c>
      <c r="H34">
        <f>'Req. Diario'!G32</f>
        <v>0.9094</v>
      </c>
      <c r="I34">
        <f>H34/$I$6</f>
        <v>5.68375</v>
      </c>
      <c r="J34">
        <f>'Req. Diario'!H32</f>
        <v>1.4096345575</v>
      </c>
      <c r="K34">
        <f>J34/$K$6</f>
        <v>5.220868731481481</v>
      </c>
      <c r="L34">
        <f>'Req. Diario'!I32</f>
        <v>12.2222</v>
      </c>
      <c r="M34">
        <f>L34/$M$6</f>
        <v>59.62048780487805</v>
      </c>
    </row>
    <row r="35">
      <c r="A35">
        <v>5</v>
      </c>
      <c r="B35">
        <f>'Req. Diario'!D33</f>
        <v>4.3953959430708665</v>
      </c>
      <c r="C35">
        <f>(B35-((E35*(Main!$E$25/100))+(G35*(Main!$E$30/100))+(I35*(Main!$E$41/100))+(K35*(Main!$E$46/100))))/$C$6</f>
        <v>6.065647282835546</v>
      </c>
      <c r="D35">
        <f>'Req. Diario'!E33</f>
        <v>4.0461479929</v>
      </c>
      <c r="E35">
        <f>D35/$E$6</f>
        <v>6.633029496557377</v>
      </c>
      <c r="F35">
        <f>'Req. Diario'!F33</f>
        <v>5.63853823</v>
      </c>
      <c r="G35">
        <f>(F35/$G$6)</f>
        <v>9.397563716666667</v>
      </c>
      <c r="H35">
        <f>'Req. Diario'!G33</f>
        <v>0.9094</v>
      </c>
      <c r="I35">
        <f>H35/$I$6</f>
        <v>5.68375</v>
      </c>
      <c r="J35">
        <f>'Req. Diario'!H33</f>
        <v>1.4096345575</v>
      </c>
      <c r="K35">
        <f>J35/$K$6</f>
        <v>5.220868731481481</v>
      </c>
      <c r="L35">
        <f>'Req. Diario'!I33</f>
        <v>12.2222</v>
      </c>
      <c r="M35">
        <f>L35/$M$6</f>
        <v>59.62048780487805</v>
      </c>
    </row>
    <row r="36">
      <c r="B36">
        <f>'Req. Diario'!D34</f>
        <v>4.3953959430708665</v>
      </c>
      <c r="C36">
        <f>(B36-((E36*(Main!$E$25/100))+(G36*(Main!$E$30/100))+(I36*(Main!$E$41/100))+(K36*(Main!$E$46/100))))/$C$6</f>
        <v>6.065647282835546</v>
      </c>
      <c r="D36">
        <f>'Req. Diario'!E34</f>
        <v>4.0461479929</v>
      </c>
      <c r="E36">
        <f>D36/$E$6</f>
        <v>6.633029496557377</v>
      </c>
      <c r="F36">
        <f>'Req. Diario'!F34</f>
        <v>5.63853823</v>
      </c>
      <c r="G36">
        <f>(F36/$G$6)</f>
        <v>9.397563716666667</v>
      </c>
      <c r="H36">
        <f>'Req. Diario'!G34</f>
        <v>0.9094</v>
      </c>
      <c r="I36">
        <f>H36/$I$6</f>
        <v>5.68375</v>
      </c>
      <c r="J36">
        <f>'Req. Diario'!H34</f>
        <v>1.4096345575</v>
      </c>
      <c r="K36">
        <f>J36/$K$6</f>
        <v>5.220868731481481</v>
      </c>
      <c r="L36">
        <f>'Req. Diario'!I34</f>
        <v>12.2222</v>
      </c>
      <c r="M36">
        <f>L36/$M$6</f>
        <v>59.62048780487805</v>
      </c>
    </row>
    <row r="37">
      <c r="B37">
        <f>'Req. Diario'!D35</f>
        <v>4.3953959430708665</v>
      </c>
      <c r="C37">
        <f>(B37-((E37*(Main!$E$25/100))+(G37*(Main!$E$30/100))+(I37*(Main!$E$41/100))+(K37*(Main!$E$46/100))))/$C$6</f>
        <v>6.065647282835546</v>
      </c>
      <c r="D37">
        <f>'Req. Diario'!E35</f>
        <v>4.0461479929</v>
      </c>
      <c r="E37">
        <f>D37/$E$6</f>
        <v>6.633029496557377</v>
      </c>
      <c r="F37">
        <f>'Req. Diario'!F35</f>
        <v>5.63853823</v>
      </c>
      <c r="G37">
        <f>(F37/$G$6)</f>
        <v>9.397563716666667</v>
      </c>
      <c r="H37">
        <f>'Req. Diario'!G35</f>
        <v>0.9094</v>
      </c>
      <c r="I37">
        <f>H37/$I$6</f>
        <v>5.68375</v>
      </c>
      <c r="J37">
        <f>'Req. Diario'!H35</f>
        <v>1.4096345575</v>
      </c>
      <c r="K37">
        <f>J37/$K$6</f>
        <v>5.220868731481481</v>
      </c>
      <c r="L37">
        <f>'Req. Diario'!I35</f>
        <v>12.2222</v>
      </c>
      <c r="M37">
        <f>L37/$M$6</f>
        <v>59.62048780487805</v>
      </c>
    </row>
    <row r="38">
      <c r="B38">
        <f>'Req. Diario'!D36</f>
        <v>4.3953959430708665</v>
      </c>
      <c r="C38">
        <f>(B38-((E38*(Main!$E$25/100))+(G38*(Main!$E$30/100))+(I38*(Main!$E$41/100))+(K38*(Main!$E$46/100))))/$C$6</f>
        <v>6.065647282835546</v>
      </c>
      <c r="D38">
        <f>'Req. Diario'!E36</f>
        <v>4.0461479929</v>
      </c>
      <c r="E38">
        <f>D38/$E$6</f>
        <v>6.633029496557377</v>
      </c>
      <c r="F38">
        <f>'Req. Diario'!F36</f>
        <v>5.63853823</v>
      </c>
      <c r="G38">
        <f>(F38/$G$6)</f>
        <v>9.397563716666667</v>
      </c>
      <c r="H38">
        <f>'Req. Diario'!G36</f>
        <v>0.9094</v>
      </c>
      <c r="I38">
        <f>H38/$I$6</f>
        <v>5.68375</v>
      </c>
      <c r="J38">
        <f>'Req. Diario'!H36</f>
        <v>1.4096345575</v>
      </c>
      <c r="K38">
        <f>J38/$K$6</f>
        <v>5.220868731481481</v>
      </c>
      <c r="L38">
        <f>'Req. Diario'!I36</f>
        <v>12.2222</v>
      </c>
      <c r="M38">
        <f>L38/$M$6</f>
        <v>59.62048780487805</v>
      </c>
    </row>
    <row r="39">
      <c r="B39">
        <f>'Req. Diario'!D37</f>
        <v>4.3953959430708665</v>
      </c>
      <c r="C39">
        <f>(B39-((E39*(Main!$E$25/100))+(G39*(Main!$E$30/100))+(I39*(Main!$E$41/100))+(K39*(Main!$E$46/100))))/$C$6</f>
        <v>6.065647282835546</v>
      </c>
      <c r="D39">
        <f>'Req. Diario'!E37</f>
        <v>4.0461479929</v>
      </c>
      <c r="E39">
        <f>D39/$E$6</f>
        <v>6.633029496557377</v>
      </c>
      <c r="F39">
        <f>'Req. Diario'!F37</f>
        <v>5.63853823</v>
      </c>
      <c r="G39">
        <f>(F39/$G$6)</f>
        <v>9.397563716666667</v>
      </c>
      <c r="H39">
        <f>'Req. Diario'!G37</f>
        <v>0.9094</v>
      </c>
      <c r="I39">
        <f>H39/$I$6</f>
        <v>5.68375</v>
      </c>
      <c r="J39">
        <f>'Req. Diario'!H37</f>
        <v>1.4096345575</v>
      </c>
      <c r="K39">
        <f>J39/$K$6</f>
        <v>5.220868731481481</v>
      </c>
      <c r="L39">
        <f>'Req. Diario'!I37</f>
        <v>17.3149</v>
      </c>
      <c r="M39">
        <f>L39/$M$6</f>
        <v>84.46292682926831</v>
      </c>
    </row>
    <row r="40">
      <c r="B40">
        <f>'Req. Diario'!D38</f>
        <v>4.3953959430708665</v>
      </c>
      <c r="C40">
        <f>(B40-((E40*(Main!$E$25/100))+(G40*(Main!$E$30/100))+(I40*(Main!$E$41/100))+(K40*(Main!$E$46/100))))/$C$6</f>
        <v>6.065647282835546</v>
      </c>
      <c r="D40">
        <f>'Req. Diario'!E38</f>
        <v>4.0461479929</v>
      </c>
      <c r="E40">
        <f>D40/$E$6</f>
        <v>6.633029496557377</v>
      </c>
      <c r="F40">
        <f>'Req. Diario'!F38</f>
        <v>5.63853823</v>
      </c>
      <c r="G40">
        <f>(F40/$G$6)</f>
        <v>9.397563716666667</v>
      </c>
      <c r="H40">
        <f>'Req. Diario'!G38</f>
        <v>0.9094</v>
      </c>
      <c r="I40">
        <f>H40/$I$6</f>
        <v>5.68375</v>
      </c>
      <c r="J40">
        <f>'Req. Diario'!H38</f>
        <v>1.4096345575</v>
      </c>
      <c r="K40">
        <f>J40/$K$6</f>
        <v>5.220868731481481</v>
      </c>
      <c r="L40">
        <f>'Req. Diario'!I38</f>
        <v>17.3149</v>
      </c>
      <c r="M40">
        <f>L40/$M$6</f>
        <v>84.46292682926831</v>
      </c>
    </row>
    <row r="41">
      <c r="B41">
        <f>'Req. Diario'!D39</f>
        <v>4.3953959430708665</v>
      </c>
      <c r="C41">
        <f>(B41-((E41*(Main!$E$25/100))+(G41*(Main!$E$30/100))+(I41*(Main!$E$41/100))+(K41*(Main!$E$46/100))))/$C$6</f>
        <v>6.065647282835546</v>
      </c>
      <c r="D41">
        <f>'Req. Diario'!E39</f>
        <v>4.0461479929</v>
      </c>
      <c r="E41">
        <f>D41/$E$6</f>
        <v>6.633029496557377</v>
      </c>
      <c r="F41">
        <f>'Req. Diario'!F39</f>
        <v>5.63853823</v>
      </c>
      <c r="G41">
        <f>(F41/$G$6)</f>
        <v>9.397563716666667</v>
      </c>
      <c r="H41">
        <f>'Req. Diario'!G39</f>
        <v>0.9094</v>
      </c>
      <c r="I41">
        <f>H41/$I$6</f>
        <v>5.68375</v>
      </c>
      <c r="J41">
        <f>'Req. Diario'!H39</f>
        <v>1.4096345575</v>
      </c>
      <c r="K41">
        <f>J41/$K$6</f>
        <v>5.220868731481481</v>
      </c>
      <c r="L41">
        <f>'Req. Diario'!I39</f>
        <v>17.3149</v>
      </c>
      <c r="M41">
        <f>L41/$M$6</f>
        <v>84.46292682926831</v>
      </c>
    </row>
    <row r="42">
      <c r="A42">
        <v>6</v>
      </c>
      <c r="B42">
        <f>'Req. Diario'!D40</f>
        <v>4.3953959430708665</v>
      </c>
      <c r="C42">
        <f>(B42-((E42*(Main!$E$25/100))+(G42*(Main!$E$30/100))+(I42*(Main!$E$41/100))+(K42*(Main!$E$46/100))))/$C$6</f>
        <v>6.065647282835546</v>
      </c>
      <c r="D42">
        <f>'Req. Diario'!E40</f>
        <v>4.0461479929</v>
      </c>
      <c r="E42">
        <f>D42/$E$6</f>
        <v>6.633029496557377</v>
      </c>
      <c r="F42">
        <f>'Req. Diario'!F40</f>
        <v>5.63853823</v>
      </c>
      <c r="G42">
        <f>(F42/$G$6)</f>
        <v>9.397563716666667</v>
      </c>
      <c r="H42">
        <f>'Req. Diario'!G40</f>
        <v>0.9094</v>
      </c>
      <c r="I42">
        <f>H42/$I$6</f>
        <v>5.68375</v>
      </c>
      <c r="J42">
        <f>'Req. Diario'!H40</f>
        <v>1.4096345575</v>
      </c>
      <c r="K42">
        <f>J42/$K$6</f>
        <v>5.220868731481481</v>
      </c>
      <c r="L42">
        <f>'Req. Diario'!I40</f>
        <v>17.3149</v>
      </c>
      <c r="M42">
        <f>L42/$M$6</f>
        <v>84.46292682926831</v>
      </c>
    </row>
    <row r="43">
      <c r="B43">
        <f>'Req. Diario'!D41</f>
        <v>4.3953959430708665</v>
      </c>
      <c r="C43">
        <f>(B43-((E43*(Main!$E$25/100))+(G43*(Main!$E$30/100))+(I43*(Main!$E$41/100))+(K43*(Main!$E$46/100))))/$C$6</f>
        <v>6.065647282835546</v>
      </c>
      <c r="D43">
        <f>'Req. Diario'!E41</f>
        <v>4.0461479929</v>
      </c>
      <c r="E43">
        <f>D43/$E$6</f>
        <v>6.633029496557377</v>
      </c>
      <c r="F43">
        <f>'Req. Diario'!F41</f>
        <v>5.63853823</v>
      </c>
      <c r="G43">
        <f>(F43/$G$6)</f>
        <v>9.397563716666667</v>
      </c>
      <c r="H43">
        <f>'Req. Diario'!G41</f>
        <v>0.9094</v>
      </c>
      <c r="I43">
        <f>H43/$I$6</f>
        <v>5.68375</v>
      </c>
      <c r="J43">
        <f>'Req. Diario'!H41</f>
        <v>1.4096345575</v>
      </c>
      <c r="K43">
        <f>J43/$K$6</f>
        <v>5.220868731481481</v>
      </c>
      <c r="L43">
        <f>'Req. Diario'!I41</f>
        <v>17.3149</v>
      </c>
      <c r="M43">
        <f>L43/$M$6</f>
        <v>84.46292682926831</v>
      </c>
    </row>
    <row r="44">
      <c r="B44">
        <f>'Req. Diario'!D42</f>
        <v>4.3953959430708665</v>
      </c>
      <c r="C44">
        <f>(B44-((E44*(Main!$E$25/100))+(G44*(Main!$E$30/100))+(I44*(Main!$E$41/100))+(K44*(Main!$E$46/100))))/$C$6</f>
        <v>6.065647282835546</v>
      </c>
      <c r="D44">
        <f>'Req. Diario'!E42</f>
        <v>4.0461479929</v>
      </c>
      <c r="E44">
        <f>D44/$E$6</f>
        <v>6.633029496557377</v>
      </c>
      <c r="F44">
        <f>'Req. Diario'!F42</f>
        <v>5.63853823</v>
      </c>
      <c r="G44">
        <f>(F44/$G$6)</f>
        <v>9.397563716666667</v>
      </c>
      <c r="H44">
        <f>'Req. Diario'!G42</f>
        <v>0.9094</v>
      </c>
      <c r="I44">
        <f>H44/$I$6</f>
        <v>5.68375</v>
      </c>
      <c r="J44">
        <f>'Req. Diario'!H42</f>
        <v>1.4096345575</v>
      </c>
      <c r="K44">
        <f>J44/$K$6</f>
        <v>5.220868731481481</v>
      </c>
      <c r="L44">
        <f>'Req. Diario'!I42</f>
        <v>17.3149</v>
      </c>
      <c r="M44">
        <f>L44/$M$6</f>
        <v>84.46292682926831</v>
      </c>
    </row>
    <row r="45">
      <c r="B45">
        <f>'Req. Diario'!D43</f>
        <v>4.3953959430708665</v>
      </c>
      <c r="C45">
        <f>(B45-((E45*(Main!$E$25/100))+(G45*(Main!$E$30/100))+(I45*(Main!$E$41/100))+(K45*(Main!$E$46/100))))/$C$6</f>
        <v>6.065647282835546</v>
      </c>
      <c r="D45">
        <f>'Req. Diario'!E43</f>
        <v>4.0461479929</v>
      </c>
      <c r="E45">
        <f>D45/$E$6</f>
        <v>6.633029496557377</v>
      </c>
      <c r="F45">
        <f>'Req. Diario'!F43</f>
        <v>5.63853823</v>
      </c>
      <c r="G45">
        <f>(F45/$G$6)</f>
        <v>9.397563716666667</v>
      </c>
      <c r="H45">
        <f>'Req. Diario'!G43</f>
        <v>0.9094</v>
      </c>
      <c r="I45">
        <f>H45/$I$6</f>
        <v>5.68375</v>
      </c>
      <c r="J45">
        <f>'Req. Diario'!H43</f>
        <v>1.4096345575</v>
      </c>
      <c r="K45">
        <f>J45/$K$6</f>
        <v>5.220868731481481</v>
      </c>
      <c r="L45">
        <f>'Req. Diario'!I43</f>
        <v>17.3149</v>
      </c>
      <c r="M45">
        <f>L45/$M$6</f>
        <v>84.46292682926831</v>
      </c>
    </row>
    <row r="46">
      <c r="B46">
        <f>'Req. Diario'!D44</f>
        <v>4.3953959430708665</v>
      </c>
      <c r="C46">
        <f>(B46-((E46*(Main!$E$25/100))+(G46*(Main!$E$30/100))+(I46*(Main!$E$41/100))+(K46*(Main!$E$46/100))))/$C$6</f>
        <v>6.065647282835546</v>
      </c>
      <c r="D46">
        <f>'Req. Diario'!E44</f>
        <v>4.0461479929</v>
      </c>
      <c r="E46">
        <f>D46/$E$6</f>
        <v>6.633029496557377</v>
      </c>
      <c r="F46">
        <f>'Req. Diario'!F44</f>
        <v>5.63853823</v>
      </c>
      <c r="G46">
        <f>(F46/$G$6)</f>
        <v>9.397563716666667</v>
      </c>
      <c r="H46">
        <f>'Req. Diario'!G44</f>
        <v>0.9094</v>
      </c>
      <c r="I46">
        <f>H46/$I$6</f>
        <v>5.68375</v>
      </c>
      <c r="J46">
        <f>'Req. Diario'!H44</f>
        <v>1.4096345575</v>
      </c>
      <c r="K46">
        <f>J46/$K$6</f>
        <v>5.220868731481481</v>
      </c>
      <c r="L46">
        <f>'Req. Diario'!I44</f>
        <v>17.3149</v>
      </c>
      <c r="M46">
        <f>L46/$M$6</f>
        <v>84.46292682926831</v>
      </c>
    </row>
    <row r="47">
      <c r="B47">
        <f>'Req. Diario'!D45</f>
        <v>4.3953959430708665</v>
      </c>
      <c r="C47">
        <f>(B47-((E47*(Main!$E$25/100))+(G47*(Main!$E$30/100))+(I47*(Main!$E$41/100))+(K47*(Main!$E$46/100))))/$C$6</f>
        <v>6.065647282835546</v>
      </c>
      <c r="D47">
        <f>'Req. Diario'!E45</f>
        <v>4.0461479929</v>
      </c>
      <c r="E47">
        <f>D47/$E$6</f>
        <v>6.633029496557377</v>
      </c>
      <c r="F47">
        <f>'Req. Diario'!F45</f>
        <v>5.63853823</v>
      </c>
      <c r="G47">
        <f>(F47/$G$6)</f>
        <v>9.397563716666667</v>
      </c>
      <c r="H47">
        <f>'Req. Diario'!G45</f>
        <v>0.9094</v>
      </c>
      <c r="I47">
        <f>H47/$I$6</f>
        <v>5.68375</v>
      </c>
      <c r="J47">
        <f>'Req. Diario'!H45</f>
        <v>1.4096345575</v>
      </c>
      <c r="K47">
        <f>J47/$K$6</f>
        <v>5.220868731481481</v>
      </c>
      <c r="L47">
        <f>'Req. Diario'!I45</f>
        <v>17.3149</v>
      </c>
      <c r="M47">
        <f>L47/$M$6</f>
        <v>84.46292682926831</v>
      </c>
    </row>
    <row r="48">
      <c r="B48">
        <f>'Req. Diario'!D46</f>
        <v>4.3953959430708665</v>
      </c>
      <c r="C48">
        <f>(B48-((E48*(Main!$E$25/100))+(G48*(Main!$E$30/100))+(I48*(Main!$E$41/100))+(K48*(Main!$E$46/100))))/$C$6</f>
        <v>6.065647282835546</v>
      </c>
      <c r="D48">
        <f>'Req. Diario'!E46</f>
        <v>4.0461479929</v>
      </c>
      <c r="E48">
        <f>D48/$E$6</f>
        <v>6.633029496557377</v>
      </c>
      <c r="F48">
        <f>'Req. Diario'!F46</f>
        <v>5.63853823</v>
      </c>
      <c r="G48">
        <f>(F48/$G$6)</f>
        <v>9.397563716666667</v>
      </c>
      <c r="H48">
        <f>'Req. Diario'!G46</f>
        <v>0.9094</v>
      </c>
      <c r="I48">
        <f>H48/$I$6</f>
        <v>5.68375</v>
      </c>
      <c r="J48">
        <f>'Req. Diario'!H46</f>
        <v>1.4096345575</v>
      </c>
      <c r="K48">
        <f>J48/$K$6</f>
        <v>5.220868731481481</v>
      </c>
      <c r="L48">
        <f>'Req. Diario'!I46</f>
        <v>17.3149</v>
      </c>
      <c r="M48">
        <f>L48/$M$6</f>
        <v>84.46292682926831</v>
      </c>
    </row>
    <row r="49">
      <c r="A49">
        <v>7</v>
      </c>
      <c r="B49">
        <f>'Req. Diario'!D47</f>
        <v>4.3953959430708665</v>
      </c>
      <c r="C49">
        <f>(B49-((E49*(Main!$E$25/100))+(G49*(Main!$E$30/100))+(I49*(Main!$E$41/100))+(K49*(Main!$E$46/100))))/$C$6</f>
        <v>6.065647282835546</v>
      </c>
      <c r="D49">
        <f>'Req. Diario'!E47</f>
        <v>4.0461479929</v>
      </c>
      <c r="E49">
        <f>D49/$E$6</f>
        <v>6.633029496557377</v>
      </c>
      <c r="F49">
        <f>'Req. Diario'!F47</f>
        <v>5.63853823</v>
      </c>
      <c r="G49">
        <f>(F49/$G$6)</f>
        <v>9.397563716666667</v>
      </c>
      <c r="H49">
        <f>'Req. Diario'!G47</f>
        <v>0.9094</v>
      </c>
      <c r="I49">
        <f>H49/$I$6</f>
        <v>5.68375</v>
      </c>
      <c r="J49">
        <f>'Req. Diario'!H47</f>
        <v>1.4096345575</v>
      </c>
      <c r="K49">
        <f>J49/$K$6</f>
        <v>5.220868731481481</v>
      </c>
      <c r="L49">
        <f>'Req. Diario'!I47</f>
        <v>17.3149</v>
      </c>
      <c r="M49">
        <f>L49/$M$6</f>
        <v>84.46292682926831</v>
      </c>
    </row>
    <row r="50">
      <c r="B50">
        <f>'Req. Diario'!D48</f>
        <v>4.3953959430708665</v>
      </c>
      <c r="C50">
        <f>(B50-((E50*(Main!$E$25/100))+(G50*(Main!$E$30/100))+(I50*(Main!$E$41/100))+(K50*(Main!$E$46/100))))/$C$6</f>
        <v>6.065647282835546</v>
      </c>
      <c r="D50">
        <f>'Req. Diario'!E48</f>
        <v>4.0461479929</v>
      </c>
      <c r="E50">
        <f>D50/$E$6</f>
        <v>6.633029496557377</v>
      </c>
      <c r="F50">
        <f>'Req. Diario'!F48</f>
        <v>5.63853823</v>
      </c>
      <c r="G50">
        <f>(F50/$G$6)</f>
        <v>9.397563716666667</v>
      </c>
      <c r="H50">
        <f>'Req. Diario'!G48</f>
        <v>0.9094</v>
      </c>
      <c r="I50">
        <f>H50/$I$6</f>
        <v>5.68375</v>
      </c>
      <c r="J50">
        <f>'Req. Diario'!H48</f>
        <v>1.4096345575</v>
      </c>
      <c r="K50">
        <f>J50/$K$6</f>
        <v>5.220868731481481</v>
      </c>
      <c r="L50">
        <f>'Req. Diario'!I48</f>
        <v>17.3149</v>
      </c>
      <c r="M50">
        <f>L50/$M$6</f>
        <v>84.46292682926831</v>
      </c>
    </row>
    <row r="51">
      <c r="B51">
        <f>'Req. Diario'!D49</f>
        <v>4.3953959430708665</v>
      </c>
      <c r="C51">
        <f>(B51-((E51*(Main!$E$25/100))+(G51*(Main!$E$30/100))+(I51*(Main!$E$41/100))+(K51*(Main!$E$46/100))))/$C$6</f>
        <v>6.065647282835546</v>
      </c>
      <c r="D51">
        <f>'Req. Diario'!E49</f>
        <v>4.0461479929</v>
      </c>
      <c r="E51">
        <f>D51/$E$6</f>
        <v>6.633029496557377</v>
      </c>
      <c r="F51">
        <f>'Req. Diario'!F49</f>
        <v>5.63853823</v>
      </c>
      <c r="G51">
        <f>(F51/$G$6)</f>
        <v>9.397563716666667</v>
      </c>
      <c r="H51">
        <f>'Req. Diario'!G49</f>
        <v>0.9094</v>
      </c>
      <c r="I51">
        <f>H51/$I$6</f>
        <v>5.68375</v>
      </c>
      <c r="J51">
        <f>'Req. Diario'!H49</f>
        <v>1.4096345575</v>
      </c>
      <c r="K51">
        <f>J51/$K$6</f>
        <v>5.220868731481481</v>
      </c>
      <c r="L51">
        <f>'Req. Diario'!I49</f>
        <v>17.3149</v>
      </c>
      <c r="M51">
        <f>L51/$M$6</f>
        <v>84.46292682926831</v>
      </c>
    </row>
    <row r="52">
      <c r="B52">
        <f>'Req. Diario'!D50</f>
        <v>4.3953959430708665</v>
      </c>
      <c r="C52">
        <f>(B52-((E52*(Main!$E$25/100))+(G52*(Main!$E$30/100))+(I52*(Main!$E$41/100))+(K52*(Main!$E$46/100))))/$C$6</f>
        <v>6.065647282835546</v>
      </c>
      <c r="D52">
        <f>'Req. Diario'!E50</f>
        <v>4.0461479929</v>
      </c>
      <c r="E52">
        <f>D52/$E$6</f>
        <v>6.633029496557377</v>
      </c>
      <c r="F52">
        <f>'Req. Diario'!F50</f>
        <v>5.63853823</v>
      </c>
      <c r="G52">
        <f>(F52/$G$6)</f>
        <v>9.397563716666667</v>
      </c>
      <c r="H52">
        <f>'Req. Diario'!G50</f>
        <v>0.9094</v>
      </c>
      <c r="I52">
        <f>H52/$I$6</f>
        <v>5.68375</v>
      </c>
      <c r="J52">
        <f>'Req. Diario'!H50</f>
        <v>1.4096345575</v>
      </c>
      <c r="K52">
        <f>J52/$K$6</f>
        <v>5.220868731481481</v>
      </c>
      <c r="L52">
        <f>'Req. Diario'!I50</f>
        <v>17.3149</v>
      </c>
      <c r="M52">
        <f>L52/$M$6</f>
        <v>84.46292682926831</v>
      </c>
    </row>
    <row r="53">
      <c r="B53">
        <f>'Req. Diario'!D51</f>
        <v>4.3953959430708665</v>
      </c>
      <c r="C53">
        <f>(B53-((E53*(Main!$E$25/100))+(G53*(Main!$E$30/100))+(I53*(Main!$E$41/100))+(K53*(Main!$E$46/100))))/$C$6</f>
        <v>6.065647282835546</v>
      </c>
      <c r="D53">
        <f>'Req. Diario'!E51</f>
        <v>4.0461479929</v>
      </c>
      <c r="E53">
        <f>D53/$E$6</f>
        <v>6.633029496557377</v>
      </c>
      <c r="F53">
        <f>'Req. Diario'!F51</f>
        <v>5.63853823</v>
      </c>
      <c r="G53">
        <f>(F53/$G$6)</f>
        <v>9.397563716666667</v>
      </c>
      <c r="H53">
        <f>'Req. Diario'!G51</f>
        <v>0.9094</v>
      </c>
      <c r="I53">
        <f>H53/$I$6</f>
        <v>5.68375</v>
      </c>
      <c r="J53">
        <f>'Req. Diario'!H51</f>
        <v>1.4096345575</v>
      </c>
      <c r="K53">
        <f>J53/$K$6</f>
        <v>5.220868731481481</v>
      </c>
      <c r="L53">
        <f>'Req. Diario'!I51</f>
        <v>17.3149</v>
      </c>
      <c r="M53">
        <f>L53/$M$6</f>
        <v>84.46292682926831</v>
      </c>
    </row>
    <row r="54">
      <c r="B54">
        <f>'Req. Diario'!D52</f>
        <v>4.3953959430708665</v>
      </c>
      <c r="C54">
        <f>(B54-((E54*(Main!$E$25/100))+(G54*(Main!$E$30/100))+(I54*(Main!$E$41/100))+(K54*(Main!$E$46/100))))/$C$6</f>
        <v>6.065647282835546</v>
      </c>
      <c r="D54">
        <f>'Req. Diario'!E52</f>
        <v>4.0461479929</v>
      </c>
      <c r="E54">
        <f>D54/$E$6</f>
        <v>6.633029496557377</v>
      </c>
      <c r="F54">
        <f>'Req. Diario'!F52</f>
        <v>5.63853823</v>
      </c>
      <c r="G54">
        <f>(F54/$G$6)</f>
        <v>9.397563716666667</v>
      </c>
      <c r="H54">
        <f>'Req. Diario'!G52</f>
        <v>0.9094</v>
      </c>
      <c r="I54">
        <f>H54/$I$6</f>
        <v>5.68375</v>
      </c>
      <c r="J54">
        <f>'Req. Diario'!H52</f>
        <v>1.4096345575</v>
      </c>
      <c r="K54">
        <f>J54/$K$6</f>
        <v>5.220868731481481</v>
      </c>
      <c r="L54">
        <f>'Req. Diario'!I52</f>
        <v>23.426</v>
      </c>
      <c r="M54">
        <f>L54/$M$6</f>
        <v>114.27317073170731</v>
      </c>
    </row>
    <row r="55">
      <c r="B55">
        <f>'Req. Diario'!D53</f>
        <v>4.3953959430708665</v>
      </c>
      <c r="C55">
        <f>(B55-((E55*(Main!$E$25/100))+(G55*(Main!$E$30/100))+(I55*(Main!$E$41/100))+(K55*(Main!$E$46/100))))/$C$6</f>
        <v>6.065647282835546</v>
      </c>
      <c r="D55">
        <f>'Req. Diario'!E53</f>
        <v>4.0461479929</v>
      </c>
      <c r="E55">
        <f>D55/$E$6</f>
        <v>6.633029496557377</v>
      </c>
      <c r="F55">
        <f>'Req. Diario'!F53</f>
        <v>5.63853823</v>
      </c>
      <c r="G55">
        <f>(F55/$G$6)</f>
        <v>9.397563716666667</v>
      </c>
      <c r="H55">
        <f>'Req. Diario'!G53</f>
        <v>0.9094</v>
      </c>
      <c r="I55">
        <f>H55/$I$6</f>
        <v>5.68375</v>
      </c>
      <c r="J55">
        <f>'Req. Diario'!H53</f>
        <v>1.4096345575</v>
      </c>
      <c r="K55">
        <f>J55/$K$6</f>
        <v>5.220868731481481</v>
      </c>
      <c r="L55">
        <f>'Req. Diario'!I53</f>
        <v>23.426</v>
      </c>
      <c r="M55">
        <f>L55/$M$6</f>
        <v>114.27317073170731</v>
      </c>
    </row>
    <row r="56">
      <c r="A56">
        <v>8</v>
      </c>
      <c r="B56">
        <f>'Req. Diario'!D54</f>
        <v>4.151207279566929</v>
      </c>
      <c r="C56">
        <f>(B56-((E56*(Main!$E$25/100))+(G56*(Main!$E$30/100))+(I56*(Main!$E$41/100))+(K56*(Main!$E$46/100))))/$C$6</f>
        <v>6.490395430963124</v>
      </c>
      <c r="D56">
        <f>'Req. Diario'!E54</f>
        <v>1.8116528670499998</v>
      </c>
      <c r="E56">
        <f>D56/$E$6</f>
        <v>2.9699227328688522</v>
      </c>
      <c r="F56">
        <f>'Req. Diario'!F54</f>
        <v>5.63853823</v>
      </c>
      <c r="G56">
        <f>(F56/$G$6)</f>
        <v>9.397563716666667</v>
      </c>
      <c r="H56">
        <f>'Req. Diario'!G54</f>
        <v>0.9094</v>
      </c>
      <c r="I56">
        <f>H56/$I$6</f>
        <v>5.68375</v>
      </c>
      <c r="J56">
        <f>'Req. Diario'!H54</f>
        <v>1.4096345575</v>
      </c>
      <c r="K56">
        <f>J56/$K$6</f>
        <v>5.220868731481481</v>
      </c>
      <c r="L56">
        <f>'Req. Diario'!I54</f>
        <v>23.426</v>
      </c>
      <c r="M56">
        <f>L56/$M$6</f>
        <v>114.27317073170731</v>
      </c>
    </row>
    <row r="57">
      <c r="B57">
        <f>'Req. Diario'!D55</f>
        <v>4.151207279566929</v>
      </c>
      <c r="C57">
        <f>(B57-((E57*(Main!$E$25/100))+(G57*(Main!$E$30/100))+(I57*(Main!$E$41/100))+(K57*(Main!$E$46/100))))/$C$6</f>
        <v>6.490395430963124</v>
      </c>
      <c r="D57">
        <f>'Req. Diario'!E55</f>
        <v>1.8116528670499998</v>
      </c>
      <c r="E57">
        <f>D57/$E$6</f>
        <v>2.9699227328688522</v>
      </c>
      <c r="F57">
        <f>'Req. Diario'!F55</f>
        <v>5.63853823</v>
      </c>
      <c r="G57">
        <f>(F57/$G$6)</f>
        <v>9.397563716666667</v>
      </c>
      <c r="H57">
        <f>'Req. Diario'!G55</f>
        <v>0.9094</v>
      </c>
      <c r="I57">
        <f>H57/$I$6</f>
        <v>5.68375</v>
      </c>
      <c r="J57">
        <f>'Req. Diario'!H55</f>
        <v>1.4096345575</v>
      </c>
      <c r="K57">
        <f>J57/$K$6</f>
        <v>5.220868731481481</v>
      </c>
      <c r="L57">
        <f>'Req. Diario'!I55</f>
        <v>23.426</v>
      </c>
      <c r="M57">
        <f>L57/$M$6</f>
        <v>114.27317073170731</v>
      </c>
    </row>
    <row r="58">
      <c r="B58">
        <f>'Req. Diario'!D56</f>
        <v>4.151207279566929</v>
      </c>
      <c r="C58">
        <f>(B58-((E58*(Main!$E$25/100))+(G58*(Main!$E$30/100))+(I58*(Main!$E$41/100))+(K58*(Main!$E$46/100))))/$C$6</f>
        <v>6.490395430963124</v>
      </c>
      <c r="D58">
        <f>'Req. Diario'!E56</f>
        <v>1.8116528670499998</v>
      </c>
      <c r="E58">
        <f>D58/$E$6</f>
        <v>2.9699227328688522</v>
      </c>
      <c r="F58">
        <f>'Req. Diario'!F56</f>
        <v>5.63853823</v>
      </c>
      <c r="G58">
        <f>(F58/$G$6)</f>
        <v>9.397563716666667</v>
      </c>
      <c r="H58">
        <f>'Req. Diario'!G56</f>
        <v>0.9094</v>
      </c>
      <c r="I58">
        <f>H58/$I$6</f>
        <v>5.68375</v>
      </c>
      <c r="J58">
        <f>'Req. Diario'!H56</f>
        <v>1.4096345575</v>
      </c>
      <c r="K58">
        <f>J58/$K$6</f>
        <v>5.220868731481481</v>
      </c>
      <c r="L58">
        <f>'Req. Diario'!I56</f>
        <v>23.426</v>
      </c>
      <c r="M58">
        <f>L58/$M$6</f>
        <v>114.27317073170731</v>
      </c>
    </row>
    <row r="59">
      <c r="B59">
        <f>'Req. Diario'!D57</f>
        <v>4.151207279566929</v>
      </c>
      <c r="C59">
        <f>(B59-((E59*(Main!$E$25/100))+(G59*(Main!$E$30/100))+(I59*(Main!$E$41/100))+(K59*(Main!$E$46/100))))/$C$6</f>
        <v>6.490395430963124</v>
      </c>
      <c r="D59">
        <f>'Req. Diario'!E57</f>
        <v>1.8116528670499998</v>
      </c>
      <c r="E59">
        <f>D59/$E$6</f>
        <v>2.9699227328688522</v>
      </c>
      <c r="F59">
        <f>'Req. Diario'!F57</f>
        <v>5.63853823</v>
      </c>
      <c r="G59">
        <f>(F59/$G$6)</f>
        <v>9.397563716666667</v>
      </c>
      <c r="H59">
        <f>'Req. Diario'!G57</f>
        <v>0.9094</v>
      </c>
      <c r="I59">
        <f>H59/$I$6</f>
        <v>5.68375</v>
      </c>
      <c r="J59">
        <f>'Req. Diario'!H57</f>
        <v>1.4096345575</v>
      </c>
      <c r="K59">
        <f>J59/$K$6</f>
        <v>5.220868731481481</v>
      </c>
      <c r="L59">
        <f>'Req. Diario'!I57</f>
        <v>23.426</v>
      </c>
      <c r="M59">
        <f>L59/$M$6</f>
        <v>114.27317073170731</v>
      </c>
    </row>
    <row r="60">
      <c r="B60">
        <f>'Req. Diario'!D58</f>
        <v>4.151207279566929</v>
      </c>
      <c r="C60">
        <f>(B60-((E60*(Main!$E$25/100))+(G60*(Main!$E$30/100))+(I60*(Main!$E$41/100))+(K60*(Main!$E$46/100))))/$C$6</f>
        <v>6.490395430963124</v>
      </c>
      <c r="D60">
        <f>'Req. Diario'!E58</f>
        <v>1.8116528670499998</v>
      </c>
      <c r="E60">
        <f>D60/$E$6</f>
        <v>2.9699227328688522</v>
      </c>
      <c r="F60">
        <f>'Req. Diario'!F58</f>
        <v>5.63853823</v>
      </c>
      <c r="G60">
        <f>(F60/$G$6)</f>
        <v>9.397563716666667</v>
      </c>
      <c r="H60">
        <f>'Req. Diario'!G58</f>
        <v>0.9094</v>
      </c>
      <c r="I60">
        <f>H60/$I$6</f>
        <v>5.68375</v>
      </c>
      <c r="J60">
        <f>'Req. Diario'!H58</f>
        <v>1.4096345575</v>
      </c>
      <c r="K60">
        <f>J60/$K$6</f>
        <v>5.220868731481481</v>
      </c>
      <c r="L60">
        <f>'Req. Diario'!I58</f>
        <v>23.426</v>
      </c>
      <c r="M60">
        <f>L60/$M$6</f>
        <v>114.27317073170731</v>
      </c>
    </row>
    <row r="61">
      <c r="B61">
        <f>'Req. Diario'!D59</f>
        <v>4.151207279566929</v>
      </c>
      <c r="C61">
        <f>(B61-((E61*(Main!$E$25/100))+(G61*(Main!$E$30/100))+(I61*(Main!$E$41/100))+(K61*(Main!$E$46/100))))/$C$6</f>
        <v>6.490395430963124</v>
      </c>
      <c r="D61">
        <f>'Req. Diario'!E59</f>
        <v>1.8116528670499998</v>
      </c>
      <c r="E61">
        <f>D61/$E$6</f>
        <v>2.9699227328688522</v>
      </c>
      <c r="F61">
        <f>'Req. Diario'!F59</f>
        <v>5.63853823</v>
      </c>
      <c r="G61">
        <f>(F61/$G$6)</f>
        <v>9.397563716666667</v>
      </c>
      <c r="H61">
        <f>'Req. Diario'!G59</f>
        <v>0.9094</v>
      </c>
      <c r="I61">
        <f>H61/$I$6</f>
        <v>5.68375</v>
      </c>
      <c r="J61">
        <f>'Req. Diario'!H59</f>
        <v>1.4096345575</v>
      </c>
      <c r="K61">
        <f>J61/$K$6</f>
        <v>5.220868731481481</v>
      </c>
      <c r="L61">
        <f>'Req. Diario'!I59</f>
        <v>23.426</v>
      </c>
      <c r="M61">
        <f>L61/$M$6</f>
        <v>114.27317073170731</v>
      </c>
    </row>
    <row r="62">
      <c r="B62">
        <f>'Req. Diario'!D60</f>
        <v>4.151207279566929</v>
      </c>
      <c r="C62">
        <f>(B62-((E62*(Main!$E$25/100))+(G62*(Main!$E$30/100))+(I62*(Main!$E$41/100))+(K62*(Main!$E$46/100))))/$C$6</f>
        <v>6.490395430963124</v>
      </c>
      <c r="D62">
        <f>'Req. Diario'!E60</f>
        <v>1.8116528670499998</v>
      </c>
      <c r="E62">
        <f>D62/$E$6</f>
        <v>2.9699227328688522</v>
      </c>
      <c r="F62">
        <f>'Req. Diario'!F60</f>
        <v>5.63853823</v>
      </c>
      <c r="G62">
        <f>(F62/$G$6)</f>
        <v>9.397563716666667</v>
      </c>
      <c r="H62">
        <f>'Req. Diario'!G60</f>
        <v>0.9094</v>
      </c>
      <c r="I62">
        <f>H62/$I$6</f>
        <v>5.68375</v>
      </c>
      <c r="J62">
        <f>'Req. Diario'!H60</f>
        <v>1.4096345575</v>
      </c>
      <c r="K62">
        <f>J62/$K$6</f>
        <v>5.220868731481481</v>
      </c>
      <c r="L62">
        <f>'Req. Diario'!I60</f>
        <v>23.426</v>
      </c>
      <c r="M62">
        <f>L62/$M$6</f>
        <v>114.27317073170731</v>
      </c>
    </row>
    <row r="63">
      <c r="A63">
        <v>9</v>
      </c>
      <c r="B63">
        <f>'Req. Diario'!D61</f>
        <v>4.151207279566929</v>
      </c>
      <c r="C63">
        <f>(B63-((E63*(Main!$E$25/100))+(G63*(Main!$E$30/100))+(I63*(Main!$E$41/100))+(K63*(Main!$E$46/100))))/$C$6</f>
        <v>6.490395430963124</v>
      </c>
      <c r="D63">
        <f>'Req. Diario'!E61</f>
        <v>1.8116528670499998</v>
      </c>
      <c r="E63">
        <f>D63/$E$6</f>
        <v>2.9699227328688522</v>
      </c>
      <c r="F63">
        <f>'Req. Diario'!F61</f>
        <v>5.63853823</v>
      </c>
      <c r="G63">
        <f>(F63/$G$6)</f>
        <v>9.397563716666667</v>
      </c>
      <c r="H63">
        <f>'Req. Diario'!G61</f>
        <v>0.9094</v>
      </c>
      <c r="I63">
        <f>H63/$I$6</f>
        <v>5.68375</v>
      </c>
      <c r="J63">
        <f>'Req. Diario'!H61</f>
        <v>1.4096345575</v>
      </c>
      <c r="K63">
        <f>J63/$K$6</f>
        <v>5.220868731481481</v>
      </c>
      <c r="L63">
        <f>'Req. Diario'!I61</f>
        <v>23.426</v>
      </c>
      <c r="M63">
        <f>L63/$M$6</f>
        <v>114.27317073170731</v>
      </c>
    </row>
    <row r="64">
      <c r="B64">
        <f>'Req. Diario'!D62</f>
        <v>4.151207279566929</v>
      </c>
      <c r="C64">
        <f>(B64-((E64*(Main!$E$25/100))+(G64*(Main!$E$30/100))+(I64*(Main!$E$41/100))+(K64*(Main!$E$46/100))))/$C$6</f>
        <v>6.490395430963124</v>
      </c>
      <c r="D64">
        <f>'Req. Diario'!E62</f>
        <v>1.8116528670499998</v>
      </c>
      <c r="E64">
        <f>D64/$E$6</f>
        <v>2.9699227328688522</v>
      </c>
      <c r="F64">
        <f>'Req. Diario'!F62</f>
        <v>5.63853823</v>
      </c>
      <c r="G64">
        <f>(F64/$G$6)</f>
        <v>9.397563716666667</v>
      </c>
      <c r="H64">
        <f>'Req. Diario'!G62</f>
        <v>0.9094</v>
      </c>
      <c r="I64">
        <f>H64/$I$6</f>
        <v>5.68375</v>
      </c>
      <c r="J64">
        <f>'Req. Diario'!H62</f>
        <v>1.4096345575</v>
      </c>
      <c r="K64">
        <f>J64/$K$6</f>
        <v>5.220868731481481</v>
      </c>
      <c r="L64">
        <f>'Req. Diario'!I62</f>
        <v>23.426</v>
      </c>
      <c r="M64">
        <f>L64/$M$6</f>
        <v>114.27317073170731</v>
      </c>
    </row>
    <row r="65">
      <c r="B65">
        <f>'Req. Diario'!D63</f>
        <v>4.151207279566929</v>
      </c>
      <c r="C65">
        <f>(B65-((E65*(Main!$E$25/100))+(G65*(Main!$E$30/100))+(I65*(Main!$E$41/100))+(K65*(Main!$E$46/100))))/$C$6</f>
        <v>6.490395430963124</v>
      </c>
      <c r="D65">
        <f>'Req. Diario'!E63</f>
        <v>1.8116528670499998</v>
      </c>
      <c r="E65">
        <f>D65/$E$6</f>
        <v>2.9699227328688522</v>
      </c>
      <c r="F65">
        <f>'Req. Diario'!F63</f>
        <v>5.63853823</v>
      </c>
      <c r="G65">
        <f>(F65/$G$6)</f>
        <v>9.397563716666667</v>
      </c>
      <c r="H65">
        <f>'Req. Diario'!G63</f>
        <v>0.9094</v>
      </c>
      <c r="I65">
        <f>H65/$I$6</f>
        <v>5.68375</v>
      </c>
      <c r="J65">
        <f>'Req. Diario'!H63</f>
        <v>1.4096345575</v>
      </c>
      <c r="K65">
        <f>J65/$K$6</f>
        <v>5.220868731481481</v>
      </c>
      <c r="L65">
        <f>'Req. Diario'!I63</f>
        <v>23.426</v>
      </c>
      <c r="M65">
        <f>L65/$M$6</f>
        <v>114.27317073170731</v>
      </c>
    </row>
    <row r="66">
      <c r="B66">
        <f>'Req. Diario'!D64</f>
        <v>4.151207279566929</v>
      </c>
      <c r="C66">
        <f>(B66-((E66*(Main!$E$25/100))+(G66*(Main!$E$30/100))+(I66*(Main!$E$41/100))+(K66*(Main!$E$46/100))))/$C$6</f>
        <v>6.490395430963124</v>
      </c>
      <c r="D66">
        <f>'Req. Diario'!E64</f>
        <v>1.8116528670499998</v>
      </c>
      <c r="E66">
        <f>D66/$E$6</f>
        <v>2.9699227328688522</v>
      </c>
      <c r="F66">
        <f>'Req. Diario'!F64</f>
        <v>5.63853823</v>
      </c>
      <c r="G66">
        <f>(F66/$G$6)</f>
        <v>9.397563716666667</v>
      </c>
      <c r="H66">
        <f>'Req. Diario'!G64</f>
        <v>0.9094</v>
      </c>
      <c r="I66">
        <f>H66/$I$6</f>
        <v>5.68375</v>
      </c>
      <c r="J66">
        <f>'Req. Diario'!H64</f>
        <v>1.4096345575</v>
      </c>
      <c r="K66">
        <f>J66/$K$6</f>
        <v>5.220868731481481</v>
      </c>
      <c r="L66">
        <f>'Req. Diario'!I64</f>
        <v>23.426</v>
      </c>
      <c r="M66">
        <f>L66/$M$6</f>
        <v>114.27317073170731</v>
      </c>
    </row>
    <row r="67">
      <c r="B67">
        <f>'Req. Diario'!D65</f>
        <v>4.151207279566929</v>
      </c>
      <c r="C67">
        <f>(B67-((E67*(Main!$E$25/100))+(G67*(Main!$E$30/100))+(I67*(Main!$E$41/100))+(K67*(Main!$E$46/100))))/$C$6</f>
        <v>6.490395430963124</v>
      </c>
      <c r="D67">
        <f>'Req. Diario'!E65</f>
        <v>1.8116528670499998</v>
      </c>
      <c r="E67">
        <f>D67/$E$6</f>
        <v>2.9699227328688522</v>
      </c>
      <c r="F67">
        <f>'Req. Diario'!F65</f>
        <v>5.63853823</v>
      </c>
      <c r="G67">
        <f>(F67/$G$6)</f>
        <v>9.397563716666667</v>
      </c>
      <c r="H67">
        <f>'Req. Diario'!G65</f>
        <v>0.9094</v>
      </c>
      <c r="I67">
        <f>H67/$I$6</f>
        <v>5.68375</v>
      </c>
      <c r="J67">
        <f>'Req. Diario'!H65</f>
        <v>1.4096345575</v>
      </c>
      <c r="K67">
        <f>J67/$K$6</f>
        <v>5.220868731481481</v>
      </c>
      <c r="L67">
        <f>'Req. Diario'!I65</f>
        <v>23.426</v>
      </c>
      <c r="M67">
        <f>L67/$M$6</f>
        <v>114.27317073170731</v>
      </c>
    </row>
    <row r="68">
      <c r="B68">
        <f>'Req. Diario'!D66</f>
        <v>4.151207279566929</v>
      </c>
      <c r="C68">
        <f>(B68-((E68*(Main!$E$25/100))+(G68*(Main!$E$30/100))+(I68*(Main!$E$41/100))+(K68*(Main!$E$46/100))))/$C$6</f>
        <v>6.490395430963124</v>
      </c>
      <c r="D68">
        <f>'Req. Diario'!E66</f>
        <v>1.8116528670499998</v>
      </c>
      <c r="E68">
        <f>D68/$E$6</f>
        <v>2.9699227328688522</v>
      </c>
      <c r="F68">
        <f>'Req. Diario'!F66</f>
        <v>5.63853823</v>
      </c>
      <c r="G68">
        <f>(F68/$G$6)</f>
        <v>9.397563716666667</v>
      </c>
      <c r="H68">
        <f>'Req. Diario'!G66</f>
        <v>0.9094</v>
      </c>
      <c r="I68">
        <f>H68/$I$6</f>
        <v>5.68375</v>
      </c>
      <c r="J68">
        <f>'Req. Diario'!H66</f>
        <v>1.4096345575</v>
      </c>
      <c r="K68">
        <f>J68/$K$6</f>
        <v>5.220868731481481</v>
      </c>
      <c r="L68">
        <f>'Req. Diario'!I66</f>
        <v>23.426</v>
      </c>
      <c r="M68">
        <f>L68/$M$6</f>
        <v>114.27317073170731</v>
      </c>
    </row>
    <row r="69">
      <c r="B69">
        <f>'Req. Diario'!D67</f>
        <v>4.151207279566929</v>
      </c>
      <c r="C69">
        <f>(B69-((E69*(Main!$E$25/100))+(G69*(Main!$E$30/100))+(I69*(Main!$E$41/100))+(K69*(Main!$E$46/100))))/$C$6</f>
        <v>6.490395430963124</v>
      </c>
      <c r="D69">
        <f>'Req. Diario'!E67</f>
        <v>1.8116528670499998</v>
      </c>
      <c r="E69">
        <f>D69/$E$6</f>
        <v>2.9699227328688522</v>
      </c>
      <c r="F69">
        <f>'Req. Diario'!F67</f>
        <v>5.63853823</v>
      </c>
      <c r="G69">
        <f>(F69/$G$6)</f>
        <v>9.397563716666667</v>
      </c>
      <c r="H69">
        <f>'Req. Diario'!G67</f>
        <v>0.9094</v>
      </c>
      <c r="I69">
        <f>H69/$I$6</f>
        <v>5.68375</v>
      </c>
      <c r="J69">
        <f>'Req. Diario'!H67</f>
        <v>1.4096345575</v>
      </c>
      <c r="K69">
        <f>J69/$K$6</f>
        <v>5.220868731481481</v>
      </c>
      <c r="L69">
        <f>'Req. Diario'!I67</f>
        <v>29.5372</v>
      </c>
      <c r="M69">
        <f>L69/$M$6</f>
        <v>144.0839024390244</v>
      </c>
    </row>
    <row r="70">
      <c r="A70">
        <v>10</v>
      </c>
      <c r="B70">
        <f>'Req. Diario'!D68</f>
        <v>4.151207279566929</v>
      </c>
      <c r="C70">
        <f>(B70-((E70*(Main!$E$25/100))+(G70*(Main!$E$30/100))+(I70*(Main!$E$41/100))+(K70*(Main!$E$46/100))))/$C$6</f>
        <v>6.490395430963124</v>
      </c>
      <c r="D70">
        <f>'Req. Diario'!E68</f>
        <v>1.8116528670499998</v>
      </c>
      <c r="E70">
        <f>D70/$E$6</f>
        <v>2.9699227328688522</v>
      </c>
      <c r="F70">
        <f>'Req. Diario'!F68</f>
        <v>5.63853823</v>
      </c>
      <c r="G70">
        <f>(F70/$G$6)</f>
        <v>9.397563716666667</v>
      </c>
      <c r="H70">
        <f>'Req. Diario'!G68</f>
        <v>0.9094</v>
      </c>
      <c r="I70">
        <f>H70/$I$6</f>
        <v>5.68375</v>
      </c>
      <c r="J70">
        <f>'Req. Diario'!H68</f>
        <v>1.4096345575</v>
      </c>
      <c r="K70">
        <f>J70/$K$6</f>
        <v>5.220868731481481</v>
      </c>
      <c r="L70">
        <f>'Req. Diario'!I68</f>
        <v>29.5372</v>
      </c>
      <c r="M70">
        <f>L70/$M$6</f>
        <v>144.0839024390244</v>
      </c>
    </row>
    <row r="71">
      <c r="B71">
        <f>'Req. Diario'!D69</f>
        <v>4.151207279566929</v>
      </c>
      <c r="C71">
        <f>(B71-((E71*(Main!$E$25/100))+(G71*(Main!$E$30/100))+(I71*(Main!$E$41/100))+(K71*(Main!$E$46/100))))/$C$6</f>
        <v>6.490395430963124</v>
      </c>
      <c r="D71">
        <f>'Req. Diario'!E69</f>
        <v>1.8116528670499998</v>
      </c>
      <c r="E71">
        <f>D71/$E$6</f>
        <v>2.9699227328688522</v>
      </c>
      <c r="F71">
        <f>'Req. Diario'!F69</f>
        <v>5.63853823</v>
      </c>
      <c r="G71">
        <f>(F71/$G$6)</f>
        <v>9.397563716666667</v>
      </c>
      <c r="H71">
        <f>'Req. Diario'!G69</f>
        <v>0.9094</v>
      </c>
      <c r="I71">
        <f>H71/$I$6</f>
        <v>5.68375</v>
      </c>
      <c r="J71">
        <f>'Req. Diario'!H69</f>
        <v>1.4096345575</v>
      </c>
      <c r="K71">
        <f>J71/$K$6</f>
        <v>5.220868731481481</v>
      </c>
      <c r="L71">
        <f>'Req. Diario'!I69</f>
        <v>29.5372</v>
      </c>
      <c r="M71">
        <f>L71/$M$6</f>
        <v>144.0839024390244</v>
      </c>
    </row>
    <row r="72">
      <c r="B72">
        <f>'Req. Diario'!D70</f>
        <v>4.151207279566929</v>
      </c>
      <c r="C72">
        <f>(B72-((E72*(Main!$E$25/100))+(G72*(Main!$E$30/100))+(I72*(Main!$E$41/100))+(K72*(Main!$E$46/100))))/$C$6</f>
        <v>6.490395430963124</v>
      </c>
      <c r="D72">
        <f>'Req. Diario'!E70</f>
        <v>1.8116528670499998</v>
      </c>
      <c r="E72">
        <f>D72/$E$6</f>
        <v>2.9699227328688522</v>
      </c>
      <c r="F72">
        <f>'Req. Diario'!F70</f>
        <v>5.63853823</v>
      </c>
      <c r="G72">
        <f>(F72/$G$6)</f>
        <v>9.397563716666667</v>
      </c>
      <c r="H72">
        <f>'Req. Diario'!G70</f>
        <v>0.9094</v>
      </c>
      <c r="I72">
        <f>H72/$I$6</f>
        <v>5.68375</v>
      </c>
      <c r="J72">
        <f>'Req. Diario'!H70</f>
        <v>1.4096345575</v>
      </c>
      <c r="K72">
        <f>J72/$K$6</f>
        <v>5.220868731481481</v>
      </c>
      <c r="L72">
        <f>'Req. Diario'!I70</f>
        <v>29.5372</v>
      </c>
      <c r="M72">
        <f>L72/$M$6</f>
        <v>144.0839024390244</v>
      </c>
    </row>
    <row r="73">
      <c r="B73">
        <f>'Req. Diario'!D71</f>
        <v>4.151207279566929</v>
      </c>
      <c r="C73">
        <f>(B73-((E73*(Main!$E$25/100))+(G73*(Main!$E$30/100))+(I73*(Main!$E$41/100))+(K73*(Main!$E$46/100))))/$C$6</f>
        <v>6.490395430963124</v>
      </c>
      <c r="D73">
        <f>'Req. Diario'!E71</f>
        <v>1.8116528670499998</v>
      </c>
      <c r="E73">
        <f>D73/$E$6</f>
        <v>2.9699227328688522</v>
      </c>
      <c r="F73">
        <f>'Req. Diario'!F71</f>
        <v>5.63853823</v>
      </c>
      <c r="G73">
        <f>(F73/$G$6)</f>
        <v>9.397563716666667</v>
      </c>
      <c r="H73">
        <f>'Req. Diario'!G71</f>
        <v>0.9094</v>
      </c>
      <c r="I73">
        <f>H73/$I$6</f>
        <v>5.68375</v>
      </c>
      <c r="J73">
        <f>'Req. Diario'!H71</f>
        <v>1.4096345575</v>
      </c>
      <c r="K73">
        <f>J73/$K$6</f>
        <v>5.220868731481481</v>
      </c>
      <c r="L73">
        <f>'Req. Diario'!I71</f>
        <v>29.5372</v>
      </c>
      <c r="M73">
        <f>L73/$M$6</f>
        <v>144.0839024390244</v>
      </c>
    </row>
    <row r="74">
      <c r="B74">
        <f>'Req. Diario'!D72</f>
        <v>4.151207279566929</v>
      </c>
      <c r="C74">
        <f>(B74-((E74*(Main!$E$25/100))+(G74*(Main!$E$30/100))+(I74*(Main!$E$41/100))+(K74*(Main!$E$46/100))))/$C$6</f>
        <v>6.490395430963124</v>
      </c>
      <c r="D74">
        <f>'Req. Diario'!E72</f>
        <v>1.8116528670499998</v>
      </c>
      <c r="E74">
        <f>D74/$E$6</f>
        <v>2.9699227328688522</v>
      </c>
      <c r="F74">
        <f>'Req. Diario'!F72</f>
        <v>5.63853823</v>
      </c>
      <c r="G74">
        <f>(F74/$G$6)</f>
        <v>9.397563716666667</v>
      </c>
      <c r="H74">
        <f>'Req. Diario'!G72</f>
        <v>0.9094</v>
      </c>
      <c r="I74">
        <f>H74/$I$6</f>
        <v>5.68375</v>
      </c>
      <c r="J74">
        <f>'Req. Diario'!H72</f>
        <v>1.4096345575</v>
      </c>
      <c r="K74">
        <f>J74/$K$6</f>
        <v>5.220868731481481</v>
      </c>
      <c r="L74">
        <f>'Req. Diario'!I72</f>
        <v>29.5372</v>
      </c>
      <c r="M74">
        <f>L74/$M$6</f>
        <v>144.0839024390244</v>
      </c>
    </row>
    <row r="75">
      <c r="B75">
        <f>'Req. Diario'!D73</f>
        <v>4.151207279566929</v>
      </c>
      <c r="C75">
        <f>(B75-((E75*(Main!$E$25/100))+(G75*(Main!$E$30/100))+(I75*(Main!$E$41/100))+(K75*(Main!$E$46/100))))/$C$6</f>
        <v>6.490395430963124</v>
      </c>
      <c r="D75">
        <f>'Req. Diario'!E73</f>
        <v>1.8116528670499998</v>
      </c>
      <c r="E75">
        <f>D75/$E$6</f>
        <v>2.9699227328688522</v>
      </c>
      <c r="F75">
        <f>'Req. Diario'!F73</f>
        <v>5.63853823</v>
      </c>
      <c r="G75">
        <f>(F75/$G$6)</f>
        <v>9.397563716666667</v>
      </c>
      <c r="H75">
        <f>'Req. Diario'!G73</f>
        <v>0.9094</v>
      </c>
      <c r="I75">
        <f>H75/$I$6</f>
        <v>5.68375</v>
      </c>
      <c r="J75">
        <f>'Req. Diario'!H73</f>
        <v>1.4096345575</v>
      </c>
      <c r="K75">
        <f>J75/$K$6</f>
        <v>5.220868731481481</v>
      </c>
      <c r="L75">
        <f>'Req. Diario'!I73</f>
        <v>29.5372</v>
      </c>
      <c r="M75">
        <f>L75/$M$6</f>
        <v>144.0839024390244</v>
      </c>
    </row>
    <row r="76">
      <c r="B76">
        <f>'Req. Diario'!D74</f>
        <v>4.151207279566929</v>
      </c>
      <c r="C76">
        <f>(B76-((E76*(Main!$E$25/100))+(G76*(Main!$E$30/100))+(I76*(Main!$E$41/100))+(K76*(Main!$E$46/100))))/$C$6</f>
        <v>6.490395430963124</v>
      </c>
      <c r="D76">
        <f>'Req. Diario'!E74</f>
        <v>1.8116528670499998</v>
      </c>
      <c r="E76">
        <f>D76/$E$6</f>
        <v>2.9699227328688522</v>
      </c>
      <c r="F76">
        <f>'Req. Diario'!F74</f>
        <v>5.63853823</v>
      </c>
      <c r="G76">
        <f>(F76/$G$6)</f>
        <v>9.397563716666667</v>
      </c>
      <c r="H76">
        <f>'Req. Diario'!G74</f>
        <v>0.9094</v>
      </c>
      <c r="I76">
        <f>H76/$I$6</f>
        <v>5.68375</v>
      </c>
      <c r="J76">
        <f>'Req. Diario'!H74</f>
        <v>1.4096345575</v>
      </c>
      <c r="K76">
        <f>J76/$K$6</f>
        <v>5.220868731481481</v>
      </c>
      <c r="L76">
        <f>'Req. Diario'!I74</f>
        <v>29.5372</v>
      </c>
      <c r="M76">
        <f>L76/$M$6</f>
        <v>144.0839024390244</v>
      </c>
    </row>
    <row r="77">
      <c r="A77">
        <v>11</v>
      </c>
      <c r="B77">
        <f>'Req. Diario'!D75</f>
        <v>4.151207279566929</v>
      </c>
      <c r="C77">
        <f>(B77-((E77*(Main!$E$25/100))+(G77*(Main!$E$30/100))+(I77*(Main!$E$41/100))+(K77*(Main!$E$46/100))))/$C$6</f>
        <v>6.490395430963124</v>
      </c>
      <c r="D77">
        <f>'Req. Diario'!E75</f>
        <v>1.8116528670499998</v>
      </c>
      <c r="E77">
        <f>D77/$E$6</f>
        <v>2.9699227328688522</v>
      </c>
      <c r="F77">
        <f>'Req. Diario'!F75</f>
        <v>5.63853823</v>
      </c>
      <c r="G77">
        <f>(F77/$G$6)</f>
        <v>9.397563716666667</v>
      </c>
      <c r="H77">
        <f>'Req. Diario'!G75</f>
        <v>0.9094</v>
      </c>
      <c r="I77">
        <f>H77/$I$6</f>
        <v>5.68375</v>
      </c>
      <c r="J77">
        <f>'Req. Diario'!H75</f>
        <v>1.4096345575</v>
      </c>
      <c r="K77">
        <f>J77/$K$6</f>
        <v>5.220868731481481</v>
      </c>
      <c r="L77">
        <f>'Req. Diario'!I75</f>
        <v>29.5372</v>
      </c>
      <c r="M77">
        <f>L77/$M$6</f>
        <v>144.0839024390244</v>
      </c>
    </row>
    <row r="78">
      <c r="B78">
        <f>'Req. Diario'!D76</f>
        <v>4.151207279566929</v>
      </c>
      <c r="C78">
        <f>(B78-((E78*(Main!$E$25/100))+(G78*(Main!$E$30/100))+(I78*(Main!$E$41/100))+(K78*(Main!$E$46/100))))/$C$6</f>
        <v>6.490395430963124</v>
      </c>
      <c r="D78">
        <f>'Req. Diario'!E76</f>
        <v>1.8116528670499998</v>
      </c>
      <c r="E78">
        <f>D78/$E$6</f>
        <v>2.9699227328688522</v>
      </c>
      <c r="F78">
        <f>'Req. Diario'!F76</f>
        <v>5.63853823</v>
      </c>
      <c r="G78">
        <f>(F78/$G$6)</f>
        <v>9.397563716666667</v>
      </c>
      <c r="H78">
        <f>'Req. Diario'!G76</f>
        <v>0.9094</v>
      </c>
      <c r="I78">
        <f>H78/$I$6</f>
        <v>5.68375</v>
      </c>
      <c r="J78">
        <f>'Req. Diario'!H76</f>
        <v>1.4096345575</v>
      </c>
      <c r="K78">
        <f>J78/$K$6</f>
        <v>5.220868731481481</v>
      </c>
      <c r="L78">
        <f>'Req. Diario'!I76</f>
        <v>29.5372</v>
      </c>
      <c r="M78">
        <f>L78/$M$6</f>
        <v>144.0839024390244</v>
      </c>
    </row>
    <row r="79">
      <c r="B79">
        <f>'Req. Diario'!D77</f>
        <v>4.151207279566929</v>
      </c>
      <c r="C79">
        <f>(B79-((E79*(Main!$E$25/100))+(G79*(Main!$E$30/100))+(I79*(Main!$E$41/100))+(K79*(Main!$E$46/100))))/$C$6</f>
        <v>6.490395430963124</v>
      </c>
      <c r="D79">
        <f>'Req. Diario'!E77</f>
        <v>1.8116528670499998</v>
      </c>
      <c r="E79">
        <f>D79/$E$6</f>
        <v>2.9699227328688522</v>
      </c>
      <c r="F79">
        <f>'Req. Diario'!F77</f>
        <v>5.63853823</v>
      </c>
      <c r="G79">
        <f>(F79/$G$6)</f>
        <v>9.397563716666667</v>
      </c>
      <c r="H79">
        <f>'Req. Diario'!G77</f>
        <v>0.9094</v>
      </c>
      <c r="I79">
        <f>H79/$I$6</f>
        <v>5.68375</v>
      </c>
      <c r="J79">
        <f>'Req. Diario'!H77</f>
        <v>1.4096345575</v>
      </c>
      <c r="K79">
        <f>J79/$K$6</f>
        <v>5.220868731481481</v>
      </c>
      <c r="L79">
        <f>'Req. Diario'!I77</f>
        <v>29.5372</v>
      </c>
      <c r="M79">
        <f>L79/$M$6</f>
        <v>144.0839024390244</v>
      </c>
    </row>
    <row r="80">
      <c r="B80">
        <f>'Req. Diario'!D78</f>
        <v>4.151207279566929</v>
      </c>
      <c r="C80">
        <f>(B80-((E80*(Main!$E$25/100))+(G80*(Main!$E$30/100))+(I80*(Main!$E$41/100))+(K80*(Main!$E$46/100))))/$C$6</f>
        <v>6.490395430963124</v>
      </c>
      <c r="D80">
        <f>'Req. Diario'!E78</f>
        <v>1.8116528670499998</v>
      </c>
      <c r="E80">
        <f>D80/$E$6</f>
        <v>2.9699227328688522</v>
      </c>
      <c r="F80">
        <f>'Req. Diario'!F78</f>
        <v>5.63853823</v>
      </c>
      <c r="G80">
        <f>(F80/$G$6)</f>
        <v>9.397563716666667</v>
      </c>
      <c r="H80">
        <f>'Req. Diario'!G78</f>
        <v>0.9094</v>
      </c>
      <c r="I80">
        <f>H80/$I$6</f>
        <v>5.68375</v>
      </c>
      <c r="J80">
        <f>'Req. Diario'!H78</f>
        <v>1.4096345575</v>
      </c>
      <c r="K80">
        <f>J80/$K$6</f>
        <v>5.220868731481481</v>
      </c>
      <c r="L80">
        <f>'Req. Diario'!I78</f>
        <v>29.5372</v>
      </c>
      <c r="M80">
        <f>L80/$M$6</f>
        <v>144.0839024390244</v>
      </c>
    </row>
    <row r="81">
      <c r="B81">
        <f>'Req. Diario'!D79</f>
        <v>4.151207279566929</v>
      </c>
      <c r="C81">
        <f>(B81-((E81*(Main!$E$25/100))+(G81*(Main!$E$30/100))+(I81*(Main!$E$41/100))+(K81*(Main!$E$46/100))))/$C$6</f>
        <v>6.490395430963124</v>
      </c>
      <c r="D81">
        <f>'Req. Diario'!E79</f>
        <v>1.8116528670499998</v>
      </c>
      <c r="E81">
        <f>D81/$E$6</f>
        <v>2.9699227328688522</v>
      </c>
      <c r="F81">
        <f>'Req. Diario'!F79</f>
        <v>5.63853823</v>
      </c>
      <c r="G81">
        <f>(F81/$G$6)</f>
        <v>9.397563716666667</v>
      </c>
      <c r="H81">
        <f>'Req. Diario'!G79</f>
        <v>0.9094</v>
      </c>
      <c r="I81">
        <f>H81/$I$6</f>
        <v>5.68375</v>
      </c>
      <c r="J81">
        <f>'Req. Diario'!H79</f>
        <v>1.4096345575</v>
      </c>
      <c r="K81">
        <f>J81/$K$6</f>
        <v>5.220868731481481</v>
      </c>
      <c r="L81">
        <f>'Req. Diario'!I79</f>
        <v>29.5372</v>
      </c>
      <c r="M81">
        <f>L81/$M$6</f>
        <v>144.0839024390244</v>
      </c>
    </row>
    <row r="82">
      <c r="B82">
        <f>'Req. Diario'!D80</f>
        <v>4.151207279566929</v>
      </c>
      <c r="C82">
        <f>(B82-((E82*(Main!$E$25/100))+(G82*(Main!$E$30/100))+(I82*(Main!$E$41/100))+(K82*(Main!$E$46/100))))/$C$6</f>
        <v>6.490395430963124</v>
      </c>
      <c r="D82">
        <f>'Req. Diario'!E80</f>
        <v>1.8116528670499998</v>
      </c>
      <c r="E82">
        <f>D82/$E$6</f>
        <v>2.9699227328688522</v>
      </c>
      <c r="F82">
        <f>'Req. Diario'!F80</f>
        <v>5.63853823</v>
      </c>
      <c r="G82">
        <f>(F82/$G$6)</f>
        <v>9.397563716666667</v>
      </c>
      <c r="H82">
        <f>'Req. Diario'!G80</f>
        <v>0.9094</v>
      </c>
      <c r="I82">
        <f>H82/$I$6</f>
        <v>5.68375</v>
      </c>
      <c r="J82">
        <f>'Req. Diario'!H80</f>
        <v>1.4096345575</v>
      </c>
      <c r="K82">
        <f>J82/$K$6</f>
        <v>5.220868731481481</v>
      </c>
      <c r="L82">
        <f>'Req. Diario'!I80</f>
        <v>29.5372</v>
      </c>
      <c r="M82">
        <f>L82/$M$6</f>
        <v>144.0839024390244</v>
      </c>
    </row>
    <row r="83">
      <c r="B83">
        <f>'Req. Diario'!D81</f>
        <v>4.151207279566929</v>
      </c>
      <c r="C83">
        <f>(B83-((E83*(Main!$E$25/100))+(G83*(Main!$E$30/100))+(I83*(Main!$E$41/100))+(K83*(Main!$E$46/100))))/$C$6</f>
        <v>6.490395430963124</v>
      </c>
      <c r="D83">
        <f>'Req. Diario'!E81</f>
        <v>1.8116528670499998</v>
      </c>
      <c r="E83">
        <f>D83/$E$6</f>
        <v>2.9699227328688522</v>
      </c>
      <c r="F83">
        <f>'Req. Diario'!F81</f>
        <v>5.63853823</v>
      </c>
      <c r="G83">
        <f>(F83/$G$6)</f>
        <v>9.397563716666667</v>
      </c>
      <c r="H83">
        <f>'Req. Diario'!G81</f>
        <v>0.9094</v>
      </c>
      <c r="I83">
        <f>H83/$I$6</f>
        <v>5.68375</v>
      </c>
      <c r="J83">
        <f>'Req. Diario'!H81</f>
        <v>1.4096345575</v>
      </c>
      <c r="K83">
        <f>J83/$K$6</f>
        <v>5.220868731481481</v>
      </c>
      <c r="L83">
        <f>'Req. Diario'!I81</f>
        <v>29.5372</v>
      </c>
      <c r="M83">
        <f>L83/$M$6</f>
        <v>144.0839024390244</v>
      </c>
    </row>
    <row r="84">
      <c r="A84">
        <v>12</v>
      </c>
      <c r="B84">
        <f>'Req. Diario'!D82</f>
        <v>3.1117248089547247</v>
      </c>
      <c r="C84">
        <f>(B84-((E84*(Main!$E$25/100))+(G84*(Main!$E$30/100))+(I84*(Main!$E$41/100))+(K84*(Main!$E$46/100))))/$C$6</f>
        <v>4.67116460074235</v>
      </c>
      <c r="D84">
        <f>'Req. Diario'!E82</f>
        <v>1.8116528670499998</v>
      </c>
      <c r="E84">
        <f>D84/$E$6</f>
        <v>2.9699227328688522</v>
      </c>
      <c r="F84">
        <f>'Req. Diario'!F82</f>
        <v>4.2266208635</v>
      </c>
      <c r="G84">
        <f>(F84/$G$6)</f>
        <v>7.044368105833334</v>
      </c>
      <c r="H84">
        <f>'Req. Diario'!G82</f>
        <v>0.68168</v>
      </c>
      <c r="I84">
        <f>H84/$I$6</f>
        <v>4.2604999999999995</v>
      </c>
      <c r="J84">
        <f>'Req. Diario'!H82</f>
        <v>1.056655215875</v>
      </c>
      <c r="K84">
        <f>J84/$K$6</f>
        <v>3.913537836574074</v>
      </c>
      <c r="L84">
        <f>'Req. Diario'!I82</f>
        <v>29.5372</v>
      </c>
      <c r="M84">
        <f>L84/$M$6</f>
        <v>144.0839024390244</v>
      </c>
    </row>
    <row r="85">
      <c r="B85">
        <f>'Req. Diario'!D83</f>
        <v>3.1117248089547247</v>
      </c>
      <c r="C85">
        <f>(B85-((E85*(Main!$E$25/100))+(G85*(Main!$E$30/100))+(I85*(Main!$E$41/100))+(K85*(Main!$E$46/100))))/$C$6</f>
        <v>4.67116460074235</v>
      </c>
      <c r="D85">
        <f>'Req. Diario'!E83</f>
        <v>1.8116528670499998</v>
      </c>
      <c r="E85">
        <f>D85/$E$6</f>
        <v>2.9699227328688522</v>
      </c>
      <c r="F85">
        <f>'Req. Diario'!F83</f>
        <v>4.2266208635</v>
      </c>
      <c r="G85">
        <f>(F85/$G$6)</f>
        <v>7.044368105833334</v>
      </c>
      <c r="H85">
        <f>'Req. Diario'!G83</f>
        <v>0.68168</v>
      </c>
      <c r="I85">
        <f>H85/$I$6</f>
        <v>4.2604999999999995</v>
      </c>
      <c r="J85">
        <f>'Req. Diario'!H83</f>
        <v>1.056655215875</v>
      </c>
      <c r="K85">
        <f>J85/$K$6</f>
        <v>3.913537836574074</v>
      </c>
      <c r="L85">
        <f>'Req. Diario'!I83</f>
        <v>29.5372</v>
      </c>
      <c r="M85">
        <f>L85/$M$6</f>
        <v>144.0839024390244</v>
      </c>
    </row>
    <row r="86">
      <c r="B86">
        <f>'Req. Diario'!D84</f>
        <v>3.1117248089547247</v>
      </c>
      <c r="C86">
        <f>(B86-((E86*(Main!$E$25/100))+(G86*(Main!$E$30/100))+(I86*(Main!$E$41/100))+(K86*(Main!$E$46/100))))/$C$6</f>
        <v>4.67116460074235</v>
      </c>
      <c r="D86">
        <f>'Req. Diario'!E84</f>
        <v>1.8116528670499998</v>
      </c>
      <c r="E86">
        <f>D86/$E$6</f>
        <v>2.9699227328688522</v>
      </c>
      <c r="F86">
        <f>'Req. Diario'!F84</f>
        <v>4.2266208635</v>
      </c>
      <c r="G86">
        <f>(F86/$G$6)</f>
        <v>7.044368105833334</v>
      </c>
      <c r="H86">
        <f>'Req. Diario'!G84</f>
        <v>0.68168</v>
      </c>
      <c r="I86">
        <f>H86/$I$6</f>
        <v>4.2604999999999995</v>
      </c>
      <c r="J86">
        <f>'Req. Diario'!H84</f>
        <v>1.056655215875</v>
      </c>
      <c r="K86">
        <f>J86/$K$6</f>
        <v>3.913537836574074</v>
      </c>
      <c r="L86">
        <f>'Req. Diario'!I84</f>
        <v>29.5372</v>
      </c>
      <c r="M86">
        <f>L86/$M$6</f>
        <v>144.0839024390244</v>
      </c>
    </row>
    <row r="87">
      <c r="B87">
        <f>'Req. Diario'!D85</f>
        <v>3.1117248089547247</v>
      </c>
      <c r="C87">
        <f>(B87-((E87*(Main!$E$25/100))+(G87*(Main!$E$30/100))+(I87*(Main!$E$41/100))+(K87*(Main!$E$46/100))))/$C$6</f>
        <v>4.67116460074235</v>
      </c>
      <c r="D87">
        <f>'Req. Diario'!E85</f>
        <v>1.8116528670499998</v>
      </c>
      <c r="E87">
        <f>D87/$E$6</f>
        <v>2.9699227328688522</v>
      </c>
      <c r="F87">
        <f>'Req. Diario'!F85</f>
        <v>4.2266208635</v>
      </c>
      <c r="G87">
        <f>(F87/$G$6)</f>
        <v>7.044368105833334</v>
      </c>
      <c r="H87">
        <f>'Req. Diario'!G85</f>
        <v>0.68168</v>
      </c>
      <c r="I87">
        <f>H87/$I$6</f>
        <v>4.2604999999999995</v>
      </c>
      <c r="J87">
        <f>'Req. Diario'!H85</f>
        <v>1.056655215875</v>
      </c>
      <c r="K87">
        <f>J87/$K$6</f>
        <v>3.913537836574074</v>
      </c>
      <c r="L87">
        <f>'Req. Diario'!I85</f>
        <v>35.6483</v>
      </c>
      <c r="M87">
        <f>L87/$M$6</f>
        <v>173.89414634146343</v>
      </c>
    </row>
    <row r="88">
      <c r="B88">
        <f>'Req. Diario'!D86</f>
        <v>3.1117248089547247</v>
      </c>
      <c r="C88">
        <f>(B88-((E88*(Main!$E$25/100))+(G88*(Main!$E$30/100))+(I88*(Main!$E$41/100))+(K88*(Main!$E$46/100))))/$C$6</f>
        <v>4.67116460074235</v>
      </c>
      <c r="D88">
        <f>'Req. Diario'!E86</f>
        <v>1.8116528670499998</v>
      </c>
      <c r="E88">
        <f>D88/$E$6</f>
        <v>2.9699227328688522</v>
      </c>
      <c r="F88">
        <f>'Req. Diario'!F86</f>
        <v>4.2266208635</v>
      </c>
      <c r="G88">
        <f>(F88/$G$6)</f>
        <v>7.044368105833334</v>
      </c>
      <c r="H88">
        <f>'Req. Diario'!G86</f>
        <v>0.68168</v>
      </c>
      <c r="I88">
        <f>H88/$I$6</f>
        <v>4.2604999999999995</v>
      </c>
      <c r="J88">
        <f>'Req. Diario'!H86</f>
        <v>1.056655215875</v>
      </c>
      <c r="K88">
        <f>J88/$K$6</f>
        <v>3.913537836574074</v>
      </c>
      <c r="L88">
        <f>'Req. Diario'!I86</f>
        <v>35.6483</v>
      </c>
      <c r="M88">
        <f>L88/$M$6</f>
        <v>173.89414634146343</v>
      </c>
    </row>
    <row r="89">
      <c r="B89">
        <f>'Req. Diario'!D87</f>
        <v>3.1117248089547247</v>
      </c>
      <c r="C89">
        <f>(B89-((E89*(Main!$E$25/100))+(G89*(Main!$E$30/100))+(I89*(Main!$E$41/100))+(K89*(Main!$E$46/100))))/$C$6</f>
        <v>4.67116460074235</v>
      </c>
      <c r="D89">
        <f>'Req. Diario'!E87</f>
        <v>1.8116528670499998</v>
      </c>
      <c r="E89">
        <f>D89/$E$6</f>
        <v>2.9699227328688522</v>
      </c>
      <c r="F89">
        <f>'Req. Diario'!F87</f>
        <v>4.2266208635</v>
      </c>
      <c r="G89">
        <f>(F89/$G$6)</f>
        <v>7.044368105833334</v>
      </c>
      <c r="H89">
        <f>'Req. Diario'!G87</f>
        <v>0.68168</v>
      </c>
      <c r="I89">
        <f>H89/$I$6</f>
        <v>4.2604999999999995</v>
      </c>
      <c r="J89">
        <f>'Req. Diario'!H87</f>
        <v>1.056655215875</v>
      </c>
      <c r="K89">
        <f>J89/$K$6</f>
        <v>3.913537836574074</v>
      </c>
      <c r="L89">
        <f>'Req. Diario'!I87</f>
        <v>35.6483</v>
      </c>
      <c r="M89">
        <f>L89/$M$6</f>
        <v>173.89414634146343</v>
      </c>
    </row>
    <row r="90">
      <c r="B90">
        <f>'Req. Diario'!D88</f>
        <v>3.1117248089547247</v>
      </c>
      <c r="C90">
        <f>(B90-((E90*(Main!$E$25/100))+(G90*(Main!$E$30/100))+(I90*(Main!$E$41/100))+(K90*(Main!$E$46/100))))/$C$6</f>
        <v>4.67116460074235</v>
      </c>
      <c r="D90">
        <f>'Req. Diario'!E88</f>
        <v>1.8116528670499998</v>
      </c>
      <c r="E90">
        <f>D90/$E$6</f>
        <v>2.9699227328688522</v>
      </c>
      <c r="F90">
        <f>'Req. Diario'!F88</f>
        <v>4.2266208635</v>
      </c>
      <c r="G90">
        <f>(F90/$G$6)</f>
        <v>7.044368105833334</v>
      </c>
      <c r="H90">
        <f>'Req. Diario'!G88</f>
        <v>0.68168</v>
      </c>
      <c r="I90">
        <f>H90/$I$6</f>
        <v>4.2604999999999995</v>
      </c>
      <c r="J90">
        <f>'Req. Diario'!H88</f>
        <v>1.056655215875</v>
      </c>
      <c r="K90">
        <f>J90/$K$6</f>
        <v>3.913537836574074</v>
      </c>
      <c r="L90">
        <f>'Req. Diario'!I88</f>
        <v>35.6483</v>
      </c>
      <c r="M90">
        <f>L90/$M$6</f>
        <v>173.89414634146343</v>
      </c>
    </row>
    <row r="91">
      <c r="A91">
        <v>13</v>
      </c>
      <c r="B91">
        <f>'Req. Diario'!D89</f>
        <v>3.1117248089547247</v>
      </c>
      <c r="C91">
        <f>(B91-((E91*(Main!$E$25/100))+(G91*(Main!$E$30/100))+(I91*(Main!$E$41/100))+(K91*(Main!$E$46/100))))/$C$6</f>
        <v>4.67116460074235</v>
      </c>
      <c r="D91">
        <f>'Req. Diario'!E89</f>
        <v>1.8116528670499998</v>
      </c>
      <c r="E91">
        <f>D91/$E$6</f>
        <v>2.9699227328688522</v>
      </c>
      <c r="F91">
        <f>'Req. Diario'!F89</f>
        <v>4.2266208635</v>
      </c>
      <c r="G91">
        <f>(F91/$G$6)</f>
        <v>7.044368105833334</v>
      </c>
      <c r="H91">
        <f>'Req. Diario'!G89</f>
        <v>0.68168</v>
      </c>
      <c r="I91">
        <f>H91/$I$6</f>
        <v>4.2604999999999995</v>
      </c>
      <c r="J91">
        <f>'Req. Diario'!H89</f>
        <v>1.056655215875</v>
      </c>
      <c r="K91">
        <f>J91/$K$6</f>
        <v>3.913537836574074</v>
      </c>
      <c r="L91">
        <f>'Req. Diario'!I89</f>
        <v>35.6483</v>
      </c>
      <c r="M91">
        <f>L91/$M$6</f>
        <v>173.89414634146343</v>
      </c>
    </row>
    <row r="92">
      <c r="B92">
        <f>'Req. Diario'!D90</f>
        <v>3.1117248089547247</v>
      </c>
      <c r="C92">
        <f>(B92-((E92*(Main!$E$25/100))+(G92*(Main!$E$30/100))+(I92*(Main!$E$41/100))+(K92*(Main!$E$46/100))))/$C$6</f>
        <v>4.67116460074235</v>
      </c>
      <c r="D92">
        <f>'Req. Diario'!E90</f>
        <v>1.8116528670499998</v>
      </c>
      <c r="E92">
        <f>D92/$E$6</f>
        <v>2.9699227328688522</v>
      </c>
      <c r="F92">
        <f>'Req. Diario'!F90</f>
        <v>4.2266208635</v>
      </c>
      <c r="G92">
        <f>(F92/$G$6)</f>
        <v>7.044368105833334</v>
      </c>
      <c r="H92">
        <f>'Req. Diario'!G90</f>
        <v>0.68168</v>
      </c>
      <c r="I92">
        <f>H92/$I$6</f>
        <v>4.2604999999999995</v>
      </c>
      <c r="J92">
        <f>'Req. Diario'!H90</f>
        <v>1.056655215875</v>
      </c>
      <c r="K92">
        <f>J92/$K$6</f>
        <v>3.913537836574074</v>
      </c>
      <c r="L92">
        <f>'Req. Diario'!I90</f>
        <v>35.6483</v>
      </c>
      <c r="M92">
        <f>L92/$M$6</f>
        <v>173.89414634146343</v>
      </c>
    </row>
    <row r="93">
      <c r="B93">
        <f>'Req. Diario'!D91</f>
        <v>3.1117248089547247</v>
      </c>
      <c r="C93">
        <f>(B93-((E93*(Main!$E$25/100))+(G93*(Main!$E$30/100))+(I93*(Main!$E$41/100))+(K93*(Main!$E$46/100))))/$C$6</f>
        <v>4.67116460074235</v>
      </c>
      <c r="D93">
        <f>'Req. Diario'!E91</f>
        <v>1.8116528670499998</v>
      </c>
      <c r="E93">
        <f>D93/$E$6</f>
        <v>2.9699227328688522</v>
      </c>
      <c r="F93">
        <f>'Req. Diario'!F91</f>
        <v>4.2266208635</v>
      </c>
      <c r="G93">
        <f>(F93/$G$6)</f>
        <v>7.044368105833334</v>
      </c>
      <c r="H93">
        <f>'Req. Diario'!G91</f>
        <v>0.68168</v>
      </c>
      <c r="I93">
        <f>H93/$I$6</f>
        <v>4.2604999999999995</v>
      </c>
      <c r="J93">
        <f>'Req. Diario'!H91</f>
        <v>1.056655215875</v>
      </c>
      <c r="K93">
        <f>J93/$K$6</f>
        <v>3.913537836574074</v>
      </c>
      <c r="L93">
        <f>'Req. Diario'!I91</f>
        <v>35.6483</v>
      </c>
      <c r="M93">
        <f>L93/$M$6</f>
        <v>173.89414634146343</v>
      </c>
    </row>
    <row r="94">
      <c r="B94">
        <f>'Req. Diario'!D92</f>
        <v>3.1117248089547247</v>
      </c>
      <c r="C94">
        <f>(B94-((E94*(Main!$E$25/100))+(G94*(Main!$E$30/100))+(I94*(Main!$E$41/100))+(K94*(Main!$E$46/100))))/$C$6</f>
        <v>4.67116460074235</v>
      </c>
      <c r="D94">
        <f>'Req. Diario'!E92</f>
        <v>1.8116528670499998</v>
      </c>
      <c r="E94">
        <f>D94/$E$6</f>
        <v>2.9699227328688522</v>
      </c>
      <c r="F94">
        <f>'Req. Diario'!F92</f>
        <v>4.2266208635</v>
      </c>
      <c r="G94">
        <f>(F94/$G$6)</f>
        <v>7.044368105833334</v>
      </c>
      <c r="H94">
        <f>'Req. Diario'!G92</f>
        <v>0.68168</v>
      </c>
      <c r="I94">
        <f>H94/$I$6</f>
        <v>4.2604999999999995</v>
      </c>
      <c r="J94">
        <f>'Req. Diario'!H92</f>
        <v>1.056655215875</v>
      </c>
      <c r="K94">
        <f>J94/$K$6</f>
        <v>3.913537836574074</v>
      </c>
      <c r="L94">
        <f>'Req. Diario'!I92</f>
        <v>35.6483</v>
      </c>
      <c r="M94">
        <f>L94/$M$6</f>
        <v>173.89414634146343</v>
      </c>
    </row>
    <row r="95">
      <c r="B95">
        <f>'Req. Diario'!D93</f>
        <v>3.1117248089547247</v>
      </c>
      <c r="C95">
        <f>(B95-((E95*(Main!$E$25/100))+(G95*(Main!$E$30/100))+(I95*(Main!$E$41/100))+(K95*(Main!$E$46/100))))/$C$6</f>
        <v>4.67116460074235</v>
      </c>
      <c r="D95">
        <f>'Req. Diario'!E93</f>
        <v>1.8116528670499998</v>
      </c>
      <c r="E95">
        <f>D95/$E$6</f>
        <v>2.9699227328688522</v>
      </c>
      <c r="F95">
        <f>'Req. Diario'!F93</f>
        <v>4.2266208635</v>
      </c>
      <c r="G95">
        <f>(F95/$G$6)</f>
        <v>7.044368105833334</v>
      </c>
      <c r="H95">
        <f>'Req. Diario'!G93</f>
        <v>0.68168</v>
      </c>
      <c r="I95">
        <f>H95/$I$6</f>
        <v>4.2604999999999995</v>
      </c>
      <c r="J95">
        <f>'Req. Diario'!H93</f>
        <v>1.056655215875</v>
      </c>
      <c r="K95">
        <f>J95/$K$6</f>
        <v>3.913537836574074</v>
      </c>
      <c r="L95">
        <f>'Req. Diario'!I93</f>
        <v>35.6483</v>
      </c>
      <c r="M95">
        <f>L95/$M$6</f>
        <v>173.89414634146343</v>
      </c>
    </row>
    <row r="96">
      <c r="B96">
        <f>'Req. Diario'!D94</f>
        <v>3.1117248089547247</v>
      </c>
      <c r="C96">
        <f>(B96-((E96*(Main!$E$25/100))+(G96*(Main!$E$30/100))+(I96*(Main!$E$41/100))+(K96*(Main!$E$46/100))))/$C$6</f>
        <v>4.67116460074235</v>
      </c>
      <c r="D96">
        <f>'Req. Diario'!E94</f>
        <v>1.8116528670499998</v>
      </c>
      <c r="E96">
        <f>D96/$E$6</f>
        <v>2.9699227328688522</v>
      </c>
      <c r="F96">
        <f>'Req. Diario'!F94</f>
        <v>4.2266208635</v>
      </c>
      <c r="G96">
        <f>(F96/$G$6)</f>
        <v>7.044368105833334</v>
      </c>
      <c r="H96">
        <f>'Req. Diario'!G94</f>
        <v>0.68168</v>
      </c>
      <c r="I96">
        <f>H96/$I$6</f>
        <v>4.2604999999999995</v>
      </c>
      <c r="J96">
        <f>'Req. Diario'!H94</f>
        <v>1.056655215875</v>
      </c>
      <c r="K96">
        <f>J96/$K$6</f>
        <v>3.913537836574074</v>
      </c>
      <c r="L96">
        <f>'Req. Diario'!I94</f>
        <v>35.6483</v>
      </c>
      <c r="M96">
        <f>L96/$M$6</f>
        <v>173.89414634146343</v>
      </c>
    </row>
    <row r="97">
      <c r="B97">
        <f>'Req. Diario'!D95</f>
        <v>3.1117248089547247</v>
      </c>
      <c r="C97">
        <f>(B97-((E97*(Main!$E$25/100))+(G97*(Main!$E$30/100))+(I97*(Main!$E$41/100))+(K97*(Main!$E$46/100))))/$C$6</f>
        <v>4.67116460074235</v>
      </c>
      <c r="D97">
        <f>'Req. Diario'!E95</f>
        <v>1.8116528670499998</v>
      </c>
      <c r="E97">
        <f>D97/$E$6</f>
        <v>2.9699227328688522</v>
      </c>
      <c r="F97">
        <f>'Req. Diario'!F95</f>
        <v>4.2266208635</v>
      </c>
      <c r="G97">
        <f>(F97/$G$6)</f>
        <v>7.044368105833334</v>
      </c>
      <c r="H97">
        <f>'Req. Diario'!G95</f>
        <v>0.68168</v>
      </c>
      <c r="I97">
        <f>H97/$I$6</f>
        <v>4.2604999999999995</v>
      </c>
      <c r="J97">
        <f>'Req. Diario'!H95</f>
        <v>1.056655215875</v>
      </c>
      <c r="K97">
        <f>J97/$K$6</f>
        <v>3.913537836574074</v>
      </c>
      <c r="L97">
        <f>'Req. Diario'!I95</f>
        <v>35.6483</v>
      </c>
      <c r="M97">
        <f>L97/$M$6</f>
        <v>173.89414634146343</v>
      </c>
    </row>
    <row r="98">
      <c r="A98">
        <v>14</v>
      </c>
      <c r="B98">
        <f>'Req. Diario'!D96</f>
        <v>3.1117248089547247</v>
      </c>
      <c r="C98">
        <f>(B98-((E98*(Main!$E$25/100))+(G98*(Main!$E$30/100))+(I98*(Main!$E$41/100))+(K98*(Main!$E$46/100))))/$C$6</f>
        <v>4.67116460074235</v>
      </c>
      <c r="D98">
        <f>'Req. Diario'!E96</f>
        <v>1.8116528670499998</v>
      </c>
      <c r="E98">
        <f>D98/$E$6</f>
        <v>2.9699227328688522</v>
      </c>
      <c r="F98">
        <f>'Req. Diario'!F96</f>
        <v>4.2266208635</v>
      </c>
      <c r="G98">
        <f>(F98/$G$6)</f>
        <v>7.044368105833334</v>
      </c>
      <c r="H98">
        <f>'Req. Diario'!G96</f>
        <v>0.68168</v>
      </c>
      <c r="I98">
        <f>H98/$I$6</f>
        <v>4.2604999999999995</v>
      </c>
      <c r="J98">
        <f>'Req. Diario'!H96</f>
        <v>1.056655215875</v>
      </c>
      <c r="K98">
        <f>J98/$K$6</f>
        <v>3.913537836574074</v>
      </c>
      <c r="L98">
        <f>'Req. Diario'!I96</f>
        <v>35.6483</v>
      </c>
      <c r="M98">
        <f>L98/$M$6</f>
        <v>173.89414634146343</v>
      </c>
    </row>
    <row r="99">
      <c r="B99">
        <f>'Req. Diario'!D97</f>
        <v>3.1117248089547247</v>
      </c>
      <c r="C99">
        <f>(B99-((E99*(Main!$E$25/100))+(G99*(Main!$E$30/100))+(I99*(Main!$E$41/100))+(K99*(Main!$E$46/100))))/$C$6</f>
        <v>4.67116460074235</v>
      </c>
      <c r="D99">
        <f>'Req. Diario'!E97</f>
        <v>1.8116528670499998</v>
      </c>
      <c r="E99">
        <f>D99/$E$6</f>
        <v>2.9699227328688522</v>
      </c>
      <c r="F99">
        <f>'Req. Diario'!F97</f>
        <v>4.2266208635</v>
      </c>
      <c r="G99">
        <f>(F99/$G$6)</f>
        <v>7.044368105833334</v>
      </c>
      <c r="H99">
        <f>'Req. Diario'!G97</f>
        <v>0.68168</v>
      </c>
      <c r="I99">
        <f>H99/$I$6</f>
        <v>4.2604999999999995</v>
      </c>
      <c r="J99">
        <f>'Req. Diario'!H97</f>
        <v>1.056655215875</v>
      </c>
      <c r="K99">
        <f>J99/$K$6</f>
        <v>3.913537836574074</v>
      </c>
      <c r="L99">
        <f>'Req. Diario'!I97</f>
        <v>35.6483</v>
      </c>
      <c r="M99">
        <f>L99/$M$6</f>
        <v>173.89414634146343</v>
      </c>
    </row>
    <row r="100">
      <c r="B100">
        <f>'Req. Diario'!D98</f>
        <v>3.1117248089547247</v>
      </c>
      <c r="C100">
        <f>(B100-((E100*(Main!$E$25/100))+(G100*(Main!$E$30/100))+(I100*(Main!$E$41/100))+(K100*(Main!$E$46/100))))/$C$6</f>
        <v>4.67116460074235</v>
      </c>
      <c r="D100">
        <f>'Req. Diario'!E98</f>
        <v>1.8116528670499998</v>
      </c>
      <c r="E100">
        <f>D100/$E$6</f>
        <v>2.9699227328688522</v>
      </c>
      <c r="F100">
        <f>'Req. Diario'!F98</f>
        <v>4.2266208635</v>
      </c>
      <c r="G100">
        <f>(F100/$G$6)</f>
        <v>7.044368105833334</v>
      </c>
      <c r="H100">
        <f>'Req. Diario'!G98</f>
        <v>0.68168</v>
      </c>
      <c r="I100">
        <f>H100/$I$6</f>
        <v>4.2604999999999995</v>
      </c>
      <c r="J100">
        <f>'Req. Diario'!H98</f>
        <v>1.056655215875</v>
      </c>
      <c r="K100">
        <f>J100/$K$6</f>
        <v>3.913537836574074</v>
      </c>
      <c r="L100">
        <f>'Req. Diario'!I98</f>
        <v>35.6483</v>
      </c>
      <c r="M100">
        <f>L100/$M$6</f>
        <v>173.89414634146343</v>
      </c>
    </row>
    <row r="101">
      <c r="B101">
        <f>'Req. Diario'!D99</f>
        <v>3.1117248089547247</v>
      </c>
      <c r="C101">
        <f>(B101-((E101*(Main!$E$25/100))+(G101*(Main!$E$30/100))+(I101*(Main!$E$41/100))+(K101*(Main!$E$46/100))))/$C$6</f>
        <v>4.67116460074235</v>
      </c>
      <c r="D101">
        <f>'Req. Diario'!E99</f>
        <v>1.8116528670499998</v>
      </c>
      <c r="E101">
        <f>D101/$E$6</f>
        <v>2.9699227328688522</v>
      </c>
      <c r="F101">
        <f>'Req. Diario'!F99</f>
        <v>4.2266208635</v>
      </c>
      <c r="G101">
        <f>(F101/$G$6)</f>
        <v>7.044368105833334</v>
      </c>
      <c r="H101">
        <f>'Req. Diario'!G99</f>
        <v>0.68168</v>
      </c>
      <c r="I101">
        <f>H101/$I$6</f>
        <v>4.2604999999999995</v>
      </c>
      <c r="J101">
        <f>'Req. Diario'!H99</f>
        <v>1.056655215875</v>
      </c>
      <c r="K101">
        <f>J101/$K$6</f>
        <v>3.913537836574074</v>
      </c>
      <c r="L101">
        <f>'Req. Diario'!I99</f>
        <v>35.6483</v>
      </c>
      <c r="M101">
        <f>L101/$M$6</f>
        <v>173.89414634146343</v>
      </c>
    </row>
    <row r="102">
      <c r="B102">
        <f>'Req. Diario'!D100</f>
        <v>3.1117248089547247</v>
      </c>
      <c r="C102">
        <f>(B102-((E102*(Main!$E$25/100))+(G102*(Main!$E$30/100))+(I102*(Main!$E$41/100))+(K102*(Main!$E$46/100))))/$C$6</f>
        <v>4.67116460074235</v>
      </c>
      <c r="D102">
        <f>'Req. Diario'!E100</f>
        <v>1.8116528670499998</v>
      </c>
      <c r="E102">
        <f>D102/$E$6</f>
        <v>2.9699227328688522</v>
      </c>
      <c r="F102">
        <f>'Req. Diario'!F100</f>
        <v>4.2266208635</v>
      </c>
      <c r="G102">
        <f>(F102/$G$6)</f>
        <v>7.044368105833334</v>
      </c>
      <c r="H102">
        <f>'Req. Diario'!G100</f>
        <v>0.68168</v>
      </c>
      <c r="I102">
        <f>H102/$I$6</f>
        <v>4.2604999999999995</v>
      </c>
      <c r="J102">
        <f>'Req. Diario'!H100</f>
        <v>1.056655215875</v>
      </c>
      <c r="K102">
        <f>J102/$K$6</f>
        <v>3.913537836574074</v>
      </c>
      <c r="L102">
        <f>'Req. Diario'!I100</f>
        <v>35.6483</v>
      </c>
      <c r="M102">
        <f>L102/$M$6</f>
        <v>173.89414634146343</v>
      </c>
    </row>
    <row r="103">
      <c r="B103">
        <f>'Req. Diario'!D101</f>
        <v>3.1117248089547247</v>
      </c>
      <c r="C103">
        <f>(B103-((E103*(Main!$E$25/100))+(G103*(Main!$E$30/100))+(I103*(Main!$E$41/100))+(K103*(Main!$E$46/100))))/$C$6</f>
        <v>4.67116460074235</v>
      </c>
      <c r="D103">
        <f>'Req. Diario'!E101</f>
        <v>1.8116528670499998</v>
      </c>
      <c r="E103">
        <f>D103/$E$6</f>
        <v>2.9699227328688522</v>
      </c>
      <c r="F103">
        <f>'Req. Diario'!F101</f>
        <v>4.2266208635</v>
      </c>
      <c r="G103">
        <f>(F103/$G$6)</f>
        <v>7.044368105833334</v>
      </c>
      <c r="H103">
        <f>'Req. Diario'!G101</f>
        <v>0.68168</v>
      </c>
      <c r="I103">
        <f>H103/$I$6</f>
        <v>4.2604999999999995</v>
      </c>
      <c r="J103">
        <f>'Req. Diario'!H101</f>
        <v>1.056655215875</v>
      </c>
      <c r="K103">
        <f>J103/$K$6</f>
        <v>3.913537836574074</v>
      </c>
      <c r="L103">
        <f>'Req. Diario'!I101</f>
        <v>35.6483</v>
      </c>
      <c r="M103">
        <f>L103/$M$6</f>
        <v>173.89414634146343</v>
      </c>
    </row>
    <row r="104">
      <c r="B104">
        <f>'Req. Diario'!D102</f>
        <v>3.1117248089547247</v>
      </c>
      <c r="C104">
        <f>(B104-((E104*(Main!$E$25/100))+(G104*(Main!$E$30/100))+(I104*(Main!$E$41/100))+(K104*(Main!$E$46/100))))/$C$6</f>
        <v>4.67116460074235</v>
      </c>
      <c r="D104">
        <f>'Req. Diario'!E102</f>
        <v>1.8116528670499998</v>
      </c>
      <c r="E104">
        <f>D104/$E$6</f>
        <v>2.9699227328688522</v>
      </c>
      <c r="F104">
        <f>'Req. Diario'!F102</f>
        <v>4.2266208635</v>
      </c>
      <c r="G104">
        <f>(F104/$G$6)</f>
        <v>7.044368105833334</v>
      </c>
      <c r="H104">
        <f>'Req. Diario'!G102</f>
        <v>0.68168</v>
      </c>
      <c r="I104">
        <f>H104/$I$6</f>
        <v>4.2604999999999995</v>
      </c>
      <c r="J104">
        <f>'Req. Diario'!H102</f>
        <v>1.056655215875</v>
      </c>
      <c r="K104">
        <f>J104/$K$6</f>
        <v>3.913537836574074</v>
      </c>
      <c r="L104">
        <f>'Req. Diario'!I102</f>
        <v>35.6483</v>
      </c>
      <c r="M104">
        <f>L104/$M$6</f>
        <v>173.89414634146343</v>
      </c>
    </row>
    <row r="105">
      <c r="A105">
        <v>15</v>
      </c>
      <c r="B105">
        <f>'Req. Diario'!D103</f>
        <v>3.1117248089547247</v>
      </c>
      <c r="C105">
        <f>(B105-((E105*(Main!$E$25/100))+(G105*(Main!$E$30/100))+(I105*(Main!$E$41/100))+(K105*(Main!$E$46/100))))/$C$6</f>
        <v>4.67116460074235</v>
      </c>
      <c r="D105">
        <f>'Req. Diario'!E103</f>
        <v>1.8116528670499998</v>
      </c>
      <c r="E105">
        <f>D105/$E$6</f>
        <v>2.9699227328688522</v>
      </c>
      <c r="F105">
        <f>'Req. Diario'!F103</f>
        <v>4.2266208635</v>
      </c>
      <c r="G105">
        <f>(F105/$G$6)</f>
        <v>7.044368105833334</v>
      </c>
      <c r="H105">
        <f>'Req. Diario'!G103</f>
        <v>0.68168</v>
      </c>
      <c r="I105">
        <f>H105/$I$6</f>
        <v>4.2604999999999995</v>
      </c>
      <c r="J105">
        <f>'Req. Diario'!H103</f>
        <v>1.056655215875</v>
      </c>
      <c r="K105">
        <f>J105/$K$6</f>
        <v>3.913537836574074</v>
      </c>
      <c r="L105">
        <f>'Req. Diario'!I103</f>
        <v>35.6483</v>
      </c>
      <c r="M105">
        <f>L105/$M$6</f>
        <v>173.89414634146343</v>
      </c>
    </row>
    <row r="106">
      <c r="B106">
        <f>'Req. Diario'!D104</f>
        <v>3.1117248089547247</v>
      </c>
      <c r="C106">
        <f>(B106-((E106*(Main!$E$25/100))+(G106*(Main!$E$30/100))+(I106*(Main!$E$41/100))+(K106*(Main!$E$46/100))))/$C$6</f>
        <v>4.67116460074235</v>
      </c>
      <c r="D106">
        <f>'Req. Diario'!E104</f>
        <v>1.8116528670499998</v>
      </c>
      <c r="E106">
        <f>D106/$E$6</f>
        <v>2.9699227328688522</v>
      </c>
      <c r="F106">
        <f>'Req. Diario'!F104</f>
        <v>4.2266208635</v>
      </c>
      <c r="G106">
        <f>(F106/$G$6)</f>
        <v>7.044368105833334</v>
      </c>
      <c r="H106">
        <f>'Req. Diario'!G104</f>
        <v>0.68168</v>
      </c>
      <c r="I106">
        <f>H106/$I$6</f>
        <v>4.2604999999999995</v>
      </c>
      <c r="J106">
        <f>'Req. Diario'!H104</f>
        <v>1.056655215875</v>
      </c>
      <c r="K106">
        <f>J106/$K$6</f>
        <v>3.913537836574074</v>
      </c>
      <c r="L106">
        <f>'Req. Diario'!I104</f>
        <v>35.6483</v>
      </c>
      <c r="M106">
        <f>L106/$M$6</f>
        <v>173.89414634146343</v>
      </c>
    </row>
    <row r="107">
      <c r="B107">
        <f>'Req. Diario'!D105</f>
        <v>3.1117248089547247</v>
      </c>
      <c r="C107">
        <f>(B107-((E107*(Main!$E$25/100))+(G107*(Main!$E$30/100))+(I107*(Main!$E$41/100))+(K107*(Main!$E$46/100))))/$C$6</f>
        <v>4.67116460074235</v>
      </c>
      <c r="D107">
        <f>'Req. Diario'!E105</f>
        <v>1.8116528670499998</v>
      </c>
      <c r="E107">
        <f>D107/$E$6</f>
        <v>2.9699227328688522</v>
      </c>
      <c r="F107">
        <f>'Req. Diario'!F105</f>
        <v>4.2266208635</v>
      </c>
      <c r="G107">
        <f>(F107/$G$6)</f>
        <v>7.044368105833334</v>
      </c>
      <c r="H107">
        <f>'Req. Diario'!G105</f>
        <v>0.68168</v>
      </c>
      <c r="I107">
        <f>H107/$I$6</f>
        <v>4.2604999999999995</v>
      </c>
      <c r="J107">
        <f>'Req. Diario'!H105</f>
        <v>1.056655215875</v>
      </c>
      <c r="K107">
        <f>J107/$K$6</f>
        <v>3.913537836574074</v>
      </c>
      <c r="L107">
        <f>'Req. Diario'!I105</f>
        <v>35.6483</v>
      </c>
      <c r="M107">
        <f>L107/$M$6</f>
        <v>173.89414634146343</v>
      </c>
    </row>
    <row r="108">
      <c r="B108">
        <f>'Req. Diario'!D106</f>
        <v>3.1117248089547247</v>
      </c>
      <c r="C108">
        <f>(B108-((E108*(Main!$E$25/100))+(G108*(Main!$E$30/100))+(I108*(Main!$E$41/100))+(K108*(Main!$E$46/100))))/$C$6</f>
        <v>4.67116460074235</v>
      </c>
      <c r="D108">
        <f>'Req. Diario'!E106</f>
        <v>1.8116528670499998</v>
      </c>
      <c r="E108">
        <f>D108/$E$6</f>
        <v>2.9699227328688522</v>
      </c>
      <c r="F108">
        <f>'Req. Diario'!F106</f>
        <v>4.2266208635</v>
      </c>
      <c r="G108">
        <f>(F108/$G$6)</f>
        <v>7.044368105833334</v>
      </c>
      <c r="H108">
        <f>'Req. Diario'!G106</f>
        <v>0.68168</v>
      </c>
      <c r="I108">
        <f>H108/$I$6</f>
        <v>4.2604999999999995</v>
      </c>
      <c r="J108">
        <f>'Req. Diario'!H106</f>
        <v>1.056655215875</v>
      </c>
      <c r="K108">
        <f>J108/$K$6</f>
        <v>3.913537836574074</v>
      </c>
      <c r="L108">
        <f>'Req. Diario'!I106</f>
        <v>35.6483</v>
      </c>
      <c r="M108">
        <f>L108/$M$6</f>
        <v>173.89414634146343</v>
      </c>
    </row>
    <row r="109">
      <c r="B109">
        <f>'Req. Diario'!D107</f>
        <v>3.1117248089547247</v>
      </c>
      <c r="C109">
        <f>(B109-((E109*(Main!$E$25/100))+(G109*(Main!$E$30/100))+(I109*(Main!$E$41/100))+(K109*(Main!$E$46/100))))/$C$6</f>
        <v>4.67116460074235</v>
      </c>
      <c r="D109">
        <f>'Req. Diario'!E107</f>
        <v>1.8116528670499998</v>
      </c>
      <c r="E109">
        <f>D109/$E$6</f>
        <v>2.9699227328688522</v>
      </c>
      <c r="F109">
        <f>'Req. Diario'!F107</f>
        <v>4.2266208635</v>
      </c>
      <c r="G109">
        <f>(F109/$G$6)</f>
        <v>7.044368105833334</v>
      </c>
      <c r="H109">
        <f>'Req. Diario'!G107</f>
        <v>0.68168</v>
      </c>
      <c r="I109">
        <f>H109/$I$6</f>
        <v>4.2604999999999995</v>
      </c>
      <c r="J109">
        <f>'Req. Diario'!H107</f>
        <v>1.056655215875</v>
      </c>
      <c r="K109">
        <f>J109/$K$6</f>
        <v>3.913537836574074</v>
      </c>
      <c r="L109">
        <f>'Req. Diario'!I107</f>
        <v>35.6483</v>
      </c>
      <c r="M109">
        <f>L109/$M$6</f>
        <v>173.89414634146343</v>
      </c>
    </row>
    <row r="110">
      <c r="B110">
        <f>'Req. Diario'!D108</f>
        <v>3.1117248089547247</v>
      </c>
      <c r="C110">
        <f>(B110-((E110*(Main!$E$25/100))+(G110*(Main!$E$30/100))+(I110*(Main!$E$41/100))+(K110*(Main!$E$46/100))))/$C$6</f>
        <v>4.67116460074235</v>
      </c>
      <c r="D110">
        <f>'Req. Diario'!E108</f>
        <v>1.8116528670499998</v>
      </c>
      <c r="E110">
        <f>D110/$E$6</f>
        <v>2.9699227328688522</v>
      </c>
      <c r="F110">
        <f>'Req. Diario'!F108</f>
        <v>4.2266208635</v>
      </c>
      <c r="G110">
        <f>(F110/$G$6)</f>
        <v>7.044368105833334</v>
      </c>
      <c r="H110">
        <f>'Req. Diario'!G108</f>
        <v>0.68168</v>
      </c>
      <c r="I110">
        <f>H110/$I$6</f>
        <v>4.2604999999999995</v>
      </c>
      <c r="J110">
        <f>'Req. Diario'!H108</f>
        <v>1.056655215875</v>
      </c>
      <c r="K110">
        <f>J110/$K$6</f>
        <v>3.913537836574074</v>
      </c>
      <c r="L110">
        <f>'Req. Diario'!I108</f>
        <v>35.6483</v>
      </c>
      <c r="M110">
        <f>L110/$M$6</f>
        <v>173.89414634146343</v>
      </c>
    </row>
    <row r="111">
      <c r="B111">
        <f>'Req. Diario'!D109</f>
        <v>3.1117248089547247</v>
      </c>
      <c r="C111">
        <f>(B111-((E111*(Main!$E$25/100))+(G111*(Main!$E$30/100))+(I111*(Main!$E$41/100))+(K111*(Main!$E$46/100))))/$C$6</f>
        <v>4.67116460074235</v>
      </c>
      <c r="D111">
        <f>'Req. Diario'!E109</f>
        <v>1.8116528670499998</v>
      </c>
      <c r="E111">
        <f>D111/$E$6</f>
        <v>2.9699227328688522</v>
      </c>
      <c r="F111">
        <f>'Req. Diario'!F109</f>
        <v>4.2266208635</v>
      </c>
      <c r="G111">
        <f>(F111/$G$6)</f>
        <v>7.044368105833334</v>
      </c>
      <c r="H111">
        <f>'Req. Diario'!G109</f>
        <v>0.68168</v>
      </c>
      <c r="I111">
        <f>H111/$I$6</f>
        <v>4.2604999999999995</v>
      </c>
      <c r="J111">
        <f>'Req. Diario'!H109</f>
        <v>1.056655215875</v>
      </c>
      <c r="K111">
        <f>J111/$K$6</f>
        <v>3.913537836574074</v>
      </c>
      <c r="L111">
        <f>'Req. Diario'!I109</f>
        <v>35.6483</v>
      </c>
      <c r="M111">
        <f>L111/$M$6</f>
        <v>173.89414634146343</v>
      </c>
    </row>
    <row r="112">
      <c r="A112">
        <v>16</v>
      </c>
      <c r="B112">
        <f>'Req. Diario'!D110</f>
        <v>3.1117248089547247</v>
      </c>
      <c r="C112">
        <f>(B112-((E112*(Main!$E$25/100))+(G112*(Main!$E$30/100))+(I112*(Main!$E$41/100))+(K112*(Main!$E$46/100))))/$C$6</f>
        <v>4.67116460074235</v>
      </c>
      <c r="D112">
        <f>'Req. Diario'!E110</f>
        <v>1.8116528670499998</v>
      </c>
      <c r="E112">
        <f>D112/$E$6</f>
        <v>2.9699227328688522</v>
      </c>
      <c r="F112">
        <f>'Req. Diario'!F110</f>
        <v>4.2266208635</v>
      </c>
      <c r="G112">
        <f>(F112/$G$6)</f>
        <v>7.044368105833334</v>
      </c>
      <c r="H112">
        <f>'Req. Diario'!G110</f>
        <v>0.68168</v>
      </c>
      <c r="I112">
        <f>H112/$I$6</f>
        <v>4.2604999999999995</v>
      </c>
      <c r="J112">
        <f>'Req. Diario'!H110</f>
        <v>1.056655215875</v>
      </c>
      <c r="K112">
        <f>J112/$K$6</f>
        <v>3.913537836574074</v>
      </c>
      <c r="L112">
        <f>'Req. Diario'!I110</f>
        <v>35.6483</v>
      </c>
      <c r="M112">
        <f>L112/$M$6</f>
        <v>173.89414634146343</v>
      </c>
    </row>
    <row r="113">
      <c r="B113">
        <f>'Req. Diario'!D111</f>
        <v>3.1117248089547247</v>
      </c>
      <c r="C113">
        <f>(B113-((E113*(Main!$E$25/100))+(G113*(Main!$E$30/100))+(I113*(Main!$E$41/100))+(K113*(Main!$E$46/100))))/$C$6</f>
        <v>4.67116460074235</v>
      </c>
      <c r="D113">
        <f>'Req. Diario'!E111</f>
        <v>1.8116528670499998</v>
      </c>
      <c r="E113">
        <f>D113/$E$6</f>
        <v>2.9699227328688522</v>
      </c>
      <c r="F113">
        <f>'Req. Diario'!F111</f>
        <v>4.2266208635</v>
      </c>
      <c r="G113">
        <f>(F113/$G$6)</f>
        <v>7.044368105833334</v>
      </c>
      <c r="H113">
        <f>'Req. Diario'!G111</f>
        <v>0.68168</v>
      </c>
      <c r="I113">
        <f>H113/$I$6</f>
        <v>4.2604999999999995</v>
      </c>
      <c r="J113">
        <f>'Req. Diario'!H111</f>
        <v>1.056655215875</v>
      </c>
      <c r="K113">
        <f>J113/$K$6</f>
        <v>3.913537836574074</v>
      </c>
      <c r="L113">
        <f>'Req. Diario'!I111</f>
        <v>35.6483</v>
      </c>
      <c r="M113">
        <f>L113/$M$6</f>
        <v>173.89414634146343</v>
      </c>
    </row>
    <row r="114">
      <c r="B114">
        <f>'Req. Diario'!D112</f>
        <v>3.1117248089547247</v>
      </c>
      <c r="C114">
        <f>(B114-((E114*(Main!$E$25/100))+(G114*(Main!$E$30/100))+(I114*(Main!$E$41/100))+(K114*(Main!$E$46/100))))/$C$6</f>
        <v>4.67116460074235</v>
      </c>
      <c r="D114">
        <f>'Req. Diario'!E112</f>
        <v>1.8116528670499998</v>
      </c>
      <c r="E114">
        <f>D114/$E$6</f>
        <v>2.9699227328688522</v>
      </c>
      <c r="F114">
        <f>'Req. Diario'!F112</f>
        <v>4.2266208635</v>
      </c>
      <c r="G114">
        <f>(F114/$G$6)</f>
        <v>7.044368105833334</v>
      </c>
      <c r="H114">
        <f>'Req. Diario'!G112</f>
        <v>0.68168</v>
      </c>
      <c r="I114">
        <f>H114/$I$6</f>
        <v>4.2604999999999995</v>
      </c>
      <c r="J114">
        <f>'Req. Diario'!H112</f>
        <v>1.056655215875</v>
      </c>
      <c r="K114">
        <f>J114/$K$6</f>
        <v>3.913537836574074</v>
      </c>
      <c r="L114">
        <f>'Req. Diario'!I112</f>
        <v>35.6483</v>
      </c>
      <c r="M114">
        <f>L114/$M$6</f>
        <v>173.89414634146343</v>
      </c>
    </row>
    <row r="115">
      <c r="B115">
        <f>'Req. Diario'!D113</f>
        <v>3.1117248089547247</v>
      </c>
      <c r="C115">
        <f>(B115-((E115*(Main!$E$25/100))+(G115*(Main!$E$30/100))+(I115*(Main!$E$41/100))+(K115*(Main!$E$46/100))))/$C$6</f>
        <v>4.67116460074235</v>
      </c>
      <c r="D115">
        <f>'Req. Diario'!E113</f>
        <v>1.8116528670499998</v>
      </c>
      <c r="E115">
        <f>D115/$E$6</f>
        <v>2.9699227328688522</v>
      </c>
      <c r="F115">
        <f>'Req. Diario'!F113</f>
        <v>4.2266208635</v>
      </c>
      <c r="G115">
        <f>(F115/$G$6)</f>
        <v>7.044368105833334</v>
      </c>
      <c r="H115">
        <f>'Req. Diario'!G113</f>
        <v>0.68168</v>
      </c>
      <c r="I115">
        <f>H115/$I$6</f>
        <v>4.2604999999999995</v>
      </c>
      <c r="J115">
        <f>'Req. Diario'!H113</f>
        <v>1.056655215875</v>
      </c>
      <c r="K115">
        <f>J115/$K$6</f>
        <v>3.913537836574074</v>
      </c>
      <c r="L115">
        <f>'Req. Diario'!I113</f>
        <v>35.6483</v>
      </c>
      <c r="M115">
        <f>L115/$M$6</f>
        <v>173.89414634146343</v>
      </c>
    </row>
    <row r="116">
      <c r="B116">
        <f>'Req. Diario'!D114</f>
        <v>3.1117248089547247</v>
      </c>
      <c r="C116">
        <f>(B116-((E116*(Main!$E$25/100))+(G116*(Main!$E$30/100))+(I116*(Main!$E$41/100))+(K116*(Main!$E$46/100))))/$C$6</f>
        <v>4.67116460074235</v>
      </c>
      <c r="D116">
        <f>'Req. Diario'!E114</f>
        <v>1.8116528670499998</v>
      </c>
      <c r="E116">
        <f>D116/$E$6</f>
        <v>2.9699227328688522</v>
      </c>
      <c r="F116">
        <f>'Req. Diario'!F114</f>
        <v>4.2266208635</v>
      </c>
      <c r="G116">
        <f>(F116/$G$6)</f>
        <v>7.044368105833334</v>
      </c>
      <c r="H116">
        <f>'Req. Diario'!G114</f>
        <v>0.68168</v>
      </c>
      <c r="I116">
        <f>H116/$I$6</f>
        <v>4.2604999999999995</v>
      </c>
      <c r="J116">
        <f>'Req. Diario'!H114</f>
        <v>1.056655215875</v>
      </c>
      <c r="K116">
        <f>J116/$K$6</f>
        <v>3.913537836574074</v>
      </c>
      <c r="L116">
        <f>'Req. Diario'!I114</f>
        <v>35.6483</v>
      </c>
      <c r="M116">
        <f>L116/$M$6</f>
        <v>173.89414634146343</v>
      </c>
    </row>
    <row r="117">
      <c r="B117">
        <f>'Req. Diario'!D115</f>
        <v>3.1117248089547247</v>
      </c>
      <c r="C117">
        <f>(B117-((E117*(Main!$E$25/100))+(G117*(Main!$E$30/100))+(I117*(Main!$E$41/100))+(K117*(Main!$E$46/100))))/$C$6</f>
        <v>4.67116460074235</v>
      </c>
      <c r="D117">
        <f>'Req. Diario'!E115</f>
        <v>1.8116528670499998</v>
      </c>
      <c r="E117">
        <f>D117/$E$6</f>
        <v>2.9699227328688522</v>
      </c>
      <c r="F117">
        <f>'Req. Diario'!F115</f>
        <v>4.2266208635</v>
      </c>
      <c r="G117">
        <f>(F117/$G$6)</f>
        <v>7.044368105833334</v>
      </c>
      <c r="H117">
        <f>'Req. Diario'!G115</f>
        <v>0.68168</v>
      </c>
      <c r="I117">
        <f>H117/$I$6</f>
        <v>4.2604999999999995</v>
      </c>
      <c r="J117">
        <f>'Req. Diario'!H115</f>
        <v>1.056655215875</v>
      </c>
      <c r="K117">
        <f>J117/$K$6</f>
        <v>3.913537836574074</v>
      </c>
      <c r="L117">
        <f>'Req. Diario'!I115</f>
        <v>35.6483</v>
      </c>
      <c r="M117">
        <f>L117/$M$6</f>
        <v>173.89414634146343</v>
      </c>
    </row>
    <row r="118">
      <c r="B118">
        <f>'Req. Diario'!D116</f>
        <v>3.1117248089547247</v>
      </c>
      <c r="C118">
        <f>(B118-((E118*(Main!$E$25/100))+(G118*(Main!$E$30/100))+(I118*(Main!$E$41/100))+(K118*(Main!$E$46/100))))/$C$6</f>
        <v>4.67116460074235</v>
      </c>
      <c r="D118">
        <f>'Req. Diario'!E116</f>
        <v>1.8116528670499998</v>
      </c>
      <c r="E118">
        <f>D118/$E$6</f>
        <v>2.9699227328688522</v>
      </c>
      <c r="F118">
        <f>'Req. Diario'!F116</f>
        <v>4.2266208635</v>
      </c>
      <c r="G118">
        <f>(F118/$G$6)</f>
        <v>7.044368105833334</v>
      </c>
      <c r="H118">
        <f>'Req. Diario'!G116</f>
        <v>0.68168</v>
      </c>
      <c r="I118">
        <f>H118/$I$6</f>
        <v>4.2604999999999995</v>
      </c>
      <c r="J118">
        <f>'Req. Diario'!H116</f>
        <v>1.056655215875</v>
      </c>
      <c r="K118">
        <f>J118/$K$6</f>
        <v>3.913537836574074</v>
      </c>
      <c r="L118">
        <f>'Req. Diario'!I116</f>
        <v>35.6483</v>
      </c>
      <c r="M118">
        <f>L118/$M$6</f>
        <v>173.89414634146343</v>
      </c>
    </row>
    <row r="119">
      <c r="A119">
        <v>17</v>
      </c>
      <c r="B119">
        <f>'Req. Diario'!D117</f>
        <v>3.1117248089547247</v>
      </c>
      <c r="C119">
        <f>(B119-((E119*(Main!$E$25/100))+(G119*(Main!$E$30/100))+(I119*(Main!$E$41/100))+(K119*(Main!$E$46/100))))/$C$6</f>
        <v>4.67116460074235</v>
      </c>
      <c r="D119">
        <f>'Req. Diario'!E117</f>
        <v>1.8116528670499998</v>
      </c>
      <c r="E119">
        <f>D119/$E$6</f>
        <v>2.9699227328688522</v>
      </c>
      <c r="F119">
        <f>'Req. Diario'!F117</f>
        <v>4.2266208635</v>
      </c>
      <c r="G119">
        <f>(F119/$G$6)</f>
        <v>7.044368105833334</v>
      </c>
      <c r="H119">
        <f>'Req. Diario'!G117</f>
        <v>0.68168</v>
      </c>
      <c r="I119">
        <f>H119/$I$6</f>
        <v>4.2604999999999995</v>
      </c>
      <c r="J119">
        <f>'Req. Diario'!H117</f>
        <v>1.056655215875</v>
      </c>
      <c r="K119">
        <f>J119/$K$6</f>
        <v>3.913537836574074</v>
      </c>
      <c r="L119">
        <f>'Req. Diario'!I117</f>
        <v>35.6483</v>
      </c>
      <c r="M119">
        <f>L119/$M$6</f>
        <v>173.89414634146343</v>
      </c>
    </row>
    <row r="120">
      <c r="B120">
        <f>'Req. Diario'!D118</f>
        <v>3.1117248089547247</v>
      </c>
      <c r="C120">
        <f>(B120-((E120*(Main!$E$25/100))+(G120*(Main!$E$30/100))+(I120*(Main!$E$41/100))+(K120*(Main!$E$46/100))))/$C$6</f>
        <v>4.67116460074235</v>
      </c>
      <c r="D120">
        <f>'Req. Diario'!E118</f>
        <v>1.8116528670499998</v>
      </c>
      <c r="E120">
        <f>D120/$E$6</f>
        <v>2.9699227328688522</v>
      </c>
      <c r="F120">
        <f>'Req. Diario'!F118</f>
        <v>4.2266208635</v>
      </c>
      <c r="G120">
        <f>(F120/$G$6)</f>
        <v>7.044368105833334</v>
      </c>
      <c r="H120">
        <f>'Req. Diario'!G118</f>
        <v>0.68168</v>
      </c>
      <c r="I120">
        <f>H120/$I$6</f>
        <v>4.2604999999999995</v>
      </c>
      <c r="J120">
        <f>'Req. Diario'!H118</f>
        <v>1.056655215875</v>
      </c>
      <c r="K120">
        <f>J120/$K$6</f>
        <v>3.913537836574074</v>
      </c>
      <c r="L120">
        <f>'Req. Diario'!I118</f>
        <v>35.6483</v>
      </c>
      <c r="M120">
        <f>L120/$M$6</f>
        <v>173.89414634146343</v>
      </c>
    </row>
    <row r="121">
      <c r="B121">
        <f>'Req. Diario'!D119</f>
        <v>3.1117248089547247</v>
      </c>
      <c r="C121">
        <f>(B121-((E121*(Main!$E$25/100))+(G121*(Main!$E$30/100))+(I121*(Main!$E$41/100))+(K121*(Main!$E$46/100))))/$C$6</f>
        <v>4.67116460074235</v>
      </c>
      <c r="D121">
        <f>'Req. Diario'!E119</f>
        <v>1.8116528670499998</v>
      </c>
      <c r="E121">
        <f>D121/$E$6</f>
        <v>2.9699227328688522</v>
      </c>
      <c r="F121">
        <f>'Req. Diario'!F119</f>
        <v>4.2266208635</v>
      </c>
      <c r="G121">
        <f>(F121/$G$6)</f>
        <v>7.044368105833334</v>
      </c>
      <c r="H121">
        <f>'Req. Diario'!G119</f>
        <v>0.68168</v>
      </c>
      <c r="I121">
        <f>H121/$I$6</f>
        <v>4.2604999999999995</v>
      </c>
      <c r="J121">
        <f>'Req. Diario'!H119</f>
        <v>1.056655215875</v>
      </c>
      <c r="K121">
        <f>J121/$K$6</f>
        <v>3.913537836574074</v>
      </c>
      <c r="L121">
        <f>'Req. Diario'!I119</f>
        <v>35.6483</v>
      </c>
      <c r="M121">
        <f>L121/$M$6</f>
        <v>173.89414634146343</v>
      </c>
    </row>
    <row r="122">
      <c r="B122">
        <f>'Req. Diario'!D120</f>
        <v>3.1117248089547247</v>
      </c>
      <c r="C122">
        <f>(B122-((E122*(Main!$E$25/100))+(G122*(Main!$E$30/100))+(I122*(Main!$E$41/100))+(K122*(Main!$E$46/100))))/$C$6</f>
        <v>4.67116460074235</v>
      </c>
      <c r="D122">
        <f>'Req. Diario'!E120</f>
        <v>1.8116528670499998</v>
      </c>
      <c r="E122">
        <f>D122/$E$6</f>
        <v>2.9699227328688522</v>
      </c>
      <c r="F122">
        <f>'Req. Diario'!F120</f>
        <v>4.2266208635</v>
      </c>
      <c r="G122">
        <f>(F122/$G$6)</f>
        <v>7.044368105833334</v>
      </c>
      <c r="H122">
        <f>'Req. Diario'!G120</f>
        <v>0.68168</v>
      </c>
      <c r="I122">
        <f>H122/$I$6</f>
        <v>4.2604999999999995</v>
      </c>
      <c r="J122">
        <f>'Req. Diario'!H120</f>
        <v>1.056655215875</v>
      </c>
      <c r="K122">
        <f>J122/$K$6</f>
        <v>3.913537836574074</v>
      </c>
      <c r="L122">
        <f>'Req. Diario'!I120</f>
        <v>35.6483</v>
      </c>
      <c r="M122">
        <f>L122/$M$6</f>
        <v>173.89414634146343</v>
      </c>
    </row>
    <row r="123">
      <c r="B123">
        <f>'Req. Diario'!D121</f>
        <v>3.1117248089547247</v>
      </c>
      <c r="C123">
        <f>(B123-((E123*(Main!$E$25/100))+(G123*(Main!$E$30/100))+(I123*(Main!$E$41/100))+(K123*(Main!$E$46/100))))/$C$6</f>
        <v>4.67116460074235</v>
      </c>
      <c r="D123">
        <f>'Req. Diario'!E121</f>
        <v>1.8116528670499998</v>
      </c>
      <c r="E123">
        <f>D123/$E$6</f>
        <v>2.9699227328688522</v>
      </c>
      <c r="F123">
        <f>'Req. Diario'!F121</f>
        <v>4.2266208635</v>
      </c>
      <c r="G123">
        <f>(F123/$G$6)</f>
        <v>7.044368105833334</v>
      </c>
      <c r="H123">
        <f>'Req. Diario'!G121</f>
        <v>0.68168</v>
      </c>
      <c r="I123">
        <f>H123/$I$6</f>
        <v>4.2604999999999995</v>
      </c>
      <c r="J123">
        <f>'Req. Diario'!H121</f>
        <v>1.056655215875</v>
      </c>
      <c r="K123">
        <f>J123/$K$6</f>
        <v>3.913537836574074</v>
      </c>
      <c r="L123">
        <f>'Req. Diario'!I121</f>
        <v>35.6483</v>
      </c>
      <c r="M123">
        <f>L123/$M$6</f>
        <v>173.89414634146343</v>
      </c>
    </row>
    <row r="124">
      <c r="B124">
        <f>'Req. Diario'!D122</f>
        <v>3.1117248089547247</v>
      </c>
      <c r="C124">
        <f>(B124-((E124*(Main!$E$25/100))+(G124*(Main!$E$30/100))+(I124*(Main!$E$41/100))+(K124*(Main!$E$46/100))))/$C$6</f>
        <v>4.67116460074235</v>
      </c>
      <c r="D124">
        <f>'Req. Diario'!E122</f>
        <v>1.8116528670499998</v>
      </c>
      <c r="E124">
        <f>D124/$E$6</f>
        <v>2.9699227328688522</v>
      </c>
      <c r="F124">
        <f>'Req. Diario'!F122</f>
        <v>4.2266208635</v>
      </c>
      <c r="G124">
        <f>(F124/$G$6)</f>
        <v>7.044368105833334</v>
      </c>
      <c r="H124">
        <f>'Req. Diario'!G122</f>
        <v>0.68168</v>
      </c>
      <c r="I124">
        <f>H124/$I$6</f>
        <v>4.2604999999999995</v>
      </c>
      <c r="J124">
        <f>'Req. Diario'!H122</f>
        <v>1.056655215875</v>
      </c>
      <c r="K124">
        <f>J124/$K$6</f>
        <v>3.913537836574074</v>
      </c>
      <c r="L124">
        <f>'Req. Diario'!I122</f>
        <v>35.6483</v>
      </c>
      <c r="M124">
        <f>L124/$M$6</f>
        <v>173.89414634146343</v>
      </c>
    </row>
    <row r="125">
      <c r="B125">
        <f>'Req. Diario'!D123</f>
        <v>3.1117248089547247</v>
      </c>
      <c r="C125">
        <f>(B125-((E125*(Main!$E$25/100))+(G125*(Main!$E$30/100))+(I125*(Main!$E$41/100))+(K125*(Main!$E$46/100))))/$C$6</f>
        <v>4.67116460074235</v>
      </c>
      <c r="D125">
        <f>'Req. Diario'!E123</f>
        <v>1.8116528670499998</v>
      </c>
      <c r="E125">
        <f>D125/$E$6</f>
        <v>2.9699227328688522</v>
      </c>
      <c r="F125">
        <f>'Req. Diario'!F123</f>
        <v>4.2266208635</v>
      </c>
      <c r="G125">
        <f>(F125/$G$6)</f>
        <v>7.044368105833334</v>
      </c>
      <c r="H125">
        <f>'Req. Diario'!G123</f>
        <v>0.68168</v>
      </c>
      <c r="I125">
        <f>H125/$I$6</f>
        <v>4.2604999999999995</v>
      </c>
      <c r="J125">
        <f>'Req. Diario'!H123</f>
        <v>1.056655215875</v>
      </c>
      <c r="K125">
        <f>J125/$K$6</f>
        <v>3.913537836574074</v>
      </c>
      <c r="L125">
        <f>'Req. Diario'!I123</f>
        <v>35.6483</v>
      </c>
      <c r="M125">
        <f>L125/$M$6</f>
        <v>173.89414634146343</v>
      </c>
    </row>
    <row r="127">
      <c r="B127">
        <f>SUM(B6:B125)</f>
        <v>431.5328754129478</v>
      </c>
      <c r="C127">
        <f>SUM(C6:C125)</f>
        <v>636.4736076798491</v>
      </c>
      <c r="D127">
        <f>SUM(D6:D125)</f>
        <v>288.952215706699</v>
      </c>
      <c r="E127">
        <f>SUM(E6:E125)</f>
        <v>474.30215689622867</v>
      </c>
      <c r="F127">
        <f>SUM(F6:F125)</f>
        <v>572.2157523669993</v>
      </c>
      <c r="G127">
        <f>SUM(G6:G125)</f>
        <v>954.2929206116671</v>
      </c>
      <c r="H127">
        <f>SUM(H6:H125)</f>
        <v>92.28855999999996</v>
      </c>
      <c r="I127">
        <f>SUM(I6:I125)</f>
        <v>576.9634999999987</v>
      </c>
      <c r="J127">
        <f>SUM(J6:J125)</f>
        <v>143.0539380917498</v>
      </c>
      <c r="K127">
        <f>SUM(K6:K125)</f>
        <v>530.0994003398137</v>
      </c>
      <c r="L127">
        <f>SUM(L6:L125)</f>
        <v>2831.492699999998</v>
      </c>
      <c r="M127">
        <f>SUM(M6:M125)</f>
        <v>13812.364512195109</v>
      </c>
    </row>
  </sheetData>
  <sheetProtection sheet="1"/>
  <mergeCells count="1">
    <mergeCell ref="E1:J1"/>
  </mergeCells>
  <pageMargins left="0.42" right="0.7" top="0.44" bottom="0.39" header="0.25" footer="0.25"/>
  <ignoredErrors>
    <ignoredError numberStoredAsText="1" sqref="A1:Q127"/>
  </ignoredErrors>
</worksheet>
</file>

<file path=xl/worksheets/sheet8.xml><?xml version="1.0" encoding="utf-8"?>
<worksheet xmlns="http://schemas.openxmlformats.org/spreadsheetml/2006/main" xmlns:r="http://schemas.openxmlformats.org/officeDocument/2006/relationships">
  <dimension ref="A1:T50"/>
  <sheetViews>
    <sheetView workbookViewId="0" rightToLeft="0"/>
  </sheetViews>
  <sheetData>
    <row r="1">
      <c r="A1" t="str">
        <v>Requerimientos Semanal para:</v>
      </c>
      <c r="F1" t="str">
        <f>Main!E16</f>
        <v>Zucchini/ Enterprise</v>
      </c>
    </row>
    <row r="4" ht="30" customHeight="1">
      <c r="A4" t="str">
        <v>Semanal</v>
      </c>
      <c r="B4" t="str">
        <v>N</v>
      </c>
      <c r="C4" t="str">
        <f>Main!D36</f>
        <v>Urea</v>
      </c>
      <c r="D4" t="str">
        <v>P2O5</v>
      </c>
      <c r="E4" t="str">
        <f>Main!D26</f>
        <v>MAP 12-61-0</v>
      </c>
      <c r="F4" t="str">
        <v>K2O</v>
      </c>
      <c r="G4" t="str">
        <f>Main!D31</f>
        <v>Kcl Soluble</v>
      </c>
      <c r="H4" t="str">
        <v>MgO</v>
      </c>
      <c r="I4" t="str">
        <f>Main!D42</f>
        <v>Sulfato de Magnesio</v>
      </c>
      <c r="J4" t="str">
        <v>Ca</v>
      </c>
      <c r="K4" t="str">
        <f>Main!D47</f>
        <v>Nitrato de Calcio</v>
      </c>
      <c r="L4" t="str">
        <v>B</v>
      </c>
      <c r="M4" t="str">
        <f>Main!D52</f>
        <v>Solubor</v>
      </c>
    </row>
    <row r="5" ht="17.25" customHeight="1">
      <c r="A5" t="str">
        <v>Porcentaje de Elemento</v>
      </c>
      <c r="C5">
        <f>Main!E35</f>
        <v>46</v>
      </c>
      <c r="E5">
        <f>Main!F25</f>
        <v>61</v>
      </c>
      <c r="G5">
        <f>Main!G30</f>
        <v>60</v>
      </c>
      <c r="I5">
        <f>Main!I41</f>
        <v>16</v>
      </c>
      <c r="K5">
        <f>Main!H46</f>
        <v>27</v>
      </c>
      <c r="M5">
        <f>Main!K51</f>
        <v>20.5</v>
      </c>
    </row>
    <row r="6">
      <c r="C6">
        <f>Main!E35/100</f>
        <v>0.46</v>
      </c>
      <c r="E6">
        <f>(Main!F25/100)/Main!F70</f>
        <v>0.61</v>
      </c>
      <c r="G6">
        <f>(Main!G30/100)/Main!F71</f>
        <v>0.6</v>
      </c>
      <c r="I6">
        <f>(I5/100)/Main!F72</f>
        <v>0.16</v>
      </c>
      <c r="K6">
        <f>(K5/100)/Main!F73</f>
        <v>0.27</v>
      </c>
      <c r="M6">
        <f>M5/100</f>
        <v>0.205</v>
      </c>
    </row>
    <row r="7">
      <c r="A7">
        <v>1</v>
      </c>
      <c r="B7">
        <f>SUM('Req. Diario'!D5:D11)</f>
        <v>15.383885800748033</v>
      </c>
      <c r="C7">
        <f>(B7-((E7*(Main!$E$25/100))+(G7*(Main!$E$30/100))+(I7*(Main!$E$41/100))+(K7*(Main!$E$46/100))))/$C$6</f>
        <v>22.89798374122876</v>
      </c>
      <c r="D7">
        <f>SUM('Req. Diario'!E5:E11)</f>
        <v>10.260667630850001</v>
      </c>
      <c r="E7">
        <f>D7/$E$6</f>
        <v>16.820766607950823</v>
      </c>
      <c r="F7">
        <f>SUM('Req. Diario'!F5:F11)</f>
        <v>19.734883805000003</v>
      </c>
      <c r="G7">
        <f>(F7/$G$6)</f>
        <v>32.89147300833334</v>
      </c>
      <c r="H7">
        <f>SUM('Req. Diario'!G5:G11)</f>
        <v>3.1828999999999996</v>
      </c>
      <c r="I7">
        <f>H7/$I$6</f>
        <v>19.893124999999998</v>
      </c>
      <c r="J7">
        <f>SUM('Req. Diario'!H5:H11)</f>
        <v>4.933720951250001</v>
      </c>
      <c r="K7">
        <f>J7/$K$6</f>
        <v>18.273040560185187</v>
      </c>
      <c r="L7">
        <f>SUM('Req. Diario'!I5:I11)</f>
        <v>35.6482</v>
      </c>
      <c r="M7">
        <f>L7/$M$6</f>
        <v>173.89365853658538</v>
      </c>
    </row>
    <row r="8">
      <c r="A8">
        <v>2</v>
      </c>
      <c r="B8">
        <f>SUM('Req. Diario'!D12:D18)</f>
        <v>15.383885800748033</v>
      </c>
      <c r="C8">
        <f>(B8-((E8*(Main!$E$25/100))+(G8*(Main!$E$30/100))+(I8*(Main!$E$41/100))+(K8*(Main!$E$46/100))))/$C$6</f>
        <v>22.89798374122876</v>
      </c>
      <c r="D8">
        <f>SUM('Req. Diario'!E12:E18)</f>
        <v>10.260667630850001</v>
      </c>
      <c r="E8">
        <f>D8/$E$6</f>
        <v>16.820766607950823</v>
      </c>
      <c r="F8">
        <f>SUM('Req. Diario'!F12:F18)</f>
        <v>19.734883805000003</v>
      </c>
      <c r="G8">
        <f>(F8/$G$6)</f>
        <v>32.89147300833334</v>
      </c>
      <c r="H8">
        <f>SUM('Req. Diario'!G12:G18)</f>
        <v>3.1828999999999996</v>
      </c>
      <c r="I8">
        <f>H8/$I$6</f>
        <v>19.893124999999998</v>
      </c>
      <c r="J8">
        <f>SUM('Req. Diario'!H12:H18)</f>
        <v>4.933720951250001</v>
      </c>
      <c r="K8">
        <f>J8/$K$6</f>
        <v>18.273040560185187</v>
      </c>
      <c r="L8">
        <f>SUM('Req. Diario'!I12:I18)</f>
        <v>51.944599999999994</v>
      </c>
      <c r="M8">
        <f>L8/$M$6</f>
        <v>253.38829268292682</v>
      </c>
    </row>
    <row r="9">
      <c r="A9">
        <v>3</v>
      </c>
      <c r="B9">
        <f>SUM('Req. Diario'!D19:D25)</f>
        <v>30.767771601496065</v>
      </c>
      <c r="C9">
        <f>(B9-((E9*(Main!$E$25/100))+(G9*(Main!$E$30/100))+(I9*(Main!$E$41/100))+(K9*(Main!$E$46/100))))/$C$6</f>
        <v>42.45953097984883</v>
      </c>
      <c r="D9">
        <f>SUM('Req. Diario'!E19:E25)</f>
        <v>28.3230359503</v>
      </c>
      <c r="E9">
        <f>D9/$E$6</f>
        <v>46.43120647590164</v>
      </c>
      <c r="F9">
        <f>SUM('Req. Diario'!F19:F25)</f>
        <v>39.469767610000005</v>
      </c>
      <c r="G9">
        <f>(F9/$G$6)</f>
        <v>65.78294601666668</v>
      </c>
      <c r="H9">
        <f>SUM('Req. Diario'!G19:G25)</f>
        <v>6.365799999999999</v>
      </c>
      <c r="I9">
        <f>H9/$I$6</f>
        <v>39.786249999999995</v>
      </c>
      <c r="J9">
        <f>SUM('Req. Diario'!H19:H25)</f>
        <v>9.867441902500001</v>
      </c>
      <c r="K9">
        <f>J9/$K$6</f>
        <v>36.546081120370374</v>
      </c>
      <c r="L9">
        <f>SUM('Req. Diario'!I19:I25)</f>
        <v>76.3889</v>
      </c>
      <c r="M9">
        <f>L9/$M$6</f>
        <v>372.62878048780493</v>
      </c>
    </row>
    <row r="10">
      <c r="A10">
        <v>4</v>
      </c>
      <c r="B10">
        <f>SUM('Req. Diario'!D26:D32)</f>
        <v>30.767771601496065</v>
      </c>
      <c r="C10">
        <f>(B10-((E10*(Main!$E$25/100))+(G10*(Main!$E$30/100))+(I10*(Main!$E$41/100))+(K10*(Main!$E$46/100))))/$C$6</f>
        <v>42.45953097984883</v>
      </c>
      <c r="D10">
        <f>SUM('Req. Diario'!E26:E32)</f>
        <v>28.3230359503</v>
      </c>
      <c r="E10">
        <f>D10/$E$6</f>
        <v>46.43120647590164</v>
      </c>
      <c r="F10">
        <f>SUM('Req. Diario'!F26:F32)</f>
        <v>39.469767610000005</v>
      </c>
      <c r="G10">
        <f>(F10/$G$6)</f>
        <v>65.78294601666668</v>
      </c>
      <c r="H10">
        <f>SUM('Req. Diario'!G26:G32)</f>
        <v>6.365799999999999</v>
      </c>
      <c r="I10">
        <f>H10/$I$6</f>
        <v>39.786249999999995</v>
      </c>
      <c r="J10">
        <f>SUM('Req. Diario'!H26:H32)</f>
        <v>9.867441902500001</v>
      </c>
      <c r="K10">
        <f>J10/$K$6</f>
        <v>36.546081120370374</v>
      </c>
      <c r="L10">
        <f>SUM('Req. Diario'!I26:I32)</f>
        <v>85.5554</v>
      </c>
      <c r="M10">
        <f>L10/$M$6</f>
        <v>417.34341463414637</v>
      </c>
    </row>
    <row r="11">
      <c r="A11">
        <v>5</v>
      </c>
      <c r="B11">
        <f>SUM('Req. Diario'!D33:D39)</f>
        <v>30.767771601496065</v>
      </c>
      <c r="C11">
        <f>(B11-((E11*(Main!$E$25/100))+(G11*(Main!$E$30/100))+(I11*(Main!$E$41/100))+(K11*(Main!$E$46/100))))/$C$6</f>
        <v>42.45953097984883</v>
      </c>
      <c r="D11">
        <f>SUM('Req. Diario'!E33:E39)</f>
        <v>28.3230359503</v>
      </c>
      <c r="E11">
        <f>D11/$E$6</f>
        <v>46.43120647590164</v>
      </c>
      <c r="F11">
        <f>SUM('Req. Diario'!F33:F39)</f>
        <v>39.469767610000005</v>
      </c>
      <c r="G11">
        <f>(F11/$G$6)</f>
        <v>65.78294601666668</v>
      </c>
      <c r="H11">
        <f>SUM('Req. Diario'!G33:G39)</f>
        <v>6.365799999999999</v>
      </c>
      <c r="I11">
        <f>H11/$I$6</f>
        <v>39.786249999999995</v>
      </c>
      <c r="J11">
        <f>SUM('Req. Diario'!H33:H39)</f>
        <v>9.867441902500001</v>
      </c>
      <c r="K11">
        <f>J11/$K$6</f>
        <v>36.546081120370374</v>
      </c>
      <c r="L11">
        <f>SUM('Req. Diario'!I33:I39)</f>
        <v>100.83349999999999</v>
      </c>
      <c r="M11">
        <f>L11/$M$6</f>
        <v>491.870731707317</v>
      </c>
    </row>
    <row r="12">
      <c r="A12">
        <v>6</v>
      </c>
      <c r="B12">
        <f>SUM('Req. Diario'!D40:D46)</f>
        <v>30.767771601496065</v>
      </c>
      <c r="C12">
        <f>(B12-((E12*(Main!$E$25/100))+(G12*(Main!$E$30/100))+(I12*(Main!$E$41/100))+(K12*(Main!$E$46/100))))/$C$6</f>
        <v>42.45953097984883</v>
      </c>
      <c r="D12">
        <f>SUM('Req. Diario'!E40:E46)</f>
        <v>28.3230359503</v>
      </c>
      <c r="E12">
        <f>D12/$E$6</f>
        <v>46.43120647590164</v>
      </c>
      <c r="F12">
        <f>SUM('Req. Diario'!F40:F46)</f>
        <v>39.469767610000005</v>
      </c>
      <c r="G12">
        <f>(F12/$G$6)</f>
        <v>65.78294601666668</v>
      </c>
      <c r="H12">
        <f>SUM('Req. Diario'!G40:G46)</f>
        <v>6.365799999999999</v>
      </c>
      <c r="I12">
        <f>H12/$I$6</f>
        <v>39.786249999999995</v>
      </c>
      <c r="J12">
        <f>SUM('Req. Diario'!H40:H46)</f>
        <v>9.867441902500001</v>
      </c>
      <c r="K12">
        <f>J12/$K$6</f>
        <v>36.546081120370374</v>
      </c>
      <c r="L12">
        <f>SUM('Req. Diario'!I40:I46)</f>
        <v>121.20429999999999</v>
      </c>
      <c r="M12">
        <f>L12/$M$6</f>
        <v>591.2404878048781</v>
      </c>
    </row>
    <row r="13">
      <c r="A13">
        <v>7</v>
      </c>
      <c r="B13">
        <f>SUM('Req. Diario'!D47:D53)</f>
        <v>30.767771601496065</v>
      </c>
      <c r="C13">
        <f>(B13-((E13*(Main!$E$25/100))+(G13*(Main!$E$30/100))+(I13*(Main!$E$41/100))+(K13*(Main!$E$46/100))))/$C$6</f>
        <v>42.45953097984883</v>
      </c>
      <c r="D13">
        <f>SUM('Req. Diario'!E47:E53)</f>
        <v>28.3230359503</v>
      </c>
      <c r="E13">
        <f>D13/$E$6</f>
        <v>46.43120647590164</v>
      </c>
      <c r="F13">
        <f>SUM('Req. Diario'!F47:F53)</f>
        <v>39.469767610000005</v>
      </c>
      <c r="G13">
        <f>(F13/$G$6)</f>
        <v>65.78294601666668</v>
      </c>
      <c r="H13">
        <f>SUM('Req. Diario'!G47:G53)</f>
        <v>6.365799999999999</v>
      </c>
      <c r="I13">
        <f>H13/$I$6</f>
        <v>39.786249999999995</v>
      </c>
      <c r="J13">
        <f>SUM('Req. Diario'!H47:H53)</f>
        <v>9.867441902500001</v>
      </c>
      <c r="K13">
        <f>J13/$K$6</f>
        <v>36.546081120370374</v>
      </c>
      <c r="L13">
        <f>SUM('Req. Diario'!I47:I53)</f>
        <v>133.4265</v>
      </c>
      <c r="M13">
        <f>L13/$M$6</f>
        <v>650.8609756097561</v>
      </c>
    </row>
    <row r="14">
      <c r="A14">
        <v>8</v>
      </c>
      <c r="B14">
        <f>SUM('Req. Diario'!D54:D60)</f>
        <v>29.058450956968503</v>
      </c>
      <c r="C14">
        <f>(B14-((E14*(Main!$E$25/100))+(G14*(Main!$E$30/100))+(I14*(Main!$E$41/100))+(K14*(Main!$E$46/100))))/$C$6</f>
        <v>45.43276801674187</v>
      </c>
      <c r="D14">
        <f>SUM('Req. Diario'!E54:E60)</f>
        <v>12.68157006935</v>
      </c>
      <c r="E14">
        <f>D14/$E$6</f>
        <v>20.78945913008197</v>
      </c>
      <c r="F14">
        <f>SUM('Req. Diario'!F54:F60)</f>
        <v>39.469767610000005</v>
      </c>
      <c r="G14">
        <f>(F14/$G$6)</f>
        <v>65.78294601666668</v>
      </c>
      <c r="H14">
        <f>SUM('Req. Diario'!G54:G60)</f>
        <v>6.365799999999999</v>
      </c>
      <c r="I14">
        <f>H14/$I$6</f>
        <v>39.786249999999995</v>
      </c>
      <c r="J14">
        <f>SUM('Req. Diario'!H54:H60)</f>
        <v>9.867441902500001</v>
      </c>
      <c r="K14">
        <f>J14/$K$6</f>
        <v>36.546081120370374</v>
      </c>
      <c r="L14">
        <f>SUM('Req. Diario'!I54:I60)</f>
        <v>163.98199999999997</v>
      </c>
      <c r="M14">
        <f>L14/$M$6</f>
        <v>799.9121951219511</v>
      </c>
    </row>
    <row r="15">
      <c r="A15">
        <v>9</v>
      </c>
      <c r="B15">
        <f>SUM('Req. Diario'!D61:D67)</f>
        <v>29.058450956968503</v>
      </c>
      <c r="C15">
        <f>(B15-((E15*(Main!$E$25/100))+(G15*(Main!$E$30/100))+(I15*(Main!$E$41/100))+(K15*(Main!$E$46/100))))/$C$6</f>
        <v>45.43276801674187</v>
      </c>
      <c r="D15">
        <f>SUM('Req. Diario'!E61:E67)</f>
        <v>12.68157006935</v>
      </c>
      <c r="E15">
        <f>D15/$E$6</f>
        <v>20.78945913008197</v>
      </c>
      <c r="F15">
        <f>SUM('Req. Diario'!F61:F67)</f>
        <v>39.469767610000005</v>
      </c>
      <c r="G15">
        <f>(F15/$G$6)</f>
        <v>65.78294601666668</v>
      </c>
      <c r="H15">
        <f>SUM('Req. Diario'!G61:G67)</f>
        <v>6.365799999999999</v>
      </c>
      <c r="I15">
        <f>H15/$I$6</f>
        <v>39.786249999999995</v>
      </c>
      <c r="J15">
        <f>SUM('Req. Diario'!H61:H67)</f>
        <v>9.867441902500001</v>
      </c>
      <c r="K15">
        <f>J15/$K$6</f>
        <v>36.546081120370374</v>
      </c>
      <c r="L15">
        <f>SUM('Req. Diario'!I61:I67)</f>
        <v>170.09319999999997</v>
      </c>
      <c r="M15">
        <f>L15/$M$6</f>
        <v>829.7229268292682</v>
      </c>
    </row>
    <row r="16">
      <c r="A16">
        <v>10</v>
      </c>
      <c r="B16">
        <f>SUM('Req. Diario'!D68:D74)</f>
        <v>29.058450956968503</v>
      </c>
      <c r="C16">
        <f>(B16-((E16*(Main!$E$25/100))+(G16*(Main!$E$30/100))+(I16*(Main!$E$41/100))+(K16*(Main!$E$46/100))))/$C$6</f>
        <v>45.43276801674187</v>
      </c>
      <c r="D16">
        <f>SUM('Req. Diario'!E68:E74)</f>
        <v>12.68157006935</v>
      </c>
      <c r="E16">
        <f>D16/$E$6</f>
        <v>20.78945913008197</v>
      </c>
      <c r="F16">
        <f>SUM('Req. Diario'!F68:F74)</f>
        <v>39.469767610000005</v>
      </c>
      <c r="G16">
        <f>(F16/$G$6)</f>
        <v>65.78294601666668</v>
      </c>
      <c r="H16">
        <f>SUM('Req. Diario'!G68:G74)</f>
        <v>6.365799999999999</v>
      </c>
      <c r="I16">
        <f>H16/$I$6</f>
        <v>39.786249999999995</v>
      </c>
      <c r="J16">
        <f>SUM('Req. Diario'!H68:H74)</f>
        <v>9.867441902500001</v>
      </c>
      <c r="K16">
        <f>J16/$K$6</f>
        <v>36.546081120370374</v>
      </c>
      <c r="L16">
        <f>SUM('Req. Diario'!I68:I74)</f>
        <v>206.76039999999995</v>
      </c>
      <c r="M16">
        <f>L16/$M$6</f>
        <v>1008.5873170731705</v>
      </c>
    </row>
    <row r="17">
      <c r="A17">
        <v>11</v>
      </c>
      <c r="B17">
        <f>SUM('Req. Diario'!D75:D81)</f>
        <v>29.058450956968503</v>
      </c>
      <c r="C17">
        <f>(B17-((E17*(Main!$E$25/100))+(G17*(Main!$E$30/100))+(I17*(Main!$E$41/100))+(K17*(Main!$E$46/100))))/$C$6</f>
        <v>45.43276801674187</v>
      </c>
      <c r="D17">
        <f>SUM('Req. Diario'!E75:E81)</f>
        <v>12.68157006935</v>
      </c>
      <c r="E17">
        <f>D17/$E$6</f>
        <v>20.78945913008197</v>
      </c>
      <c r="F17">
        <f>SUM('Req. Diario'!F75:F81)</f>
        <v>39.469767610000005</v>
      </c>
      <c r="G17">
        <f>(F17/$G$6)</f>
        <v>65.78294601666668</v>
      </c>
      <c r="H17">
        <f>SUM('Req. Diario'!G75:G81)</f>
        <v>6.365799999999999</v>
      </c>
      <c r="I17">
        <f>H17/$I$6</f>
        <v>39.786249999999995</v>
      </c>
      <c r="J17">
        <f>SUM('Req. Diario'!H75:H81)</f>
        <v>9.867441902500001</v>
      </c>
      <c r="K17">
        <f>J17/$K$6</f>
        <v>36.546081120370374</v>
      </c>
      <c r="L17">
        <f>SUM('Req. Diario'!I75:I81)</f>
        <v>206.76039999999995</v>
      </c>
      <c r="M17">
        <f>L17/$M$6</f>
        <v>1008.5873170731705</v>
      </c>
    </row>
    <row r="18">
      <c r="A18">
        <v>12</v>
      </c>
      <c r="B18">
        <f>SUM('Req. Diario'!D82:D88)</f>
        <v>21.782073662683075</v>
      </c>
      <c r="C18">
        <f>(B18-((E18*(Main!$E$25/100))+(G18*(Main!$E$30/100))+(I18*(Main!$E$41/100))+(K18*(Main!$E$46/100))))/$C$6</f>
        <v>32.69815220519645</v>
      </c>
      <c r="D18">
        <f>SUM('Req. Diario'!E82:E88)</f>
        <v>12.68157006935</v>
      </c>
      <c r="E18">
        <f>D18/$E$6</f>
        <v>20.78945913008197</v>
      </c>
      <c r="F18">
        <f>SUM('Req. Diario'!F82:F88)</f>
        <v>29.586346044499997</v>
      </c>
      <c r="G18">
        <f>(F18/$G$6)</f>
        <v>49.31057674083333</v>
      </c>
      <c r="H18">
        <f>SUM('Req. Diario'!G82:G88)</f>
        <v>4.77176</v>
      </c>
      <c r="I18">
        <f>H18/$I$6</f>
        <v>29.823499999999996</v>
      </c>
      <c r="J18">
        <f>SUM('Req. Diario'!H82:H88)</f>
        <v>7.396586511124999</v>
      </c>
      <c r="K18">
        <f>J18/$K$6</f>
        <v>27.394764856018515</v>
      </c>
      <c r="L18">
        <f>SUM('Req. Diario'!I82:I88)</f>
        <v>231.2048</v>
      </c>
      <c r="M18">
        <f>L18/$M$6</f>
        <v>1127.828292682927</v>
      </c>
    </row>
    <row r="19">
      <c r="A19">
        <v>13</v>
      </c>
      <c r="B19">
        <f>SUM('Req. Diario'!D89:D95)</f>
        <v>21.782073662683075</v>
      </c>
      <c r="C19">
        <f>(B19-((E19*(Main!$E$25/100))+(G19*(Main!$E$30/100))+(I19*(Main!$E$41/100))+(K19*(Main!$E$46/100))))/$C$6</f>
        <v>32.69815220519645</v>
      </c>
      <c r="D19">
        <f>SUM('Req. Diario'!E89:E95)</f>
        <v>12.68157006935</v>
      </c>
      <c r="E19">
        <f>D19/$E$6</f>
        <v>20.78945913008197</v>
      </c>
      <c r="F19">
        <f>SUM('Req. Diario'!F89:F95)</f>
        <v>29.586346044499997</v>
      </c>
      <c r="G19">
        <f>(F19/$G$6)</f>
        <v>49.31057674083333</v>
      </c>
      <c r="H19">
        <f>SUM('Req. Diario'!G89:G95)</f>
        <v>4.77176</v>
      </c>
      <c r="I19">
        <f>H19/$I$6</f>
        <v>29.823499999999996</v>
      </c>
      <c r="J19">
        <f>SUM('Req. Diario'!H89:H95)</f>
        <v>7.396586511124999</v>
      </c>
      <c r="K19">
        <f>J19/$K$6</f>
        <v>27.394764856018515</v>
      </c>
      <c r="L19">
        <f>SUM('Req. Diario'!I89:I95)</f>
        <v>249.53810000000001</v>
      </c>
      <c r="M19">
        <f>L19/$M$6</f>
        <v>1217.2590243902441</v>
      </c>
    </row>
    <row r="20">
      <c r="A20">
        <v>14</v>
      </c>
      <c r="B20">
        <f>SUM('Req. Diario'!D96:D102)</f>
        <v>21.782073662683075</v>
      </c>
      <c r="C20">
        <f>(B20-((E20*(Main!$E$25/100))+(G20*(Main!$E$30/100))+(I20*(Main!$E$41/100))+(K20*(Main!$E$46/100))))/$C$6</f>
        <v>32.69815220519645</v>
      </c>
      <c r="D20">
        <f>SUM('Req. Diario'!E96:E102)</f>
        <v>12.68157006935</v>
      </c>
      <c r="E20">
        <f>D20/$E$6</f>
        <v>20.78945913008197</v>
      </c>
      <c r="F20">
        <f>SUM('Req. Diario'!F96:F102)</f>
        <v>29.586346044499997</v>
      </c>
      <c r="G20">
        <f>(F20/$G$6)</f>
        <v>49.31057674083333</v>
      </c>
      <c r="H20">
        <f>SUM('Req. Diario'!G96:G102)</f>
        <v>4.77176</v>
      </c>
      <c r="I20">
        <f>H20/$I$6</f>
        <v>29.823499999999996</v>
      </c>
      <c r="J20">
        <f>SUM('Req. Diario'!H96:H102)</f>
        <v>7.396586511124999</v>
      </c>
      <c r="K20">
        <f>J20/$K$6</f>
        <v>27.394764856018515</v>
      </c>
      <c r="L20">
        <f>SUM('Req. Diario'!I96:I102)</f>
        <v>249.53810000000001</v>
      </c>
      <c r="M20">
        <f>L20/$M$6</f>
        <v>1217.2590243902441</v>
      </c>
    </row>
    <row r="21">
      <c r="A21">
        <v>15</v>
      </c>
      <c r="B21">
        <f>SUM('Req. Diario'!D103:D109)</f>
        <v>21.782073662683075</v>
      </c>
      <c r="C21">
        <f>(B21-((E21*(Main!$E$25/100))+(G21*(Main!$E$30/100))+(I21*(Main!$E$41/100))+(K21*(Main!$E$46/100))))/$C$6</f>
        <v>32.69815220519645</v>
      </c>
      <c r="D21">
        <f>SUM('Req. Diario'!E103:E109)</f>
        <v>12.68157006935</v>
      </c>
      <c r="E21">
        <f>D21/$E$6</f>
        <v>20.78945913008197</v>
      </c>
      <c r="F21">
        <f>SUM('Req. Diario'!F103:F109)</f>
        <v>29.586346044499997</v>
      </c>
      <c r="G21">
        <f>(F21/$G$6)</f>
        <v>49.31057674083333</v>
      </c>
      <c r="H21">
        <f>SUM('Req. Diario'!G103:G109)</f>
        <v>4.77176</v>
      </c>
      <c r="I21">
        <f>H21/$I$6</f>
        <v>29.823499999999996</v>
      </c>
      <c r="J21">
        <f>SUM('Req. Diario'!H103:H109)</f>
        <v>7.396586511124999</v>
      </c>
      <c r="K21">
        <f>J21/$K$6</f>
        <v>27.394764856018515</v>
      </c>
      <c r="L21">
        <f>SUM('Req. Diario'!I103:I109)</f>
        <v>249.53810000000001</v>
      </c>
      <c r="M21">
        <f>L21/$M$6</f>
        <v>1217.2590243902441</v>
      </c>
    </row>
    <row r="22">
      <c r="A22">
        <v>16</v>
      </c>
      <c r="B22">
        <f>SUM('Req. Diario'!D110:D116)</f>
        <v>21.782073662683075</v>
      </c>
      <c r="C22">
        <f>(B22-((E22*(Main!$E$25/100))+(G22*(Main!$E$30/100))+(I22*(Main!$E$41/100))+(K22*(Main!$E$46/100))))/$C$6</f>
        <v>32.69815220519645</v>
      </c>
      <c r="D22">
        <f>SUM('Req. Diario'!E110:E116)</f>
        <v>12.68157006935</v>
      </c>
      <c r="E22">
        <f>D22/$E$6</f>
        <v>20.78945913008197</v>
      </c>
      <c r="F22">
        <f>SUM('Req. Diario'!F110:F116)</f>
        <v>29.586346044499997</v>
      </c>
      <c r="G22">
        <f>(F22/$G$6)</f>
        <v>49.31057674083333</v>
      </c>
      <c r="H22">
        <f>SUM('Req. Diario'!G110:G116)</f>
        <v>4.77176</v>
      </c>
      <c r="I22">
        <f>H22/$I$6</f>
        <v>29.823499999999996</v>
      </c>
      <c r="J22">
        <f>SUM('Req. Diario'!H110:H116)</f>
        <v>7.396586511124999</v>
      </c>
      <c r="K22">
        <f>J22/$K$6</f>
        <v>27.394764856018515</v>
      </c>
      <c r="L22">
        <f>SUM('Req. Diario'!I110:I116)</f>
        <v>249.53810000000001</v>
      </c>
      <c r="M22">
        <f>L22/$M$6</f>
        <v>1217.2590243902441</v>
      </c>
    </row>
    <row r="23">
      <c r="A23">
        <v>17</v>
      </c>
      <c r="B23">
        <f>SUM('Req. Diario'!D117:D123)</f>
        <v>21.782073662683075</v>
      </c>
      <c r="C23">
        <f>(B23-((E23*(Main!$E$25/100))+(G23*(Main!$E$30/100))+(I23*(Main!$E$41/100))+(K23*(Main!$E$46/100))))/$C$6</f>
        <v>32.69815220519645</v>
      </c>
      <c r="D23">
        <f>SUM('Req. Diario'!E117:E123)</f>
        <v>12.68157006935</v>
      </c>
      <c r="E23">
        <f>D23/$E$6</f>
        <v>20.78945913008197</v>
      </c>
      <c r="F23">
        <f>SUM('Req. Diario'!F117:F123)</f>
        <v>29.586346044499997</v>
      </c>
      <c r="G23">
        <f>(F23/$G$6)</f>
        <v>49.31057674083333</v>
      </c>
      <c r="H23">
        <f>SUM('Req. Diario'!G117:G123)</f>
        <v>4.77176</v>
      </c>
      <c r="I23">
        <f>H23/$I$6</f>
        <v>29.823499999999996</v>
      </c>
      <c r="J23">
        <f>SUM('Req. Diario'!H117:H123)</f>
        <v>7.396586511124999</v>
      </c>
      <c r="K23">
        <f>J23/$K$6</f>
        <v>27.394764856018515</v>
      </c>
      <c r="L23">
        <f>SUM('Req. Diario'!I117:I123)</f>
        <v>249.53810000000001</v>
      </c>
      <c r="M23">
        <f>L23/$M$6</f>
        <v>1217.2590243902441</v>
      </c>
    </row>
    <row r="25">
      <c r="B25">
        <f>SUM(B7:B23)</f>
        <v>431.53287541294867</v>
      </c>
      <c r="C25">
        <f>SUM(C7:C23)</f>
        <v>636.013607679848</v>
      </c>
      <c r="D25">
        <f>SUM(D7:D23)</f>
        <v>288.9522157067</v>
      </c>
      <c r="E25">
        <f>SUM(E7:E23)</f>
        <v>473.6921568962296</v>
      </c>
      <c r="F25">
        <f>SUM(F7:F23)</f>
        <v>572.2157523670002</v>
      </c>
      <c r="G25">
        <f>SUM(G7:G23)</f>
        <v>953.6929206116666</v>
      </c>
      <c r="H25">
        <f>SUM(H7:H23)</f>
        <v>92.28855999999999</v>
      </c>
      <c r="I25">
        <f>SUM(I7:I23)</f>
        <v>576.8034999999998</v>
      </c>
      <c r="J25">
        <f>SUM(J7:J23)</f>
        <v>143.05393809175004</v>
      </c>
      <c r="K25">
        <f>SUM(K7:K23)</f>
        <v>529.8294003398149</v>
      </c>
      <c r="L25">
        <f>SUM(L7:L23)</f>
        <v>2831.4927000000002</v>
      </c>
      <c r="M25">
        <f>SUM(M7:M23)</f>
        <v>13812.159512195125</v>
      </c>
    </row>
    <row r="35" ht="17.25" customHeight="1"/>
    <row r="50" ht="51" customHeight="1"/>
  </sheetData>
  <sheetProtection sheet="1"/>
  <mergeCells count="1">
    <mergeCell ref="F1:K1"/>
  </mergeCells>
  <pageMargins left="0.42" right="0.7" top="0.44" bottom="0.39" header="0.25" footer="0.25"/>
  <ignoredErrors>
    <ignoredError numberStoredAsText="1" sqref="A1:T50"/>
  </ignoredErrors>
</worksheet>
</file>

<file path=xl/worksheets/sheet9.xml><?xml version="1.0" encoding="utf-8"?>
<worksheet xmlns="http://schemas.openxmlformats.org/spreadsheetml/2006/main" xmlns:r="http://schemas.openxmlformats.org/officeDocument/2006/relationships">
  <dimension ref="A1:T124"/>
  <sheetViews>
    <sheetView workbookViewId="0" rightToLeft="0"/>
  </sheetViews>
  <sheetData>
    <row r="1">
      <c r="A1" t="str">
        <v>Requerimientos Diarios para:</v>
      </c>
      <c r="G1" t="str">
        <f>Main!E16</f>
        <v>Zucchini/ Enterprise</v>
      </c>
    </row>
    <row r="2">
      <c r="A2" t="str">
        <v>Esta tabla es de libras por hectárea por Día</v>
      </c>
    </row>
    <row r="3" ht="15.6" customHeight="1">
      <c r="A3" t="str">
        <f>Main!C8</f>
        <v>"Sin Fertilización Base"</v>
      </c>
    </row>
    <row r="4" ht="39.6" customHeight="1">
      <c r="A4" t="str">
        <v>Fase</v>
      </c>
      <c r="B4" t="str">
        <v>Día después Siembra</v>
      </c>
      <c r="C4" t="str">
        <v>Semana</v>
      </c>
      <c r="D4" t="str">
        <v>N</v>
      </c>
      <c r="E4" t="str">
        <v>P2O5</v>
      </c>
      <c r="F4" t="str">
        <v>K20</v>
      </c>
      <c r="G4" t="str">
        <v>MgO</v>
      </c>
      <c r="H4" t="str">
        <v>Ca</v>
      </c>
      <c r="I4" t="str">
        <v>B Gramos/Ha</v>
      </c>
      <c r="J4" t="str">
        <v>Relación N:K N/(K2O/3.3)</v>
      </c>
      <c r="K4" t="str">
        <v>Relación Ca:Mg (1:0.5) CaO/(Mg/1.14175)</v>
      </c>
      <c r="L4" t="str">
        <v>Relación K:Ca (1:1) CaO/(K2O/2.29)</v>
      </c>
    </row>
    <row r="5">
      <c r="A5">
        <v>1</v>
      </c>
      <c r="B5">
        <v>1</v>
      </c>
      <c r="C5">
        <v>1</v>
      </c>
      <c r="D5">
        <v>2.1976979715354332</v>
      </c>
      <c r="E5">
        <v>1.46580966155</v>
      </c>
      <c r="F5">
        <v>2.819269115</v>
      </c>
      <c r="G5">
        <v>0.4547</v>
      </c>
      <c r="H5">
        <v>0.70481727875</v>
      </c>
      <c r="I5">
        <v>5.0926</v>
      </c>
      <c r="J5">
        <f>D5/(F5/3.27)</f>
        <v>2.5490551181102368</v>
      </c>
      <c r="K5">
        <f>(G5)/(F5/1.61)</f>
        <v>0.25966552682218846</v>
      </c>
      <c r="L5">
        <f>H5/F5</f>
        <v>0.25</v>
      </c>
    </row>
    <row r="6">
      <c r="B6">
        <v>2</v>
      </c>
      <c r="C6">
        <v>1</v>
      </c>
      <c r="D6">
        <v>2.1976979715354332</v>
      </c>
      <c r="E6">
        <v>1.46580966155</v>
      </c>
      <c r="F6">
        <v>2.819269115</v>
      </c>
      <c r="G6">
        <v>0.4547</v>
      </c>
      <c r="H6">
        <v>0.70481727875</v>
      </c>
      <c r="I6">
        <v>5.0926</v>
      </c>
      <c r="J6">
        <f>D6/(F6/3.27)</f>
        <v>2.5490551181102368</v>
      </c>
      <c r="K6">
        <f>(G6)/(F6/1.61)</f>
        <v>0.25966552682218846</v>
      </c>
      <c r="L6">
        <f>H6/F6</f>
        <v>0.25</v>
      </c>
    </row>
    <row r="7">
      <c r="B7">
        <v>3</v>
      </c>
      <c r="C7">
        <v>1</v>
      </c>
      <c r="D7">
        <v>2.1976979715354332</v>
      </c>
      <c r="E7">
        <v>1.46580966155</v>
      </c>
      <c r="F7">
        <v>2.819269115</v>
      </c>
      <c r="G7">
        <v>0.4547</v>
      </c>
      <c r="H7">
        <v>0.70481727875</v>
      </c>
      <c r="I7">
        <v>5.0926</v>
      </c>
      <c r="J7">
        <f>D7/(F7/3.27)</f>
        <v>2.5490551181102368</v>
      </c>
      <c r="K7">
        <f>(G7)/(F7/1.61)</f>
        <v>0.25966552682218846</v>
      </c>
      <c r="L7">
        <f>H7/F7</f>
        <v>0.25</v>
      </c>
    </row>
    <row r="8">
      <c r="B8">
        <v>4</v>
      </c>
      <c r="C8">
        <v>1</v>
      </c>
      <c r="D8">
        <v>2.1976979715354332</v>
      </c>
      <c r="E8">
        <v>1.46580966155</v>
      </c>
      <c r="F8">
        <v>2.819269115</v>
      </c>
      <c r="G8">
        <v>0.4547</v>
      </c>
      <c r="H8">
        <v>0.70481727875</v>
      </c>
      <c r="I8">
        <v>5.0926</v>
      </c>
      <c r="J8">
        <f>D8/(F8/3.27)</f>
        <v>2.5490551181102368</v>
      </c>
      <c r="K8">
        <f>(G8)/(F8/1.61)</f>
        <v>0.25966552682218846</v>
      </c>
      <c r="L8">
        <f>H8/F8</f>
        <v>0.25</v>
      </c>
    </row>
    <row r="9">
      <c r="B9">
        <v>5</v>
      </c>
      <c r="C9">
        <v>1</v>
      </c>
      <c r="D9">
        <v>2.1976979715354332</v>
      </c>
      <c r="E9">
        <v>1.46580966155</v>
      </c>
      <c r="F9">
        <v>2.819269115</v>
      </c>
      <c r="G9">
        <v>0.4547</v>
      </c>
      <c r="H9">
        <v>0.70481727875</v>
      </c>
      <c r="I9">
        <v>5.0926</v>
      </c>
      <c r="J9">
        <f>D9/(F9/3.27)</f>
        <v>2.5490551181102368</v>
      </c>
      <c r="K9">
        <f>(G9)/(F9/1.61)</f>
        <v>0.25966552682218846</v>
      </c>
      <c r="L9">
        <f>H9/F9</f>
        <v>0.25</v>
      </c>
    </row>
    <row r="10">
      <c r="B10">
        <v>6</v>
      </c>
      <c r="C10">
        <v>1</v>
      </c>
      <c r="D10">
        <v>2.1976979715354332</v>
      </c>
      <c r="E10">
        <v>1.46580966155</v>
      </c>
      <c r="F10">
        <v>2.819269115</v>
      </c>
      <c r="G10">
        <v>0.4547</v>
      </c>
      <c r="H10">
        <v>0.70481727875</v>
      </c>
      <c r="I10">
        <v>5.0926</v>
      </c>
      <c r="J10">
        <f>D10/(F10/3.27)</f>
        <v>2.5490551181102368</v>
      </c>
      <c r="K10">
        <f>(G10)/(F10/1.61)</f>
        <v>0.25966552682218846</v>
      </c>
      <c r="L10">
        <f>H10/F10</f>
        <v>0.25</v>
      </c>
    </row>
    <row r="11">
      <c r="B11">
        <v>7</v>
      </c>
      <c r="C11">
        <v>1</v>
      </c>
      <c r="D11">
        <v>2.1976979715354332</v>
      </c>
      <c r="E11">
        <v>1.46580966155</v>
      </c>
      <c r="F11">
        <v>2.819269115</v>
      </c>
      <c r="G11">
        <v>0.4547</v>
      </c>
      <c r="H11">
        <v>0.70481727875</v>
      </c>
      <c r="I11">
        <v>5.0926</v>
      </c>
      <c r="J11">
        <f>D11/(F11/3.27)</f>
        <v>2.5490551181102368</v>
      </c>
      <c r="K11">
        <f>(G11)/(F11/1.61)</f>
        <v>0.25966552682218846</v>
      </c>
      <c r="L11">
        <f>H11/F11</f>
        <v>0.25</v>
      </c>
    </row>
    <row r="12">
      <c r="B12">
        <v>8</v>
      </c>
      <c r="C12">
        <v>2</v>
      </c>
      <c r="D12">
        <v>2.1976979715354332</v>
      </c>
      <c r="E12">
        <v>1.46580966155</v>
      </c>
      <c r="F12">
        <v>2.819269115</v>
      </c>
      <c r="G12">
        <v>0.4547</v>
      </c>
      <c r="H12">
        <v>0.70481727875</v>
      </c>
      <c r="I12">
        <v>5.0926</v>
      </c>
      <c r="J12">
        <f>D12/(F12/3.27)</f>
        <v>2.5490551181102368</v>
      </c>
      <c r="K12">
        <f>(G12)/(F12/1.61)</f>
        <v>0.25966552682218846</v>
      </c>
      <c r="L12">
        <f>H12/F12</f>
        <v>0.25</v>
      </c>
    </row>
    <row r="13">
      <c r="B13">
        <v>9</v>
      </c>
      <c r="C13">
        <v>2</v>
      </c>
      <c r="D13">
        <v>2.1976979715354332</v>
      </c>
      <c r="E13">
        <v>1.46580966155</v>
      </c>
      <c r="F13">
        <v>2.819269115</v>
      </c>
      <c r="G13">
        <v>0.4547</v>
      </c>
      <c r="H13">
        <v>0.70481727875</v>
      </c>
      <c r="I13">
        <v>5.0926</v>
      </c>
      <c r="J13">
        <f>D13/(F13/3.27)</f>
        <v>2.5490551181102368</v>
      </c>
      <c r="K13">
        <f>(G13)/(F13/1.61)</f>
        <v>0.25966552682218846</v>
      </c>
      <c r="L13">
        <f>H13/F13</f>
        <v>0.25</v>
      </c>
    </row>
    <row r="14">
      <c r="B14">
        <v>10</v>
      </c>
      <c r="C14">
        <v>2</v>
      </c>
      <c r="D14">
        <v>2.1976979715354332</v>
      </c>
      <c r="E14">
        <v>1.46580966155</v>
      </c>
      <c r="F14">
        <v>2.819269115</v>
      </c>
      <c r="G14">
        <v>0.4547</v>
      </c>
      <c r="H14">
        <v>0.70481727875</v>
      </c>
      <c r="I14">
        <v>5.0926</v>
      </c>
      <c r="J14">
        <f>D14/(F14/3.27)</f>
        <v>2.5490551181102368</v>
      </c>
      <c r="K14">
        <f>(G14)/(F14/1.61)</f>
        <v>0.25966552682218846</v>
      </c>
      <c r="L14">
        <f>H14/F14</f>
        <v>0.25</v>
      </c>
    </row>
    <row r="15">
      <c r="B15">
        <v>11</v>
      </c>
      <c r="C15">
        <v>2</v>
      </c>
      <c r="D15">
        <v>2.1976979715354332</v>
      </c>
      <c r="E15">
        <v>1.46580966155</v>
      </c>
      <c r="F15">
        <v>2.819269115</v>
      </c>
      <c r="G15">
        <v>0.4547</v>
      </c>
      <c r="H15">
        <v>0.70481727875</v>
      </c>
      <c r="I15">
        <v>9.1667</v>
      </c>
      <c r="J15">
        <f>D15/(F15/3.27)</f>
        <v>2.5490551181102368</v>
      </c>
      <c r="K15">
        <f>(G15)/(F15/1.61)</f>
        <v>0.25966552682218846</v>
      </c>
      <c r="L15">
        <f>H15/F15</f>
        <v>0.25</v>
      </c>
    </row>
    <row r="16">
      <c r="B16">
        <v>12</v>
      </c>
      <c r="C16">
        <v>2</v>
      </c>
      <c r="D16">
        <v>2.1976979715354332</v>
      </c>
      <c r="E16">
        <v>1.46580966155</v>
      </c>
      <c r="F16">
        <v>2.819269115</v>
      </c>
      <c r="G16">
        <v>0.4547</v>
      </c>
      <c r="H16">
        <v>0.70481727875</v>
      </c>
      <c r="I16">
        <v>9.1667</v>
      </c>
      <c r="J16">
        <f>D16/(F16/3.27)</f>
        <v>2.5490551181102368</v>
      </c>
      <c r="K16">
        <f>(G16)/(F16/1.61)</f>
        <v>0.25966552682218846</v>
      </c>
      <c r="L16">
        <f>H16/F16</f>
        <v>0.25</v>
      </c>
    </row>
    <row r="17">
      <c r="B17">
        <v>13</v>
      </c>
      <c r="C17">
        <v>2</v>
      </c>
      <c r="D17">
        <v>2.1976979715354332</v>
      </c>
      <c r="E17">
        <v>1.46580966155</v>
      </c>
      <c r="F17">
        <v>2.819269115</v>
      </c>
      <c r="G17">
        <v>0.4547</v>
      </c>
      <c r="H17">
        <v>0.70481727875</v>
      </c>
      <c r="I17">
        <v>9.1667</v>
      </c>
      <c r="J17">
        <f>D17/(F17/3.27)</f>
        <v>2.5490551181102368</v>
      </c>
      <c r="K17">
        <f>(G17)/(F17/1.61)</f>
        <v>0.25966552682218846</v>
      </c>
      <c r="L17">
        <f>H17/F17</f>
        <v>0.25</v>
      </c>
    </row>
    <row r="18">
      <c r="B18">
        <v>14</v>
      </c>
      <c r="C18">
        <v>2</v>
      </c>
      <c r="D18">
        <v>2.1976979715354332</v>
      </c>
      <c r="E18">
        <v>1.46580966155</v>
      </c>
      <c r="F18">
        <v>2.819269115</v>
      </c>
      <c r="G18">
        <v>0.4547</v>
      </c>
      <c r="H18">
        <v>0.70481727875</v>
      </c>
      <c r="I18">
        <v>9.1667</v>
      </c>
      <c r="J18">
        <f>D18/(F18/3.27)</f>
        <v>2.5490551181102368</v>
      </c>
      <c r="K18">
        <f>(G18)/(F18/1.61)</f>
        <v>0.25966552682218846</v>
      </c>
      <c r="L18">
        <f>H18/F18</f>
        <v>0.25</v>
      </c>
    </row>
    <row r="19">
      <c r="A19">
        <v>1</v>
      </c>
      <c r="B19">
        <v>15</v>
      </c>
      <c r="C19">
        <v>3</v>
      </c>
      <c r="D19">
        <v>4.3953959430708665</v>
      </c>
      <c r="E19">
        <v>4.0461479929</v>
      </c>
      <c r="F19">
        <v>5.63853823</v>
      </c>
      <c r="G19">
        <v>0.9094</v>
      </c>
      <c r="H19">
        <v>1.4096345575</v>
      </c>
      <c r="I19">
        <v>9.1667</v>
      </c>
      <c r="J19">
        <f>D19/(F19/3.27)</f>
        <v>2.5490551181102368</v>
      </c>
      <c r="K19">
        <f>(G19)/(F19/1.61)</f>
        <v>0.25966552682218846</v>
      </c>
      <c r="L19">
        <f>H19/F19</f>
        <v>0.25</v>
      </c>
    </row>
    <row r="20">
      <c r="A20">
        <v>2</v>
      </c>
      <c r="B20">
        <v>16</v>
      </c>
      <c r="C20">
        <v>3</v>
      </c>
      <c r="D20">
        <v>4.3953959430708665</v>
      </c>
      <c r="E20">
        <v>4.0461479929</v>
      </c>
      <c r="F20">
        <v>5.63853823</v>
      </c>
      <c r="G20">
        <v>0.9094</v>
      </c>
      <c r="H20">
        <v>1.4096345575</v>
      </c>
      <c r="I20">
        <v>9.1667</v>
      </c>
      <c r="J20">
        <f>D20/(F20/3.27)</f>
        <v>2.5490551181102368</v>
      </c>
      <c r="K20">
        <f>(G20)/(F20/1.61)</f>
        <v>0.25966552682218846</v>
      </c>
      <c r="L20">
        <f>H20/F20</f>
        <v>0.25</v>
      </c>
    </row>
    <row r="21">
      <c r="B21">
        <v>17</v>
      </c>
      <c r="C21">
        <v>3</v>
      </c>
      <c r="D21">
        <v>4.3953959430708665</v>
      </c>
      <c r="E21">
        <v>4.0461479929</v>
      </c>
      <c r="F21">
        <v>5.63853823</v>
      </c>
      <c r="G21">
        <v>0.9094</v>
      </c>
      <c r="H21">
        <v>1.4096345575</v>
      </c>
      <c r="I21">
        <v>9.1667</v>
      </c>
      <c r="J21">
        <f>D21/(F21/3.27)</f>
        <v>2.5490551181102368</v>
      </c>
      <c r="K21">
        <f>(G21)/(F21/1.61)</f>
        <v>0.25966552682218846</v>
      </c>
      <c r="L21">
        <f>H21/F21</f>
        <v>0.25</v>
      </c>
    </row>
    <row r="22">
      <c r="B22">
        <v>18</v>
      </c>
      <c r="C22">
        <v>3</v>
      </c>
      <c r="D22">
        <v>4.3953959430708665</v>
      </c>
      <c r="E22">
        <v>4.0461479929</v>
      </c>
      <c r="F22">
        <v>5.63853823</v>
      </c>
      <c r="G22">
        <v>0.9094</v>
      </c>
      <c r="H22">
        <v>1.4096345575</v>
      </c>
      <c r="I22">
        <v>12.2222</v>
      </c>
      <c r="J22">
        <f>D22/(F22/3.27)</f>
        <v>2.5490551181102368</v>
      </c>
      <c r="K22">
        <f>(G22)/(F22/1.61)</f>
        <v>0.25966552682218846</v>
      </c>
      <c r="L22">
        <f>H22/F22</f>
        <v>0.25</v>
      </c>
    </row>
    <row r="23">
      <c r="B23">
        <v>19</v>
      </c>
      <c r="C23">
        <v>3</v>
      </c>
      <c r="D23">
        <v>4.3953959430708665</v>
      </c>
      <c r="E23">
        <v>4.0461479929</v>
      </c>
      <c r="F23">
        <v>5.63853823</v>
      </c>
      <c r="G23">
        <v>0.9094</v>
      </c>
      <c r="H23">
        <v>1.4096345575</v>
      </c>
      <c r="I23">
        <v>12.2222</v>
      </c>
      <c r="J23">
        <f>D23/(F23/3.27)</f>
        <v>2.5490551181102368</v>
      </c>
      <c r="K23">
        <f>(G23)/(F23/1.61)</f>
        <v>0.25966552682218846</v>
      </c>
      <c r="L23">
        <f>H23/F23</f>
        <v>0.25</v>
      </c>
    </row>
    <row r="24">
      <c r="B24">
        <v>20</v>
      </c>
      <c r="C24">
        <v>3</v>
      </c>
      <c r="D24">
        <v>4.3953959430708665</v>
      </c>
      <c r="E24">
        <v>4.0461479929</v>
      </c>
      <c r="F24">
        <v>5.63853823</v>
      </c>
      <c r="G24">
        <v>0.9094</v>
      </c>
      <c r="H24">
        <v>1.4096345575</v>
      </c>
      <c r="I24">
        <v>12.2222</v>
      </c>
      <c r="J24">
        <f>D24/(F24/3.27)</f>
        <v>2.5490551181102368</v>
      </c>
      <c r="K24">
        <f>(G24)/(F24/1.61)</f>
        <v>0.25966552682218846</v>
      </c>
      <c r="L24">
        <f>H24/F24</f>
        <v>0.25</v>
      </c>
    </row>
    <row r="25">
      <c r="B25">
        <v>21</v>
      </c>
      <c r="C25">
        <v>3</v>
      </c>
      <c r="D25">
        <v>4.3953959430708665</v>
      </c>
      <c r="E25">
        <v>4.0461479929</v>
      </c>
      <c r="F25">
        <v>5.63853823</v>
      </c>
      <c r="G25">
        <v>0.9094</v>
      </c>
      <c r="H25">
        <v>1.4096345575</v>
      </c>
      <c r="I25">
        <v>12.2222</v>
      </c>
      <c r="J25">
        <f>D25/(F25/3.27)</f>
        <v>2.5490551181102368</v>
      </c>
      <c r="K25">
        <f>(G25)/(F25/1.61)</f>
        <v>0.25966552682218846</v>
      </c>
      <c r="L25">
        <f>H25/F25</f>
        <v>0.25</v>
      </c>
    </row>
    <row r="26">
      <c r="B26">
        <v>22</v>
      </c>
      <c r="C26">
        <v>4</v>
      </c>
      <c r="D26">
        <v>4.3953959430708665</v>
      </c>
      <c r="E26">
        <v>4.0461479929</v>
      </c>
      <c r="F26">
        <v>5.63853823</v>
      </c>
      <c r="G26">
        <v>0.9094</v>
      </c>
      <c r="H26">
        <v>1.4096345575</v>
      </c>
      <c r="I26">
        <v>12.2222</v>
      </c>
      <c r="J26">
        <f>D26/(F26/3.27)</f>
        <v>2.5490551181102368</v>
      </c>
      <c r="K26">
        <f>(G26)/(F26/1.61)</f>
        <v>0.25966552682218846</v>
      </c>
      <c r="L26">
        <f>H26/F26</f>
        <v>0.25</v>
      </c>
    </row>
    <row r="27">
      <c r="B27">
        <v>23</v>
      </c>
      <c r="C27">
        <v>4</v>
      </c>
      <c r="D27">
        <v>4.3953959430708665</v>
      </c>
      <c r="E27">
        <v>4.0461479929</v>
      </c>
      <c r="F27">
        <v>5.63853823</v>
      </c>
      <c r="G27">
        <v>0.9094</v>
      </c>
      <c r="H27">
        <v>1.4096345575</v>
      </c>
      <c r="I27">
        <v>12.2222</v>
      </c>
      <c r="J27">
        <f>D27/(F27/3.27)</f>
        <v>2.5490551181102368</v>
      </c>
      <c r="K27">
        <f>(G27)/(F27/1.61)</f>
        <v>0.25966552682218846</v>
      </c>
      <c r="L27">
        <f>H27/F27</f>
        <v>0.25</v>
      </c>
    </row>
    <row r="28">
      <c r="B28">
        <v>24</v>
      </c>
      <c r="C28">
        <v>4</v>
      </c>
      <c r="D28">
        <v>4.3953959430708665</v>
      </c>
      <c r="E28">
        <v>4.0461479929</v>
      </c>
      <c r="F28">
        <v>5.63853823</v>
      </c>
      <c r="G28">
        <v>0.9094</v>
      </c>
      <c r="H28">
        <v>1.4096345575</v>
      </c>
      <c r="I28">
        <v>12.2222</v>
      </c>
      <c r="J28">
        <f>D28/(F28/3.27)</f>
        <v>2.5490551181102368</v>
      </c>
      <c r="K28">
        <f>(G28)/(F28/1.61)</f>
        <v>0.25966552682218846</v>
      </c>
      <c r="L28">
        <f>H28/F28</f>
        <v>0.25</v>
      </c>
    </row>
    <row r="29">
      <c r="A29">
        <v>2</v>
      </c>
      <c r="B29">
        <v>25</v>
      </c>
      <c r="C29">
        <v>4</v>
      </c>
      <c r="D29">
        <v>4.3953959430708665</v>
      </c>
      <c r="E29">
        <v>4.0461479929</v>
      </c>
      <c r="F29">
        <v>5.63853823</v>
      </c>
      <c r="G29">
        <v>0.9094</v>
      </c>
      <c r="H29">
        <v>1.4096345575</v>
      </c>
      <c r="I29">
        <v>12.2222</v>
      </c>
      <c r="J29">
        <f>D29/(F29/3.27)</f>
        <v>2.5490551181102368</v>
      </c>
      <c r="K29">
        <f>(G29)/(F29/1.61)</f>
        <v>0.25966552682218846</v>
      </c>
      <c r="L29">
        <f>H29/F29</f>
        <v>0.25</v>
      </c>
    </row>
    <row r="30">
      <c r="A30">
        <v>3</v>
      </c>
      <c r="B30">
        <v>26</v>
      </c>
      <c r="C30">
        <v>4</v>
      </c>
      <c r="D30">
        <v>4.3953959430708665</v>
      </c>
      <c r="E30">
        <v>4.0461479929</v>
      </c>
      <c r="F30">
        <v>5.63853823</v>
      </c>
      <c r="G30">
        <v>0.9094</v>
      </c>
      <c r="H30">
        <v>1.4096345575</v>
      </c>
      <c r="I30">
        <v>12.2222</v>
      </c>
      <c r="J30">
        <f>D30/(F30/3.27)</f>
        <v>2.5490551181102368</v>
      </c>
      <c r="K30">
        <f>(G30)/(F30/1.61)</f>
        <v>0.25966552682218846</v>
      </c>
      <c r="L30">
        <f>H30/F30</f>
        <v>0.25</v>
      </c>
    </row>
    <row r="31">
      <c r="B31">
        <v>27</v>
      </c>
      <c r="C31">
        <v>4</v>
      </c>
      <c r="D31">
        <v>4.3953959430708665</v>
      </c>
      <c r="E31">
        <v>4.0461479929</v>
      </c>
      <c r="F31">
        <v>5.63853823</v>
      </c>
      <c r="G31">
        <v>0.9094</v>
      </c>
      <c r="H31">
        <v>1.4096345575</v>
      </c>
      <c r="I31">
        <v>12.2222</v>
      </c>
      <c r="J31">
        <f>D31/(F31/3.27)</f>
        <v>2.5490551181102368</v>
      </c>
      <c r="K31">
        <f>(G31)/(F31/1.61)</f>
        <v>0.25966552682218846</v>
      </c>
      <c r="L31">
        <f>H31/F31</f>
        <v>0.25</v>
      </c>
    </row>
    <row r="32">
      <c r="B32">
        <v>28</v>
      </c>
      <c r="C32">
        <v>4</v>
      </c>
      <c r="D32">
        <v>4.3953959430708665</v>
      </c>
      <c r="E32">
        <v>4.0461479929</v>
      </c>
      <c r="F32">
        <v>5.63853823</v>
      </c>
      <c r="G32">
        <v>0.9094</v>
      </c>
      <c r="H32">
        <v>1.4096345575</v>
      </c>
      <c r="I32">
        <v>12.2222</v>
      </c>
      <c r="J32">
        <f>D32/(F32/3.27)</f>
        <v>2.5490551181102368</v>
      </c>
      <c r="K32">
        <f>(G32)/(F32/1.61)</f>
        <v>0.25966552682218846</v>
      </c>
      <c r="L32">
        <f>H32/F32</f>
        <v>0.25</v>
      </c>
    </row>
    <row r="33">
      <c r="B33">
        <v>29</v>
      </c>
      <c r="C33">
        <v>5</v>
      </c>
      <c r="D33">
        <v>4.3953959430708665</v>
      </c>
      <c r="E33">
        <v>4.0461479929</v>
      </c>
      <c r="F33">
        <v>5.63853823</v>
      </c>
      <c r="G33">
        <v>0.9094</v>
      </c>
      <c r="H33">
        <v>1.4096345575</v>
      </c>
      <c r="I33">
        <v>12.2222</v>
      </c>
      <c r="J33">
        <f>D33/(F33/3.27)</f>
        <v>2.5490551181102368</v>
      </c>
      <c r="K33">
        <f>(G33)/(F33/1.61)</f>
        <v>0.25966552682218846</v>
      </c>
      <c r="L33">
        <f>H33/F33</f>
        <v>0.25</v>
      </c>
    </row>
    <row r="34">
      <c r="A34">
        <v>3</v>
      </c>
      <c r="B34">
        <v>30</v>
      </c>
      <c r="C34">
        <v>5</v>
      </c>
      <c r="D34">
        <v>4.3953959430708665</v>
      </c>
      <c r="E34">
        <v>4.0461479929</v>
      </c>
      <c r="F34">
        <v>5.63853823</v>
      </c>
      <c r="G34">
        <v>0.9094</v>
      </c>
      <c r="H34">
        <v>1.4096345575</v>
      </c>
      <c r="I34">
        <v>12.2222</v>
      </c>
      <c r="J34">
        <f>D34/(F34/3.27)</f>
        <v>2.5490551181102368</v>
      </c>
      <c r="K34">
        <f>(G34)/(F34/1.61)</f>
        <v>0.25966552682218846</v>
      </c>
      <c r="L34">
        <f>H34/F34</f>
        <v>0.25</v>
      </c>
    </row>
    <row r="35">
      <c r="A35">
        <v>4</v>
      </c>
      <c r="B35">
        <v>31</v>
      </c>
      <c r="C35">
        <v>5</v>
      </c>
      <c r="D35">
        <v>4.3953959430708665</v>
      </c>
      <c r="E35">
        <v>4.0461479929</v>
      </c>
      <c r="F35">
        <v>5.63853823</v>
      </c>
      <c r="G35">
        <v>0.9094</v>
      </c>
      <c r="H35">
        <v>1.4096345575</v>
      </c>
      <c r="I35">
        <v>12.2222</v>
      </c>
      <c r="J35">
        <f>D35/(F35/3.27)</f>
        <v>2.5490551181102368</v>
      </c>
      <c r="K35">
        <f>(G35)/(F35/1.61)</f>
        <v>0.25966552682218846</v>
      </c>
      <c r="L35">
        <f>H35/F35</f>
        <v>0.25</v>
      </c>
    </row>
    <row r="36">
      <c r="B36">
        <v>32</v>
      </c>
      <c r="C36">
        <v>5</v>
      </c>
      <c r="D36">
        <v>4.3953959430708665</v>
      </c>
      <c r="E36">
        <v>4.0461479929</v>
      </c>
      <c r="F36">
        <v>5.63853823</v>
      </c>
      <c r="G36">
        <v>0.9094</v>
      </c>
      <c r="H36">
        <v>1.4096345575</v>
      </c>
      <c r="I36">
        <v>12.2222</v>
      </c>
      <c r="J36">
        <f>D36/(F36/3.27)</f>
        <v>2.5490551181102368</v>
      </c>
      <c r="K36">
        <f>(G36)/(F36/1.61)</f>
        <v>0.25966552682218846</v>
      </c>
      <c r="L36">
        <f>H36/F36</f>
        <v>0.25</v>
      </c>
    </row>
    <row r="37">
      <c r="B37">
        <v>33</v>
      </c>
      <c r="C37">
        <v>5</v>
      </c>
      <c r="D37">
        <v>4.3953959430708665</v>
      </c>
      <c r="E37">
        <v>4.0461479929</v>
      </c>
      <c r="F37">
        <v>5.63853823</v>
      </c>
      <c r="G37">
        <v>0.9094</v>
      </c>
      <c r="H37">
        <v>1.4096345575</v>
      </c>
      <c r="I37">
        <v>17.3149</v>
      </c>
      <c r="J37">
        <f>D37/(F37/3.27)</f>
        <v>2.5490551181102368</v>
      </c>
      <c r="K37">
        <f>(G37)/(F37/1.61)</f>
        <v>0.25966552682218846</v>
      </c>
      <c r="L37">
        <f>H37/F37</f>
        <v>0.25</v>
      </c>
    </row>
    <row r="38">
      <c r="B38">
        <v>34</v>
      </c>
      <c r="C38">
        <v>5</v>
      </c>
      <c r="D38">
        <v>4.3953959430708665</v>
      </c>
      <c r="E38">
        <v>4.0461479929</v>
      </c>
      <c r="F38">
        <v>5.63853823</v>
      </c>
      <c r="G38">
        <v>0.9094</v>
      </c>
      <c r="H38">
        <v>1.4096345575</v>
      </c>
      <c r="I38">
        <v>17.3149</v>
      </c>
      <c r="J38">
        <f>D38/(F38/3.27)</f>
        <v>2.5490551181102368</v>
      </c>
      <c r="K38">
        <f>(G38)/(F38/1.61)</f>
        <v>0.25966552682218846</v>
      </c>
      <c r="L38">
        <f>H38/F38</f>
        <v>0.25</v>
      </c>
    </row>
    <row r="39">
      <c r="A39">
        <v>4</v>
      </c>
      <c r="B39">
        <v>35</v>
      </c>
      <c r="C39">
        <v>5</v>
      </c>
      <c r="D39">
        <v>4.3953959430708665</v>
      </c>
      <c r="E39">
        <v>4.0461479929</v>
      </c>
      <c r="F39">
        <v>5.63853823</v>
      </c>
      <c r="G39">
        <v>0.9094</v>
      </c>
      <c r="H39">
        <v>1.4096345575</v>
      </c>
      <c r="I39">
        <v>17.3149</v>
      </c>
      <c r="J39">
        <f>D39/(F39/3.27)</f>
        <v>2.5490551181102368</v>
      </c>
      <c r="K39">
        <f>(G39)/(F39/1.61)</f>
        <v>0.25966552682218846</v>
      </c>
      <c r="L39">
        <f>H39/F39</f>
        <v>0.25</v>
      </c>
    </row>
    <row r="40">
      <c r="A40">
        <v>5</v>
      </c>
      <c r="B40">
        <v>36</v>
      </c>
      <c r="C40">
        <v>6</v>
      </c>
      <c r="D40">
        <v>4.3953959430708665</v>
      </c>
      <c r="E40">
        <v>4.0461479929</v>
      </c>
      <c r="F40">
        <v>5.63853823</v>
      </c>
      <c r="G40">
        <v>0.9094</v>
      </c>
      <c r="H40">
        <v>1.4096345575</v>
      </c>
      <c r="I40">
        <v>17.3149</v>
      </c>
      <c r="J40">
        <f>D40/(F40/3.27)</f>
        <v>2.5490551181102368</v>
      </c>
      <c r="K40">
        <f>(G40)/(F40/1.61)</f>
        <v>0.25966552682218846</v>
      </c>
      <c r="L40">
        <f>H40/F40</f>
        <v>0.25</v>
      </c>
    </row>
    <row r="41">
      <c r="B41">
        <v>37</v>
      </c>
      <c r="C41">
        <v>6</v>
      </c>
      <c r="D41">
        <v>4.3953959430708665</v>
      </c>
      <c r="E41">
        <v>4.0461479929</v>
      </c>
      <c r="F41">
        <v>5.63853823</v>
      </c>
      <c r="G41">
        <v>0.9094</v>
      </c>
      <c r="H41">
        <v>1.4096345575</v>
      </c>
      <c r="I41">
        <v>17.3149</v>
      </c>
      <c r="J41">
        <f>D41/(F41/3.27)</f>
        <v>2.5490551181102368</v>
      </c>
      <c r="K41">
        <f>(G41)/(F41/1.61)</f>
        <v>0.25966552682218846</v>
      </c>
      <c r="L41">
        <f>H41/F41</f>
        <v>0.25</v>
      </c>
    </row>
    <row r="42">
      <c r="B42">
        <v>38</v>
      </c>
      <c r="C42">
        <v>6</v>
      </c>
      <c r="D42">
        <v>4.3953959430708665</v>
      </c>
      <c r="E42">
        <v>4.0461479929</v>
      </c>
      <c r="F42">
        <v>5.63853823</v>
      </c>
      <c r="G42">
        <v>0.9094</v>
      </c>
      <c r="H42">
        <v>1.4096345575</v>
      </c>
      <c r="I42">
        <v>17.3149</v>
      </c>
      <c r="J42">
        <f>D42/(F42/3.27)</f>
        <v>2.5490551181102368</v>
      </c>
      <c r="K42">
        <f>(G42)/(F42/1.61)</f>
        <v>0.25966552682218846</v>
      </c>
      <c r="L42">
        <f>H42/F42</f>
        <v>0.25</v>
      </c>
    </row>
    <row r="43">
      <c r="B43">
        <v>39</v>
      </c>
      <c r="C43">
        <v>6</v>
      </c>
      <c r="D43">
        <v>4.3953959430708665</v>
      </c>
      <c r="E43">
        <v>4.0461479929</v>
      </c>
      <c r="F43">
        <v>5.63853823</v>
      </c>
      <c r="G43">
        <v>0.9094</v>
      </c>
      <c r="H43">
        <v>1.4096345575</v>
      </c>
      <c r="I43">
        <v>17.3149</v>
      </c>
      <c r="J43">
        <f>D43/(F43/3.27)</f>
        <v>2.5490551181102368</v>
      </c>
      <c r="K43">
        <f>(G43)/(F43/1.61)</f>
        <v>0.25966552682218846</v>
      </c>
      <c r="L43">
        <f>H43/F43</f>
        <v>0.25</v>
      </c>
    </row>
    <row r="44">
      <c r="B44">
        <v>40</v>
      </c>
      <c r="C44">
        <v>6</v>
      </c>
      <c r="D44">
        <v>4.3953959430708665</v>
      </c>
      <c r="E44">
        <v>4.0461479929</v>
      </c>
      <c r="F44">
        <v>5.63853823</v>
      </c>
      <c r="G44">
        <v>0.9094</v>
      </c>
      <c r="H44">
        <v>1.4096345575</v>
      </c>
      <c r="I44">
        <v>17.3149</v>
      </c>
      <c r="J44">
        <f>D44/(F44/3.27)</f>
        <v>2.5490551181102368</v>
      </c>
      <c r="K44">
        <f>(G44)/(F44/1.61)</f>
        <v>0.25966552682218846</v>
      </c>
      <c r="L44">
        <f>H44/F44</f>
        <v>0.25</v>
      </c>
    </row>
    <row r="45">
      <c r="B45">
        <v>41</v>
      </c>
      <c r="C45">
        <v>6</v>
      </c>
      <c r="D45">
        <v>4.3953959430708665</v>
      </c>
      <c r="E45">
        <v>4.0461479929</v>
      </c>
      <c r="F45">
        <v>5.63853823</v>
      </c>
      <c r="G45">
        <v>0.9094</v>
      </c>
      <c r="H45">
        <v>1.4096345575</v>
      </c>
      <c r="I45">
        <v>17.3149</v>
      </c>
      <c r="J45">
        <f>D45/(F45/3.27)</f>
        <v>2.5490551181102368</v>
      </c>
      <c r="K45">
        <f>(G45)/(F45/1.61)</f>
        <v>0.25966552682218846</v>
      </c>
      <c r="L45">
        <f>H45/F45</f>
        <v>0.25</v>
      </c>
    </row>
    <row r="46">
      <c r="B46">
        <v>42</v>
      </c>
      <c r="C46">
        <v>6</v>
      </c>
      <c r="D46">
        <v>4.3953959430708665</v>
      </c>
      <c r="E46">
        <v>4.0461479929</v>
      </c>
      <c r="F46">
        <v>5.63853823</v>
      </c>
      <c r="G46">
        <v>0.9094</v>
      </c>
      <c r="H46">
        <v>1.4096345575</v>
      </c>
      <c r="I46">
        <v>17.3149</v>
      </c>
      <c r="J46">
        <f>D46/(F46/3.27)</f>
        <v>2.5490551181102368</v>
      </c>
      <c r="K46">
        <f>(G46)/(F46/1.61)</f>
        <v>0.25966552682218846</v>
      </c>
      <c r="L46">
        <f>H46/F46</f>
        <v>0.25</v>
      </c>
    </row>
    <row r="47">
      <c r="B47">
        <v>43</v>
      </c>
      <c r="C47">
        <v>7</v>
      </c>
      <c r="D47">
        <v>4.3953959430708665</v>
      </c>
      <c r="E47">
        <v>4.0461479929</v>
      </c>
      <c r="F47">
        <v>5.63853823</v>
      </c>
      <c r="G47">
        <v>0.9094</v>
      </c>
      <c r="H47">
        <v>1.4096345575</v>
      </c>
      <c r="I47">
        <v>17.3149</v>
      </c>
      <c r="J47">
        <f>D47/(F47/3.27)</f>
        <v>2.5490551181102368</v>
      </c>
      <c r="K47">
        <f>(G47)/(F47/1.61)</f>
        <v>0.25966552682218846</v>
      </c>
      <c r="L47">
        <f>H47/F47</f>
        <v>0.25</v>
      </c>
    </row>
    <row r="48">
      <c r="B48">
        <v>44</v>
      </c>
      <c r="C48">
        <v>7</v>
      </c>
      <c r="D48">
        <v>4.3953959430708665</v>
      </c>
      <c r="E48">
        <v>4.0461479929</v>
      </c>
      <c r="F48">
        <v>5.63853823</v>
      </c>
      <c r="G48">
        <v>0.9094</v>
      </c>
      <c r="H48">
        <v>1.4096345575</v>
      </c>
      <c r="I48">
        <v>17.3149</v>
      </c>
      <c r="J48">
        <f>D48/(F48/3.27)</f>
        <v>2.5490551181102368</v>
      </c>
      <c r="K48">
        <f>(G48)/(F48/1.61)</f>
        <v>0.25966552682218846</v>
      </c>
      <c r="L48">
        <f>H48/F48</f>
        <v>0.25</v>
      </c>
    </row>
    <row r="49">
      <c r="A49">
        <v>5</v>
      </c>
      <c r="B49">
        <v>45</v>
      </c>
      <c r="C49">
        <v>7</v>
      </c>
      <c r="D49">
        <v>4.3953959430708665</v>
      </c>
      <c r="E49">
        <v>4.0461479929</v>
      </c>
      <c r="F49">
        <v>5.63853823</v>
      </c>
      <c r="G49">
        <v>0.9094</v>
      </c>
      <c r="H49">
        <v>1.4096345575</v>
      </c>
      <c r="I49">
        <v>17.3149</v>
      </c>
      <c r="J49">
        <f>D49/(F49/3.27)</f>
        <v>2.5490551181102368</v>
      </c>
      <c r="K49">
        <f>(G49)/(F49/1.61)</f>
        <v>0.25966552682218846</v>
      </c>
      <c r="L49">
        <f>H49/F49</f>
        <v>0.25</v>
      </c>
    </row>
    <row r="50">
      <c r="A50">
        <v>6</v>
      </c>
      <c r="B50">
        <v>46</v>
      </c>
      <c r="C50">
        <v>7</v>
      </c>
      <c r="D50">
        <v>4.3953959430708665</v>
      </c>
      <c r="E50">
        <v>4.0461479929</v>
      </c>
      <c r="F50">
        <v>5.63853823</v>
      </c>
      <c r="G50">
        <v>0.9094</v>
      </c>
      <c r="H50">
        <v>1.4096345575</v>
      </c>
      <c r="I50">
        <v>17.3149</v>
      </c>
      <c r="J50">
        <f>D50/(F50/3.27)</f>
        <v>2.5490551181102368</v>
      </c>
      <c r="K50">
        <f>(G50)/(F50/1.61)</f>
        <v>0.25966552682218846</v>
      </c>
      <c r="L50">
        <f>H50/F50</f>
        <v>0.25</v>
      </c>
    </row>
    <row r="51">
      <c r="B51">
        <v>47</v>
      </c>
      <c r="C51">
        <v>7</v>
      </c>
      <c r="D51">
        <v>4.3953959430708665</v>
      </c>
      <c r="E51">
        <v>4.0461479929</v>
      </c>
      <c r="F51">
        <v>5.63853823</v>
      </c>
      <c r="G51">
        <v>0.9094</v>
      </c>
      <c r="H51">
        <v>1.4096345575</v>
      </c>
      <c r="I51">
        <v>17.3149</v>
      </c>
      <c r="J51">
        <f>D51/(F51/3.27)</f>
        <v>2.5490551181102368</v>
      </c>
      <c r="K51">
        <f>(G51)/(F51/1.61)</f>
        <v>0.25966552682218846</v>
      </c>
      <c r="L51">
        <f>H51/F51</f>
        <v>0.25</v>
      </c>
    </row>
    <row r="52">
      <c r="B52">
        <v>48</v>
      </c>
      <c r="C52">
        <v>7</v>
      </c>
      <c r="D52">
        <v>4.3953959430708665</v>
      </c>
      <c r="E52">
        <v>4.0461479929</v>
      </c>
      <c r="F52">
        <v>5.63853823</v>
      </c>
      <c r="G52">
        <v>0.9094</v>
      </c>
      <c r="H52">
        <v>1.4096345575</v>
      </c>
      <c r="I52">
        <v>23.426</v>
      </c>
      <c r="J52">
        <f>D52/(F52/3.27)</f>
        <v>2.5490551181102368</v>
      </c>
      <c r="K52">
        <f>(G52)/(F52/1.61)</f>
        <v>0.25966552682218846</v>
      </c>
      <c r="L52">
        <f>H52/F52</f>
        <v>0.25</v>
      </c>
    </row>
    <row r="53">
      <c r="B53">
        <v>49</v>
      </c>
      <c r="C53">
        <v>7</v>
      </c>
      <c r="D53">
        <v>4.3953959430708665</v>
      </c>
      <c r="E53">
        <v>4.0461479929</v>
      </c>
      <c r="F53">
        <v>5.63853823</v>
      </c>
      <c r="G53">
        <v>0.9094</v>
      </c>
      <c r="H53">
        <v>1.4096345575</v>
      </c>
      <c r="I53">
        <v>23.426</v>
      </c>
      <c r="J53">
        <f>D53/(F53/3.27)</f>
        <v>2.5490551181102368</v>
      </c>
      <c r="K53">
        <f>(G53)/(F53/1.61)</f>
        <v>0.25966552682218846</v>
      </c>
      <c r="L53">
        <f>H53/F53</f>
        <v>0.25</v>
      </c>
    </row>
    <row r="54">
      <c r="B54">
        <v>50</v>
      </c>
      <c r="C54">
        <v>8</v>
      </c>
      <c r="D54">
        <v>4.151207279566929</v>
      </c>
      <c r="E54">
        <v>1.8116528670499998</v>
      </c>
      <c r="F54">
        <v>5.63853823</v>
      </c>
      <c r="G54">
        <v>0.9094</v>
      </c>
      <c r="H54">
        <v>1.4096345575</v>
      </c>
      <c r="I54">
        <v>23.426</v>
      </c>
      <c r="J54">
        <f>D54/(F54/3.27)</f>
        <v>2.40744094488189</v>
      </c>
      <c r="K54">
        <f>(G54)/(F54/1.61)</f>
        <v>0.25966552682218846</v>
      </c>
      <c r="L54">
        <f>H54/F54</f>
        <v>0.25</v>
      </c>
    </row>
    <row r="55">
      <c r="B55">
        <v>51</v>
      </c>
      <c r="C55">
        <v>8</v>
      </c>
      <c r="D55">
        <v>4.151207279566929</v>
      </c>
      <c r="E55">
        <v>1.8116528670499998</v>
      </c>
      <c r="F55">
        <v>5.63853823</v>
      </c>
      <c r="G55">
        <v>0.9094</v>
      </c>
      <c r="H55">
        <v>1.4096345575</v>
      </c>
      <c r="I55">
        <v>23.426</v>
      </c>
      <c r="J55">
        <f>D55/(F55/3.27)</f>
        <v>2.40744094488189</v>
      </c>
      <c r="K55">
        <f>(G55)/(F55/1.61)</f>
        <v>0.25966552682218846</v>
      </c>
      <c r="L55">
        <f>H55/F55</f>
        <v>0.25</v>
      </c>
    </row>
    <row r="56">
      <c r="B56">
        <v>52</v>
      </c>
      <c r="C56">
        <v>8</v>
      </c>
      <c r="D56">
        <v>4.151207279566929</v>
      </c>
      <c r="E56">
        <v>1.8116528670499998</v>
      </c>
      <c r="F56">
        <v>5.63853823</v>
      </c>
      <c r="G56">
        <v>0.9094</v>
      </c>
      <c r="H56">
        <v>1.4096345575</v>
      </c>
      <c r="I56">
        <v>23.426</v>
      </c>
      <c r="J56">
        <f>D56/(F56/3.27)</f>
        <v>2.40744094488189</v>
      </c>
      <c r="K56">
        <f>(G56)/(F56/1.61)</f>
        <v>0.25966552682218846</v>
      </c>
      <c r="L56">
        <f>H56/F56</f>
        <v>0.25</v>
      </c>
    </row>
    <row r="57">
      <c r="B57">
        <v>53</v>
      </c>
      <c r="C57">
        <v>8</v>
      </c>
      <c r="D57">
        <v>4.151207279566929</v>
      </c>
      <c r="E57">
        <v>1.8116528670499998</v>
      </c>
      <c r="F57">
        <v>5.63853823</v>
      </c>
      <c r="G57">
        <v>0.9094</v>
      </c>
      <c r="H57">
        <v>1.4096345575</v>
      </c>
      <c r="I57">
        <v>23.426</v>
      </c>
      <c r="J57">
        <f>D57/(F57/3.27)</f>
        <v>2.40744094488189</v>
      </c>
      <c r="K57">
        <f>(G57)/(F57/1.61)</f>
        <v>0.25966552682218846</v>
      </c>
      <c r="L57">
        <f>H57/F57</f>
        <v>0.25</v>
      </c>
    </row>
    <row r="58">
      <c r="B58">
        <v>54</v>
      </c>
      <c r="C58">
        <v>8</v>
      </c>
      <c r="D58">
        <v>4.151207279566929</v>
      </c>
      <c r="E58">
        <v>1.8116528670499998</v>
      </c>
      <c r="F58">
        <v>5.63853823</v>
      </c>
      <c r="G58">
        <v>0.9094</v>
      </c>
      <c r="H58">
        <v>1.4096345575</v>
      </c>
      <c r="I58">
        <v>23.426</v>
      </c>
      <c r="J58">
        <f>D58/(F58/3.27)</f>
        <v>2.40744094488189</v>
      </c>
      <c r="K58">
        <f>(G58)/(F58/1.61)</f>
        <v>0.25966552682218846</v>
      </c>
      <c r="L58">
        <f>H58/F58</f>
        <v>0.25</v>
      </c>
    </row>
    <row r="59">
      <c r="B59">
        <v>55</v>
      </c>
      <c r="C59">
        <v>8</v>
      </c>
      <c r="D59">
        <v>4.151207279566929</v>
      </c>
      <c r="E59">
        <v>1.8116528670499998</v>
      </c>
      <c r="F59">
        <v>5.63853823</v>
      </c>
      <c r="G59">
        <v>0.9094</v>
      </c>
      <c r="H59">
        <v>1.4096345575</v>
      </c>
      <c r="I59">
        <v>23.426</v>
      </c>
      <c r="J59">
        <f>D59/(F59/3.27)</f>
        <v>2.40744094488189</v>
      </c>
      <c r="K59">
        <f>(G59)/(F59/1.61)</f>
        <v>0.25966552682218846</v>
      </c>
      <c r="L59">
        <f>H59/F59</f>
        <v>0.25</v>
      </c>
    </row>
    <row r="60">
      <c r="B60">
        <v>56</v>
      </c>
      <c r="C60">
        <v>8</v>
      </c>
      <c r="D60">
        <v>4.151207279566929</v>
      </c>
      <c r="E60">
        <v>1.8116528670499998</v>
      </c>
      <c r="F60">
        <v>5.63853823</v>
      </c>
      <c r="G60">
        <v>0.9094</v>
      </c>
      <c r="H60">
        <v>1.4096345575</v>
      </c>
      <c r="I60">
        <v>23.426</v>
      </c>
      <c r="J60">
        <f>D60/(F60/3.27)</f>
        <v>2.40744094488189</v>
      </c>
      <c r="K60">
        <f>(G60)/(F60/1.61)</f>
        <v>0.25966552682218846</v>
      </c>
      <c r="L60">
        <f>H60/F60</f>
        <v>0.25</v>
      </c>
    </row>
    <row r="61">
      <c r="B61">
        <v>57</v>
      </c>
      <c r="C61">
        <v>9</v>
      </c>
      <c r="D61">
        <v>4.151207279566929</v>
      </c>
      <c r="E61">
        <v>1.8116528670499998</v>
      </c>
      <c r="F61">
        <v>5.63853823</v>
      </c>
      <c r="G61">
        <v>0.9094</v>
      </c>
      <c r="H61">
        <v>1.4096345575</v>
      </c>
      <c r="I61">
        <v>23.426</v>
      </c>
      <c r="J61">
        <f>D61/(F61/3.27)</f>
        <v>2.40744094488189</v>
      </c>
      <c r="K61">
        <f>(G61)/(F61/1.61)</f>
        <v>0.25966552682218846</v>
      </c>
      <c r="L61">
        <f>H61/F61</f>
        <v>0.25</v>
      </c>
    </row>
    <row r="62">
      <c r="B62">
        <v>58</v>
      </c>
      <c r="C62">
        <v>9</v>
      </c>
      <c r="D62">
        <v>4.151207279566929</v>
      </c>
      <c r="E62">
        <v>1.8116528670499998</v>
      </c>
      <c r="F62">
        <v>5.63853823</v>
      </c>
      <c r="G62">
        <v>0.9094</v>
      </c>
      <c r="H62">
        <v>1.4096345575</v>
      </c>
      <c r="I62">
        <v>23.426</v>
      </c>
      <c r="J62">
        <f>D62/(F62/3.27)</f>
        <v>2.40744094488189</v>
      </c>
      <c r="K62">
        <f>(G62)/(F62/1.61)</f>
        <v>0.25966552682218846</v>
      </c>
      <c r="L62">
        <f>H62/F62</f>
        <v>0.25</v>
      </c>
    </row>
    <row r="63">
      <c r="B63">
        <v>59</v>
      </c>
      <c r="C63">
        <v>9</v>
      </c>
      <c r="D63">
        <v>4.151207279566929</v>
      </c>
      <c r="E63">
        <v>1.8116528670499998</v>
      </c>
      <c r="F63">
        <v>5.63853823</v>
      </c>
      <c r="G63">
        <v>0.9094</v>
      </c>
      <c r="H63">
        <v>1.4096345575</v>
      </c>
      <c r="I63">
        <v>23.426</v>
      </c>
      <c r="J63">
        <f>D63/(F63/3.27)</f>
        <v>2.40744094488189</v>
      </c>
      <c r="K63">
        <f>(G63)/(F63/1.61)</f>
        <v>0.25966552682218846</v>
      </c>
      <c r="L63">
        <f>H63/F63</f>
        <v>0.25</v>
      </c>
    </row>
    <row r="64">
      <c r="B64">
        <v>60</v>
      </c>
      <c r="C64">
        <v>9</v>
      </c>
      <c r="D64">
        <v>4.151207279566929</v>
      </c>
      <c r="E64">
        <v>1.8116528670499998</v>
      </c>
      <c r="F64">
        <v>5.63853823</v>
      </c>
      <c r="G64">
        <v>0.9094</v>
      </c>
      <c r="H64">
        <v>1.4096345575</v>
      </c>
      <c r="I64">
        <v>23.426</v>
      </c>
      <c r="J64">
        <f>D64/(F64/3.27)</f>
        <v>2.40744094488189</v>
      </c>
      <c r="K64">
        <f>(G64)/(F64/1.61)</f>
        <v>0.25966552682218846</v>
      </c>
      <c r="L64">
        <f>H64/F64</f>
        <v>0.25</v>
      </c>
    </row>
    <row r="65">
      <c r="B65">
        <v>61</v>
      </c>
      <c r="C65">
        <v>9</v>
      </c>
      <c r="D65">
        <v>4.151207279566929</v>
      </c>
      <c r="E65">
        <v>1.8116528670499998</v>
      </c>
      <c r="F65">
        <v>5.63853823</v>
      </c>
      <c r="G65">
        <v>0.9094</v>
      </c>
      <c r="H65">
        <v>1.4096345575</v>
      </c>
      <c r="I65">
        <v>23.426</v>
      </c>
      <c r="J65">
        <f>D65/(F65/3.27)</f>
        <v>2.40744094488189</v>
      </c>
      <c r="K65">
        <f>(G65)/(F65/1.61)</f>
        <v>0.25966552682218846</v>
      </c>
      <c r="L65">
        <f>H65/F65</f>
        <v>0.25</v>
      </c>
    </row>
    <row r="66">
      <c r="B66">
        <v>62</v>
      </c>
      <c r="C66">
        <v>9</v>
      </c>
      <c r="D66">
        <v>4.151207279566929</v>
      </c>
      <c r="E66">
        <v>1.8116528670499998</v>
      </c>
      <c r="F66">
        <v>5.63853823</v>
      </c>
      <c r="G66">
        <v>0.9094</v>
      </c>
      <c r="H66">
        <v>1.4096345575</v>
      </c>
      <c r="I66">
        <v>23.426</v>
      </c>
      <c r="J66">
        <f>D66/(F66/3.27)</f>
        <v>2.40744094488189</v>
      </c>
      <c r="K66">
        <f>(G66)/(F66/1.61)</f>
        <v>0.25966552682218846</v>
      </c>
      <c r="L66">
        <f>H66/F66</f>
        <v>0.25</v>
      </c>
    </row>
    <row r="67">
      <c r="B67">
        <v>63</v>
      </c>
      <c r="C67">
        <v>9</v>
      </c>
      <c r="D67">
        <v>4.151207279566929</v>
      </c>
      <c r="E67">
        <v>1.8116528670499998</v>
      </c>
      <c r="F67">
        <v>5.63853823</v>
      </c>
      <c r="G67">
        <v>0.9094</v>
      </c>
      <c r="H67">
        <v>1.4096345575</v>
      </c>
      <c r="I67">
        <v>29.5372</v>
      </c>
      <c r="J67">
        <f>D67/(F67/3.27)</f>
        <v>2.40744094488189</v>
      </c>
      <c r="K67">
        <f>(G67)/(F67/1.61)</f>
        <v>0.25966552682218846</v>
      </c>
      <c r="L67">
        <f>H67/F67</f>
        <v>0.25</v>
      </c>
    </row>
    <row r="68">
      <c r="B68">
        <v>64</v>
      </c>
      <c r="C68">
        <v>10</v>
      </c>
      <c r="D68">
        <v>4.151207279566929</v>
      </c>
      <c r="E68">
        <v>1.8116528670499998</v>
      </c>
      <c r="F68">
        <v>5.63853823</v>
      </c>
      <c r="G68">
        <v>0.9094</v>
      </c>
      <c r="H68">
        <v>1.4096345575</v>
      </c>
      <c r="I68">
        <v>29.5372</v>
      </c>
      <c r="J68">
        <f>D68/(F68/3.27)</f>
        <v>2.40744094488189</v>
      </c>
      <c r="K68">
        <f>(G68)/(F68/1.61)</f>
        <v>0.25966552682218846</v>
      </c>
      <c r="L68">
        <f>H68/F68</f>
        <v>0.25</v>
      </c>
    </row>
    <row r="69">
      <c r="A69">
        <v>6</v>
      </c>
      <c r="B69">
        <v>65</v>
      </c>
      <c r="C69">
        <v>10</v>
      </c>
      <c r="D69">
        <v>4.151207279566929</v>
      </c>
      <c r="E69">
        <v>1.8116528670499998</v>
      </c>
      <c r="F69">
        <v>5.63853823</v>
      </c>
      <c r="G69">
        <v>0.9094</v>
      </c>
      <c r="H69">
        <v>1.4096345575</v>
      </c>
      <c r="I69">
        <v>29.5372</v>
      </c>
      <c r="J69">
        <f>D69/(F69/3.27)</f>
        <v>2.40744094488189</v>
      </c>
      <c r="K69">
        <f>(G69)/(F69/1.61)</f>
        <v>0.25966552682218846</v>
      </c>
      <c r="L69">
        <f>H69/F69</f>
        <v>0.25</v>
      </c>
    </row>
    <row r="70">
      <c r="A70">
        <v>7</v>
      </c>
      <c r="B70">
        <v>66</v>
      </c>
      <c r="C70">
        <v>10</v>
      </c>
      <c r="D70">
        <v>4.151207279566929</v>
      </c>
      <c r="E70">
        <v>1.8116528670499998</v>
      </c>
      <c r="F70">
        <v>5.63853823</v>
      </c>
      <c r="G70">
        <v>0.9094</v>
      </c>
      <c r="H70">
        <v>1.4096345575</v>
      </c>
      <c r="I70">
        <v>29.5372</v>
      </c>
      <c r="J70">
        <f>D70/(F70/3.27)</f>
        <v>2.40744094488189</v>
      </c>
      <c r="K70">
        <f>(G70)/(F70/1.61)</f>
        <v>0.25966552682218846</v>
      </c>
      <c r="L70">
        <f>H70/F70</f>
        <v>0.25</v>
      </c>
    </row>
    <row r="71">
      <c r="B71">
        <v>67</v>
      </c>
      <c r="C71">
        <v>10</v>
      </c>
      <c r="D71">
        <v>4.151207279566929</v>
      </c>
      <c r="E71">
        <v>1.8116528670499998</v>
      </c>
      <c r="F71">
        <v>5.63853823</v>
      </c>
      <c r="G71">
        <v>0.9094</v>
      </c>
      <c r="H71">
        <v>1.4096345575</v>
      </c>
      <c r="I71">
        <v>29.5372</v>
      </c>
      <c r="J71">
        <f>D71/(F71/3.27)</f>
        <v>2.40744094488189</v>
      </c>
      <c r="K71">
        <f>(G71)/(F71/1.61)</f>
        <v>0.25966552682218846</v>
      </c>
      <c r="L71">
        <f>H71/F71</f>
        <v>0.25</v>
      </c>
    </row>
    <row r="72">
      <c r="B72">
        <v>68</v>
      </c>
      <c r="C72">
        <v>10</v>
      </c>
      <c r="D72">
        <v>4.151207279566929</v>
      </c>
      <c r="E72">
        <v>1.8116528670499998</v>
      </c>
      <c r="F72">
        <v>5.63853823</v>
      </c>
      <c r="G72">
        <v>0.9094</v>
      </c>
      <c r="H72">
        <v>1.4096345575</v>
      </c>
      <c r="I72">
        <v>29.5372</v>
      </c>
      <c r="J72">
        <f>D72/(F72/3.27)</f>
        <v>2.40744094488189</v>
      </c>
      <c r="K72">
        <f>(G72)/(F72/1.61)</f>
        <v>0.25966552682218846</v>
      </c>
      <c r="L72">
        <f>H72/F72</f>
        <v>0.25</v>
      </c>
    </row>
    <row r="73">
      <c r="B73">
        <v>69</v>
      </c>
      <c r="C73">
        <v>10</v>
      </c>
      <c r="D73">
        <v>4.151207279566929</v>
      </c>
      <c r="E73">
        <v>1.8116528670499998</v>
      </c>
      <c r="F73">
        <v>5.63853823</v>
      </c>
      <c r="G73">
        <v>0.9094</v>
      </c>
      <c r="H73">
        <v>1.4096345575</v>
      </c>
      <c r="I73">
        <v>29.5372</v>
      </c>
      <c r="J73">
        <f>D73/(F73/3.27)</f>
        <v>2.40744094488189</v>
      </c>
      <c r="K73">
        <f>(G73)/(F73/1.61)</f>
        <v>0.25966552682218846</v>
      </c>
      <c r="L73">
        <f>H73/F73</f>
        <v>0.25</v>
      </c>
    </row>
    <row r="74">
      <c r="B74">
        <v>70</v>
      </c>
      <c r="C74">
        <v>10</v>
      </c>
      <c r="D74">
        <v>4.151207279566929</v>
      </c>
      <c r="E74">
        <v>1.8116528670499998</v>
      </c>
      <c r="F74">
        <v>5.63853823</v>
      </c>
      <c r="G74">
        <v>0.9094</v>
      </c>
      <c r="H74">
        <v>1.4096345575</v>
      </c>
      <c r="I74">
        <v>29.5372</v>
      </c>
      <c r="J74">
        <f>D74/(F74/3.27)</f>
        <v>2.40744094488189</v>
      </c>
      <c r="K74">
        <f>(G74)/(F74/1.61)</f>
        <v>0.25966552682218846</v>
      </c>
      <c r="L74">
        <f>H74/F74</f>
        <v>0.25</v>
      </c>
    </row>
    <row r="75">
      <c r="B75">
        <v>71</v>
      </c>
      <c r="C75">
        <v>11</v>
      </c>
      <c r="D75">
        <v>4.151207279566929</v>
      </c>
      <c r="E75">
        <v>1.8116528670499998</v>
      </c>
      <c r="F75">
        <v>5.63853823</v>
      </c>
      <c r="G75">
        <v>0.9094</v>
      </c>
      <c r="H75">
        <v>1.4096345575</v>
      </c>
      <c r="I75">
        <v>29.5372</v>
      </c>
      <c r="J75">
        <f>D75/(F75/3.27)</f>
        <v>2.40744094488189</v>
      </c>
      <c r="K75">
        <f>(G75)/(F75/1.61)</f>
        <v>0.25966552682218846</v>
      </c>
      <c r="L75">
        <f>H75/F75</f>
        <v>0.25</v>
      </c>
    </row>
    <row r="76">
      <c r="B76">
        <v>72</v>
      </c>
      <c r="C76">
        <v>11</v>
      </c>
      <c r="D76">
        <v>4.151207279566929</v>
      </c>
      <c r="E76">
        <v>1.8116528670499998</v>
      </c>
      <c r="F76">
        <v>5.63853823</v>
      </c>
      <c r="G76">
        <v>0.9094</v>
      </c>
      <c r="H76">
        <v>1.4096345575</v>
      </c>
      <c r="I76">
        <v>29.5372</v>
      </c>
      <c r="J76">
        <f>D76/(F76/3.27)</f>
        <v>2.40744094488189</v>
      </c>
      <c r="K76">
        <f>(G76)/(F76/1.61)</f>
        <v>0.25966552682218846</v>
      </c>
      <c r="L76">
        <f>H76/F76</f>
        <v>0.25</v>
      </c>
    </row>
    <row r="77">
      <c r="B77">
        <v>73</v>
      </c>
      <c r="C77">
        <v>11</v>
      </c>
      <c r="D77">
        <v>4.151207279566929</v>
      </c>
      <c r="E77">
        <v>1.8116528670499998</v>
      </c>
      <c r="F77">
        <v>5.63853823</v>
      </c>
      <c r="G77">
        <v>0.9094</v>
      </c>
      <c r="H77">
        <v>1.4096345575</v>
      </c>
      <c r="I77">
        <v>29.5372</v>
      </c>
      <c r="J77">
        <f>D77/(F77/3.27)</f>
        <v>2.40744094488189</v>
      </c>
      <c r="K77">
        <f>(G77)/(F77/1.61)</f>
        <v>0.25966552682218846</v>
      </c>
      <c r="L77">
        <f>H77/F77</f>
        <v>0.25</v>
      </c>
    </row>
    <row r="78">
      <c r="B78">
        <v>74</v>
      </c>
      <c r="C78">
        <v>11</v>
      </c>
      <c r="D78">
        <v>4.151207279566929</v>
      </c>
      <c r="E78">
        <v>1.8116528670499998</v>
      </c>
      <c r="F78">
        <v>5.63853823</v>
      </c>
      <c r="G78">
        <v>0.9094</v>
      </c>
      <c r="H78">
        <v>1.4096345575</v>
      </c>
      <c r="I78">
        <v>29.5372</v>
      </c>
      <c r="J78">
        <f>D78/(F78/3.27)</f>
        <v>2.40744094488189</v>
      </c>
      <c r="K78">
        <f>(G78)/(F78/1.61)</f>
        <v>0.25966552682218846</v>
      </c>
      <c r="L78">
        <f>H78/F78</f>
        <v>0.25</v>
      </c>
    </row>
    <row r="79">
      <c r="B79">
        <v>75</v>
      </c>
      <c r="C79">
        <v>11</v>
      </c>
      <c r="D79">
        <v>4.151207279566929</v>
      </c>
      <c r="E79">
        <v>1.8116528670499998</v>
      </c>
      <c r="F79">
        <v>5.63853823</v>
      </c>
      <c r="G79">
        <v>0.9094</v>
      </c>
      <c r="H79">
        <v>1.4096345575</v>
      </c>
      <c r="I79">
        <v>29.5372</v>
      </c>
      <c r="J79">
        <f>D79/(F79/3.27)</f>
        <v>2.40744094488189</v>
      </c>
      <c r="K79">
        <f>(G79)/(F79/1.61)</f>
        <v>0.25966552682218846</v>
      </c>
      <c r="L79">
        <f>H79/F79</f>
        <v>0.25</v>
      </c>
    </row>
    <row r="80">
      <c r="B80">
        <v>76</v>
      </c>
      <c r="C80">
        <v>11</v>
      </c>
      <c r="D80">
        <v>4.151207279566929</v>
      </c>
      <c r="E80">
        <v>1.8116528670499998</v>
      </c>
      <c r="F80">
        <v>5.63853823</v>
      </c>
      <c r="G80">
        <v>0.9094</v>
      </c>
      <c r="H80">
        <v>1.4096345575</v>
      </c>
      <c r="I80">
        <v>29.5372</v>
      </c>
      <c r="J80">
        <f>D80/(F80/3.27)</f>
        <v>2.40744094488189</v>
      </c>
      <c r="K80">
        <f>(G80)/(F80/1.61)</f>
        <v>0.25966552682218846</v>
      </c>
      <c r="L80">
        <f>H80/F80</f>
        <v>0.25</v>
      </c>
    </row>
    <row r="81">
      <c r="B81">
        <v>77</v>
      </c>
      <c r="C81">
        <v>11</v>
      </c>
      <c r="D81">
        <v>4.151207279566929</v>
      </c>
      <c r="E81">
        <v>1.8116528670499998</v>
      </c>
      <c r="F81">
        <v>5.63853823</v>
      </c>
      <c r="G81">
        <v>0.9094</v>
      </c>
      <c r="H81">
        <v>1.4096345575</v>
      </c>
      <c r="I81">
        <v>29.5372</v>
      </c>
      <c r="J81">
        <f>D81/(F81/3.27)</f>
        <v>2.40744094488189</v>
      </c>
      <c r="K81">
        <f>(G81)/(F81/1.61)</f>
        <v>0.25966552682218846</v>
      </c>
      <c r="L81">
        <f>H81/F81</f>
        <v>0.25</v>
      </c>
    </row>
    <row r="82">
      <c r="B82">
        <v>78</v>
      </c>
      <c r="C82">
        <v>12</v>
      </c>
      <c r="D82">
        <v>3.1117248089547247</v>
      </c>
      <c r="E82">
        <v>1.8116528670499998</v>
      </c>
      <c r="F82">
        <v>4.2266208635</v>
      </c>
      <c r="G82">
        <v>0.68168</v>
      </c>
      <c r="H82">
        <v>1.056655215875</v>
      </c>
      <c r="I82">
        <v>29.5372</v>
      </c>
      <c r="J82">
        <f>D82/(F82/3.27)</f>
        <v>2.40744094488189</v>
      </c>
      <c r="K82">
        <f>(G82)/(F82/1.61)</f>
        <v>0.2596648328402877</v>
      </c>
      <c r="L82">
        <f>H82/F82</f>
        <v>0.25</v>
      </c>
    </row>
    <row r="83">
      <c r="B83">
        <v>79</v>
      </c>
      <c r="C83">
        <v>12</v>
      </c>
      <c r="D83">
        <v>3.1117248089547247</v>
      </c>
      <c r="E83">
        <v>1.8116528670499998</v>
      </c>
      <c r="F83">
        <v>4.2266208635</v>
      </c>
      <c r="G83">
        <v>0.68168</v>
      </c>
      <c r="H83">
        <v>1.056655215875</v>
      </c>
      <c r="I83">
        <v>29.5372</v>
      </c>
      <c r="J83">
        <f>D83/(F83/3.27)</f>
        <v>2.40744094488189</v>
      </c>
      <c r="K83">
        <f>(G83)/(F83/1.61)</f>
        <v>0.2596648328402877</v>
      </c>
      <c r="L83">
        <f>H83/F83</f>
        <v>0.25</v>
      </c>
    </row>
    <row r="84">
      <c r="B84">
        <v>80</v>
      </c>
      <c r="C84">
        <v>12</v>
      </c>
      <c r="D84">
        <v>3.1117248089547247</v>
      </c>
      <c r="E84">
        <v>1.8116528670499998</v>
      </c>
      <c r="F84">
        <v>4.2266208635</v>
      </c>
      <c r="G84">
        <v>0.68168</v>
      </c>
      <c r="H84">
        <v>1.056655215875</v>
      </c>
      <c r="I84">
        <v>29.5372</v>
      </c>
      <c r="J84">
        <f>D84/(F84/3.27)</f>
        <v>2.40744094488189</v>
      </c>
      <c r="K84">
        <f>(G84)/(F84/1.61)</f>
        <v>0.2596648328402877</v>
      </c>
      <c r="L84">
        <f>H84/F84</f>
        <v>0.25</v>
      </c>
    </row>
    <row r="85">
      <c r="B85">
        <v>81</v>
      </c>
      <c r="C85">
        <v>12</v>
      </c>
      <c r="D85">
        <v>3.1117248089547247</v>
      </c>
      <c r="E85">
        <v>1.8116528670499998</v>
      </c>
      <c r="F85">
        <v>4.2266208635</v>
      </c>
      <c r="G85">
        <v>0.68168</v>
      </c>
      <c r="H85">
        <v>1.056655215875</v>
      </c>
      <c r="I85">
        <v>35.6483</v>
      </c>
      <c r="J85">
        <f>D85/(F85/3.27)</f>
        <v>2.40744094488189</v>
      </c>
      <c r="K85">
        <f>(G85)/(F85/1.61)</f>
        <v>0.2596648328402877</v>
      </c>
      <c r="L85">
        <f>H85/F85</f>
        <v>0.25</v>
      </c>
    </row>
    <row r="86">
      <c r="B86">
        <v>82</v>
      </c>
      <c r="C86">
        <v>12</v>
      </c>
      <c r="D86">
        <v>3.1117248089547247</v>
      </c>
      <c r="E86">
        <v>1.8116528670499998</v>
      </c>
      <c r="F86">
        <v>4.2266208635</v>
      </c>
      <c r="G86">
        <v>0.68168</v>
      </c>
      <c r="H86">
        <v>1.056655215875</v>
      </c>
      <c r="I86">
        <v>35.6483</v>
      </c>
      <c r="J86">
        <f>D86/(F86/3.27)</f>
        <v>2.40744094488189</v>
      </c>
      <c r="K86">
        <f>(G86)/(F86/1.61)</f>
        <v>0.2596648328402877</v>
      </c>
      <c r="L86">
        <f>H86/F86</f>
        <v>0.25</v>
      </c>
    </row>
    <row r="87">
      <c r="B87">
        <v>83</v>
      </c>
      <c r="C87">
        <v>12</v>
      </c>
      <c r="D87">
        <v>3.1117248089547247</v>
      </c>
      <c r="E87">
        <v>1.8116528670499998</v>
      </c>
      <c r="F87">
        <v>4.2266208635</v>
      </c>
      <c r="G87">
        <v>0.68168</v>
      </c>
      <c r="H87">
        <v>1.056655215875</v>
      </c>
      <c r="I87">
        <v>35.6483</v>
      </c>
      <c r="J87">
        <f>D87/(F87/3.27)</f>
        <v>2.40744094488189</v>
      </c>
      <c r="K87">
        <f>(G87)/(F87/1.61)</f>
        <v>0.2596648328402877</v>
      </c>
      <c r="L87">
        <f>H87/F87</f>
        <v>0.25</v>
      </c>
    </row>
    <row r="88">
      <c r="B88">
        <v>84</v>
      </c>
      <c r="C88">
        <v>12</v>
      </c>
      <c r="D88">
        <v>3.1117248089547247</v>
      </c>
      <c r="E88">
        <v>1.8116528670499998</v>
      </c>
      <c r="F88">
        <v>4.2266208635</v>
      </c>
      <c r="G88">
        <v>0.68168</v>
      </c>
      <c r="H88">
        <v>1.056655215875</v>
      </c>
      <c r="I88">
        <v>35.6483</v>
      </c>
      <c r="J88">
        <f>D88/(F88/3.27)</f>
        <v>2.40744094488189</v>
      </c>
      <c r="K88">
        <f>(G88)/(F88/1.61)</f>
        <v>0.2596648328402877</v>
      </c>
      <c r="L88">
        <f>H88/F88</f>
        <v>0.25</v>
      </c>
    </row>
    <row r="89">
      <c r="B89">
        <v>85</v>
      </c>
      <c r="C89">
        <v>13</v>
      </c>
      <c r="D89">
        <v>3.1117248089547247</v>
      </c>
      <c r="E89">
        <v>1.8116528670499998</v>
      </c>
      <c r="F89">
        <v>4.2266208635</v>
      </c>
      <c r="G89">
        <v>0.68168</v>
      </c>
      <c r="H89">
        <v>1.056655215875</v>
      </c>
      <c r="I89">
        <v>35.6483</v>
      </c>
      <c r="J89">
        <f>D89/(F89/3.27)</f>
        <v>2.40744094488189</v>
      </c>
      <c r="K89">
        <f>(G89)/(F89/1.61)</f>
        <v>0.2596648328402877</v>
      </c>
      <c r="L89">
        <f>H89/F89</f>
        <v>0.25</v>
      </c>
    </row>
    <row r="90">
      <c r="B90">
        <v>86</v>
      </c>
      <c r="C90">
        <v>13</v>
      </c>
      <c r="D90">
        <v>3.1117248089547247</v>
      </c>
      <c r="E90">
        <v>1.8116528670499998</v>
      </c>
      <c r="F90">
        <v>4.2266208635</v>
      </c>
      <c r="G90">
        <v>0.68168</v>
      </c>
      <c r="H90">
        <v>1.056655215875</v>
      </c>
      <c r="I90">
        <v>35.6483</v>
      </c>
      <c r="J90">
        <f>D90/(F90/3.27)</f>
        <v>2.40744094488189</v>
      </c>
      <c r="K90">
        <f>(G90)/(F90/1.61)</f>
        <v>0.2596648328402877</v>
      </c>
      <c r="L90">
        <f>H90/F90</f>
        <v>0.25</v>
      </c>
    </row>
    <row r="91">
      <c r="B91">
        <v>87</v>
      </c>
      <c r="C91">
        <v>13</v>
      </c>
      <c r="D91">
        <v>3.1117248089547247</v>
      </c>
      <c r="E91">
        <v>1.8116528670499998</v>
      </c>
      <c r="F91">
        <v>4.2266208635</v>
      </c>
      <c r="G91">
        <v>0.68168</v>
      </c>
      <c r="H91">
        <v>1.056655215875</v>
      </c>
      <c r="I91">
        <v>35.6483</v>
      </c>
      <c r="J91">
        <f>D91/(F91/3.27)</f>
        <v>2.40744094488189</v>
      </c>
      <c r="K91">
        <f>(G91)/(F91/1.61)</f>
        <v>0.2596648328402877</v>
      </c>
      <c r="L91">
        <f>H91/F91</f>
        <v>0.25</v>
      </c>
    </row>
    <row r="92">
      <c r="B92">
        <v>88</v>
      </c>
      <c r="C92">
        <v>13</v>
      </c>
      <c r="D92">
        <v>3.1117248089547247</v>
      </c>
      <c r="E92">
        <v>1.8116528670499998</v>
      </c>
      <c r="F92">
        <v>4.2266208635</v>
      </c>
      <c r="G92">
        <v>0.68168</v>
      </c>
      <c r="H92">
        <v>1.056655215875</v>
      </c>
      <c r="I92">
        <v>35.6483</v>
      </c>
      <c r="J92">
        <f>D92/(F92/3.27)</f>
        <v>2.40744094488189</v>
      </c>
      <c r="K92">
        <f>(G92)/(F92/1.61)</f>
        <v>0.2596648328402877</v>
      </c>
      <c r="L92">
        <f>H92/F92</f>
        <v>0.25</v>
      </c>
    </row>
    <row r="93">
      <c r="B93">
        <v>89</v>
      </c>
      <c r="C93">
        <v>13</v>
      </c>
      <c r="D93">
        <v>3.1117248089547247</v>
      </c>
      <c r="E93">
        <v>1.8116528670499998</v>
      </c>
      <c r="F93">
        <v>4.2266208635</v>
      </c>
      <c r="G93">
        <v>0.68168</v>
      </c>
      <c r="H93">
        <v>1.056655215875</v>
      </c>
      <c r="I93">
        <v>35.6483</v>
      </c>
      <c r="J93">
        <f>D93/(F93/3.27)</f>
        <v>2.40744094488189</v>
      </c>
      <c r="K93">
        <f>(G93)/(F93/1.61)</f>
        <v>0.2596648328402877</v>
      </c>
      <c r="L93">
        <f>H93/F93</f>
        <v>0.25</v>
      </c>
    </row>
    <row r="94">
      <c r="B94">
        <v>90</v>
      </c>
      <c r="C94">
        <v>13</v>
      </c>
      <c r="D94">
        <v>3.1117248089547247</v>
      </c>
      <c r="E94">
        <v>1.8116528670499998</v>
      </c>
      <c r="F94">
        <v>4.2266208635</v>
      </c>
      <c r="G94">
        <v>0.68168</v>
      </c>
      <c r="H94">
        <v>1.056655215875</v>
      </c>
      <c r="I94">
        <v>35.6483</v>
      </c>
      <c r="J94">
        <f>D94/(F94/3.27)</f>
        <v>2.40744094488189</v>
      </c>
      <c r="K94">
        <f>(G94)/(F94/1.61)</f>
        <v>0.2596648328402877</v>
      </c>
      <c r="L94">
        <f>H94/F94</f>
        <v>0.25</v>
      </c>
    </row>
    <row r="95">
      <c r="B95">
        <v>91</v>
      </c>
      <c r="C95">
        <v>13</v>
      </c>
      <c r="D95">
        <v>3.1117248089547247</v>
      </c>
      <c r="E95">
        <v>1.8116528670499998</v>
      </c>
      <c r="F95">
        <v>4.2266208635</v>
      </c>
      <c r="G95">
        <v>0.68168</v>
      </c>
      <c r="H95">
        <v>1.056655215875</v>
      </c>
      <c r="I95">
        <v>35.6483</v>
      </c>
      <c r="J95">
        <f>D95/(F95/3.27)</f>
        <v>2.40744094488189</v>
      </c>
      <c r="K95">
        <f>(G95)/(F95/1.61)</f>
        <v>0.2596648328402877</v>
      </c>
      <c r="L95">
        <f>H95/F95</f>
        <v>0.25</v>
      </c>
    </row>
    <row r="96">
      <c r="B96">
        <v>92</v>
      </c>
      <c r="C96">
        <v>14</v>
      </c>
      <c r="D96">
        <v>3.1117248089547247</v>
      </c>
      <c r="E96">
        <v>1.8116528670499998</v>
      </c>
      <c r="F96">
        <v>4.2266208635</v>
      </c>
      <c r="G96">
        <v>0.68168</v>
      </c>
      <c r="H96">
        <v>1.056655215875</v>
      </c>
      <c r="I96">
        <v>35.6483</v>
      </c>
      <c r="J96">
        <f>D96/(F96/3.27)</f>
        <v>2.40744094488189</v>
      </c>
      <c r="K96">
        <f>(G96)/(F96/1.61)</f>
        <v>0.2596648328402877</v>
      </c>
      <c r="L96">
        <f>H96/F96</f>
        <v>0.25</v>
      </c>
    </row>
    <row r="97">
      <c r="B97">
        <v>93</v>
      </c>
      <c r="C97">
        <v>14</v>
      </c>
      <c r="D97">
        <v>3.1117248089547247</v>
      </c>
      <c r="E97">
        <v>1.8116528670499998</v>
      </c>
      <c r="F97">
        <v>4.2266208635</v>
      </c>
      <c r="G97">
        <v>0.68168</v>
      </c>
      <c r="H97">
        <v>1.056655215875</v>
      </c>
      <c r="I97">
        <v>35.6483</v>
      </c>
      <c r="J97">
        <f>D97/(F97/3.27)</f>
        <v>2.40744094488189</v>
      </c>
      <c r="K97">
        <f>(G97)/(F97/1.61)</f>
        <v>0.2596648328402877</v>
      </c>
      <c r="L97">
        <f>H97/F97</f>
        <v>0.25</v>
      </c>
    </row>
    <row r="98">
      <c r="B98">
        <v>94</v>
      </c>
      <c r="C98">
        <v>14</v>
      </c>
      <c r="D98">
        <v>3.1117248089547247</v>
      </c>
      <c r="E98">
        <v>1.8116528670499998</v>
      </c>
      <c r="F98">
        <v>4.2266208635</v>
      </c>
      <c r="G98">
        <v>0.68168</v>
      </c>
      <c r="H98">
        <v>1.056655215875</v>
      </c>
      <c r="I98">
        <v>35.6483</v>
      </c>
      <c r="J98">
        <f>D98/(F98/3.27)</f>
        <v>2.40744094488189</v>
      </c>
      <c r="K98">
        <f>(G98)/(F98/1.61)</f>
        <v>0.2596648328402877</v>
      </c>
      <c r="L98">
        <f>H98/F98</f>
        <v>0.25</v>
      </c>
    </row>
    <row r="99">
      <c r="B99">
        <v>95</v>
      </c>
      <c r="C99">
        <v>14</v>
      </c>
      <c r="D99">
        <v>3.1117248089547247</v>
      </c>
      <c r="E99">
        <v>1.8116528670499998</v>
      </c>
      <c r="F99">
        <v>4.2266208635</v>
      </c>
      <c r="G99">
        <v>0.68168</v>
      </c>
      <c r="H99">
        <v>1.056655215875</v>
      </c>
      <c r="I99">
        <v>35.6483</v>
      </c>
      <c r="J99">
        <f>D99/(F99/3.27)</f>
        <v>2.40744094488189</v>
      </c>
      <c r="K99">
        <f>(G99)/(F99/1.61)</f>
        <v>0.2596648328402877</v>
      </c>
      <c r="L99">
        <f>H99/F99</f>
        <v>0.25</v>
      </c>
    </row>
    <row r="100">
      <c r="B100">
        <v>96</v>
      </c>
      <c r="C100">
        <v>14</v>
      </c>
      <c r="D100">
        <v>3.1117248089547247</v>
      </c>
      <c r="E100">
        <v>1.8116528670499998</v>
      </c>
      <c r="F100">
        <v>4.2266208635</v>
      </c>
      <c r="G100">
        <v>0.68168</v>
      </c>
      <c r="H100">
        <v>1.056655215875</v>
      </c>
      <c r="I100">
        <v>35.6483</v>
      </c>
      <c r="J100">
        <f>D100/(F100/3.27)</f>
        <v>2.40744094488189</v>
      </c>
      <c r="K100">
        <f>(G100)/(F100/1.61)</f>
        <v>0.2596648328402877</v>
      </c>
      <c r="L100">
        <f>H100/F100</f>
        <v>0.25</v>
      </c>
    </row>
    <row r="101">
      <c r="B101">
        <v>97</v>
      </c>
      <c r="C101">
        <v>14</v>
      </c>
      <c r="D101">
        <v>3.1117248089547247</v>
      </c>
      <c r="E101">
        <v>1.8116528670499998</v>
      </c>
      <c r="F101">
        <v>4.2266208635</v>
      </c>
      <c r="G101">
        <v>0.68168</v>
      </c>
      <c r="H101">
        <v>1.056655215875</v>
      </c>
      <c r="I101">
        <v>35.6483</v>
      </c>
      <c r="J101">
        <f>D101/(F101/3.27)</f>
        <v>2.40744094488189</v>
      </c>
      <c r="K101">
        <f>(G101)/(F101/1.61)</f>
        <v>0.2596648328402877</v>
      </c>
      <c r="L101">
        <f>H101/F101</f>
        <v>0.25</v>
      </c>
    </row>
    <row r="102">
      <c r="B102">
        <v>98</v>
      </c>
      <c r="C102">
        <v>14</v>
      </c>
      <c r="D102">
        <v>3.1117248089547247</v>
      </c>
      <c r="E102">
        <v>1.8116528670499998</v>
      </c>
      <c r="F102">
        <v>4.2266208635</v>
      </c>
      <c r="G102">
        <v>0.68168</v>
      </c>
      <c r="H102">
        <v>1.056655215875</v>
      </c>
      <c r="I102">
        <v>35.6483</v>
      </c>
      <c r="J102">
        <f>D102/(F102/3.27)</f>
        <v>2.40744094488189</v>
      </c>
      <c r="K102">
        <f>(G102)/(F102/1.61)</f>
        <v>0.2596648328402877</v>
      </c>
      <c r="L102">
        <f>H102/F102</f>
        <v>0.25</v>
      </c>
    </row>
    <row r="103">
      <c r="B103">
        <v>99</v>
      </c>
      <c r="C103">
        <v>15</v>
      </c>
      <c r="D103">
        <v>3.1117248089547247</v>
      </c>
      <c r="E103">
        <v>1.8116528670499998</v>
      </c>
      <c r="F103">
        <v>4.2266208635</v>
      </c>
      <c r="G103">
        <v>0.68168</v>
      </c>
      <c r="H103">
        <v>1.056655215875</v>
      </c>
      <c r="I103">
        <v>35.6483</v>
      </c>
      <c r="J103">
        <f>D103/(F103/3.27)</f>
        <v>2.40744094488189</v>
      </c>
      <c r="K103">
        <f>(G103)/(F103/1.61)</f>
        <v>0.2596648328402877</v>
      </c>
      <c r="L103">
        <f>H103/F103</f>
        <v>0.25</v>
      </c>
    </row>
    <row r="104">
      <c r="B104">
        <v>100</v>
      </c>
      <c r="C104">
        <v>15</v>
      </c>
      <c r="D104">
        <v>3.1117248089547247</v>
      </c>
      <c r="E104">
        <v>1.8116528670499998</v>
      </c>
      <c r="F104">
        <v>4.2266208635</v>
      </c>
      <c r="G104">
        <v>0.68168</v>
      </c>
      <c r="H104">
        <v>1.056655215875</v>
      </c>
      <c r="I104">
        <v>35.6483</v>
      </c>
      <c r="J104">
        <f>D104/(F104/3.27)</f>
        <v>2.40744094488189</v>
      </c>
      <c r="K104">
        <f>(G104)/(F104/1.61)</f>
        <v>0.2596648328402877</v>
      </c>
      <c r="L104">
        <f>H104/F104</f>
        <v>0.25</v>
      </c>
    </row>
    <row r="105">
      <c r="B105">
        <v>101</v>
      </c>
      <c r="C105">
        <v>15</v>
      </c>
      <c r="D105">
        <v>3.1117248089547247</v>
      </c>
      <c r="E105">
        <v>1.8116528670499998</v>
      </c>
      <c r="F105">
        <v>4.2266208635</v>
      </c>
      <c r="G105">
        <v>0.68168</v>
      </c>
      <c r="H105">
        <v>1.056655215875</v>
      </c>
      <c r="I105">
        <v>35.6483</v>
      </c>
      <c r="J105">
        <f>D105/(F105/3.27)</f>
        <v>2.40744094488189</v>
      </c>
      <c r="K105">
        <f>(G105)/(F105/1.61)</f>
        <v>0.2596648328402877</v>
      </c>
      <c r="L105">
        <f>H105/F105</f>
        <v>0.25</v>
      </c>
    </row>
    <row r="106">
      <c r="B106">
        <v>102</v>
      </c>
      <c r="C106">
        <v>15</v>
      </c>
      <c r="D106">
        <v>3.1117248089547247</v>
      </c>
      <c r="E106">
        <v>1.8116528670499998</v>
      </c>
      <c r="F106">
        <v>4.2266208635</v>
      </c>
      <c r="G106">
        <v>0.68168</v>
      </c>
      <c r="H106">
        <v>1.056655215875</v>
      </c>
      <c r="I106">
        <v>35.6483</v>
      </c>
      <c r="J106">
        <f>D106/(F106/3.27)</f>
        <v>2.40744094488189</v>
      </c>
      <c r="K106">
        <f>(G106)/(F106/1.61)</f>
        <v>0.2596648328402877</v>
      </c>
      <c r="L106">
        <f>H106/F106</f>
        <v>0.25</v>
      </c>
    </row>
    <row r="107">
      <c r="B107">
        <v>103</v>
      </c>
      <c r="C107">
        <v>15</v>
      </c>
      <c r="D107">
        <v>3.1117248089547247</v>
      </c>
      <c r="E107">
        <v>1.8116528670499998</v>
      </c>
      <c r="F107">
        <v>4.2266208635</v>
      </c>
      <c r="G107">
        <v>0.68168</v>
      </c>
      <c r="H107">
        <v>1.056655215875</v>
      </c>
      <c r="I107">
        <v>35.6483</v>
      </c>
      <c r="J107">
        <f>D107/(F107/3.27)</f>
        <v>2.40744094488189</v>
      </c>
      <c r="K107">
        <f>(G107)/(F107/1.61)</f>
        <v>0.2596648328402877</v>
      </c>
      <c r="L107">
        <f>H107/F107</f>
        <v>0.25</v>
      </c>
    </row>
    <row r="108">
      <c r="B108">
        <v>104</v>
      </c>
      <c r="C108">
        <v>15</v>
      </c>
      <c r="D108">
        <v>3.1117248089547247</v>
      </c>
      <c r="E108">
        <v>1.8116528670499998</v>
      </c>
      <c r="F108">
        <v>4.2266208635</v>
      </c>
      <c r="G108">
        <v>0.68168</v>
      </c>
      <c r="H108">
        <v>1.056655215875</v>
      </c>
      <c r="I108">
        <v>35.6483</v>
      </c>
      <c r="J108">
        <f>D108/(F108/3.27)</f>
        <v>2.40744094488189</v>
      </c>
      <c r="K108">
        <f>(G108)/(F108/1.61)</f>
        <v>0.2596648328402877</v>
      </c>
      <c r="L108">
        <f>H108/F108</f>
        <v>0.25</v>
      </c>
    </row>
    <row r="109">
      <c r="B109">
        <v>105</v>
      </c>
      <c r="C109">
        <v>15</v>
      </c>
      <c r="D109">
        <v>3.1117248089547247</v>
      </c>
      <c r="E109">
        <v>1.8116528670499998</v>
      </c>
      <c r="F109">
        <v>4.2266208635</v>
      </c>
      <c r="G109">
        <v>0.68168</v>
      </c>
      <c r="H109">
        <v>1.056655215875</v>
      </c>
      <c r="I109">
        <v>35.6483</v>
      </c>
      <c r="J109">
        <f>D109/(F109/3.27)</f>
        <v>2.40744094488189</v>
      </c>
      <c r="K109">
        <f>(G109)/(F109/1.61)</f>
        <v>0.2596648328402877</v>
      </c>
      <c r="L109">
        <f>H109/F109</f>
        <v>0.25</v>
      </c>
    </row>
    <row r="110">
      <c r="B110">
        <v>106</v>
      </c>
      <c r="C110">
        <v>16</v>
      </c>
      <c r="D110">
        <v>3.1117248089547247</v>
      </c>
      <c r="E110">
        <v>1.8116528670499998</v>
      </c>
      <c r="F110">
        <v>4.2266208635</v>
      </c>
      <c r="G110">
        <v>0.68168</v>
      </c>
      <c r="H110">
        <v>1.056655215875</v>
      </c>
      <c r="I110">
        <v>35.6483</v>
      </c>
      <c r="J110">
        <f>D110/(F110/3.27)</f>
        <v>2.40744094488189</v>
      </c>
      <c r="K110">
        <f>(G110)/(F110/1.61)</f>
        <v>0.2596648328402877</v>
      </c>
      <c r="L110">
        <f>H110/F110</f>
        <v>0.25</v>
      </c>
    </row>
    <row r="111">
      <c r="B111">
        <v>107</v>
      </c>
      <c r="C111">
        <v>16</v>
      </c>
      <c r="D111">
        <v>3.1117248089547247</v>
      </c>
      <c r="E111">
        <v>1.8116528670499998</v>
      </c>
      <c r="F111">
        <v>4.2266208635</v>
      </c>
      <c r="G111">
        <v>0.68168</v>
      </c>
      <c r="H111">
        <v>1.056655215875</v>
      </c>
      <c r="I111">
        <v>35.6483</v>
      </c>
      <c r="J111">
        <f>D111/(F111/3.27)</f>
        <v>2.40744094488189</v>
      </c>
      <c r="K111">
        <f>(G111)/(F111/1.61)</f>
        <v>0.2596648328402877</v>
      </c>
      <c r="L111">
        <f>H111/F111</f>
        <v>0.25</v>
      </c>
    </row>
    <row r="112">
      <c r="B112">
        <v>108</v>
      </c>
      <c r="C112">
        <v>16</v>
      </c>
      <c r="D112">
        <v>3.1117248089547247</v>
      </c>
      <c r="E112">
        <v>1.8116528670499998</v>
      </c>
      <c r="F112">
        <v>4.2266208635</v>
      </c>
      <c r="G112">
        <v>0.68168</v>
      </c>
      <c r="H112">
        <v>1.056655215875</v>
      </c>
      <c r="I112">
        <v>35.6483</v>
      </c>
      <c r="J112">
        <f>D112/(F112/3.27)</f>
        <v>2.40744094488189</v>
      </c>
      <c r="K112">
        <f>(G112)/(F112/1.61)</f>
        <v>0.2596648328402877</v>
      </c>
      <c r="L112">
        <f>H112/F112</f>
        <v>0.25</v>
      </c>
    </row>
    <row r="113">
      <c r="B113">
        <v>109</v>
      </c>
      <c r="C113">
        <v>16</v>
      </c>
      <c r="D113">
        <v>3.1117248089547247</v>
      </c>
      <c r="E113">
        <v>1.8116528670499998</v>
      </c>
      <c r="F113">
        <v>4.2266208635</v>
      </c>
      <c r="G113">
        <v>0.68168</v>
      </c>
      <c r="H113">
        <v>1.056655215875</v>
      </c>
      <c r="I113">
        <v>35.6483</v>
      </c>
      <c r="J113">
        <f>D113/(F113/3.27)</f>
        <v>2.40744094488189</v>
      </c>
      <c r="K113">
        <f>(G113)/(F113/1.61)</f>
        <v>0.2596648328402877</v>
      </c>
      <c r="L113">
        <f>H113/F113</f>
        <v>0.25</v>
      </c>
    </row>
    <row r="114">
      <c r="B114">
        <v>110</v>
      </c>
      <c r="C114">
        <v>16</v>
      </c>
      <c r="D114">
        <v>3.1117248089547247</v>
      </c>
      <c r="E114">
        <v>1.8116528670499998</v>
      </c>
      <c r="F114">
        <v>4.2266208635</v>
      </c>
      <c r="G114">
        <v>0.68168</v>
      </c>
      <c r="H114">
        <v>1.056655215875</v>
      </c>
      <c r="I114">
        <v>35.6483</v>
      </c>
      <c r="J114">
        <f>D114/(F114/3.27)</f>
        <v>2.40744094488189</v>
      </c>
      <c r="K114">
        <f>(G114)/(F114/1.61)</f>
        <v>0.2596648328402877</v>
      </c>
      <c r="L114">
        <f>H114/F114</f>
        <v>0.25</v>
      </c>
    </row>
    <row r="115">
      <c r="B115">
        <v>111</v>
      </c>
      <c r="C115">
        <v>16</v>
      </c>
      <c r="D115">
        <v>3.1117248089547247</v>
      </c>
      <c r="E115">
        <v>1.8116528670499998</v>
      </c>
      <c r="F115">
        <v>4.2266208635</v>
      </c>
      <c r="G115">
        <v>0.68168</v>
      </c>
      <c r="H115">
        <v>1.056655215875</v>
      </c>
      <c r="I115">
        <v>35.6483</v>
      </c>
      <c r="J115">
        <f>D115/(F115/3.27)</f>
        <v>2.40744094488189</v>
      </c>
      <c r="K115">
        <f>(G115)/(F115/1.61)</f>
        <v>0.2596648328402877</v>
      </c>
      <c r="L115">
        <f>H115/F115</f>
        <v>0.25</v>
      </c>
    </row>
    <row r="116">
      <c r="B116">
        <v>112</v>
      </c>
      <c r="C116">
        <v>16</v>
      </c>
      <c r="D116">
        <v>3.1117248089547247</v>
      </c>
      <c r="E116">
        <v>1.8116528670499998</v>
      </c>
      <c r="F116">
        <v>4.2266208635</v>
      </c>
      <c r="G116">
        <v>0.68168</v>
      </c>
      <c r="H116">
        <v>1.056655215875</v>
      </c>
      <c r="I116">
        <v>35.6483</v>
      </c>
      <c r="J116">
        <f>D116/(F116/3.27)</f>
        <v>2.40744094488189</v>
      </c>
      <c r="K116">
        <f>(G116)/(F116/1.61)</f>
        <v>0.2596648328402877</v>
      </c>
      <c r="L116">
        <f>H116/F116</f>
        <v>0.25</v>
      </c>
    </row>
    <row r="117">
      <c r="B117">
        <v>113</v>
      </c>
      <c r="C117">
        <v>17</v>
      </c>
      <c r="D117">
        <v>3.1117248089547247</v>
      </c>
      <c r="E117">
        <v>1.8116528670499998</v>
      </c>
      <c r="F117">
        <v>4.2266208635</v>
      </c>
      <c r="G117">
        <v>0.68168</v>
      </c>
      <c r="H117">
        <v>1.056655215875</v>
      </c>
      <c r="I117">
        <v>35.6483</v>
      </c>
      <c r="J117">
        <f>D117/(F117/3.27)</f>
        <v>2.40744094488189</v>
      </c>
      <c r="K117">
        <f>(G117)/(F117/1.61)</f>
        <v>0.2596648328402877</v>
      </c>
      <c r="L117">
        <f>H117/F117</f>
        <v>0.25</v>
      </c>
    </row>
    <row r="118">
      <c r="B118">
        <v>114</v>
      </c>
      <c r="C118">
        <v>17</v>
      </c>
      <c r="D118">
        <v>3.1117248089547247</v>
      </c>
      <c r="E118">
        <v>1.8116528670499998</v>
      </c>
      <c r="F118">
        <v>4.2266208635</v>
      </c>
      <c r="G118">
        <v>0.68168</v>
      </c>
      <c r="H118">
        <v>1.056655215875</v>
      </c>
      <c r="I118">
        <v>35.6483</v>
      </c>
      <c r="J118">
        <f>D118/(F118/3.27)</f>
        <v>2.40744094488189</v>
      </c>
      <c r="K118">
        <f>(G118)/(F118/1.61)</f>
        <v>0.2596648328402877</v>
      </c>
      <c r="L118">
        <f>H118/F118</f>
        <v>0.25</v>
      </c>
    </row>
    <row r="119">
      <c r="B119">
        <v>115</v>
      </c>
      <c r="C119">
        <v>17</v>
      </c>
      <c r="D119">
        <v>3.1117248089547247</v>
      </c>
      <c r="E119">
        <v>1.8116528670499998</v>
      </c>
      <c r="F119">
        <v>4.2266208635</v>
      </c>
      <c r="G119">
        <v>0.68168</v>
      </c>
      <c r="H119">
        <v>1.056655215875</v>
      </c>
      <c r="I119">
        <v>35.6483</v>
      </c>
      <c r="J119">
        <f>D119/(F119/3.27)</f>
        <v>2.40744094488189</v>
      </c>
      <c r="K119">
        <f>(G119)/(F119/1.61)</f>
        <v>0.2596648328402877</v>
      </c>
      <c r="L119">
        <f>H119/F119</f>
        <v>0.25</v>
      </c>
    </row>
    <row r="120">
      <c r="B120">
        <v>116</v>
      </c>
      <c r="C120">
        <v>17</v>
      </c>
      <c r="D120">
        <v>3.1117248089547247</v>
      </c>
      <c r="E120">
        <v>1.8116528670499998</v>
      </c>
      <c r="F120">
        <v>4.2266208635</v>
      </c>
      <c r="G120">
        <v>0.68168</v>
      </c>
      <c r="H120">
        <v>1.056655215875</v>
      </c>
      <c r="I120">
        <v>35.6483</v>
      </c>
      <c r="J120">
        <f>D120/(F120/3.27)</f>
        <v>2.40744094488189</v>
      </c>
      <c r="K120">
        <f>(G120)/(F120/1.61)</f>
        <v>0.2596648328402877</v>
      </c>
      <c r="L120">
        <f>H120/F120</f>
        <v>0.25</v>
      </c>
    </row>
    <row r="121">
      <c r="B121">
        <v>117</v>
      </c>
      <c r="C121">
        <v>17</v>
      </c>
      <c r="D121">
        <v>3.1117248089547247</v>
      </c>
      <c r="E121">
        <v>1.8116528670499998</v>
      </c>
      <c r="F121">
        <v>4.2266208635</v>
      </c>
      <c r="G121">
        <v>0.68168</v>
      </c>
      <c r="H121">
        <v>1.056655215875</v>
      </c>
      <c r="I121">
        <v>35.6483</v>
      </c>
      <c r="J121">
        <f>D121/(F121/3.27)</f>
        <v>2.40744094488189</v>
      </c>
      <c r="K121">
        <f>(G121)/(F121/1.61)</f>
        <v>0.2596648328402877</v>
      </c>
      <c r="L121">
        <f>H121/F121</f>
        <v>0.25</v>
      </c>
    </row>
    <row r="122">
      <c r="B122">
        <v>118</v>
      </c>
      <c r="C122">
        <v>17</v>
      </c>
      <c r="D122">
        <v>3.1117248089547247</v>
      </c>
      <c r="E122">
        <v>1.8116528670499998</v>
      </c>
      <c r="F122">
        <v>4.2266208635</v>
      </c>
      <c r="G122">
        <v>0.68168</v>
      </c>
      <c r="H122">
        <v>1.056655215875</v>
      </c>
      <c r="I122">
        <v>35.6483</v>
      </c>
      <c r="J122">
        <f>D122/(F122/3.27)</f>
        <v>2.40744094488189</v>
      </c>
      <c r="K122">
        <f>(G122)/(F122/1.61)</f>
        <v>0.2596648328402877</v>
      </c>
      <c r="L122">
        <f>H122/F122</f>
        <v>0.25</v>
      </c>
    </row>
    <row r="123">
      <c r="B123">
        <v>119</v>
      </c>
      <c r="C123">
        <v>17</v>
      </c>
      <c r="D123">
        <v>3.1117248089547247</v>
      </c>
      <c r="E123">
        <v>1.8116528670499998</v>
      </c>
      <c r="F123">
        <v>4.2266208635</v>
      </c>
      <c r="G123">
        <v>0.68168</v>
      </c>
      <c r="H123">
        <v>1.056655215875</v>
      </c>
      <c r="I123">
        <v>35.6483</v>
      </c>
      <c r="J123">
        <f>D123/(F123/3.27)</f>
        <v>2.40744094488189</v>
      </c>
      <c r="K123">
        <f>(G123)/(F123/1.61)</f>
        <v>0.2596648328402877</v>
      </c>
      <c r="L123">
        <f>H123/F123</f>
        <v>0.25</v>
      </c>
    </row>
    <row r="124">
      <c r="D124">
        <f>SUM(D5:D123)</f>
        <v>431.5328754129478</v>
      </c>
      <c r="E124">
        <f>SUM(E5:E123)</f>
        <v>288.952215706699</v>
      </c>
      <c r="F124">
        <f>SUM(F5:F123)</f>
        <v>572.2157523669993</v>
      </c>
      <c r="G124">
        <f>SUM(G5:G123)</f>
        <v>92.28855999999996</v>
      </c>
      <c r="H124">
        <f>SUM(H5:H123)</f>
        <v>143.0539380917498</v>
      </c>
      <c r="I124">
        <f>SUM(I5:I123)</f>
        <v>2831.492699999998</v>
      </c>
    </row>
  </sheetData>
  <sheetProtection sheet="1"/>
  <mergeCells count="3">
    <mergeCell ref="G1:M1"/>
    <mergeCell ref="A2:M2"/>
    <mergeCell ref="A3:M3"/>
  </mergeCells>
  <pageMargins left="0.7" right="0.7" top="0.75" bottom="0.75" header="0.5" footer="0.5"/>
  <ignoredErrors>
    <ignoredError numberStoredAsText="1" sqref="A1:T124"/>
  </ignoredErrors>
</worksheet>
</file>

<file path=xl/worksheets/sheet10.xml><?xml version="1.0" encoding="utf-8"?>
<worksheet xmlns="http://schemas.openxmlformats.org/spreadsheetml/2006/main" xmlns:r="http://schemas.openxmlformats.org/officeDocument/2006/relationships">
  <dimension ref="A1:O40"/>
  <sheetViews>
    <sheetView workbookViewId="0" rightToLeft="0"/>
  </sheetViews>
  <sheetData>
    <row r="1">
      <c r="A1" t="str">
        <v>Nombre</v>
      </c>
      <c r="B1" t="str">
        <v>Formula</v>
      </c>
      <c r="C1" t="str">
        <v>Precio</v>
      </c>
      <c r="D1" t="str">
        <v>N</v>
      </c>
      <c r="E1" t="str">
        <v>P2O5</v>
      </c>
      <c r="F1" t="str">
        <v>K2O</v>
      </c>
      <c r="G1" t="str">
        <v>MgO</v>
      </c>
      <c r="H1" t="str">
        <v>CaO</v>
      </c>
      <c r="I1" t="str">
        <v>SO3</v>
      </c>
      <c r="J1" t="str">
        <v>B</v>
      </c>
      <c r="K1" t="str">
        <v>Unidades</v>
      </c>
    </row>
    <row r="3" ht="13.800000000000002" customHeight="1">
      <c r="A3" t="str">
        <v>Ácido Fosforico 54%</v>
      </c>
      <c r="B3" t="str">
        <v>54%.</v>
      </c>
      <c r="C3">
        <v>23.5</v>
      </c>
      <c r="D3">
        <v>0</v>
      </c>
      <c r="E3">
        <v>200</v>
      </c>
      <c r="F3">
        <v>0</v>
      </c>
      <c r="K3" t="str">
        <v>Lts</v>
      </c>
      <c r="L3" t="str">
        <v>Fertilizantes usados como Fuente de Fósforo</v>
      </c>
      <c r="N3" t="str">
        <v>Si se desea agregar otro fertilizante para fuente de unos elementos se puede agregar en cualquiera de los tres espacios en blanco debajo de cada fuente</v>
      </c>
      <c r="O3" t="str">
        <v>Los cuadros en amarillo deben de actualizarse para cada agricultor. Estas celdas no están protegidas. La ultima columna es por si se desea realizar algún cambio en las unidades de fertilizante ya que puede ser litros, libras, kilos, gramos, etc.</v>
      </c>
    </row>
    <row r="4">
      <c r="A4" t="str">
        <v>DAP 18-46-0</v>
      </c>
      <c r="B4" t="str">
        <v>18-46-0</v>
      </c>
      <c r="C4">
        <v>314</v>
      </c>
      <c r="D4">
        <v>18</v>
      </c>
      <c r="E4">
        <v>46</v>
      </c>
      <c r="F4">
        <v>0</v>
      </c>
      <c r="K4" t="str">
        <v>Lbs</v>
      </c>
    </row>
    <row r="5">
      <c r="A5" t="str">
        <v>DAP 21-53-0 Soluble</v>
      </c>
      <c r="B5" t="str">
        <v>21-53-0</v>
      </c>
      <c r="C5">
        <v>670</v>
      </c>
      <c r="D5">
        <v>21</v>
      </c>
      <c r="E5">
        <v>53</v>
      </c>
      <c r="F5">
        <v>0</v>
      </c>
      <c r="G5">
        <v>0</v>
      </c>
      <c r="H5">
        <v>0</v>
      </c>
      <c r="I5">
        <v>0</v>
      </c>
      <c r="J5">
        <v>0</v>
      </c>
      <c r="K5" t="str">
        <v>Lbs</v>
      </c>
    </row>
    <row r="6">
      <c r="A6" t="str">
        <v>MAP 12-61-0</v>
      </c>
      <c r="B6" t="str">
        <v>12-61-0</v>
      </c>
      <c r="C6">
        <v>1200</v>
      </c>
      <c r="D6">
        <v>12</v>
      </c>
      <c r="E6">
        <v>61</v>
      </c>
      <c r="F6">
        <v>0</v>
      </c>
      <c r="G6">
        <v>0</v>
      </c>
      <c r="H6">
        <v>0</v>
      </c>
      <c r="I6">
        <v>0</v>
      </c>
      <c r="J6">
        <v>0</v>
      </c>
      <c r="K6" t="str">
        <v>Lbs</v>
      </c>
    </row>
    <row r="7"/>
    <row r="8"/>
    <row r="9"/>
    <row r="11">
      <c r="A11" t="str">
        <v>Nitrato de Amonio</v>
      </c>
      <c r="B11" t="str">
        <v>33.5-0-0</v>
      </c>
      <c r="C11">
        <v>320</v>
      </c>
      <c r="D11">
        <v>33.5</v>
      </c>
      <c r="E11">
        <v>0</v>
      </c>
      <c r="F11">
        <v>0</v>
      </c>
      <c r="G11">
        <v>0</v>
      </c>
      <c r="H11">
        <v>0</v>
      </c>
      <c r="I11">
        <v>0</v>
      </c>
      <c r="J11">
        <v>0</v>
      </c>
      <c r="K11" t="str">
        <v>Lbs</v>
      </c>
      <c r="L11" t="str">
        <v>Fertilizantes usados como Fuente de Nitrógeno</v>
      </c>
    </row>
    <row r="12">
      <c r="A12" t="str">
        <v>Sulfato de Amonio</v>
      </c>
      <c r="B12" t="str">
        <v>21-0-0</v>
      </c>
      <c r="C12">
        <v>218</v>
      </c>
      <c r="D12">
        <v>21</v>
      </c>
      <c r="E12">
        <v>0</v>
      </c>
      <c r="F12">
        <v>0</v>
      </c>
      <c r="G12">
        <v>0</v>
      </c>
      <c r="H12">
        <v>0</v>
      </c>
      <c r="I12">
        <v>58.8</v>
      </c>
      <c r="J12">
        <v>0</v>
      </c>
      <c r="K12" t="str">
        <v>Lbs</v>
      </c>
    </row>
    <row r="13">
      <c r="A13" t="str">
        <v>Urea</v>
      </c>
      <c r="B13" t="str">
        <v>46-0-0</v>
      </c>
      <c r="C13">
        <v>310</v>
      </c>
      <c r="D13">
        <v>46</v>
      </c>
      <c r="E13">
        <v>0</v>
      </c>
      <c r="F13">
        <v>0</v>
      </c>
      <c r="G13">
        <v>0</v>
      </c>
      <c r="H13">
        <v>0</v>
      </c>
      <c r="I13">
        <v>0</v>
      </c>
      <c r="J13">
        <v>0</v>
      </c>
      <c r="K13" t="str">
        <v>Lbs</v>
      </c>
    </row>
    <row r="14"/>
    <row r="15"/>
    <row r="16"/>
    <row r="18">
      <c r="A18" t="str">
        <v>Kcl</v>
      </c>
      <c r="B18" t="str">
        <v>0-0-60</v>
      </c>
      <c r="C18">
        <v>290</v>
      </c>
      <c r="D18">
        <v>0</v>
      </c>
      <c r="E18">
        <v>0</v>
      </c>
      <c r="F18">
        <v>60</v>
      </c>
      <c r="G18">
        <v>0</v>
      </c>
      <c r="H18">
        <v>0</v>
      </c>
      <c r="I18">
        <v>0</v>
      </c>
      <c r="J18">
        <v>0</v>
      </c>
      <c r="K18" t="str">
        <v>Lbs</v>
      </c>
      <c r="L18" t="str">
        <v>Fertilizantes usados como Fuente de Potasio</v>
      </c>
    </row>
    <row r="19">
      <c r="A19" t="str">
        <v>Nitrato de Potasio</v>
      </c>
      <c r="B19" t="str">
        <v>13-0-46</v>
      </c>
      <c r="C19">
        <v>521</v>
      </c>
      <c r="D19">
        <v>13</v>
      </c>
      <c r="E19">
        <v>0</v>
      </c>
      <c r="F19">
        <v>46</v>
      </c>
      <c r="G19">
        <v>0</v>
      </c>
      <c r="H19">
        <v>0</v>
      </c>
      <c r="I19">
        <v>0</v>
      </c>
      <c r="J19">
        <v>0</v>
      </c>
      <c r="K19" t="str">
        <v>Lbs</v>
      </c>
    </row>
    <row r="20">
      <c r="A20" t="str">
        <v>Sulfato de Potasio</v>
      </c>
      <c r="B20" t="str">
        <v>0-0-50</v>
      </c>
      <c r="C20">
        <v>365</v>
      </c>
      <c r="D20">
        <v>0</v>
      </c>
      <c r="E20">
        <v>0</v>
      </c>
      <c r="F20">
        <v>52</v>
      </c>
      <c r="G20">
        <v>0</v>
      </c>
      <c r="H20">
        <v>0</v>
      </c>
      <c r="I20">
        <v>47.5</v>
      </c>
      <c r="J20">
        <v>0</v>
      </c>
      <c r="K20" t="str">
        <v>Lbs</v>
      </c>
    </row>
    <row r="21">
      <c r="A21" t="str">
        <v>Kcl Soluble</v>
      </c>
      <c r="B21" t="str">
        <v>0-0-60</v>
      </c>
      <c r="C21">
        <v>390</v>
      </c>
      <c r="D21">
        <v>0</v>
      </c>
      <c r="E21">
        <v>0</v>
      </c>
      <c r="F21">
        <v>60</v>
      </c>
      <c r="G21">
        <v>0</v>
      </c>
      <c r="H21">
        <v>0</v>
      </c>
      <c r="I21">
        <v>0</v>
      </c>
      <c r="J21">
        <v>0</v>
      </c>
      <c r="K21" t="str">
        <v>Lbs</v>
      </c>
    </row>
    <row r="22">
      <c r="A22" t="str">
        <v>Sulpomag (K Mag)</v>
      </c>
      <c r="B22" t="str">
        <v>0-0-22-11-22</v>
      </c>
      <c r="D22">
        <v>0</v>
      </c>
      <c r="E22">
        <v>0</v>
      </c>
      <c r="F22">
        <v>22</v>
      </c>
      <c r="G22">
        <v>11</v>
      </c>
      <c r="H22">
        <v>0</v>
      </c>
      <c r="I22">
        <v>22</v>
      </c>
      <c r="J22">
        <v>0</v>
      </c>
      <c r="K22" t="str">
        <v>Lbs</v>
      </c>
    </row>
    <row r="23"/>
    <row r="25" ht="13.5" customHeight="1">
      <c r="A25" t="str">
        <v>Nitrato de Magnesio</v>
      </c>
      <c r="B25" t="str">
        <v>11-0-0-0-15.7</v>
      </c>
      <c r="C25">
        <v>360</v>
      </c>
      <c r="D25">
        <v>11</v>
      </c>
      <c r="E25">
        <v>0</v>
      </c>
      <c r="F25">
        <v>0</v>
      </c>
      <c r="G25">
        <v>15.7</v>
      </c>
      <c r="H25">
        <v>0</v>
      </c>
      <c r="I25">
        <v>0</v>
      </c>
      <c r="J25">
        <v>0</v>
      </c>
      <c r="K25" t="str">
        <v>Lbs</v>
      </c>
      <c r="L25" t="str">
        <v>Fertilizantes usados como Fuente de Magnesio</v>
      </c>
    </row>
    <row r="26" ht="12.75" customHeight="1">
      <c r="A26" t="str">
        <v>Sulfato de Magnesio</v>
      </c>
      <c r="B26" t="str">
        <v>0-0-0-31.7-16</v>
      </c>
      <c r="C26">
        <v>370</v>
      </c>
      <c r="D26">
        <v>0</v>
      </c>
      <c r="E26">
        <v>0</v>
      </c>
      <c r="F26">
        <v>0</v>
      </c>
      <c r="G26">
        <v>16</v>
      </c>
      <c r="H26">
        <v>0</v>
      </c>
      <c r="I26">
        <v>31.7</v>
      </c>
      <c r="J26">
        <v>0</v>
      </c>
      <c r="K26" t="str">
        <v>Lbs</v>
      </c>
    </row>
    <row r="27" ht="12.75" customHeight="1">
      <c r="A27" t="str">
        <v>Aquafeed Mg Liquido</v>
      </c>
      <c r="B27" t="str">
        <v>0-0-0-0-10</v>
      </c>
      <c r="C27">
        <v>2.85</v>
      </c>
      <c r="D27">
        <v>0</v>
      </c>
      <c r="E27">
        <v>0</v>
      </c>
      <c r="F27">
        <v>0</v>
      </c>
      <c r="G27">
        <v>10</v>
      </c>
      <c r="H27">
        <v>0</v>
      </c>
      <c r="I27">
        <v>8</v>
      </c>
      <c r="J27">
        <v>0</v>
      </c>
      <c r="K27" t="str">
        <v>Lts</v>
      </c>
    </row>
    <row r="28" ht="12.75" customHeight="1"/>
    <row r="29" ht="13.5" customHeight="1">
      <c r="A29" t="str">
        <v>Sin Magnecio</v>
      </c>
      <c r="B29" t="str">
        <v>0-0-0-0-0</v>
      </c>
      <c r="C29">
        <v>0</v>
      </c>
      <c r="D29">
        <v>0</v>
      </c>
      <c r="E29">
        <v>0</v>
      </c>
      <c r="F29">
        <v>0</v>
      </c>
      <c r="G29">
        <v>1000000</v>
      </c>
      <c r="H29">
        <v>0</v>
      </c>
      <c r="I29">
        <v>0</v>
      </c>
      <c r="J29">
        <v>0</v>
      </c>
    </row>
    <row r="30" ht="13.5" customHeight="1"/>
    <row r="31" ht="13.5" customHeight="1">
      <c r="A31" t="str">
        <v>Nitrato de Calcio</v>
      </c>
      <c r="B31" t="str">
        <v>15.5-0-0-27</v>
      </c>
      <c r="C31">
        <v>520</v>
      </c>
      <c r="D31">
        <v>15.5</v>
      </c>
      <c r="E31">
        <v>0</v>
      </c>
      <c r="F31">
        <v>0</v>
      </c>
      <c r="G31">
        <v>0</v>
      </c>
      <c r="H31">
        <v>27</v>
      </c>
      <c r="I31">
        <v>0</v>
      </c>
      <c r="J31">
        <v>0</v>
      </c>
      <c r="K31" t="str">
        <v>Lbs</v>
      </c>
      <c r="L31" t="str">
        <v>Fertilizantes usados como Fuente de Calcio</v>
      </c>
    </row>
    <row r="32" ht="12.75" customHeight="1"/>
    <row r="33" ht="12.75" customHeight="1"/>
    <row r="34" ht="13.5" customHeight="1">
      <c r="A34" t="str">
        <v>Sin Calcio</v>
      </c>
      <c r="B34" t="str">
        <v>0-0-0-0</v>
      </c>
      <c r="C34">
        <v>0</v>
      </c>
      <c r="D34">
        <v>0</v>
      </c>
      <c r="E34">
        <v>0</v>
      </c>
      <c r="F34">
        <v>0</v>
      </c>
      <c r="G34">
        <v>0</v>
      </c>
      <c r="H34">
        <v>1000000</v>
      </c>
      <c r="I34">
        <v>0</v>
      </c>
      <c r="J34">
        <v>0</v>
      </c>
    </row>
    <row r="35" ht="13.5" customHeight="1"/>
    <row r="36" ht="12.75" customHeight="1">
      <c r="A36" t="str">
        <v>Ácido Bórico</v>
      </c>
      <c r="B36" t="str">
        <v>0-0-0-0-0-0-18</v>
      </c>
      <c r="C36">
        <v>0.0179</v>
      </c>
      <c r="D36">
        <v>0</v>
      </c>
      <c r="E36">
        <v>0</v>
      </c>
      <c r="F36">
        <v>0</v>
      </c>
      <c r="G36">
        <v>0</v>
      </c>
      <c r="H36">
        <v>0</v>
      </c>
      <c r="I36">
        <v>0</v>
      </c>
      <c r="J36">
        <v>18</v>
      </c>
      <c r="K36" t="str">
        <v>Gramos</v>
      </c>
      <c r="L36" t="str">
        <v>Fertilizantes usados como Fuente de Boro</v>
      </c>
    </row>
    <row r="37">
      <c r="A37" t="str">
        <v>Solubor</v>
      </c>
      <c r="B37" t="str">
        <v>0-0-0-0-0-0-20.5</v>
      </c>
      <c r="C37">
        <v>0.0123</v>
      </c>
      <c r="D37">
        <v>0</v>
      </c>
      <c r="E37">
        <v>0</v>
      </c>
      <c r="F37">
        <v>0</v>
      </c>
      <c r="G37">
        <v>0</v>
      </c>
      <c r="H37">
        <v>0</v>
      </c>
      <c r="I37">
        <v>0</v>
      </c>
      <c r="J37">
        <v>20.5</v>
      </c>
      <c r="K37" t="str">
        <v>Gramos</v>
      </c>
    </row>
    <row r="38"/>
    <row r="39">
      <c r="A39" t="str">
        <v>Sin Boro</v>
      </c>
      <c r="B39" t="str">
        <v>0-0-0-0-0-0-0</v>
      </c>
      <c r="C39">
        <v>0</v>
      </c>
      <c r="D39">
        <v>0</v>
      </c>
      <c r="E39">
        <v>0</v>
      </c>
      <c r="F39">
        <v>0</v>
      </c>
      <c r="G39">
        <v>0</v>
      </c>
      <c r="H39">
        <v>0</v>
      </c>
      <c r="I39">
        <v>0</v>
      </c>
      <c r="J39">
        <v>100000</v>
      </c>
    </row>
  </sheetData>
  <sheetProtection sheet="1"/>
  <mergeCells count="8">
    <mergeCell ref="O3:O39"/>
    <mergeCell ref="N3:N39"/>
    <mergeCell ref="L36:M39"/>
    <mergeCell ref="L25:M29"/>
    <mergeCell ref="L31:M34"/>
    <mergeCell ref="L3:M9"/>
    <mergeCell ref="L11:M16"/>
    <mergeCell ref="L18:M23"/>
  </mergeCells>
  <pageMargins left="0.7" right="0.7" top="0.75" bottom="0.75" header="0.5" footer="0.5"/>
  <ignoredErrors>
    <ignoredError numberStoredAsText="1" sqref="A1:O40"/>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AppVersion>10.6626</AppVersion>
  <Company>Fintrac CDA</Company>
  <DocSecurity>0</DocSecurity>
  <HyperlinksChanged>false</HyperlinksChanged>
  <SharedDoc>false</SharedDoc>
  <LinksUpToDate>false</LinksUpToDate>
  <ScaleCrop>false</ScaleCrop>
  <HeadingPairs>
    <vt:vector size="2" baseType="variant">
      <vt:variant>
        <vt:lpstr>Worksheets</vt:lpstr>
      </vt:variant>
      <vt:variant>
        <vt:i4>10</vt:i4>
      </vt:variant>
    </vt:vector>
  </HeadingPairs>
  <TitlesOfParts>
    <vt:vector size="10" baseType="lpstr">
      <vt:lpstr>Main</vt:lpstr>
      <vt:lpstr>Cal-Diario</vt:lpstr>
      <vt:lpstr>3 Por Sem</vt:lpstr>
      <vt:lpstr>2 Por Sem</vt:lpstr>
      <vt:lpstr>1 Por Sem</vt:lpstr>
      <vt:lpstr>14 Dias</vt:lpstr>
      <vt:lpstr>ReDiarioFert</vt:lpstr>
      <vt:lpstr>ReSemanalFert</vt:lpstr>
      <vt:lpstr>Req. Diario</vt:lpstr>
      <vt:lpstr>Fertilizantes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1997-02-19T22:30:29Z</dcterms:created>
  <dcterms:modified xsi:type="dcterms:W3CDTF">2005-06-28T04:55:41Z</dcterms:modified>
  <cp:lastModifiedBy>RACA</cp:lastModifiedBy>
  <cp:lastPrinted>2005-06-28T04:55:34Z</cp:lastPrinted>
  <dc:creator>Ricardo Lardizabal</dc:creator>
  <dc:subject>Chile Jalapeno</dc:subject>
  <dc:title>Fertilization Programs</dc:title>
</cp:coreProperties>
</file>