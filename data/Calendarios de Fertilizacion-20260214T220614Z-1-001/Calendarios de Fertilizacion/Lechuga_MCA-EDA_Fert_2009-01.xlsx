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Preventivos'!R16:S35</definedName>
    <definedName name="_xlnm._FilterDatabase" localSheetId="0">Main!$H$80</definedName>
    <definedName name="Activadorresge">Fertilizantes!$A$85:$A$87</definedName>
    <definedName name="Activadorresoom">Fertilizantes!$A$90:$A$99</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Insectsuelo">Fertilizantes!$A$67:$A$73</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Fertilizantes!$A$76:$A$82</definedName>
    <definedName name="Preventivos">Fertilizantes!$A$49:$A$120</definedName>
    <definedName name="_xlnm.Print_Area" localSheetId="6">'1 Por Sem'!$A$1:$S$40</definedName>
    <definedName name="_xlnm.Print_Area" localSheetId="7">'14 Dias'!$A$1:$T$36</definedName>
    <definedName name="_xlnm.Print_Area" localSheetId="5">'2 Por Sem'!$A$1:$S$51</definedName>
    <definedName name="_xlnm.Print_Area" localSheetId="4">'2 Por Sem con Preventivos'!$A$1:$S$51</definedName>
    <definedName name="_xlnm.Print_Area" localSheetId="3">'3 Por Sem'!$A$1:$S$61</definedName>
    <definedName name="_xlnm.Print_Area" localSheetId="2">'Cal-Diario'!$A$1:$S$102</definedName>
    <definedName name="_xlnm.Print_Area" localSheetId="1">'Cal-Diario con Preventivos'!$A$1:$S$102</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Fertilizantes!$A$116:$A$120</definedName>
    <definedName name="Protecinssue">Fertilizantes!$A$116:$E$120</definedName>
    <definedName name="Protecinssue1">Fertilizantes!$A$116:$E$120</definedName>
    <definedName name="Tricoderma">Fertilizantes!$A$109:$A$113</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Raca</v>
      </c>
    </row>
    <row r="21" ht="33" customHeight="1">
      <c r="C21" t="str">
        <v xml:space="preserve">Nombre del Cultivo / Variedad </v>
      </c>
      <c r="E21" t="str">
        <v>Lechuga</v>
      </c>
      <c r="G21" t="str">
        <v>Super 88</v>
      </c>
    </row>
    <row r="22" ht="18" customHeight="1">
      <c r="C22" t="str">
        <v>Área en Manzanas</v>
      </c>
      <c r="E22">
        <v>1.43</v>
      </c>
      <c r="F22" t="str">
        <v>Área en Hectáreas</v>
      </c>
      <c r="I22">
        <f>E22*0.7</f>
        <v>1.001</v>
      </c>
    </row>
    <row r="23" ht="18" customHeight="1">
      <c r="C23" t="str">
        <v>Fecha de Siembra:</v>
      </c>
      <c r="E23">
        <v>39814</v>
      </c>
    </row>
    <row r="24">
      <c r="C24" t="str">
        <v>Cosecha - Días DDT:</v>
      </c>
      <c r="E24">
        <v>60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12-61-0</v>
      </c>
      <c r="E31">
        <f>IF(+$D$32&lt;&gt;0,VLOOKUP(+$D$32,Fertilizante1,4,FALSE),"")</f>
        <v>12</v>
      </c>
      <c r="F31">
        <f>IF(+$D$32&lt;&gt;0,VLOOKUP(+$D$32,Fertilizante1,5,FALSE),"")</f>
        <v>61</v>
      </c>
      <c r="G31">
        <f>IF(+$D$32&lt;&gt;0,VLOOKUP(+$D$32,Fertilizante1,6,FALSE),"")</f>
        <v>0</v>
      </c>
    </row>
    <row r="32">
      <c r="C32" t="str">
        <v>Nombre:</v>
      </c>
      <c r="D32" t="str">
        <v>MAP 12-61-0</v>
      </c>
      <c r="E32" t="str">
        <f>VLOOKUP(D32,Fertilizante2,11,FALSE)</f>
        <v>Lbs</v>
      </c>
    </row>
    <row r="33" ht="20.25" customHeight="1">
      <c r="C33" t="str">
        <f>E25</f>
        <v>Lempiras</v>
      </c>
      <c r="D33">
        <f>IF(+D32&lt;&gt;0,VLOOKUP(+D32,Fertilizante1,3,FALSE),"")</f>
        <v>2900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620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103"/>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Lechuga</v>
      </c>
    </row>
    <row r="6" ht="26.25" customHeight="1"/>
    <row r="7" ht="26.25" customHeight="1"/>
    <row r="8" ht="8.4" customHeight="1"/>
    <row r="9" ht="26.25" customHeight="1">
      <c r="A9" t="str">
        <f>Main!$C$13</f>
        <v>"Sin Fertilización Base"</v>
      </c>
      <c r="P9" t="str">
        <f>Main!$G$21</f>
        <v>Super 88</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Raca</v>
      </c>
    </row>
    <row r="13" ht="20.1" customHeight="1">
      <c r="A13" t="str">
        <v>Área Mz.</v>
      </c>
      <c r="C13">
        <f>Main!E22</f>
        <v>1.43</v>
      </c>
      <c r="F13" t="str">
        <v>Fecha:</v>
      </c>
      <c r="I13">
        <f>Main!E23</f>
        <v>39814</v>
      </c>
    </row>
    <row r="14" ht="20.1" customHeight="1">
      <c r="A14" t="str">
        <v>Área Ha.</v>
      </c>
      <c r="C14">
        <f>Main!I22</f>
        <v>1.001</v>
      </c>
      <c r="F14" t="str">
        <v>Fecha de Cosecha:</v>
      </c>
      <c r="I14">
        <f>I13+Main!E24</f>
        <v>39874</v>
      </c>
    </row>
    <row r="15" ht="19.5" customHeight="1"/>
    <row r="16" ht="28.5" customHeight="1">
      <c r="A16" t="str">
        <v>Semana</v>
      </c>
      <c r="B16" t="str">
        <v>DDT</v>
      </c>
      <c r="C16" t="str">
        <v>FECHA</v>
      </c>
      <c r="D16" t="str">
        <v>Seleccioné su opción</v>
      </c>
      <c r="E16" t="str">
        <f>Main!$D$42</f>
        <v>Nitrato de Amonio</v>
      </c>
      <c r="G16" t="str">
        <f>Main!$D$32</f>
        <v>MAP 12-61-0</v>
      </c>
      <c r="I16" t="str">
        <f>Main!$D$37</f>
        <v>Kcl Soluble</v>
      </c>
      <c r="K16" t="str">
        <f>Main!$D$47</f>
        <v>Sulfato de Magnesio</v>
      </c>
      <c r="M16" t="str">
        <f>Main!$D$52</f>
        <v>Nitrato de Calcio</v>
      </c>
      <c r="O16" t="str">
        <f>Main!$D$57</f>
        <v>Solubor</v>
      </c>
      <c r="Q16" t="str">
        <f>Main!$D$61</f>
        <v>Melaza</v>
      </c>
      <c r="R16" t="str">
        <v>Preventivos</v>
      </c>
      <c r="T16" t="str">
        <v>Costo / Aplicación</v>
      </c>
    </row>
    <row r="17">
      <c r="D17" t="str">
        <v>Preventivos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Dosis</v>
      </c>
      <c r="S17" t="str">
        <v>Unidades</v>
      </c>
    </row>
    <row r="18" ht="18.75" customHeight="1">
      <c r="A18">
        <v>1</v>
      </c>
      <c r="B18">
        <v>1</v>
      </c>
      <c r="C18">
        <f>$I$13+B18</f>
        <v>39815</v>
      </c>
      <c r="E18">
        <f>IF($C$14*ReDiarioFert!C7&lt;=0,"0",$C$14*ReDiarioFert!C7)</f>
        <v>2.28576628691227</v>
      </c>
      <c r="G18">
        <f>$C$14*ReDiarioFert!E7</f>
        <v>0.8392297781223083</v>
      </c>
      <c r="I18">
        <f>$C$14*ReDiarioFert!G7</f>
        <v>4.620881928323374</v>
      </c>
      <c r="K18">
        <f>$C$14*ReDiarioFert!I7</f>
        <v>2.9657553193764716</v>
      </c>
      <c r="M18">
        <f>$C$14*ReDiarioFert!K7</f>
        <v>6.113190612762154</v>
      </c>
      <c r="O18">
        <f>$C$14*ReDiarioFert!M7</f>
        <v>24.866793170731707</v>
      </c>
      <c r="Q18">
        <f>$C$14*Main!$D$63</f>
        <v>20.019999999999996</v>
      </c>
      <c r="R18">
        <f>VLOOKUP(D18,Fertilizantes!$A$49:$E$122,2,FALSE)*$C$14</f>
        <v>0</v>
      </c>
      <c r="S18">
        <f>VLOOKUP(D18,Fertilizantes!$A$49:$E$122,4,FALSE)</f>
        <v>0</v>
      </c>
      <c r="T18">
        <f>((E18/100)*$G$92+(G18/100)*$G$93+(I18/100)*$G$94+(K18/100)*$G$95+(M18/100)*$G$96+(O18)*$G$97+(Q18*$G$98)+(R18*(VLOOKUP(D18,Fertilizantes!$A$49:$E$122,3,FALSE))))</f>
        <v>227.05239513980854</v>
      </c>
    </row>
    <row r="19" ht="18.75" customHeight="1">
      <c r="B19">
        <v>2</v>
      </c>
      <c r="C19">
        <f>$I$13+B19</f>
        <v>39816</v>
      </c>
      <c r="E19">
        <f>IF($C$14*ReDiarioFert!C8&lt;=0,"0",$C$14*ReDiarioFert!C8)</f>
        <v>2.28576628691227</v>
      </c>
      <c r="G19">
        <f>$C$14*ReDiarioFert!E8</f>
        <v>0.8392297781223083</v>
      </c>
      <c r="I19">
        <f>$C$14*ReDiarioFert!G8</f>
        <v>4.620881928323374</v>
      </c>
      <c r="K19">
        <f>$C$14*ReDiarioFert!I8</f>
        <v>2.9657553193764716</v>
      </c>
      <c r="M19">
        <f>$C$14*ReDiarioFert!K8</f>
        <v>6.113190612762154</v>
      </c>
      <c r="O19">
        <f>$C$14*ReDiarioFert!M8</f>
        <v>24.866793170731707</v>
      </c>
      <c r="Q19">
        <f>Main!$H$81</f>
        <v>0</v>
      </c>
      <c r="R19">
        <f>VLOOKUP(D19,Fertilizantes!$A$49:$E$122,2,FALSE)*$C$14</f>
        <v>0</v>
      </c>
      <c r="S19">
        <f>VLOOKUP(D19,Fertilizantes!$A$49:$E$122,4,FALSE)</f>
        <v>0</v>
      </c>
      <c r="T19">
        <f>((E19/100)*$G$92+(G19/100)*$G$93+(I19/100)*$G$94+(K19/100)*$G$95+(M19/100)*$G$96+(O19)*$G$97+(Q19*$G$98)+(R19*(VLOOKUP(D19,Fertilizantes!$A$49:$E$122,3,FALSE))))</f>
        <v>170.99639513980856</v>
      </c>
    </row>
    <row r="20" ht="18.75" customHeight="1">
      <c r="B20">
        <v>3</v>
      </c>
      <c r="C20">
        <f>$I$13+B20</f>
        <v>39817</v>
      </c>
      <c r="E20">
        <f>IF($C$14*ReDiarioFert!C9&lt;=0,"0",$C$14*ReDiarioFert!C9)</f>
        <v>2.28576628691227</v>
      </c>
      <c r="G20">
        <f>$C$14*ReDiarioFert!E9</f>
        <v>0.8392297781223083</v>
      </c>
      <c r="I20">
        <f>$C$14*ReDiarioFert!G9</f>
        <v>4.620881928323374</v>
      </c>
      <c r="K20">
        <f>$C$14*ReDiarioFert!I9</f>
        <v>2.9657553193764716</v>
      </c>
      <c r="M20">
        <f>$C$14*ReDiarioFert!K9</f>
        <v>6.113190612762154</v>
      </c>
      <c r="O20">
        <f>$C$14*ReDiarioFert!M9</f>
        <v>24.866793170731707</v>
      </c>
      <c r="R20">
        <f>VLOOKUP(D20,Fertilizantes!$A$49:$E$122,2,FALSE)*$C$14</f>
        <v>0</v>
      </c>
      <c r="S20">
        <f>VLOOKUP(D20,Fertilizantes!$A$49:$E$122,4,FALSE)</f>
        <v>0</v>
      </c>
      <c r="T20">
        <f>((E20/100)*$G$92+(G20/100)*$G$93+(I20/100)*$G$94+(K20/100)*$G$95+(M20/100)*$G$96+(O20)*$G$97+(Q20*$G$98)+(R20*(VLOOKUP(D20,Fertilizantes!$A$49:$E$122,3,FALSE))))</f>
        <v>170.99639513980856</v>
      </c>
    </row>
    <row r="21" ht="18.75" customHeight="1">
      <c r="B21">
        <v>4</v>
      </c>
      <c r="C21">
        <f>$I$13+B21</f>
        <v>39818</v>
      </c>
      <c r="E21">
        <f>IF($C$14*ReDiarioFert!C10&lt;=0,"0",$C$14*ReDiarioFert!C10)</f>
        <v>2.28576628691227</v>
      </c>
      <c r="G21">
        <f>$C$14*ReDiarioFert!E10</f>
        <v>0.8392297781223083</v>
      </c>
      <c r="I21">
        <f>$C$14*ReDiarioFert!G10</f>
        <v>4.620881928323374</v>
      </c>
      <c r="K21">
        <f>$C$14*ReDiarioFert!I10</f>
        <v>2.9657553193764716</v>
      </c>
      <c r="M21">
        <f>$C$14*ReDiarioFert!K10</f>
        <v>6.113190612762154</v>
      </c>
      <c r="O21">
        <f>$C$14*ReDiarioFert!M10</f>
        <v>24.866793170731707</v>
      </c>
      <c r="R21">
        <f>VLOOKUP(D21,Fertilizantes!$A$49:$E$122,2,FALSE)*$C$14</f>
        <v>0</v>
      </c>
      <c r="S21">
        <f>VLOOKUP(D21,Fertilizantes!$A$49:$E$122,4,FALSE)</f>
        <v>0</v>
      </c>
      <c r="T21">
        <f>((E21/100)*$G$92+(G21/100)*$G$93+(I21/100)*$G$94+(K21/100)*$G$95+(M21/100)*$G$96+(O21)*$G$97+(Q21*$G$98)+(R21*(VLOOKUP(D21,Fertilizantes!$A$49:$E$122,3,FALSE))))</f>
        <v>170.99639513980856</v>
      </c>
    </row>
    <row r="22" ht="18.75" customHeight="1">
      <c r="B22">
        <v>5</v>
      </c>
      <c r="C22">
        <f>$I$13+B22</f>
        <v>39819</v>
      </c>
      <c r="E22">
        <f>IF($C$14*ReDiarioFert!C11&lt;=0,"0",$C$14*ReDiarioFert!C11)</f>
        <v>2.28576628691227</v>
      </c>
      <c r="G22">
        <f>$C$14*ReDiarioFert!E11</f>
        <v>0.8392297781223083</v>
      </c>
      <c r="I22">
        <f>$C$14*ReDiarioFert!G11</f>
        <v>4.620881928323374</v>
      </c>
      <c r="K22">
        <f>$C$14*ReDiarioFert!I11</f>
        <v>2.9657553193764716</v>
      </c>
      <c r="M22">
        <f>$C$14*ReDiarioFert!K11</f>
        <v>6.113190612762154</v>
      </c>
      <c r="O22">
        <f>$C$14*ReDiarioFert!M11</f>
        <v>24.866793170731707</v>
      </c>
      <c r="R22">
        <f>VLOOKUP(D22,Fertilizantes!$A$49:$E$122,2,FALSE)*$C$14</f>
        <v>0</v>
      </c>
      <c r="S22">
        <f>VLOOKUP(D22,Fertilizantes!$A$49:$E$122,4,FALSE)</f>
        <v>0</v>
      </c>
      <c r="T22">
        <f>((E22/100)*$G$92+(G22/100)*$G$93+(I22/100)*$G$94+(K22/100)*$G$95+(M22/100)*$G$96+(O22)*$G$97+(Q22*$G$98)+(R22*(VLOOKUP(D22,Fertilizantes!$A$49:$E$122,3,FALSE))))</f>
        <v>170.99639513980856</v>
      </c>
    </row>
    <row r="23" ht="18.75" customHeight="1">
      <c r="B23">
        <v>6</v>
      </c>
      <c r="C23">
        <f>$I$13+B23</f>
        <v>39820</v>
      </c>
      <c r="E23">
        <f>IF($C$14*ReDiarioFert!C12&lt;=0,"0",$C$14*ReDiarioFert!C12)</f>
        <v>2.28576628691227</v>
      </c>
      <c r="G23">
        <f>$C$14*ReDiarioFert!E12</f>
        <v>0.8392297781223083</v>
      </c>
      <c r="I23">
        <f>$C$14*ReDiarioFert!G12</f>
        <v>4.620881928323374</v>
      </c>
      <c r="K23">
        <f>$C$14*ReDiarioFert!I12</f>
        <v>2.9657553193764716</v>
      </c>
      <c r="M23">
        <f>$C$14*ReDiarioFert!K12</f>
        <v>6.113190612762154</v>
      </c>
      <c r="O23">
        <f>$C$14*ReDiarioFert!M12</f>
        <v>24.866793170731707</v>
      </c>
      <c r="R23">
        <f>VLOOKUP(D23,Fertilizantes!$A$49:$E$122,2,FALSE)*$C$14</f>
        <v>0</v>
      </c>
      <c r="S23">
        <f>VLOOKUP(D23,Fertilizantes!$A$49:$E$122,4,FALSE)</f>
        <v>0</v>
      </c>
      <c r="T23">
        <f>((E23/100)*$G$92+(G23/100)*$G$93+(I23/100)*$G$94+(K23/100)*$G$95+(M23/100)*$G$96+(O23)*$G$97+(Q23*$G$98)+(R23*(VLOOKUP(D23,Fertilizantes!$A$49:$E$122,3,FALSE))))</f>
        <v>170.99639513980856</v>
      </c>
    </row>
    <row r="24" ht="18.75" customHeight="1">
      <c r="B24">
        <v>7</v>
      </c>
      <c r="C24">
        <f>$I$13+B24</f>
        <v>39821</v>
      </c>
      <c r="E24">
        <f>IF($C$14*ReDiarioFert!C13&lt;=0,"0",$C$14*ReDiarioFert!C13)</f>
        <v>2.28576628691227</v>
      </c>
      <c r="G24">
        <f>$C$14*ReDiarioFert!E13</f>
        <v>0.8392297781223083</v>
      </c>
      <c r="I24">
        <f>$C$14*ReDiarioFert!G13</f>
        <v>4.620881928323374</v>
      </c>
      <c r="K24">
        <f>$C$14*ReDiarioFert!I13</f>
        <v>2.9657553193764716</v>
      </c>
      <c r="M24">
        <f>$C$14*ReDiarioFert!K13</f>
        <v>6.113190612762154</v>
      </c>
      <c r="O24">
        <f>$C$14*ReDiarioFert!M13</f>
        <v>24.866793170731707</v>
      </c>
      <c r="R24">
        <f>VLOOKUP(D24,Fertilizantes!$A$49:$E$122,2,FALSE)*$C$14</f>
        <v>0</v>
      </c>
      <c r="S24">
        <f>VLOOKUP(D24,Fertilizantes!$A$49:$E$122,4,FALSE)</f>
        <v>0</v>
      </c>
      <c r="T24">
        <f>((E24/100)*$G$92+(G24/100)*$G$93+(I24/100)*$G$94+(K24/100)*$G$95+(M24/100)*$G$96+(O24)*$G$97+(Q24*$G$98)+(R24*(VLOOKUP(D24,Fertilizantes!$A$49:$E$122,3,FALSE))))</f>
        <v>170.99639513980856</v>
      </c>
    </row>
    <row r="25">
      <c r="A25">
        <v>2</v>
      </c>
      <c r="B25">
        <v>8</v>
      </c>
      <c r="C25">
        <f>$I$13+B25</f>
        <v>39822</v>
      </c>
      <c r="E25">
        <f>IF($C$14*ReDiarioFert!C14&lt;=0,"0",$C$14*ReDiarioFert!C14)</f>
        <v>2.28576628691227</v>
      </c>
      <c r="G25">
        <f>$C$14*ReDiarioFert!E14</f>
        <v>0.8392297781223083</v>
      </c>
      <c r="I25">
        <f>$C$14*ReDiarioFert!G14</f>
        <v>4.620881928323374</v>
      </c>
      <c r="K25">
        <f>$C$14*ReDiarioFert!I14</f>
        <v>2.9657553193764716</v>
      </c>
      <c r="M25">
        <f>$C$14*ReDiarioFert!K14</f>
        <v>6.113190612762154</v>
      </c>
      <c r="O25">
        <f>$C$14*ReDiarioFert!M14</f>
        <v>24.866793170731707</v>
      </c>
      <c r="Q25">
        <f>$C$14*Main!$D$63</f>
        <v>20.019999999999996</v>
      </c>
      <c r="R25">
        <f>VLOOKUP(D25,Fertilizantes!$A$49:$E$122,2,FALSE)*$C$14</f>
        <v>0</v>
      </c>
      <c r="S25">
        <f>VLOOKUP(D25,Fertilizantes!$A$49:$E$122,4,FALSE)</f>
        <v>0</v>
      </c>
      <c r="T25">
        <f>((E25/100)*$G$92+(G25/100)*$G$93+(I25/100)*$G$94+(K25/100)*$G$95+(M25/100)*$G$96+(O25)*$G$97+(Q25*$G$98)+(R25*(VLOOKUP(D25,Fertilizantes!$A$49:$E$122,3,FALSE))))</f>
        <v>227.05239513980854</v>
      </c>
    </row>
    <row r="26">
      <c r="B26">
        <v>9</v>
      </c>
      <c r="C26">
        <f>$I$13+B26</f>
        <v>39823</v>
      </c>
      <c r="E26">
        <f>IF($C$14*ReDiarioFert!C15&lt;=0,"0",$C$14*ReDiarioFert!C15)</f>
        <v>2.28576628691227</v>
      </c>
      <c r="G26">
        <f>$C$14*ReDiarioFert!E15</f>
        <v>0.8392297781223083</v>
      </c>
      <c r="I26">
        <f>$C$14*ReDiarioFert!G15</f>
        <v>4.620881928323374</v>
      </c>
      <c r="K26">
        <f>$C$14*ReDiarioFert!I15</f>
        <v>2.9657553193764716</v>
      </c>
      <c r="M26">
        <f>$C$14*ReDiarioFert!K15</f>
        <v>6.113190612762154</v>
      </c>
      <c r="O26">
        <f>$C$14*ReDiarioFert!M15</f>
        <v>24.866793170731707</v>
      </c>
      <c r="R26">
        <f>VLOOKUP(D26,Fertilizantes!$A$49:$E$122,2,FALSE)*$C$14</f>
        <v>0</v>
      </c>
      <c r="S26">
        <f>VLOOKUP(D26,Fertilizantes!$A$49:$E$122,4,FALSE)</f>
        <v>0</v>
      </c>
      <c r="T26">
        <f>((E26/100)*$G$92+(G26/100)*$G$93+(I26/100)*$G$94+(K26/100)*$G$95+(M26/100)*$G$96+(O26)*$G$97+(Q26*$G$98)+(R26*(VLOOKUP(D26,Fertilizantes!$A$49:$E$122,3,FALSE))))</f>
        <v>170.99639513980856</v>
      </c>
    </row>
    <row r="27">
      <c r="B27">
        <v>10</v>
      </c>
      <c r="C27">
        <f>$I$13+B27</f>
        <v>39824</v>
      </c>
      <c r="E27">
        <f>IF($C$14*ReDiarioFert!C16&lt;=0,"0",$C$14*ReDiarioFert!C16)</f>
        <v>2.28576628691227</v>
      </c>
      <c r="G27">
        <f>$C$14*ReDiarioFert!E16</f>
        <v>0.8392297781223083</v>
      </c>
      <c r="I27">
        <f>$C$14*ReDiarioFert!G16</f>
        <v>4.620881928323374</v>
      </c>
      <c r="K27">
        <f>$C$14*ReDiarioFert!I16</f>
        <v>2.9657553193764716</v>
      </c>
      <c r="M27">
        <f>$C$14*ReDiarioFert!K16</f>
        <v>6.113190612762154</v>
      </c>
      <c r="O27">
        <f>$C$14*ReDiarioFert!M16</f>
        <v>24.866793170731707</v>
      </c>
      <c r="Q27">
        <f>Main!$H$82</f>
        <v>0</v>
      </c>
      <c r="R27">
        <f>VLOOKUP(D27,Fertilizantes!$A$49:$E$122,2,FALSE)*$C$14</f>
        <v>0</v>
      </c>
      <c r="S27">
        <f>VLOOKUP(D27,Fertilizantes!$A$49:$E$122,4,FALSE)</f>
        <v>0</v>
      </c>
      <c r="T27">
        <f>((E27/100)*$G$92+(G27/100)*$G$93+(I27/100)*$G$94+(K27/100)*$G$95+(M27/100)*$G$96+(O27)*$G$97+(Q27*$G$98)+(R27*(VLOOKUP(D27,Fertilizantes!$A$49:$E$122,3,FALSE))))</f>
        <v>170.99639513980856</v>
      </c>
    </row>
    <row r="28">
      <c r="B28">
        <v>11</v>
      </c>
      <c r="C28">
        <f>$I$13+B28</f>
        <v>39825</v>
      </c>
      <c r="E28">
        <f>IF($C$14*ReDiarioFert!C17&lt;=0,"0",$C$14*ReDiarioFert!C17)</f>
        <v>4.000091002096473</v>
      </c>
      <c r="G28">
        <f>$C$14*ReDiarioFert!E17</f>
        <v>1.4686521117140392</v>
      </c>
      <c r="I28">
        <f>$C$14*ReDiarioFert!G17</f>
        <v>8.086543374565904</v>
      </c>
      <c r="K28">
        <f>$C$14*ReDiarioFert!I17</f>
        <v>5.190071808908827</v>
      </c>
      <c r="M28">
        <f>$C$14*ReDiarioFert!K17</f>
        <v>10.69808357233377</v>
      </c>
      <c r="O28">
        <f>$C$14*ReDiarioFert!M17</f>
        <v>44.76032536585365</v>
      </c>
      <c r="R28">
        <f>VLOOKUP(D28,Fertilizantes!$A$49:$E$122,2,FALSE)*$C$14</f>
        <v>0</v>
      </c>
      <c r="S28">
        <f>VLOOKUP(D28,Fertilizantes!$A$49:$E$122,4,FALSE)</f>
        <v>0</v>
      </c>
      <c r="T28">
        <f>((E28/100)*$G$92+(G28/100)*$G$93+(I28/100)*$G$94+(K28/100)*$G$95+(M28/100)*$G$96+(O28)*$G$97+(Q28*$G$98)+(R28*(VLOOKUP(D28,Fertilizantes!$A$49:$E$122,3,FALSE))))</f>
        <v>299.2934289873479</v>
      </c>
    </row>
    <row r="29">
      <c r="B29">
        <v>12</v>
      </c>
      <c r="C29">
        <f>$I$13+B29</f>
        <v>39826</v>
      </c>
      <c r="E29">
        <f>IF($C$14*ReDiarioFert!C18&lt;=0,"0",$C$14*ReDiarioFert!C18)</f>
        <v>4.000091002096473</v>
      </c>
      <c r="G29">
        <f>$C$14*ReDiarioFert!E18</f>
        <v>1.4686521117140392</v>
      </c>
      <c r="I29">
        <f>$C$14*ReDiarioFert!G18</f>
        <v>8.086543374565904</v>
      </c>
      <c r="K29">
        <f>$C$14*ReDiarioFert!I18</f>
        <v>5.190071808908827</v>
      </c>
      <c r="M29">
        <f>$C$14*ReDiarioFert!K18</f>
        <v>10.69808357233377</v>
      </c>
      <c r="O29">
        <f>$C$14*ReDiarioFert!M18</f>
        <v>44.76032536585365</v>
      </c>
      <c r="R29">
        <f>VLOOKUP(D29,Fertilizantes!$A$49:$E$122,2,FALSE)*$C$14</f>
        <v>0</v>
      </c>
      <c r="S29">
        <f>VLOOKUP(D29,Fertilizantes!$A$49:$E$122,4,FALSE)</f>
        <v>0</v>
      </c>
      <c r="T29">
        <f>((E29/100)*$G$92+(G29/100)*$G$93+(I29/100)*$G$94+(K29/100)*$G$95+(M29/100)*$G$96+(O29)*$G$97+(Q29*$G$98)+(R29*(VLOOKUP(D29,Fertilizantes!$A$49:$E$122,3,FALSE))))</f>
        <v>299.2934289873479</v>
      </c>
    </row>
    <row r="30">
      <c r="B30">
        <v>13</v>
      </c>
      <c r="C30">
        <f>$I$13+B30</f>
        <v>39827</v>
      </c>
      <c r="E30">
        <f>IF($C$14*ReDiarioFert!C19&lt;=0,"0",$C$14*ReDiarioFert!C19)</f>
        <v>4.000091002096473</v>
      </c>
      <c r="G30">
        <f>$C$14*ReDiarioFert!E19</f>
        <v>1.4686521117140392</v>
      </c>
      <c r="I30">
        <f>$C$14*ReDiarioFert!G19</f>
        <v>8.086543374565904</v>
      </c>
      <c r="K30">
        <f>$C$14*ReDiarioFert!I19</f>
        <v>5.190071808908827</v>
      </c>
      <c r="M30">
        <f>$C$14*ReDiarioFert!K19</f>
        <v>10.69808357233377</v>
      </c>
      <c r="O30">
        <f>$C$14*ReDiarioFert!M19</f>
        <v>44.76032536585365</v>
      </c>
      <c r="R30">
        <f>VLOOKUP(D30,Fertilizantes!$A$49:$E$122,2,FALSE)*$C$14</f>
        <v>0</v>
      </c>
      <c r="S30">
        <f>VLOOKUP(D30,Fertilizantes!$A$49:$E$122,4,FALSE)</f>
        <v>0</v>
      </c>
      <c r="T30">
        <f>((E30/100)*$G$92+(G30/100)*$G$93+(I30/100)*$G$94+(K30/100)*$G$95+(M30/100)*$G$96+(O30)*$G$97+(Q30*$G$98)+(R30*(VLOOKUP(D30,Fertilizantes!$A$49:$E$122,3,FALSE))))</f>
        <v>299.2934289873479</v>
      </c>
    </row>
    <row r="31">
      <c r="B31">
        <v>14</v>
      </c>
      <c r="C31">
        <f>$I$13+B31</f>
        <v>39828</v>
      </c>
      <c r="E31">
        <f>IF($C$14*ReDiarioFert!C20&lt;=0,"0",$C$14*ReDiarioFert!C20)</f>
        <v>4.000091002096473</v>
      </c>
      <c r="G31">
        <f>$C$14*ReDiarioFert!E20</f>
        <v>1.4686521117140392</v>
      </c>
      <c r="I31">
        <f>$C$14*ReDiarioFert!G20</f>
        <v>8.086543374565904</v>
      </c>
      <c r="K31">
        <f>$C$14*ReDiarioFert!I20</f>
        <v>5.190071808908827</v>
      </c>
      <c r="M31">
        <f>$C$14*ReDiarioFert!K20</f>
        <v>10.69808357233377</v>
      </c>
      <c r="O31">
        <f>$C$14*ReDiarioFert!M20</f>
        <v>44.76032536585365</v>
      </c>
      <c r="R31">
        <f>VLOOKUP(D31,Fertilizantes!$A$49:$E$122,2,FALSE)*$C$14</f>
        <v>0</v>
      </c>
      <c r="S31">
        <f>VLOOKUP(D31,Fertilizantes!$A$49:$E$122,4,FALSE)</f>
        <v>0</v>
      </c>
      <c r="T31">
        <f>((E31/100)*$G$92+(G31/100)*$G$93+(I31/100)*$G$94+(K31/100)*$G$95+(M31/100)*$G$96+(O31)*$G$97+(Q31*$G$98)+(R31*(VLOOKUP(D31,Fertilizantes!$A$49:$E$122,3,FALSE))))</f>
        <v>299.2934289873479</v>
      </c>
    </row>
    <row r="32">
      <c r="A32">
        <v>3</v>
      </c>
      <c r="B32">
        <v>15</v>
      </c>
      <c r="C32">
        <f>$I$13+B32</f>
        <v>39829</v>
      </c>
      <c r="E32">
        <f>IF($C$14*ReDiarioFert!C21&lt;=0,"0",$C$14*ReDiarioFert!C21)</f>
        <v>4.000091002096473</v>
      </c>
      <c r="G32">
        <f>$C$14*ReDiarioFert!E21</f>
        <v>1.4686521117140392</v>
      </c>
      <c r="I32">
        <f>$C$14*ReDiarioFert!G21</f>
        <v>8.086543374565904</v>
      </c>
      <c r="K32">
        <f>$C$14*ReDiarioFert!I21</f>
        <v>5.190071808908827</v>
      </c>
      <c r="M32">
        <f>$C$14*ReDiarioFert!K21</f>
        <v>10.69808357233377</v>
      </c>
      <c r="O32">
        <f>$C$14*ReDiarioFert!M21</f>
        <v>44.76032536585365</v>
      </c>
      <c r="Q32">
        <f>$C$14*Main!$D$63</f>
        <v>20.019999999999996</v>
      </c>
      <c r="R32">
        <f>VLOOKUP(D32,Fertilizantes!$A$49:$E$122,2,FALSE)*$C$14</f>
        <v>0</v>
      </c>
      <c r="S32">
        <f>VLOOKUP(D32,Fertilizantes!$A$49:$E$122,4,FALSE)</f>
        <v>0</v>
      </c>
      <c r="T32">
        <f>((E32/100)*$G$92+(G32/100)*$G$93+(I32/100)*$G$94+(K32/100)*$G$95+(M32/100)*$G$96+(O32)*$G$97+(Q32*$G$98)+(R32*(VLOOKUP(D32,Fertilizantes!$A$49:$E$122,3,FALSE))))</f>
        <v>355.3494289873479</v>
      </c>
    </row>
    <row r="33">
      <c r="B33">
        <v>16</v>
      </c>
      <c r="C33">
        <f>$I$13+B33</f>
        <v>39830</v>
      </c>
      <c r="E33">
        <f>IF($C$14*ReDiarioFert!C22&lt;=0,"0",$C$14*ReDiarioFert!C22)</f>
        <v>4.000091002096473</v>
      </c>
      <c r="G33">
        <f>$C$14*ReDiarioFert!E22</f>
        <v>1.4686521117140392</v>
      </c>
      <c r="I33">
        <f>$C$14*ReDiarioFert!G22</f>
        <v>8.086543374565904</v>
      </c>
      <c r="K33">
        <f>$C$14*ReDiarioFert!I22</f>
        <v>5.190071808908827</v>
      </c>
      <c r="M33">
        <f>$C$14*ReDiarioFert!K22</f>
        <v>10.69808357233377</v>
      </c>
      <c r="O33">
        <f>$C$14*ReDiarioFert!M22</f>
        <v>44.76032536585365</v>
      </c>
      <c r="R33">
        <f>VLOOKUP(D33,Fertilizantes!$A$49:$E$122,2,FALSE)*$C$14</f>
        <v>0</v>
      </c>
      <c r="S33">
        <f>VLOOKUP(D33,Fertilizantes!$A$49:$E$122,4,FALSE)</f>
        <v>0</v>
      </c>
      <c r="T33">
        <f>((E33/100)*$G$92+(G33/100)*$G$93+(I33/100)*$G$94+(K33/100)*$G$95+(M33/100)*$G$96+(O33)*$G$97+(Q33*$G$98)+(R33*(VLOOKUP(D33,Fertilizantes!$A$49:$E$122,3,FALSE))))</f>
        <v>299.2934289873479</v>
      </c>
    </row>
    <row r="34">
      <c r="B34">
        <v>17</v>
      </c>
      <c r="C34">
        <f>$I$13+B34</f>
        <v>39831</v>
      </c>
      <c r="E34">
        <f>IF($C$14*ReDiarioFert!C23&lt;=0,"0",$C$14*ReDiarioFert!C23)</f>
        <v>4.000091002096473</v>
      </c>
      <c r="G34">
        <f>$C$14*ReDiarioFert!E23</f>
        <v>1.4686521117140392</v>
      </c>
      <c r="I34">
        <f>$C$14*ReDiarioFert!G23</f>
        <v>8.086543374565904</v>
      </c>
      <c r="K34">
        <f>$C$14*ReDiarioFert!I23</f>
        <v>5.190071808908827</v>
      </c>
      <c r="M34">
        <f>$C$14*ReDiarioFert!K23</f>
        <v>10.69808357233377</v>
      </c>
      <c r="O34">
        <f>$C$14*ReDiarioFert!M23</f>
        <v>44.76032536585365</v>
      </c>
      <c r="R34">
        <f>VLOOKUP(D34,Fertilizantes!$A$49:$E$122,2,FALSE)*$C$14</f>
        <v>0</v>
      </c>
      <c r="S34">
        <f>VLOOKUP(D34,Fertilizantes!$A$49:$E$122,4,FALSE)</f>
        <v>0</v>
      </c>
      <c r="T34">
        <f>((E34/100)*$G$92+(G34/100)*$G$93+(I34/100)*$G$94+(K34/100)*$G$95+(M34/100)*$G$96+(O34)*$G$97+(Q34*$G$98)+(R34*(VLOOKUP(D34,Fertilizantes!$A$49:$E$122,3,FALSE))))</f>
        <v>299.2934289873479</v>
      </c>
    </row>
    <row r="35">
      <c r="B35">
        <v>18</v>
      </c>
      <c r="C35">
        <f>$I$13+B35</f>
        <v>39832</v>
      </c>
      <c r="E35">
        <f>IF($C$14*ReDiarioFert!C24&lt;=0,"0",$C$14*ReDiarioFert!C24)</f>
        <v>5.714415717280675</v>
      </c>
      <c r="G35">
        <f>$C$14*ReDiarioFert!E24</f>
        <v>2.0980744453057705</v>
      </c>
      <c r="I35">
        <f>$C$14*ReDiarioFert!G24</f>
        <v>11.552204820808436</v>
      </c>
      <c r="K35">
        <f>$C$14*ReDiarioFert!I24</f>
        <v>7.414388298441181</v>
      </c>
      <c r="M35">
        <f>$C$14*ReDiarioFert!K24</f>
        <v>15.282976531905385</v>
      </c>
      <c r="O35">
        <f>$C$14*ReDiarioFert!M24</f>
        <v>59.680108292682924</v>
      </c>
      <c r="R35">
        <f>VLOOKUP(D35,Fertilizantes!$A$49:$E$122,2,FALSE)*$C$14</f>
        <v>0</v>
      </c>
      <c r="S35">
        <f>VLOOKUP(D35,Fertilizantes!$A$49:$E$122,4,FALSE)</f>
        <v>0</v>
      </c>
      <c r="T35">
        <f>((E35/100)*$G$92+(G35/100)*$G$93+(I35/100)*$G$94+(K35/100)*$G$95+(M35/100)*$G$96+(O35)*$G$97+(Q35*$G$98)+(R35*(VLOOKUP(D35,Fertilizantes!$A$49:$E$122,3,FALSE))))</f>
        <v>427.39151286415546</v>
      </c>
    </row>
    <row r="36">
      <c r="B36">
        <v>19</v>
      </c>
      <c r="C36">
        <f>$I$13+B36</f>
        <v>39833</v>
      </c>
      <c r="E36">
        <f>IF($C$14*ReDiarioFert!C25&lt;=0,"0",$C$14*ReDiarioFert!C25)</f>
        <v>5.714415717280675</v>
      </c>
      <c r="G36">
        <f>$C$14*ReDiarioFert!E25</f>
        <v>2.0980744453057705</v>
      </c>
      <c r="I36">
        <f>$C$14*ReDiarioFert!G25</f>
        <v>11.552204820808436</v>
      </c>
      <c r="K36">
        <f>$C$14*ReDiarioFert!I25</f>
        <v>7.414388298441181</v>
      </c>
      <c r="M36">
        <f>$C$14*ReDiarioFert!K25</f>
        <v>15.282976531905385</v>
      </c>
      <c r="O36">
        <f>$C$14*ReDiarioFert!M25</f>
        <v>59.680108292682924</v>
      </c>
      <c r="R36">
        <f>VLOOKUP(D36,Fertilizantes!$A$49:$E$122,2,FALSE)*$C$14</f>
        <v>0</v>
      </c>
      <c r="S36">
        <f>VLOOKUP(D36,Fertilizantes!$A$49:$E$122,4,FALSE)</f>
        <v>0</v>
      </c>
      <c r="T36">
        <f>((E36/100)*$G$92+(G36/100)*$G$93+(I36/100)*$G$94+(K36/100)*$G$95+(M36/100)*$G$96+(O36)*$G$97+(Q36*$G$98)+(R36*(VLOOKUP(D36,Fertilizantes!$A$49:$E$122,3,FALSE))))</f>
        <v>427.39151286415546</v>
      </c>
    </row>
    <row r="37">
      <c r="B37">
        <v>20</v>
      </c>
      <c r="C37">
        <f>$I$13+B37</f>
        <v>39834</v>
      </c>
      <c r="E37">
        <f>IF($C$14*ReDiarioFert!C26&lt;=0,"0",$C$14*ReDiarioFert!C26)</f>
        <v>5.714415717280675</v>
      </c>
      <c r="G37">
        <f>$C$14*ReDiarioFert!E26</f>
        <v>2.0980744453057705</v>
      </c>
      <c r="I37">
        <f>$C$14*ReDiarioFert!G26</f>
        <v>11.552204820808436</v>
      </c>
      <c r="K37">
        <f>$C$14*ReDiarioFert!I26</f>
        <v>7.414388298441181</v>
      </c>
      <c r="M37">
        <f>$C$14*ReDiarioFert!K26</f>
        <v>15.282976531905385</v>
      </c>
      <c r="O37">
        <f>$C$14*ReDiarioFert!M26</f>
        <v>59.680108292682924</v>
      </c>
      <c r="R37">
        <f>VLOOKUP(D37,Fertilizantes!$A$49:$E$122,2,FALSE)*$C$14</f>
        <v>0</v>
      </c>
      <c r="S37">
        <f>VLOOKUP(D37,Fertilizantes!$A$49:$E$122,4,FALSE)</f>
        <v>0</v>
      </c>
      <c r="T37">
        <f>((E37/100)*$G$92+(G37/100)*$G$93+(I37/100)*$G$94+(K37/100)*$G$95+(M37/100)*$G$96+(O37)*$G$97+(Q37*$G$98)+(R37*(VLOOKUP(D37,Fertilizantes!$A$49:$E$122,3,FALSE))))</f>
        <v>427.39151286415546</v>
      </c>
    </row>
    <row r="38">
      <c r="B38">
        <v>21</v>
      </c>
      <c r="C38">
        <f>$I$13+B38</f>
        <v>39835</v>
      </c>
      <c r="E38">
        <f>IF($C$14*ReDiarioFert!C27&lt;=0,"0",$C$14*ReDiarioFert!C27)</f>
        <v>5.714415717280675</v>
      </c>
      <c r="G38">
        <f>$C$14*ReDiarioFert!E27</f>
        <v>2.0980744453057705</v>
      </c>
      <c r="I38">
        <f>$C$14*ReDiarioFert!G27</f>
        <v>11.552204820808436</v>
      </c>
      <c r="K38">
        <f>$C$14*ReDiarioFert!I27</f>
        <v>7.414388298441181</v>
      </c>
      <c r="M38">
        <f>$C$14*ReDiarioFert!K27</f>
        <v>15.282976531905385</v>
      </c>
      <c r="O38">
        <f>$C$14*ReDiarioFert!M27</f>
        <v>59.680108292682924</v>
      </c>
      <c r="R38">
        <f>VLOOKUP(D38,Fertilizantes!$A$49:$E$122,2,FALSE)*$C$14</f>
        <v>0</v>
      </c>
      <c r="S38">
        <f>VLOOKUP(D38,Fertilizantes!$A$49:$E$122,4,FALSE)</f>
        <v>0</v>
      </c>
      <c r="T38">
        <f>((E38/100)*$G$92+(G38/100)*$G$93+(I38/100)*$G$94+(K38/100)*$G$95+(M38/100)*$G$96+(O38)*$G$97+(Q38*$G$98)+(R38*(VLOOKUP(D38,Fertilizantes!$A$49:$E$122,3,FALSE))))</f>
        <v>427.39151286415546</v>
      </c>
    </row>
    <row r="39">
      <c r="A39">
        <v>4</v>
      </c>
      <c r="B39">
        <v>22</v>
      </c>
      <c r="C39">
        <f>$I$13+B39</f>
        <v>39836</v>
      </c>
      <c r="E39">
        <f>IF($C$14*ReDiarioFert!C28&lt;=0,"0",$C$14*ReDiarioFert!C28)</f>
        <v>5.171575448784793</v>
      </c>
      <c r="G39">
        <f>$C$14*ReDiarioFert!E28</f>
        <v>2.0980744453057705</v>
      </c>
      <c r="I39">
        <f>$C$14*ReDiarioFert!G28</f>
        <v>12.439038340123455</v>
      </c>
      <c r="K39">
        <f>$C$14*ReDiarioFert!I28</f>
        <v>7.983572118349814</v>
      </c>
      <c r="M39">
        <f>$C$14*ReDiarioFert!K28</f>
        <v>16.456211950912614</v>
      </c>
      <c r="O39">
        <f>$C$14*ReDiarioFert!M28</f>
        <v>59.680108292682924</v>
      </c>
      <c r="Q39">
        <f>$C$14*Main!$D$63</f>
        <v>20.019999999999996</v>
      </c>
      <c r="R39">
        <f>VLOOKUP(D39,Fertilizantes!$A$49:$E$122,2,FALSE)*$C$14</f>
        <v>0</v>
      </c>
      <c r="S39">
        <f>VLOOKUP(D39,Fertilizantes!$A$49:$E$122,4,FALSE)</f>
        <v>0</v>
      </c>
      <c r="T39">
        <f>((E39/100)*$G$92+(G39/100)*$G$93+(I39/100)*$G$94+(K39/100)*$G$95+(M39/100)*$G$96+(O39)*$G$97+(Q39*$G$98)+(R39*(VLOOKUP(D39,Fertilizantes!$A$49:$E$122,3,FALSE))))</f>
        <v>505.31773238654887</v>
      </c>
    </row>
    <row r="40">
      <c r="B40">
        <v>23</v>
      </c>
      <c r="C40">
        <f>$I$13+B40</f>
        <v>39837</v>
      </c>
      <c r="E40">
        <f>IF($C$14*ReDiarioFert!C29&lt;=0,"0",$C$14*ReDiarioFert!C29)</f>
        <v>5.171575448784793</v>
      </c>
      <c r="G40">
        <f>$C$14*ReDiarioFert!E29</f>
        <v>2.0980744453057705</v>
      </c>
      <c r="I40">
        <f>$C$14*ReDiarioFert!G29</f>
        <v>12.439038340123455</v>
      </c>
      <c r="K40">
        <f>$C$14*ReDiarioFert!I29</f>
        <v>7.983572118349814</v>
      </c>
      <c r="M40">
        <f>$C$14*ReDiarioFert!K29</f>
        <v>16.456211950912614</v>
      </c>
      <c r="O40">
        <f>$C$14*ReDiarioFert!M29</f>
        <v>59.680108292682924</v>
      </c>
      <c r="R40">
        <f>VLOOKUP(D40,Fertilizantes!$A$49:$E$122,2,FALSE)*$C$14</f>
        <v>0</v>
      </c>
      <c r="S40">
        <f>VLOOKUP(D40,Fertilizantes!$A$49:$E$122,4,FALSE)</f>
        <v>0</v>
      </c>
      <c r="T40">
        <f>((E40/100)*$G$92+(G40/100)*$G$93+(I40/100)*$G$94+(K40/100)*$G$95+(M40/100)*$G$96+(O40)*$G$97+(Q40*$G$98)+(R40*(VLOOKUP(D40,Fertilizantes!$A$49:$E$122,3,FALSE))))</f>
        <v>449.2617323865489</v>
      </c>
    </row>
    <row r="41">
      <c r="B41">
        <v>24</v>
      </c>
      <c r="C41">
        <f>$I$13+B41</f>
        <v>39838</v>
      </c>
      <c r="E41">
        <f>IF($C$14*ReDiarioFert!C30&lt;=0,"0",$C$14*ReDiarioFert!C30)</f>
        <v>5.171575448784793</v>
      </c>
      <c r="G41">
        <f>$C$14*ReDiarioFert!E30</f>
        <v>2.0980744453057705</v>
      </c>
      <c r="I41">
        <f>$C$14*ReDiarioFert!G30</f>
        <v>12.439038340123455</v>
      </c>
      <c r="K41">
        <f>$C$14*ReDiarioFert!I30</f>
        <v>7.983572118349814</v>
      </c>
      <c r="M41">
        <f>$C$14*ReDiarioFert!K30</f>
        <v>16.456211950912614</v>
      </c>
      <c r="O41">
        <f>$C$14*ReDiarioFert!M30</f>
        <v>59.680108292682924</v>
      </c>
      <c r="Q41">
        <f>Main!$H$82</f>
        <v>0</v>
      </c>
      <c r="R41">
        <f>VLOOKUP(D41,Fertilizantes!$A$49:$E$122,2,FALSE)*$C$14</f>
        <v>0</v>
      </c>
      <c r="S41">
        <f>VLOOKUP(D41,Fertilizantes!$A$49:$E$122,4,FALSE)</f>
        <v>0</v>
      </c>
      <c r="T41">
        <f>((E41/100)*$G$92+(G41/100)*$G$93+(I41/100)*$G$94+(K41/100)*$G$95+(M41/100)*$G$96+(O41)*$G$97+(Q41*$G$98)+(R41*(VLOOKUP(D41,Fertilizantes!$A$49:$E$122,3,FALSE))))</f>
        <v>449.2617323865489</v>
      </c>
    </row>
    <row r="42">
      <c r="B42">
        <v>25</v>
      </c>
      <c r="C42">
        <f>$I$13+B42</f>
        <v>39839</v>
      </c>
      <c r="E42">
        <f>IF($C$14*ReDiarioFert!C31&lt;=0,"0",$C$14*ReDiarioFert!C31)</f>
        <v>5.171575448784793</v>
      </c>
      <c r="G42">
        <f>$C$14*ReDiarioFert!E31</f>
        <v>2.0980744453057705</v>
      </c>
      <c r="I42">
        <f>$C$14*ReDiarioFert!G31</f>
        <v>12.439038340123455</v>
      </c>
      <c r="K42">
        <f>$C$14*ReDiarioFert!I31</f>
        <v>7.983572118349814</v>
      </c>
      <c r="M42">
        <f>$C$14*ReDiarioFert!K31</f>
        <v>16.456211950912614</v>
      </c>
      <c r="O42">
        <f>$C$14*ReDiarioFert!M31</f>
        <v>59.680108292682924</v>
      </c>
      <c r="R42">
        <f>VLOOKUP(D42,Fertilizantes!$A$49:$E$122,2,FALSE)*$C$14</f>
        <v>0</v>
      </c>
      <c r="S42">
        <f>VLOOKUP(D42,Fertilizantes!$A$49:$E$122,4,FALSE)</f>
        <v>0</v>
      </c>
      <c r="T42">
        <f>((E42/100)*$G$92+(G42/100)*$G$93+(I42/100)*$G$94+(K42/100)*$G$95+(M42/100)*$G$96+(O42)*$G$97+(Q42*$G$98)+(R42*(VLOOKUP(D42,Fertilizantes!$A$49:$E$122,3,FALSE))))</f>
        <v>449.2617323865489</v>
      </c>
    </row>
    <row r="43">
      <c r="B43">
        <v>26</v>
      </c>
      <c r="C43">
        <f>$I$13+B43</f>
        <v>39840</v>
      </c>
      <c r="E43">
        <f>IF($C$14*ReDiarioFert!C32&lt;=0,"0",$C$14*ReDiarioFert!C32)</f>
        <v>5.171575448784793</v>
      </c>
      <c r="G43">
        <f>$C$14*ReDiarioFert!E32</f>
        <v>2.0980744453057705</v>
      </c>
      <c r="I43">
        <f>$C$14*ReDiarioFert!G32</f>
        <v>12.439038340123455</v>
      </c>
      <c r="K43">
        <f>$C$14*ReDiarioFert!I32</f>
        <v>7.983572118349814</v>
      </c>
      <c r="M43">
        <f>$C$14*ReDiarioFert!K32</f>
        <v>16.456211950912614</v>
      </c>
      <c r="O43">
        <f>$C$14*ReDiarioFert!M32</f>
        <v>59.680108292682924</v>
      </c>
      <c r="R43">
        <f>VLOOKUP(D43,Fertilizantes!$A$49:$E$122,2,FALSE)*$C$14</f>
        <v>0</v>
      </c>
      <c r="S43">
        <f>VLOOKUP(D43,Fertilizantes!$A$49:$E$122,4,FALSE)</f>
        <v>0</v>
      </c>
      <c r="T43">
        <f>((E43/100)*$G$92+(G43/100)*$G$93+(I43/100)*$G$94+(K43/100)*$G$95+(M43/100)*$G$96+(O43)*$G$97+(Q43*$G$98)+(R43*(VLOOKUP(D43,Fertilizantes!$A$49:$E$122,3,FALSE))))</f>
        <v>449.2617323865489</v>
      </c>
    </row>
    <row r="44">
      <c r="B44">
        <v>27</v>
      </c>
      <c r="C44">
        <f>$I$13+B44</f>
        <v>39841</v>
      </c>
      <c r="E44">
        <f>IF($C$14*ReDiarioFert!C33&lt;=0,"0",$C$14*ReDiarioFert!C33)</f>
        <v>5.171575448784793</v>
      </c>
      <c r="G44">
        <f>$C$14*ReDiarioFert!E33</f>
        <v>2.0980744453057705</v>
      </c>
      <c r="I44">
        <f>$C$14*ReDiarioFert!G33</f>
        <v>12.439038340123455</v>
      </c>
      <c r="K44">
        <f>$C$14*ReDiarioFert!I33</f>
        <v>7.983572118349814</v>
      </c>
      <c r="M44">
        <f>$C$14*ReDiarioFert!K33</f>
        <v>16.456211950912614</v>
      </c>
      <c r="O44">
        <f>$C$14*ReDiarioFert!M33</f>
        <v>59.680108292682924</v>
      </c>
      <c r="R44">
        <f>VLOOKUP(D44,Fertilizantes!$A$49:$E$122,2,FALSE)*$C$14</f>
        <v>0</v>
      </c>
      <c r="S44">
        <f>VLOOKUP(D44,Fertilizantes!$A$49:$E$122,4,FALSE)</f>
        <v>0</v>
      </c>
      <c r="T44">
        <f>((E44/100)*$G$92+(G44/100)*$G$93+(I44/100)*$G$94+(K44/100)*$G$95+(M44/100)*$G$96+(O44)*$G$97+(Q44*$G$98)+(R44*(VLOOKUP(D44,Fertilizantes!$A$49:$E$122,3,FALSE))))</f>
        <v>449.2617323865489</v>
      </c>
    </row>
    <row r="45">
      <c r="B45">
        <v>28</v>
      </c>
      <c r="C45">
        <f>$I$13+B45</f>
        <v>39842</v>
      </c>
      <c r="E45">
        <f>IF($C$14*ReDiarioFert!C34&lt;=0,"0",$C$14*ReDiarioFert!C34)</f>
        <v>5.171575448784793</v>
      </c>
      <c r="G45">
        <f>$C$14*ReDiarioFert!E34</f>
        <v>2.0980744453057705</v>
      </c>
      <c r="I45">
        <f>$C$14*ReDiarioFert!G34</f>
        <v>12.439038340123455</v>
      </c>
      <c r="K45">
        <f>$C$14*ReDiarioFert!I34</f>
        <v>7.983572118349814</v>
      </c>
      <c r="M45">
        <f>$C$14*ReDiarioFert!K34</f>
        <v>16.456211950912614</v>
      </c>
      <c r="O45">
        <f>$C$14*ReDiarioFert!M34</f>
        <v>59.680108292682924</v>
      </c>
      <c r="Q45">
        <f>Main!$H$84</f>
        <v>0</v>
      </c>
      <c r="R45">
        <f>VLOOKUP(D45,Fertilizantes!$A$49:$E$122,2,FALSE)*$C$14</f>
        <v>0</v>
      </c>
      <c r="S45">
        <f>VLOOKUP(D45,Fertilizantes!$A$49:$E$122,4,FALSE)</f>
        <v>0</v>
      </c>
      <c r="T45">
        <f>((E45/100)*$G$92+(G45/100)*$G$93+(I45/100)*$G$94+(K45/100)*$G$95+(M45/100)*$G$96+(O45)*$G$97+(Q45*$G$98)+(R45*(VLOOKUP(D45,Fertilizantes!$A$49:$E$122,3,FALSE))))</f>
        <v>449.2617323865489</v>
      </c>
    </row>
    <row r="46">
      <c r="A46">
        <v>5</v>
      </c>
      <c r="B46">
        <v>29</v>
      </c>
      <c r="C46">
        <f>$I$13+B46</f>
        <v>39843</v>
      </c>
      <c r="D46">
        <f>Main!$H$87</f>
        <v>0</v>
      </c>
      <c r="E46">
        <f>IF($C$14*ReDiarioFert!C35&lt;=0,"0",$C$14*ReDiarioFert!C35)</f>
        <v>5.171575448784793</v>
      </c>
      <c r="G46">
        <f>$C$14*ReDiarioFert!E35</f>
        <v>2.0980744453057705</v>
      </c>
      <c r="I46">
        <f>$C$14*ReDiarioFert!G35</f>
        <v>12.439038340123455</v>
      </c>
      <c r="K46">
        <f>$C$14*ReDiarioFert!I35</f>
        <v>7.983572118349814</v>
      </c>
      <c r="M46">
        <f>$C$14*ReDiarioFert!K35</f>
        <v>16.456211950912614</v>
      </c>
      <c r="O46">
        <f>$C$14*ReDiarioFert!M35</f>
        <v>59.680108292682924</v>
      </c>
      <c r="Q46">
        <f>$C$14*Main!$D$63</f>
        <v>20.019999999999996</v>
      </c>
      <c r="R46">
        <f>VLOOKUP(D46,Fertilizantes!$A$49:$E$122,2,FALSE)*$C$14</f>
        <v>0</v>
      </c>
      <c r="S46">
        <f>VLOOKUP(D46,Fertilizantes!$A$49:$E$122,4,FALSE)</f>
        <v>0</v>
      </c>
      <c r="T46">
        <f>((E46/100)*$G$92+(G46/100)*$G$93+(I46/100)*$G$94+(K46/100)*$G$95+(M46/100)*$G$96+(O46)*$G$97+(Q46*$G$98)+(R46*(VLOOKUP(D46,Fertilizantes!$A$49:$E$122,3,FALSE))))</f>
        <v>505.31773238654887</v>
      </c>
    </row>
    <row r="47">
      <c r="B47">
        <v>30</v>
      </c>
      <c r="C47">
        <f>$I$13+B47</f>
        <v>39844</v>
      </c>
      <c r="E47">
        <f>IF($C$14*ReDiarioFert!C36&lt;=0,"0",$C$14*ReDiarioFert!C36)</f>
        <v>5.171575448784793</v>
      </c>
      <c r="G47">
        <f>$C$14*ReDiarioFert!E36</f>
        <v>2.0980744453057705</v>
      </c>
      <c r="I47">
        <f>$C$14*ReDiarioFert!G36</f>
        <v>12.439038340123455</v>
      </c>
      <c r="K47">
        <f>$C$14*ReDiarioFert!I36</f>
        <v>7.983572118349814</v>
      </c>
      <c r="M47">
        <f>$C$14*ReDiarioFert!K36</f>
        <v>16.456211950912614</v>
      </c>
      <c r="O47">
        <f>$C$14*ReDiarioFert!M36</f>
        <v>59.680108292682924</v>
      </c>
      <c r="R47">
        <f>VLOOKUP(D47,Fertilizantes!$A$49:$E$122,2,FALSE)*$C$14</f>
        <v>0</v>
      </c>
      <c r="S47">
        <f>VLOOKUP(D47,Fertilizantes!$A$49:$E$122,4,FALSE)</f>
        <v>0</v>
      </c>
      <c r="T47">
        <f>((E47/100)*$G$92+(G47/100)*$G$93+(I47/100)*$G$94+(K47/100)*$G$95+(M47/100)*$G$96+(O47)*$G$97+(Q47*$G$98)+(R47*(VLOOKUP(D47,Fertilizantes!$A$49:$E$122,3,FALSE))))</f>
        <v>449.2617323865489</v>
      </c>
    </row>
    <row r="48">
      <c r="B48">
        <v>31</v>
      </c>
      <c r="C48">
        <f>$I$13+B48</f>
        <v>39845</v>
      </c>
      <c r="E48">
        <f>IF($C$14*ReDiarioFert!C37&lt;=0,"0",$C$14*ReDiarioFert!C37)</f>
        <v>5.171575448784793</v>
      </c>
      <c r="G48">
        <f>$C$14*ReDiarioFert!E37</f>
        <v>2.0980744453057705</v>
      </c>
      <c r="I48">
        <f>$C$14*ReDiarioFert!G37</f>
        <v>12.439038340123455</v>
      </c>
      <c r="K48">
        <f>$C$14*ReDiarioFert!I37</f>
        <v>7.983572118349814</v>
      </c>
      <c r="M48">
        <f>$C$14*ReDiarioFert!K37</f>
        <v>16.456211950912614</v>
      </c>
      <c r="O48">
        <f>$C$14*ReDiarioFert!M37</f>
        <v>59.680108292682924</v>
      </c>
      <c r="R48">
        <f>VLOOKUP(D48,Fertilizantes!$A$49:$E$122,2,FALSE)*$C$14</f>
        <v>0</v>
      </c>
      <c r="S48">
        <f>VLOOKUP(D48,Fertilizantes!$A$49:$E$122,4,FALSE)</f>
        <v>0</v>
      </c>
      <c r="T48">
        <f>((E48/100)*$G$92+(G48/100)*$G$93+(I48/100)*$G$94+(K48/100)*$G$95+(M48/100)*$G$96+(O48)*$G$97+(Q48*$G$98)+(R48*(VLOOKUP(D48,Fertilizantes!$A$49:$E$122,3,FALSE))))</f>
        <v>449.2617323865489</v>
      </c>
    </row>
    <row r="49">
      <c r="B49">
        <v>32</v>
      </c>
      <c r="C49">
        <f>$I$13+B49</f>
        <v>39846</v>
      </c>
      <c r="E49">
        <f>IF($C$14*ReDiarioFert!C38&lt;=0,"0",$C$14*ReDiarioFert!C38)</f>
        <v>5.171575448784793</v>
      </c>
      <c r="G49">
        <f>$C$14*ReDiarioFert!E38</f>
        <v>2.0980744453057705</v>
      </c>
      <c r="I49">
        <f>$C$14*ReDiarioFert!G38</f>
        <v>12.439038340123455</v>
      </c>
      <c r="K49">
        <f>$C$14*ReDiarioFert!I38</f>
        <v>7.983572118349814</v>
      </c>
      <c r="M49">
        <f>$C$14*ReDiarioFert!K38</f>
        <v>16.456211950912614</v>
      </c>
      <c r="O49">
        <f>$C$14*ReDiarioFert!M38</f>
        <v>59.680108292682924</v>
      </c>
      <c r="R49">
        <f>VLOOKUP(D49,Fertilizantes!$A$49:$E$122,2,FALSE)*$C$14</f>
        <v>0</v>
      </c>
      <c r="S49">
        <f>VLOOKUP(D49,Fertilizantes!$A$49:$E$122,4,FALSE)</f>
        <v>0</v>
      </c>
      <c r="T49">
        <f>((E49/100)*$G$92+(G49/100)*$G$93+(I49/100)*$G$94+(K49/100)*$G$95+(M49/100)*$G$96+(O49)*$G$97+(Q49*$G$98)+(R49*(VLOOKUP(D49,Fertilizantes!$A$49:$E$122,3,FALSE))))</f>
        <v>449.2617323865489</v>
      </c>
    </row>
    <row r="50">
      <c r="B50">
        <v>33</v>
      </c>
      <c r="C50">
        <f>$I$13+B50</f>
        <v>39847</v>
      </c>
      <c r="E50">
        <f>IF($C$14*ReDiarioFert!C39&lt;=0,"0",$C$14*ReDiarioFert!C39)</f>
        <v>8.27452071805567</v>
      </c>
      <c r="G50">
        <f>$C$14*ReDiarioFert!E39</f>
        <v>3.356919112489233</v>
      </c>
      <c r="I50">
        <f>$C$14*ReDiarioFert!G39</f>
        <v>19.90246134419753</v>
      </c>
      <c r="K50">
        <f>$C$14*ReDiarioFert!I39</f>
        <v>12.773715389359703</v>
      </c>
      <c r="M50">
        <f>$C$14*ReDiarioFert!K39</f>
        <v>26.32993912146018</v>
      </c>
      <c r="O50">
        <f>$C$14*ReDiarioFert!M39</f>
        <v>84.54738975609757</v>
      </c>
      <c r="R50">
        <f>VLOOKUP(D50,Fertilizantes!$A$49:$E$122,2,FALSE)*$C$14</f>
        <v>0</v>
      </c>
      <c r="S50">
        <f>VLOOKUP(D50,Fertilizantes!$A$49:$E$122,4,FALSE)</f>
        <v>0</v>
      </c>
      <c r="T50">
        <f>((E50/100)*$G$92+(G50/100)*$G$93+(I50/100)*$G$94+(K50/100)*$G$95+(M50/100)*$G$96+(O50)*$G$97+(Q50*$G$98)+(R50*(VLOOKUP(D50,Fertilizantes!$A$49:$E$122,3,FALSE))))</f>
        <v>718.3811404779902</v>
      </c>
    </row>
    <row r="51">
      <c r="B51">
        <v>34</v>
      </c>
      <c r="C51">
        <f>$I$13+B51</f>
        <v>39848</v>
      </c>
      <c r="E51">
        <f>IF($C$14*ReDiarioFert!C40&lt;=0,"0",$C$14*ReDiarioFert!C40)</f>
        <v>8.27452071805567</v>
      </c>
      <c r="G51">
        <f>$C$14*ReDiarioFert!E40</f>
        <v>3.356919112489233</v>
      </c>
      <c r="I51">
        <f>$C$14*ReDiarioFert!G40</f>
        <v>19.90246134419753</v>
      </c>
      <c r="K51">
        <f>$C$14*ReDiarioFert!I40</f>
        <v>12.773715389359703</v>
      </c>
      <c r="M51">
        <f>$C$14*ReDiarioFert!K40</f>
        <v>26.32993912146018</v>
      </c>
      <c r="O51">
        <f>$C$14*ReDiarioFert!M40</f>
        <v>84.54738975609757</v>
      </c>
      <c r="R51">
        <f>VLOOKUP(D51,Fertilizantes!$A$49:$E$122,2,FALSE)*$C$14</f>
        <v>0</v>
      </c>
      <c r="S51">
        <f>VLOOKUP(D51,Fertilizantes!$A$49:$E$122,4,FALSE)</f>
        <v>0</v>
      </c>
      <c r="T51">
        <f>((E51/100)*$G$92+(G51/100)*$G$93+(I51/100)*$G$94+(K51/100)*$G$95+(M51/100)*$G$96+(O51)*$G$97+(Q51*$G$98)+(R51*(VLOOKUP(D51,Fertilizantes!$A$49:$E$122,3,FALSE))))</f>
        <v>718.3811404779902</v>
      </c>
    </row>
    <row r="52">
      <c r="B52">
        <v>35</v>
      </c>
      <c r="C52">
        <f>$I$13+B52</f>
        <v>39849</v>
      </c>
      <c r="E52">
        <f>IF($C$14*ReDiarioFert!C41&lt;=0,"0",$C$14*ReDiarioFert!C41)</f>
        <v>8.27452071805567</v>
      </c>
      <c r="G52">
        <f>$C$14*ReDiarioFert!E41</f>
        <v>3.356919112489233</v>
      </c>
      <c r="I52">
        <f>$C$14*ReDiarioFert!G41</f>
        <v>19.90246134419753</v>
      </c>
      <c r="K52">
        <f>$C$14*ReDiarioFert!I41</f>
        <v>12.773715389359703</v>
      </c>
      <c r="M52">
        <f>$C$14*ReDiarioFert!K41</f>
        <v>26.32993912146018</v>
      </c>
      <c r="O52">
        <f>$C$14*ReDiarioFert!M41</f>
        <v>84.54738975609757</v>
      </c>
      <c r="Q52">
        <f>Main!$H$85</f>
        <v>0</v>
      </c>
      <c r="R52">
        <f>VLOOKUP(D52,Fertilizantes!$A$49:$E$122,2,FALSE)*$C$14</f>
        <v>0</v>
      </c>
      <c r="S52">
        <f>VLOOKUP(D52,Fertilizantes!$A$49:$E$122,4,FALSE)</f>
        <v>0</v>
      </c>
      <c r="T52">
        <f>((E52/100)*$G$92+(G52/100)*$G$93+(I52/100)*$G$94+(K52/100)*$G$95+(M52/100)*$G$96+(O52)*$G$97+(Q52*$G$98)+(R52*(VLOOKUP(D52,Fertilizantes!$A$49:$E$122,3,FALSE))))</f>
        <v>718.3811404779902</v>
      </c>
    </row>
    <row r="53">
      <c r="A53">
        <v>6</v>
      </c>
      <c r="B53">
        <v>36</v>
      </c>
      <c r="C53">
        <f>$I$13+B53</f>
        <v>39850</v>
      </c>
      <c r="E53">
        <f>IF($C$14*ReDiarioFert!C42&lt;=0,"0",$C$14*ReDiarioFert!C42)</f>
        <v>8.27452071805567</v>
      </c>
      <c r="G53">
        <f>$C$14*ReDiarioFert!E42</f>
        <v>3.356919112489233</v>
      </c>
      <c r="I53">
        <f>$C$14*ReDiarioFert!G42</f>
        <v>19.90246134419753</v>
      </c>
      <c r="K53">
        <f>$C$14*ReDiarioFert!I42</f>
        <v>12.773715389359703</v>
      </c>
      <c r="M53">
        <f>$C$14*ReDiarioFert!K42</f>
        <v>26.32993912146018</v>
      </c>
      <c r="O53">
        <f>$C$14*ReDiarioFert!M42</f>
        <v>84.54738975609757</v>
      </c>
      <c r="Q53">
        <f>$C$14*Main!$D$63</f>
        <v>20.019999999999996</v>
      </c>
      <c r="R53">
        <f>VLOOKUP(D53,Fertilizantes!$A$49:$E$122,2,FALSE)*$C$14</f>
        <v>0</v>
      </c>
      <c r="S53">
        <f>VLOOKUP(D53,Fertilizantes!$A$49:$E$122,4,FALSE)</f>
        <v>0</v>
      </c>
      <c r="T53">
        <f>((E53/100)*$G$92+(G53/100)*$G$93+(I53/100)*$G$94+(K53/100)*$G$95+(M53/100)*$G$96+(O53)*$G$97+(Q53*$G$98)+(R53*(VLOOKUP(D53,Fertilizantes!$A$49:$E$122,3,FALSE))))</f>
        <v>774.4371404779902</v>
      </c>
    </row>
    <row r="54">
      <c r="B54">
        <v>37</v>
      </c>
      <c r="C54">
        <f>$I$13+B54</f>
        <v>39851</v>
      </c>
      <c r="E54">
        <f>IF($C$14*ReDiarioFert!C43&lt;=0,"0",$C$14*ReDiarioFert!C43)</f>
        <v>8.27452071805567</v>
      </c>
      <c r="G54">
        <f>$C$14*ReDiarioFert!E43</f>
        <v>3.356919112489233</v>
      </c>
      <c r="I54">
        <f>$C$14*ReDiarioFert!G43</f>
        <v>19.90246134419753</v>
      </c>
      <c r="K54">
        <f>$C$14*ReDiarioFert!I43</f>
        <v>12.773715389359703</v>
      </c>
      <c r="M54">
        <f>$C$14*ReDiarioFert!K43</f>
        <v>26.32993912146018</v>
      </c>
      <c r="O54">
        <f>$C$14*ReDiarioFert!M43</f>
        <v>84.54738975609757</v>
      </c>
      <c r="R54">
        <f>VLOOKUP(D54,Fertilizantes!$A$49:$E$122,2,FALSE)*$C$14</f>
        <v>0</v>
      </c>
      <c r="S54">
        <f>VLOOKUP(D54,Fertilizantes!$A$49:$E$122,4,FALSE)</f>
        <v>0</v>
      </c>
      <c r="T54">
        <f>((E54/100)*$G$92+(G54/100)*$G$93+(I54/100)*$G$94+(K54/100)*$G$95+(M54/100)*$G$96+(O54)*$G$97+(Q54*$G$98)+(R54*(VLOOKUP(D54,Fertilizantes!$A$49:$E$122,3,FALSE))))</f>
        <v>718.3811404779902</v>
      </c>
    </row>
    <row r="55">
      <c r="B55">
        <v>38</v>
      </c>
      <c r="C55">
        <f>$I$13+B55</f>
        <v>39852</v>
      </c>
      <c r="E55">
        <f>IF($C$14*ReDiarioFert!C44&lt;=0,"0",$C$14*ReDiarioFert!C44)</f>
        <v>8.27452071805567</v>
      </c>
      <c r="G55">
        <f>$C$14*ReDiarioFert!E44</f>
        <v>3.356919112489233</v>
      </c>
      <c r="I55">
        <f>$C$14*ReDiarioFert!G44</f>
        <v>19.90246134419753</v>
      </c>
      <c r="K55">
        <f>$C$14*ReDiarioFert!I44</f>
        <v>12.773715389359703</v>
      </c>
      <c r="M55">
        <f>$C$14*ReDiarioFert!K44</f>
        <v>26.32993912146018</v>
      </c>
      <c r="O55">
        <f>$C$14*ReDiarioFert!M44</f>
        <v>84.54738975609757</v>
      </c>
      <c r="Q55">
        <f>Main!$H$82</f>
        <v>0</v>
      </c>
      <c r="R55">
        <f>VLOOKUP(D55,Fertilizantes!$A$49:$E$122,2,FALSE)*$C$14</f>
        <v>0</v>
      </c>
      <c r="S55">
        <f>VLOOKUP(D55,Fertilizantes!$A$49:$E$122,4,FALSE)</f>
        <v>0</v>
      </c>
      <c r="T55">
        <f>((E55/100)*$G$92+(G55/100)*$G$93+(I55/100)*$G$94+(K55/100)*$G$95+(M55/100)*$G$96+(O55)*$G$97+(Q55*$G$98)+(R55*(VLOOKUP(D55,Fertilizantes!$A$49:$E$122,3,FALSE))))</f>
        <v>718.3811404779902</v>
      </c>
    </row>
    <row r="56">
      <c r="B56">
        <v>39</v>
      </c>
      <c r="C56">
        <f>$I$13+B56</f>
        <v>39853</v>
      </c>
      <c r="E56">
        <f>IF($C$14*ReDiarioFert!C45&lt;=0,"0",$C$14*ReDiarioFert!C45)</f>
        <v>8.27452071805567</v>
      </c>
      <c r="G56">
        <f>$C$14*ReDiarioFert!E45</f>
        <v>3.356919112489233</v>
      </c>
      <c r="I56">
        <f>$C$14*ReDiarioFert!G45</f>
        <v>19.90246134419753</v>
      </c>
      <c r="K56">
        <f>$C$14*ReDiarioFert!I45</f>
        <v>12.773715389359703</v>
      </c>
      <c r="M56">
        <f>$C$14*ReDiarioFert!K45</f>
        <v>26.32993912146018</v>
      </c>
      <c r="O56">
        <f>$C$14*ReDiarioFert!M45</f>
        <v>84.54738975609757</v>
      </c>
      <c r="R56">
        <f>VLOOKUP(D56,Fertilizantes!$A$49:$E$122,2,FALSE)*$C$14</f>
        <v>0</v>
      </c>
      <c r="S56">
        <f>VLOOKUP(D56,Fertilizantes!$A$49:$E$122,4,FALSE)</f>
        <v>0</v>
      </c>
      <c r="T56">
        <f>((E56/100)*$G$92+(G56/100)*$G$93+(I56/100)*$G$94+(K56/100)*$G$95+(M56/100)*$G$96+(O56)*$G$97+(Q56*$G$98)+(R56*(VLOOKUP(D56,Fertilizantes!$A$49:$E$122,3,FALSE))))</f>
        <v>718.3811404779902</v>
      </c>
    </row>
    <row r="57">
      <c r="B57">
        <v>40</v>
      </c>
      <c r="C57">
        <f>$I$13+B57</f>
        <v>39854</v>
      </c>
      <c r="E57">
        <f>IF($C$14*ReDiarioFert!C46&lt;=0,"0",$C$14*ReDiarioFert!C46)</f>
        <v>8.27452071805567</v>
      </c>
      <c r="G57">
        <f>$C$14*ReDiarioFert!E46</f>
        <v>3.356919112489233</v>
      </c>
      <c r="I57">
        <f>$C$14*ReDiarioFert!G46</f>
        <v>19.90246134419753</v>
      </c>
      <c r="K57">
        <f>$C$14*ReDiarioFert!I46</f>
        <v>12.773715389359703</v>
      </c>
      <c r="M57">
        <f>$C$14*ReDiarioFert!K46</f>
        <v>26.32993912146018</v>
      </c>
      <c r="O57">
        <f>$C$14*ReDiarioFert!M46</f>
        <v>84.54738975609757</v>
      </c>
      <c r="R57">
        <f>VLOOKUP(D57,Fertilizantes!$A$49:$E$122,2,FALSE)*$C$14</f>
        <v>0</v>
      </c>
      <c r="S57">
        <f>VLOOKUP(D57,Fertilizantes!$A$49:$E$122,4,FALSE)</f>
        <v>0</v>
      </c>
      <c r="T57">
        <f>((E57/100)*$G$92+(G57/100)*$G$93+(I57/100)*$G$94+(K57/100)*$G$95+(M57/100)*$G$96+(O57)*$G$97+(Q57*$G$98)+(R57*(VLOOKUP(D57,Fertilizantes!$A$49:$E$122,3,FALSE))))</f>
        <v>718.3811404779902</v>
      </c>
    </row>
    <row r="58">
      <c r="B58">
        <v>41</v>
      </c>
      <c r="C58">
        <f>$I$13+B58</f>
        <v>39855</v>
      </c>
      <c r="E58">
        <f>IF($C$14*ReDiarioFert!C47&lt;=0,"0",$C$14*ReDiarioFert!C47)</f>
        <v>8.27452071805567</v>
      </c>
      <c r="G58">
        <f>$C$14*ReDiarioFert!E47</f>
        <v>3.356919112489233</v>
      </c>
      <c r="I58">
        <f>$C$14*ReDiarioFert!G47</f>
        <v>19.90246134419753</v>
      </c>
      <c r="K58">
        <f>$C$14*ReDiarioFert!I47</f>
        <v>12.773715389359703</v>
      </c>
      <c r="M58">
        <f>$C$14*ReDiarioFert!K47</f>
        <v>26.32993912146018</v>
      </c>
      <c r="O58">
        <f>$C$14*ReDiarioFert!M47</f>
        <v>84.54738975609757</v>
      </c>
      <c r="R58">
        <f>VLOOKUP(D58,Fertilizantes!$A$49:$E$122,2,FALSE)*$C$14</f>
        <v>0</v>
      </c>
      <c r="S58">
        <f>VLOOKUP(D58,Fertilizantes!$A$49:$E$122,4,FALSE)</f>
        <v>0</v>
      </c>
      <c r="T58">
        <f>((E58/100)*$G$92+(G58/100)*$G$93+(I58/100)*$G$94+(K58/100)*$G$95+(M58/100)*$G$96+(O58)*$G$97+(Q58*$G$98)+(R58*(VLOOKUP(D58,Fertilizantes!$A$49:$E$122,3,FALSE))))</f>
        <v>718.3811404779902</v>
      </c>
    </row>
    <row r="59">
      <c r="B59">
        <v>42</v>
      </c>
      <c r="C59">
        <f>$I$13+B59</f>
        <v>39856</v>
      </c>
      <c r="E59">
        <f>IF($C$14*ReDiarioFert!C48&lt;=0,"0",$C$14*ReDiarioFert!C48)</f>
        <v>8.27452071805567</v>
      </c>
      <c r="G59">
        <f>$C$14*ReDiarioFert!E48</f>
        <v>3.356919112489233</v>
      </c>
      <c r="I59">
        <f>$C$14*ReDiarioFert!G48</f>
        <v>19.90246134419753</v>
      </c>
      <c r="K59">
        <f>$C$14*ReDiarioFert!I48</f>
        <v>12.773715389359703</v>
      </c>
      <c r="M59">
        <f>$C$14*ReDiarioFert!K48</f>
        <v>26.32993912146018</v>
      </c>
      <c r="O59">
        <f>$C$14*ReDiarioFert!M48</f>
        <v>84.54738975609757</v>
      </c>
      <c r="R59">
        <f>VLOOKUP(D59,Fertilizantes!$A$49:$E$122,2,FALSE)*$C$14</f>
        <v>0</v>
      </c>
      <c r="S59">
        <f>VLOOKUP(D59,Fertilizantes!$A$49:$E$122,4,FALSE)</f>
        <v>0</v>
      </c>
      <c r="T59">
        <f>((E59/100)*$G$92+(G59/100)*$G$93+(I59/100)*$G$94+(K59/100)*$G$95+(M59/100)*$G$96+(O59)*$G$97+(Q59*$G$98)+(R59*(VLOOKUP(D59,Fertilizantes!$A$49:$E$122,3,FALSE))))</f>
        <v>718.3811404779902</v>
      </c>
    </row>
    <row r="60">
      <c r="A60">
        <v>7</v>
      </c>
      <c r="B60">
        <v>43</v>
      </c>
      <c r="C60">
        <f>$I$13+B60</f>
        <v>39857</v>
      </c>
      <c r="E60">
        <f>IF($C$14*ReDiarioFert!C49&lt;=0,"0",$C$14*ReDiarioFert!C49)</f>
        <v>5.838018888905623</v>
      </c>
      <c r="G60">
        <f>$C$14*ReDiarioFert!E49</f>
        <v>3.356919112489233</v>
      </c>
      <c r="I60">
        <f>$C$14*ReDiarioFert!G49</f>
        <v>23.882953613037035</v>
      </c>
      <c r="K60">
        <f>$C$14*ReDiarioFert!I49</f>
        <v>15.328458467231647</v>
      </c>
      <c r="M60">
        <f>$C$14*ReDiarioFert!K49</f>
        <v>31.59592694575222</v>
      </c>
      <c r="O60">
        <f>$C$14*ReDiarioFert!M49</f>
        <v>84.54738975609757</v>
      </c>
      <c r="Q60">
        <f>$C$14*Main!$D$63</f>
        <v>20.019999999999996</v>
      </c>
      <c r="R60">
        <f>VLOOKUP(D60,Fertilizantes!$A$49:$E$122,2,FALSE)*$C$14</f>
        <v>0</v>
      </c>
      <c r="S60">
        <f>VLOOKUP(D60,Fertilizantes!$A$49:$E$122,4,FALSE)</f>
        <v>0</v>
      </c>
      <c r="T60">
        <f>((E60/100)*$G$92+(G60/100)*$G$93+(I60/100)*$G$94+(K60/100)*$G$95+(M60/100)*$G$96+(O60)*$G$97+(Q60*$G$98)+(R60*(VLOOKUP(D60,Fertilizantes!$A$49:$E$122,3,FALSE))))</f>
        <v>872.6001415719827</v>
      </c>
    </row>
    <row r="61">
      <c r="B61">
        <v>44</v>
      </c>
      <c r="C61">
        <f>$I$13+B61</f>
        <v>39858</v>
      </c>
      <c r="E61">
        <f>IF($C$14*ReDiarioFert!C50&lt;=0,"0",$C$14*ReDiarioFert!C50)</f>
        <v>5.838018888905623</v>
      </c>
      <c r="G61">
        <f>$C$14*ReDiarioFert!E50</f>
        <v>3.356919112489233</v>
      </c>
      <c r="I61">
        <f>$C$14*ReDiarioFert!G50</f>
        <v>23.882953613037035</v>
      </c>
      <c r="K61">
        <f>$C$14*ReDiarioFert!I50</f>
        <v>15.328458467231647</v>
      </c>
      <c r="M61">
        <f>$C$14*ReDiarioFert!K50</f>
        <v>31.59592694575222</v>
      </c>
      <c r="O61">
        <f>$C$14*ReDiarioFert!M50</f>
        <v>84.54738975609757</v>
      </c>
      <c r="R61">
        <f>VLOOKUP(D61,Fertilizantes!$A$49:$E$122,2,FALSE)*$C$14</f>
        <v>0</v>
      </c>
      <c r="S61">
        <f>VLOOKUP(D61,Fertilizantes!$A$49:$E$122,4,FALSE)</f>
        <v>0</v>
      </c>
      <c r="T61">
        <f>((E61/100)*$G$92+(G61/100)*$G$93+(I61/100)*$G$94+(K61/100)*$G$95+(M61/100)*$G$96+(O61)*$G$97+(Q61*$G$98)+(R61*(VLOOKUP(D61,Fertilizantes!$A$49:$E$122,3,FALSE))))</f>
        <v>816.5441415719827</v>
      </c>
    </row>
    <row r="62">
      <c r="B62">
        <v>45</v>
      </c>
      <c r="C62">
        <f>$I$13+B62</f>
        <v>39859</v>
      </c>
      <c r="E62">
        <f>IF($C$14*ReDiarioFert!C51&lt;=0,"0",$C$14*ReDiarioFert!C51)</f>
        <v>5.838018888905623</v>
      </c>
      <c r="G62">
        <f>$C$14*ReDiarioFert!E51</f>
        <v>3.356919112489233</v>
      </c>
      <c r="I62">
        <f>$C$14*ReDiarioFert!G51</f>
        <v>23.882953613037035</v>
      </c>
      <c r="K62">
        <f>$C$14*ReDiarioFert!I51</f>
        <v>15.328458467231647</v>
      </c>
      <c r="M62">
        <f>$C$14*ReDiarioFert!K51</f>
        <v>31.59592694575222</v>
      </c>
      <c r="O62">
        <f>$C$14*ReDiarioFert!M51</f>
        <v>84.54738975609757</v>
      </c>
      <c r="R62">
        <f>VLOOKUP(D62,Fertilizantes!$A$49:$E$122,2,FALSE)*$C$14</f>
        <v>0</v>
      </c>
      <c r="S62">
        <f>VLOOKUP(D62,Fertilizantes!$A$49:$E$122,4,FALSE)</f>
        <v>0</v>
      </c>
      <c r="T62">
        <f>((E62/100)*$G$92+(G62/100)*$G$93+(I62/100)*$G$94+(K62/100)*$G$95+(M62/100)*$G$96+(O62)*$G$97+(Q62*$G$98)+(R62*(VLOOKUP(D62,Fertilizantes!$A$49:$E$122,3,FALSE))))</f>
        <v>816.5441415719827</v>
      </c>
    </row>
    <row r="63">
      <c r="B63">
        <v>46</v>
      </c>
      <c r="C63">
        <f>$I$13+B63</f>
        <v>39860</v>
      </c>
      <c r="E63">
        <f>IF($C$14*ReDiarioFert!C52&lt;=0,"0",$C$14*ReDiarioFert!C52)</f>
        <v>5.838018888905623</v>
      </c>
      <c r="G63">
        <f>$C$14*ReDiarioFert!E52</f>
        <v>3.356919112489233</v>
      </c>
      <c r="I63">
        <f>$C$14*ReDiarioFert!G52</f>
        <v>23.882953613037035</v>
      </c>
      <c r="K63">
        <f>$C$14*ReDiarioFert!I52</f>
        <v>15.328458467231647</v>
      </c>
      <c r="M63">
        <f>$C$14*ReDiarioFert!K52</f>
        <v>31.59592694575222</v>
      </c>
      <c r="O63">
        <f>$C$14*ReDiarioFert!M52</f>
        <v>84.54738975609757</v>
      </c>
      <c r="R63">
        <f>VLOOKUP(D63,Fertilizantes!$A$49:$E$122,2,FALSE)*$C$14</f>
        <v>0</v>
      </c>
      <c r="S63">
        <f>VLOOKUP(D63,Fertilizantes!$A$49:$E$122,4,FALSE)</f>
        <v>0</v>
      </c>
      <c r="T63">
        <f>((E63/100)*$G$92+(G63/100)*$G$93+(I63/100)*$G$94+(K63/100)*$G$95+(M63/100)*$G$96+(O63)*$G$97+(Q63*$G$98)+(R63*(VLOOKUP(D63,Fertilizantes!$A$49:$E$122,3,FALSE))))</f>
        <v>816.5441415719827</v>
      </c>
    </row>
    <row r="64">
      <c r="B64">
        <v>47</v>
      </c>
      <c r="C64">
        <f>$I$13+B64</f>
        <v>39861</v>
      </c>
      <c r="E64">
        <f>IF($C$14*ReDiarioFert!C53&lt;=0,"0",$C$14*ReDiarioFert!C53)</f>
        <v>5.838018888905623</v>
      </c>
      <c r="G64">
        <f>$C$14*ReDiarioFert!E53</f>
        <v>3.356919112489233</v>
      </c>
      <c r="I64">
        <f>$C$14*ReDiarioFert!G53</f>
        <v>23.882953613037035</v>
      </c>
      <c r="K64">
        <f>$C$14*ReDiarioFert!I53</f>
        <v>15.328458467231647</v>
      </c>
      <c r="M64">
        <f>$C$14*ReDiarioFert!K53</f>
        <v>31.59592694575222</v>
      </c>
      <c r="O64">
        <f>$C$14*ReDiarioFert!M53</f>
        <v>84.54738975609757</v>
      </c>
      <c r="R64">
        <f>VLOOKUP(D64,Fertilizantes!$A$49:$E$122,2,FALSE)*$C$14</f>
        <v>0</v>
      </c>
      <c r="S64">
        <f>VLOOKUP(D64,Fertilizantes!$A$49:$E$122,4,FALSE)</f>
        <v>0</v>
      </c>
      <c r="T64">
        <f>((E64/100)*$G$92+(G64/100)*$G$93+(I64/100)*$G$94+(K64/100)*$G$95+(M64/100)*$G$96+(O64)*$G$97+(Q64*$G$98)+(R64*(VLOOKUP(D64,Fertilizantes!$A$49:$E$122,3,FALSE))))</f>
        <v>816.5441415719827</v>
      </c>
    </row>
    <row r="65">
      <c r="B65">
        <v>48</v>
      </c>
      <c r="C65">
        <f>$I$13+B65</f>
        <v>39862</v>
      </c>
      <c r="E65">
        <f>IF($C$14*ReDiarioFert!C54&lt;=0,"0",$C$14*ReDiarioFert!C54)</f>
        <v>8.027275972245224</v>
      </c>
      <c r="G65">
        <f>$C$14*ReDiarioFert!E54</f>
        <v>4.615763779672696</v>
      </c>
      <c r="I65">
        <f>$C$14*ReDiarioFert!G54</f>
        <v>32.839061217925924</v>
      </c>
      <c r="K65">
        <f>$C$14*ReDiarioFert!I54</f>
        <v>21.076630392443516</v>
      </c>
      <c r="M65">
        <f>$C$14*ReDiarioFert!K54</f>
        <v>43.44439955040931</v>
      </c>
      <c r="O65">
        <f>$C$14*ReDiarioFert!M54</f>
        <v>114.387443902439</v>
      </c>
      <c r="R65">
        <f>VLOOKUP(D65,Fertilizantes!$A$49:$E$122,2,FALSE)*$C$14</f>
        <v>0</v>
      </c>
      <c r="S65">
        <f>VLOOKUP(D65,Fertilizantes!$A$49:$E$122,4,FALSE)</f>
        <v>0</v>
      </c>
      <c r="T65">
        <f>((E65/100)*$G$92+(G65/100)*$G$93+(I65/100)*$G$94+(K65/100)*$G$95+(M65/100)*$G$96+(O65)*$G$97+(Q65*$G$98)+(R65*(VLOOKUP(D65,Fertilizantes!$A$49:$E$122,3,FALSE))))</f>
        <v>1122.6735859809885</v>
      </c>
    </row>
    <row r="66">
      <c r="B66">
        <v>49</v>
      </c>
      <c r="C66">
        <f>$I$13+B66</f>
        <v>39863</v>
      </c>
      <c r="E66">
        <f>IF($C$14*ReDiarioFert!C55&lt;=0,"0",$C$14*ReDiarioFert!C55)</f>
        <v>8.027275972245224</v>
      </c>
      <c r="G66">
        <f>$C$14*ReDiarioFert!E55</f>
        <v>4.615763779672696</v>
      </c>
      <c r="I66">
        <f>$C$14*ReDiarioFert!G55</f>
        <v>32.839061217925924</v>
      </c>
      <c r="K66">
        <f>$C$14*ReDiarioFert!I55</f>
        <v>21.076630392443516</v>
      </c>
      <c r="M66">
        <f>$C$14*ReDiarioFert!K55</f>
        <v>43.44439955040931</v>
      </c>
      <c r="O66">
        <f>$C$14*ReDiarioFert!M55</f>
        <v>114.387443902439</v>
      </c>
      <c r="Q66">
        <f>Main!$H$84</f>
        <v>0</v>
      </c>
      <c r="R66">
        <f>VLOOKUP(D66,Fertilizantes!$A$49:$E$122,2,FALSE)*$C$14</f>
        <v>0</v>
      </c>
      <c r="S66">
        <f>VLOOKUP(D66,Fertilizantes!$A$49:$E$122,4,FALSE)</f>
        <v>0</v>
      </c>
      <c r="T66">
        <f>((E66/100)*$G$92+(G66/100)*$G$93+(I66/100)*$G$94+(K66/100)*$G$95+(M66/100)*$G$96+(O66)*$G$97+(Q66*$G$98)+(R66*(VLOOKUP(D66,Fertilizantes!$A$49:$E$122,3,FALSE))))</f>
        <v>1122.6735859809885</v>
      </c>
    </row>
    <row r="67">
      <c r="A67">
        <v>8</v>
      </c>
      <c r="B67">
        <v>50</v>
      </c>
      <c r="C67">
        <f>$I$13+B67</f>
        <v>39864</v>
      </c>
      <c r="E67">
        <f>IF($C$14*ReDiarioFert!C56&lt;=0,"0",$C$14*ReDiarioFert!C56)</f>
        <v>8.027275972245224</v>
      </c>
      <c r="G67">
        <f>$C$14*ReDiarioFert!E56</f>
        <v>4.615763779672696</v>
      </c>
      <c r="I67">
        <f>$C$14*ReDiarioFert!G56</f>
        <v>32.839061217925924</v>
      </c>
      <c r="K67">
        <f>$C$14*ReDiarioFert!I56</f>
        <v>21.076630392443516</v>
      </c>
      <c r="M67">
        <f>$C$14*ReDiarioFert!K56</f>
        <v>43.44439955040931</v>
      </c>
      <c r="O67">
        <f>$C$14*ReDiarioFert!M56</f>
        <v>114.387443902439</v>
      </c>
      <c r="Q67">
        <f>$C$14*Main!$D$63</f>
        <v>20.019999999999996</v>
      </c>
      <c r="R67">
        <f>VLOOKUP(D67,Fertilizantes!$A$49:$E$122,2,FALSE)*$C$14</f>
        <v>0</v>
      </c>
      <c r="S67">
        <f>VLOOKUP(D67,Fertilizantes!$A$49:$E$122,4,FALSE)</f>
        <v>0</v>
      </c>
      <c r="T67">
        <f>((E67/100)*$G$92+(G67/100)*$G$93+(I67/100)*$G$94+(K67/100)*$G$95+(M67/100)*$G$96+(O67)*$G$97+(Q67*$G$98)+(R67*(VLOOKUP(D67,Fertilizantes!$A$49:$E$122,3,FALSE))))</f>
        <v>1178.7295859809885</v>
      </c>
    </row>
    <row r="68">
      <c r="B68">
        <v>51</v>
      </c>
      <c r="C68">
        <f>$I$13+B68</f>
        <v>39865</v>
      </c>
      <c r="E68">
        <f>IF($C$14*ReDiarioFert!C57&lt;=0,"0",$C$14*ReDiarioFert!C57)</f>
        <v>8.027275972245224</v>
      </c>
      <c r="G68">
        <f>$C$14*ReDiarioFert!E57</f>
        <v>4.615763779672696</v>
      </c>
      <c r="I68">
        <f>$C$14*ReDiarioFert!G57</f>
        <v>32.839061217925924</v>
      </c>
      <c r="K68">
        <f>$C$14*ReDiarioFert!I57</f>
        <v>21.076630392443516</v>
      </c>
      <c r="M68">
        <f>$C$14*ReDiarioFert!K57</f>
        <v>43.44439955040931</v>
      </c>
      <c r="O68">
        <f>$C$14*ReDiarioFert!M57</f>
        <v>114.387443902439</v>
      </c>
      <c r="R68">
        <f>VLOOKUP(D68,Fertilizantes!$A$49:$E$122,2,FALSE)*$C$14</f>
        <v>0</v>
      </c>
      <c r="S68">
        <f>VLOOKUP(D68,Fertilizantes!$A$49:$E$122,4,FALSE)</f>
        <v>0</v>
      </c>
      <c r="T68">
        <f>((E68/100)*$G$92+(G68/100)*$G$93+(I68/100)*$G$94+(K68/100)*$G$95+(M68/100)*$G$96+(O68)*$G$97+(Q68*$G$98)+(R68*(VLOOKUP(D68,Fertilizantes!$A$49:$E$122,3,FALSE))))</f>
        <v>1122.6735859809885</v>
      </c>
    </row>
    <row r="69">
      <c r="B69">
        <v>52</v>
      </c>
      <c r="C69">
        <f>$I$13+B69</f>
        <v>39866</v>
      </c>
      <c r="E69">
        <f>IF($C$14*ReDiarioFert!C58&lt;=0,"0",$C$14*ReDiarioFert!C58)</f>
        <v>8.027275972245224</v>
      </c>
      <c r="G69">
        <f>$C$14*ReDiarioFert!E58</f>
        <v>4.615763779672696</v>
      </c>
      <c r="I69">
        <f>$C$14*ReDiarioFert!G58</f>
        <v>32.839061217925924</v>
      </c>
      <c r="K69">
        <f>$C$14*ReDiarioFert!I58</f>
        <v>21.076630392443516</v>
      </c>
      <c r="M69">
        <f>$C$14*ReDiarioFert!K58</f>
        <v>43.44439955040931</v>
      </c>
      <c r="O69">
        <f>$C$14*ReDiarioFert!M58</f>
        <v>114.387443902439</v>
      </c>
      <c r="R69">
        <f>VLOOKUP(D69,Fertilizantes!$A$49:$E$122,2,FALSE)*$C$14</f>
        <v>0</v>
      </c>
      <c r="S69">
        <f>VLOOKUP(D69,Fertilizantes!$A$49:$E$122,4,FALSE)</f>
        <v>0</v>
      </c>
      <c r="T69">
        <f>((E69/100)*$G$92+(G69/100)*$G$93+(I69/100)*$G$94+(K69/100)*$G$95+(M69/100)*$G$96+(O69)*$G$97+(Q69*$G$98)+(R69*(VLOOKUP(D69,Fertilizantes!$A$49:$E$122,3,FALSE))))</f>
        <v>1122.6735859809885</v>
      </c>
    </row>
    <row r="70">
      <c r="B70">
        <v>53</v>
      </c>
      <c r="C70">
        <f>$I$13+B70</f>
        <v>39867</v>
      </c>
      <c r="E70">
        <f>IF($C$14*ReDiarioFert!C59&lt;=0,"0",$C$14*ReDiarioFert!C59)</f>
        <v>8.027275972245224</v>
      </c>
      <c r="G70">
        <f>$C$14*ReDiarioFert!E59</f>
        <v>4.615763779672696</v>
      </c>
      <c r="I70">
        <f>$C$14*ReDiarioFert!G59</f>
        <v>32.839061217925924</v>
      </c>
      <c r="K70">
        <f>$C$14*ReDiarioFert!I59</f>
        <v>21.076630392443516</v>
      </c>
      <c r="M70">
        <f>$C$14*ReDiarioFert!K59</f>
        <v>43.44439955040931</v>
      </c>
      <c r="O70">
        <f>$C$14*ReDiarioFert!M59</f>
        <v>114.387443902439</v>
      </c>
      <c r="R70">
        <f>VLOOKUP(D70,Fertilizantes!$A$49:$E$122,2,FALSE)*$C$14</f>
        <v>0</v>
      </c>
      <c r="S70">
        <f>VLOOKUP(D70,Fertilizantes!$A$49:$E$122,4,FALSE)</f>
        <v>0</v>
      </c>
      <c r="T70">
        <f>((E70/100)*$G$92+(G70/100)*$G$93+(I70/100)*$G$94+(K70/100)*$G$95+(M70/100)*$G$96+(O70)*$G$97+(Q70*$G$98)+(R70*(VLOOKUP(D70,Fertilizantes!$A$49:$E$122,3,FALSE))))</f>
        <v>1122.6735859809885</v>
      </c>
    </row>
    <row r="71">
      <c r="B71">
        <v>54</v>
      </c>
      <c r="C71">
        <f>$I$13+B71</f>
        <v>39868</v>
      </c>
      <c r="E71">
        <f>IF($C$14*ReDiarioFert!C60&lt;=0,"0",$C$14*ReDiarioFert!C60)</f>
        <v>8.027275972245224</v>
      </c>
      <c r="G71">
        <f>$C$14*ReDiarioFert!E60</f>
        <v>4.615763779672696</v>
      </c>
      <c r="I71">
        <f>$C$14*ReDiarioFert!G60</f>
        <v>32.839061217925924</v>
      </c>
      <c r="K71">
        <f>$C$14*ReDiarioFert!I60</f>
        <v>21.076630392443516</v>
      </c>
      <c r="M71">
        <f>$C$14*ReDiarioFert!K60</f>
        <v>43.44439955040931</v>
      </c>
      <c r="O71">
        <f>$C$14*ReDiarioFert!M60</f>
        <v>114.387443902439</v>
      </c>
      <c r="R71">
        <f>VLOOKUP(D71,Fertilizantes!$A$49:$E$122,2,FALSE)*$C$14</f>
        <v>0</v>
      </c>
      <c r="S71">
        <f>VLOOKUP(D71,Fertilizantes!$A$49:$E$122,4,FALSE)</f>
        <v>0</v>
      </c>
      <c r="T71">
        <f>((E71/100)*$G$92+(G71/100)*$G$93+(I71/100)*$G$94+(K71/100)*$G$95+(M71/100)*$G$96+(O71)*$G$97+(Q71*$G$98)+(R71*(VLOOKUP(D71,Fertilizantes!$A$49:$E$122,3,FALSE))))</f>
        <v>1122.6735859809885</v>
      </c>
    </row>
    <row r="72">
      <c r="B72">
        <v>55</v>
      </c>
      <c r="C72">
        <f>$I$13+B72</f>
        <v>39869</v>
      </c>
      <c r="E72">
        <f>IF($C$14*ReDiarioFert!C61&lt;=0,"0",$C$14*ReDiarioFert!C61)</f>
        <v>8.027275972245224</v>
      </c>
      <c r="G72">
        <f>$C$14*ReDiarioFert!E61</f>
        <v>4.615763779672696</v>
      </c>
      <c r="I72">
        <f>$C$14*ReDiarioFert!G61</f>
        <v>32.839061217925924</v>
      </c>
      <c r="K72">
        <f>$C$14*ReDiarioFert!I61</f>
        <v>21.076630392443516</v>
      </c>
      <c r="M72">
        <f>$C$14*ReDiarioFert!K61</f>
        <v>43.44439955040931</v>
      </c>
      <c r="O72">
        <f>$C$14*ReDiarioFert!M61</f>
        <v>114.387443902439</v>
      </c>
      <c r="R72">
        <f>VLOOKUP(D72,Fertilizantes!$A$49:$E$122,2,FALSE)*$C$14</f>
        <v>0</v>
      </c>
      <c r="S72">
        <f>VLOOKUP(D72,Fertilizantes!$A$49:$E$122,4,FALSE)</f>
        <v>0</v>
      </c>
      <c r="T72">
        <f>((E72/100)*$G$92+(G72/100)*$G$93+(I72/100)*$G$94+(K72/100)*$G$95+(M72/100)*$G$96+(O72)*$G$97+(Q72*$G$98)+(R72*(VLOOKUP(D72,Fertilizantes!$A$49:$E$122,3,FALSE))))</f>
        <v>1122.6735859809885</v>
      </c>
    </row>
    <row r="73">
      <c r="B73">
        <v>56</v>
      </c>
      <c r="C73">
        <f>$I$13+B73</f>
        <v>39870</v>
      </c>
      <c r="E73">
        <f>IF($C$14*ReDiarioFert!C62&lt;=0,"0",$C$14*ReDiarioFert!C62)</f>
        <v>8.027275972245224</v>
      </c>
      <c r="G73">
        <f>$C$14*ReDiarioFert!E62</f>
        <v>4.615763779672696</v>
      </c>
      <c r="I73">
        <f>$C$14*ReDiarioFert!G62</f>
        <v>32.839061217925924</v>
      </c>
      <c r="K73">
        <f>$C$14*ReDiarioFert!I62</f>
        <v>21.076630392443516</v>
      </c>
      <c r="M73">
        <f>$C$14*ReDiarioFert!K62</f>
        <v>43.44439955040931</v>
      </c>
      <c r="O73">
        <f>$C$14*ReDiarioFert!M62</f>
        <v>114.387443902439</v>
      </c>
      <c r="R73">
        <f>VLOOKUP(D73,Fertilizantes!$A$49:$E$122,2,FALSE)*$C$14</f>
        <v>0</v>
      </c>
      <c r="S73">
        <f>VLOOKUP(D73,Fertilizantes!$A$49:$E$122,4,FALSE)</f>
        <v>0</v>
      </c>
      <c r="T73">
        <f>((E73/100)*$G$92+(G73/100)*$G$93+(I73/100)*$G$94+(K73/100)*$G$95+(M73/100)*$G$96+(O73)*$G$97+(Q73*$G$98)+(R73*(VLOOKUP(D73,Fertilizantes!$A$49:$E$122,3,FALSE))))</f>
        <v>1122.6735859809885</v>
      </c>
    </row>
    <row r="74">
      <c r="A74">
        <v>9</v>
      </c>
      <c r="B74">
        <v>57</v>
      </c>
      <c r="C74">
        <f>$I$13+B74</f>
        <v>39871</v>
      </c>
      <c r="D74">
        <f>Main!$H$86</f>
        <v>0</v>
      </c>
      <c r="E74">
        <f>IF($C$14*ReDiarioFert!C63&lt;=0,"0",$C$14*ReDiarioFert!C63)</f>
        <v>8.027275972245224</v>
      </c>
      <c r="G74">
        <f>$C$14*ReDiarioFert!E63</f>
        <v>4.615763779672696</v>
      </c>
      <c r="I74">
        <f>$C$14*ReDiarioFert!G63</f>
        <v>32.839061217925924</v>
      </c>
      <c r="K74">
        <f>$C$14*ReDiarioFert!I63</f>
        <v>21.076630392443516</v>
      </c>
      <c r="M74">
        <f>$C$14*ReDiarioFert!K63</f>
        <v>43.44439955040931</v>
      </c>
      <c r="O74">
        <f>$C$14*ReDiarioFert!M63</f>
        <v>114.387443902439</v>
      </c>
      <c r="Q74">
        <f>$C$14*Main!$D$63</f>
        <v>20.019999999999996</v>
      </c>
      <c r="R74">
        <f>VLOOKUP(D74,Fertilizantes!$A$49:$E$122,2,FALSE)*$C$14</f>
        <v>0</v>
      </c>
      <c r="S74">
        <f>VLOOKUP(D74,Fertilizantes!$A$49:$E$122,4,FALSE)</f>
        <v>0</v>
      </c>
      <c r="T74">
        <f>((E74/100)*$G$92+(G74/100)*$G$93+(I74/100)*$G$94+(K74/100)*$G$95+(M74/100)*$G$96+(O74)*$G$97+(Q74*$G$98)+(R74*(VLOOKUP(D74,Fertilizantes!$A$49:$E$122,3,FALSE))))</f>
        <v>1178.7295859809885</v>
      </c>
    </row>
    <row r="75">
      <c r="B75">
        <v>58</v>
      </c>
      <c r="C75">
        <f>$I$13+B75</f>
        <v>39872</v>
      </c>
      <c r="E75">
        <f>IF($C$14*ReDiarioFert!C64&lt;=0,"0",$C$14*ReDiarioFert!C64)</f>
        <v>8.027275972245224</v>
      </c>
      <c r="G75">
        <f>$C$14*ReDiarioFert!E64</f>
        <v>4.615763779672696</v>
      </c>
      <c r="I75">
        <f>$C$14*ReDiarioFert!G64</f>
        <v>32.839061217925924</v>
      </c>
      <c r="K75">
        <f>$C$14*ReDiarioFert!I64</f>
        <v>21.076630392443516</v>
      </c>
      <c r="M75">
        <f>$C$14*ReDiarioFert!K64</f>
        <v>43.44439955040931</v>
      </c>
      <c r="O75">
        <f>$C$14*ReDiarioFert!M64</f>
        <v>114.387443902439</v>
      </c>
      <c r="R75">
        <f>VLOOKUP(D75,Fertilizantes!$A$49:$E$122,2,FALSE)*$C$14</f>
        <v>0</v>
      </c>
      <c r="S75">
        <f>VLOOKUP(D75,Fertilizantes!$A$49:$E$122,4,FALSE)</f>
        <v>0</v>
      </c>
      <c r="T75">
        <f>((E75/100)*$G$92+(G75/100)*$G$93+(I75/100)*$G$94+(K75/100)*$G$95+(M75/100)*$G$96+(O75)*$G$97+(Q75*$G$98)+(R75*(VLOOKUP(D75,Fertilizantes!$A$49:$E$122,3,FALSE))))</f>
        <v>1122.6735859809885</v>
      </c>
    </row>
    <row r="76">
      <c r="B76">
        <v>59</v>
      </c>
      <c r="C76">
        <f>$I$13+B76</f>
        <v>39873</v>
      </c>
      <c r="E76">
        <f>IF($C$14*ReDiarioFert!C65&lt;=0,"0",$C$14*ReDiarioFert!C65)</f>
        <v>8.027275972245224</v>
      </c>
      <c r="G76">
        <f>$C$14*ReDiarioFert!E65</f>
        <v>4.615763779672696</v>
      </c>
      <c r="I76">
        <f>$C$14*ReDiarioFert!G65</f>
        <v>32.839061217925924</v>
      </c>
      <c r="K76">
        <f>$C$14*ReDiarioFert!I65</f>
        <v>21.076630392443516</v>
      </c>
      <c r="M76">
        <f>$C$14*ReDiarioFert!K65</f>
        <v>43.44439955040931</v>
      </c>
      <c r="O76">
        <f>$C$14*ReDiarioFert!M65</f>
        <v>114.387443902439</v>
      </c>
      <c r="R76">
        <f>VLOOKUP(D76,Fertilizantes!$A$49:$E$122,2,FALSE)*$C$14</f>
        <v>0</v>
      </c>
      <c r="S76">
        <f>VLOOKUP(D76,Fertilizantes!$A$49:$E$122,4,FALSE)</f>
        <v>0</v>
      </c>
      <c r="T76">
        <f>((E76/100)*$G$92+(G76/100)*$G$93+(I76/100)*$G$94+(K76/100)*$G$95+(M76/100)*$G$96+(O76)*$G$97+(Q76*$G$98)+(R76*(VLOOKUP(D76,Fertilizantes!$A$49:$E$122,3,FALSE))))</f>
        <v>1122.6735859809885</v>
      </c>
    </row>
    <row r="77">
      <c r="B77">
        <v>60</v>
      </c>
      <c r="C77">
        <f>$I$13+B77</f>
        <v>39874</v>
      </c>
      <c r="E77">
        <f>IF($C$14*ReDiarioFert!C66&lt;=0,"0",$C$14*ReDiarioFert!C66)</f>
        <v>8.027275972245224</v>
      </c>
      <c r="G77">
        <f>$C$14*ReDiarioFert!E66</f>
        <v>4.615763779672696</v>
      </c>
      <c r="I77">
        <f>$C$14*ReDiarioFert!G66</f>
        <v>32.839061217925924</v>
      </c>
      <c r="K77">
        <f>$C$14*ReDiarioFert!I66</f>
        <v>21.076630392443516</v>
      </c>
      <c r="M77">
        <f>$C$14*ReDiarioFert!K66</f>
        <v>43.44439955040931</v>
      </c>
      <c r="O77">
        <f>$C$14*ReDiarioFert!M66</f>
        <v>114.387443902439</v>
      </c>
      <c r="R77">
        <f>VLOOKUP(D77,Fertilizantes!$A$49:$E$122,2,FALSE)*$C$14</f>
        <v>0</v>
      </c>
      <c r="S77">
        <f>VLOOKUP(D77,Fertilizantes!$A$49:$E$122,4,FALSE)</f>
        <v>0</v>
      </c>
      <c r="T77">
        <f>((E77/100)*$G$92+(G77/100)*$G$93+(I77/100)*$G$94+(K77/100)*$G$95+(M77/100)*$G$96+(O77)*$G$97+(Q77*$G$98)+(R77*(VLOOKUP(D77,Fertilizantes!$A$49:$E$122,3,FALSE))))</f>
        <v>1122.6735859809885</v>
      </c>
    </row>
    <row r="78">
      <c r="B78">
        <v>61</v>
      </c>
      <c r="C78">
        <f>$I$13+B78</f>
        <v>39875</v>
      </c>
      <c r="E78">
        <f>IF($C$14*ReDiarioFert!C67&lt;=0,"0",$C$14*ReDiarioFert!C67)</f>
        <v>8.027275972245224</v>
      </c>
      <c r="G78">
        <f>$C$14*ReDiarioFert!E67</f>
        <v>4.615763779672696</v>
      </c>
      <c r="I78">
        <f>$C$14*ReDiarioFert!G67</f>
        <v>32.839061217925924</v>
      </c>
      <c r="K78">
        <f>$C$14*ReDiarioFert!I67</f>
        <v>21.076630392443516</v>
      </c>
      <c r="M78">
        <f>$C$14*ReDiarioFert!K67</f>
        <v>43.44439955040931</v>
      </c>
      <c r="O78">
        <f>$C$14*ReDiarioFert!M67</f>
        <v>114.387443902439</v>
      </c>
      <c r="R78">
        <f>VLOOKUP(D78,Fertilizantes!$A$49:$E$122,2,FALSE)*$C$14</f>
        <v>0</v>
      </c>
      <c r="S78">
        <f>VLOOKUP(D78,Fertilizantes!$A$49:$E$122,4,FALSE)</f>
        <v>0</v>
      </c>
      <c r="T78">
        <f>((E78/100)*$G$92+(G78/100)*$G$93+(I78/100)*$G$94+(K78/100)*$G$95+(M78/100)*$G$96+(O78)*$G$97+(Q78*$G$98)+(R78*(VLOOKUP(D78,Fertilizantes!$A$49:$E$122,3,FALSE))))</f>
        <v>1122.6735859809885</v>
      </c>
    </row>
    <row r="79">
      <c r="B79">
        <v>62</v>
      </c>
      <c r="C79">
        <f>$I$13+B79</f>
        <v>39876</v>
      </c>
      <c r="E79">
        <f>IF($C$14*ReDiarioFert!C68&lt;=0,"0",$C$14*ReDiarioFert!C68)</f>
        <v>8.027275972245224</v>
      </c>
      <c r="G79">
        <f>$C$14*ReDiarioFert!E68</f>
        <v>4.615763779672696</v>
      </c>
      <c r="I79">
        <f>$C$14*ReDiarioFert!G68</f>
        <v>32.839061217925924</v>
      </c>
      <c r="K79">
        <f>$C$14*ReDiarioFert!I68</f>
        <v>21.076630392443516</v>
      </c>
      <c r="M79">
        <f>$C$14*ReDiarioFert!K68</f>
        <v>43.44439955040931</v>
      </c>
      <c r="O79">
        <f>$C$14*ReDiarioFert!M68</f>
        <v>114.387443902439</v>
      </c>
      <c r="R79">
        <f>VLOOKUP(D79,Fertilizantes!$A$49:$E$122,2,FALSE)*$C$14</f>
        <v>0</v>
      </c>
      <c r="S79">
        <f>VLOOKUP(D79,Fertilizantes!$A$49:$E$122,4,FALSE)</f>
        <v>0</v>
      </c>
      <c r="T79">
        <f>((E79/100)*$G$92+(G79/100)*$G$93+(I79/100)*$G$94+(K79/100)*$G$95+(M79/100)*$G$96+(O79)*$G$97+(Q79*$G$98)+(R79*(VLOOKUP(D79,Fertilizantes!$A$49:$E$122,3,FALSE))))</f>
        <v>1122.6735859809885</v>
      </c>
    </row>
    <row r="80">
      <c r="B80">
        <v>63</v>
      </c>
      <c r="C80">
        <f>$I$13+B80</f>
        <v>39877</v>
      </c>
      <c r="E80">
        <f>IF($C$14*ReDiarioFert!C69&lt;=0,"0",$C$14*ReDiarioFert!C69)</f>
        <v>8.027275972245224</v>
      </c>
      <c r="G80">
        <f>$C$14*ReDiarioFert!E69</f>
        <v>4.615763779672696</v>
      </c>
      <c r="I80">
        <f>$C$14*ReDiarioFert!G69</f>
        <v>32.839061217925924</v>
      </c>
      <c r="K80">
        <f>$C$14*ReDiarioFert!I69</f>
        <v>21.076630392443516</v>
      </c>
      <c r="M80">
        <f>$C$14*ReDiarioFert!K69</f>
        <v>43.44439955040931</v>
      </c>
      <c r="O80">
        <f>$C$14*ReDiarioFert!M69</f>
        <v>144.2279863414634</v>
      </c>
      <c r="Q80">
        <f>Main!$H$85</f>
        <v>0</v>
      </c>
      <c r="R80">
        <f>VLOOKUP(D80,Fertilizantes!$A$49:$E$122,2,FALSE)*$C$14</f>
        <v>0</v>
      </c>
      <c r="S80">
        <f>VLOOKUP(D80,Fertilizantes!$A$49:$E$122,4,FALSE)</f>
        <v>0</v>
      </c>
      <c r="T80">
        <f>((E80/100)*$G$92+(G80/100)*$G$93+(I80/100)*$G$94+(K80/100)*$G$95+(M80/100)*$G$96+(O80)*$G$97+(Q80*$G$98)+(R80*(VLOOKUP(D80,Fertilizantes!$A$49:$E$122,3,FALSE))))</f>
        <v>1123.8672076785494</v>
      </c>
    </row>
    <row r="81">
      <c r="A81">
        <v>10</v>
      </c>
      <c r="B81">
        <v>64</v>
      </c>
      <c r="C81">
        <f>$I$13+B81</f>
        <v>39878</v>
      </c>
      <c r="E81">
        <f>IF($C$14*ReDiarioFert!C70&lt;=0,"0",$C$14*ReDiarioFert!C70)</f>
        <v>8.027275972245224</v>
      </c>
      <c r="G81">
        <f>$C$14*ReDiarioFert!E70</f>
        <v>4.615763779672696</v>
      </c>
      <c r="I81">
        <f>$C$14*ReDiarioFert!G70</f>
        <v>32.839061217925924</v>
      </c>
      <c r="K81">
        <f>$C$14*ReDiarioFert!I70</f>
        <v>21.076630392443516</v>
      </c>
      <c r="M81">
        <f>$C$14*ReDiarioFert!K70</f>
        <v>43.44439955040931</v>
      </c>
      <c r="O81">
        <f>$C$14*ReDiarioFert!M70</f>
        <v>144.2279863414634</v>
      </c>
      <c r="Q81">
        <f>$C$14*Main!$D$63</f>
        <v>20.019999999999996</v>
      </c>
      <c r="R81">
        <f>VLOOKUP(D81,Fertilizantes!$A$49:$E$122,2,FALSE)*$C$14</f>
        <v>0</v>
      </c>
      <c r="S81">
        <f>VLOOKUP(D81,Fertilizantes!$A$49:$E$122,4,FALSE)</f>
        <v>0</v>
      </c>
      <c r="T81">
        <f>((E81/100)*$G$92+(G81/100)*$G$93+(I81/100)*$G$94+(K81/100)*$G$95+(M81/100)*$G$96+(O81)*$G$97+(Q81*$G$98)+(R81*(VLOOKUP(D81,Fertilizantes!$A$49:$E$122,3,FALSE))))</f>
        <v>1179.9232076785495</v>
      </c>
    </row>
    <row r="82">
      <c r="B82">
        <v>65</v>
      </c>
      <c r="C82">
        <f>$I$13+B82</f>
        <v>39879</v>
      </c>
      <c r="E82">
        <f>IF($C$14*ReDiarioFert!C71&lt;=0,"0",$C$14*ReDiarioFert!C71)</f>
        <v>8.027275972245224</v>
      </c>
      <c r="G82">
        <f>$C$14*ReDiarioFert!E71</f>
        <v>4.615763779672696</v>
      </c>
      <c r="I82">
        <f>$C$14*ReDiarioFert!G71</f>
        <v>32.839061217925924</v>
      </c>
      <c r="K82">
        <f>$C$14*ReDiarioFert!I71</f>
        <v>21.076630392443516</v>
      </c>
      <c r="M82">
        <f>$C$14*ReDiarioFert!K71</f>
        <v>43.44439955040931</v>
      </c>
      <c r="O82">
        <f>$C$14*ReDiarioFert!M71</f>
        <v>144.2279863414634</v>
      </c>
      <c r="R82">
        <f>VLOOKUP(D82,Fertilizantes!$A$49:$E$122,2,FALSE)*$C$14</f>
        <v>0</v>
      </c>
      <c r="S82">
        <f>VLOOKUP(D82,Fertilizantes!$A$49:$E$122,4,FALSE)</f>
        <v>0</v>
      </c>
      <c r="T82">
        <f>((E82/100)*$G$92+(G82/100)*$G$93+(I82/100)*$G$94+(K82/100)*$G$95+(M82/100)*$G$96+(O82)*$G$97+(Q82*$G$98)+(R82*(VLOOKUP(D82,Fertilizantes!$A$49:$E$122,3,FALSE))))</f>
        <v>1123.8672076785494</v>
      </c>
    </row>
    <row r="83">
      <c r="B83">
        <v>66</v>
      </c>
      <c r="C83">
        <f>$I$13+B83</f>
        <v>39880</v>
      </c>
      <c r="E83">
        <f>IF($C$14*ReDiarioFert!C72&lt;=0,"0",$C$14*ReDiarioFert!C72)</f>
        <v>8.027275972245224</v>
      </c>
      <c r="G83">
        <f>$C$14*ReDiarioFert!E72</f>
        <v>4.615763779672696</v>
      </c>
      <c r="I83">
        <f>$C$14*ReDiarioFert!G72</f>
        <v>32.839061217925924</v>
      </c>
      <c r="K83">
        <f>$C$14*ReDiarioFert!I72</f>
        <v>21.076630392443516</v>
      </c>
      <c r="M83">
        <f>$C$14*ReDiarioFert!K72</f>
        <v>43.44439955040931</v>
      </c>
      <c r="O83">
        <f>$C$14*ReDiarioFert!M72</f>
        <v>144.2279863414634</v>
      </c>
      <c r="R83">
        <f>VLOOKUP(D83,Fertilizantes!$A$49:$E$122,2,FALSE)*$C$14</f>
        <v>0</v>
      </c>
      <c r="S83">
        <f>VLOOKUP(D83,Fertilizantes!$A$49:$E$122,4,FALSE)</f>
        <v>0</v>
      </c>
      <c r="T83">
        <f>((E83/100)*$G$92+(G83/100)*$G$93+(I83/100)*$G$94+(K83/100)*$G$95+(M83/100)*$G$96+(O83)*$G$97+(Q83*$G$98)+(R83*(VLOOKUP(D83,Fertilizantes!$A$49:$E$122,3,FALSE))))</f>
        <v>1123.8672076785494</v>
      </c>
    </row>
    <row r="84">
      <c r="B84">
        <v>67</v>
      </c>
      <c r="C84">
        <f>$I$13+B84</f>
        <v>39881</v>
      </c>
      <c r="E84">
        <f>IF($C$14*ReDiarioFert!C73&lt;=0,"0",$C$14*ReDiarioFert!C73)</f>
        <v>8.027275972245224</v>
      </c>
      <c r="G84">
        <f>$C$14*ReDiarioFert!E73</f>
        <v>4.615763779672696</v>
      </c>
      <c r="I84">
        <f>$C$14*ReDiarioFert!G73</f>
        <v>32.839061217925924</v>
      </c>
      <c r="K84">
        <f>$C$14*ReDiarioFert!I73</f>
        <v>21.076630392443516</v>
      </c>
      <c r="M84">
        <f>$C$14*ReDiarioFert!K73</f>
        <v>43.44439955040931</v>
      </c>
      <c r="O84">
        <f>$C$14*ReDiarioFert!M73</f>
        <v>144.2279863414634</v>
      </c>
      <c r="R84">
        <f>VLOOKUP(D84,Fertilizantes!$A$49:$E$122,2,FALSE)*$C$14</f>
        <v>0</v>
      </c>
      <c r="S84">
        <f>VLOOKUP(D84,Fertilizantes!$A$49:$E$122,4,FALSE)</f>
        <v>0</v>
      </c>
      <c r="T84">
        <f>((E84/100)*$G$92+(G84/100)*$G$93+(I84/100)*$G$94+(K84/100)*$G$95+(M84/100)*$G$96+(O84)*$G$97+(Q84*$G$98)+(R84*(VLOOKUP(D84,Fertilizantes!$A$49:$E$122,3,FALSE))))</f>
        <v>1123.8672076785494</v>
      </c>
    </row>
    <row r="85">
      <c r="B85">
        <v>68</v>
      </c>
      <c r="C85">
        <f>$I$13+B85</f>
        <v>39882</v>
      </c>
      <c r="E85">
        <f>IF($C$14*ReDiarioFert!C74&lt;=0,"0",$C$14*ReDiarioFert!C74)</f>
        <v>8.027275972245224</v>
      </c>
      <c r="G85">
        <f>$C$14*ReDiarioFert!E74</f>
        <v>4.615763779672696</v>
      </c>
      <c r="I85">
        <f>$C$14*ReDiarioFert!G74</f>
        <v>32.839061217925924</v>
      </c>
      <c r="K85">
        <f>$C$14*ReDiarioFert!I74</f>
        <v>21.076630392443516</v>
      </c>
      <c r="M85">
        <f>$C$14*ReDiarioFert!K74</f>
        <v>43.44439955040931</v>
      </c>
      <c r="O85">
        <f>$C$14*ReDiarioFert!M74</f>
        <v>144.2279863414634</v>
      </c>
      <c r="R85">
        <f>VLOOKUP(D85,Fertilizantes!$A$49:$E$122,2,FALSE)*$C$14</f>
        <v>0</v>
      </c>
      <c r="S85">
        <f>VLOOKUP(D85,Fertilizantes!$A$49:$E$122,4,FALSE)</f>
        <v>0</v>
      </c>
      <c r="T85">
        <f>((E85/100)*$G$92+(G85/100)*$G$93+(I85/100)*$G$94+(K85/100)*$G$95+(M85/100)*$G$96+(O85)*$G$97+(Q85*$G$98)+(R85*(VLOOKUP(D85,Fertilizantes!$A$49:$E$122,3,FALSE))))</f>
        <v>1123.8672076785494</v>
      </c>
    </row>
    <row r="86">
      <c r="B86">
        <v>69</v>
      </c>
      <c r="C86">
        <f>$I$13+B86</f>
        <v>39883</v>
      </c>
      <c r="E86">
        <f>IF($C$14*ReDiarioFert!C75&lt;=0,"0",$C$14*ReDiarioFert!C75)</f>
        <v>8.027275972245224</v>
      </c>
      <c r="G86">
        <f>$C$14*ReDiarioFert!E75</f>
        <v>4.615763779672696</v>
      </c>
      <c r="I86">
        <f>$C$14*ReDiarioFert!G75</f>
        <v>32.839061217925924</v>
      </c>
      <c r="K86">
        <f>$C$14*ReDiarioFert!I75</f>
        <v>21.076630392443516</v>
      </c>
      <c r="M86">
        <f>$C$14*ReDiarioFert!K75</f>
        <v>43.44439955040931</v>
      </c>
      <c r="O86">
        <f>$C$14*ReDiarioFert!M75</f>
        <v>144.2279863414634</v>
      </c>
      <c r="R86">
        <f>VLOOKUP(D86,Fertilizantes!$A$49:$E$122,2,FALSE)*$C$14</f>
        <v>0</v>
      </c>
      <c r="S86">
        <f>VLOOKUP(D86,Fertilizantes!$A$49:$E$122,4,FALSE)</f>
        <v>0</v>
      </c>
      <c r="T86">
        <f>((E86/100)*$G$92+(G86/100)*$G$93+(I86/100)*$G$94+(K86/100)*$G$95+(M86/100)*$G$96+(O86)*$G$97+(Q86*$G$98)+(R86*(VLOOKUP(D86,Fertilizantes!$A$49:$E$122,3,FALSE))))</f>
        <v>1123.8672076785494</v>
      </c>
    </row>
    <row r="87" ht="18" customHeight="1">
      <c r="B87">
        <v>70</v>
      </c>
      <c r="C87">
        <f>$I$13+B87</f>
        <v>39884</v>
      </c>
      <c r="E87">
        <f>IF($C$14*ReDiarioFert!C76&lt;=0,"0",$C$14*ReDiarioFert!C76)</f>
        <v>8.027275972245224</v>
      </c>
      <c r="G87">
        <f>$C$14*ReDiarioFert!E76</f>
        <v>4.615763779672696</v>
      </c>
      <c r="I87">
        <f>$C$14*ReDiarioFert!G76</f>
        <v>32.839061217925924</v>
      </c>
      <c r="K87">
        <f>$C$14*ReDiarioFert!I76</f>
        <v>21.076630392443516</v>
      </c>
      <c r="M87">
        <f>$C$14*ReDiarioFert!K76</f>
        <v>43.44439955040931</v>
      </c>
      <c r="O87">
        <f>$C$14*ReDiarioFert!M76</f>
        <v>144.2279863414634</v>
      </c>
      <c r="Q87">
        <f>Main!$H$84</f>
        <v>0</v>
      </c>
      <c r="R87">
        <f>VLOOKUP(D87,Fertilizantes!$A$49:$E$122,2,FALSE)*$C$14</f>
        <v>0</v>
      </c>
      <c r="S87">
        <f>VLOOKUP(D87,Fertilizantes!$A$49:$E$122,4,FALSE)</f>
        <v>0</v>
      </c>
      <c r="T87">
        <f>((E87/100)*$G$92+(G87/100)*$G$93+(I87/100)*$G$94+(K87/100)*$G$95+(M87/100)*$G$96+(O87)*$G$97+(Q87*$G$98)+(R87*(VLOOKUP(D87,Fertilizantes!$A$49:$E$122,3,FALSE))))</f>
        <v>1123.8672076785494</v>
      </c>
    </row>
    <row r="88">
      <c r="C88" t="str">
        <v>Total</v>
      </c>
      <c r="E88">
        <f>SUM(E18:E87)</f>
        <v>427.165941676278</v>
      </c>
      <c r="G88">
        <f>SUM(G18:G87)</f>
        <v>206.66033286261856</v>
      </c>
      <c r="I88">
        <f>SUM(I18:I87)</f>
        <v>1359.5906534492447</v>
      </c>
      <c r="K88">
        <f>SUM(K18:K87)</f>
        <v>872.6068476076946</v>
      </c>
      <c r="M88">
        <f>SUM(M18:M87)</f>
        <v>1798.668944324396</v>
      </c>
      <c r="O88">
        <f>SUM(O18:O87)</f>
        <v>5595.038229268293</v>
      </c>
      <c r="Q88">
        <f>SUM(Q18:Q87)</f>
        <v>200.19999999999993</v>
      </c>
      <c r="T88">
        <f>SUM(T18:T87)</f>
        <v>48114.59662580122</v>
      </c>
    </row>
    <row r="89">
      <c r="D89" t="str">
        <v>OJO cualquier cultivo que no se termine la cosecha en el ultimo día del calendario solo seguir repitiendo la ultima aplicación de fertilizante.</v>
      </c>
    </row>
    <row r="90" ht="39.75" customHeight="1">
      <c r="B90" t="str">
        <v>Producto</v>
      </c>
      <c r="F90" t="str">
        <v>Lbs/Ha</v>
      </c>
      <c r="G90" t="str">
        <v>Costo por qq</v>
      </c>
    </row>
    <row r="91" ht="24" customHeight="1">
      <c r="G91" t="str">
        <f>Main!$E$25</f>
        <v>Lempiras</v>
      </c>
    </row>
    <row r="92">
      <c r="B92" t="str">
        <f>Main!D42</f>
        <v>Nitrato de Amonio</v>
      </c>
      <c r="F92">
        <f>E88/C14</f>
        <v>426.73920247380426</v>
      </c>
      <c r="G92">
        <f>Main!D43</f>
        <v>620</v>
      </c>
    </row>
    <row r="93">
      <c r="B93" t="str">
        <f>Main!D32</f>
        <v>MAP 12-61-0</v>
      </c>
      <c r="F93">
        <f>G88/C14</f>
        <v>206.45387898363495</v>
      </c>
      <c r="G93">
        <f>Main!D33</f>
        <v>2900</v>
      </c>
    </row>
    <row r="94">
      <c r="B94" t="str">
        <f>Main!D37</f>
        <v>Kcl Soluble</v>
      </c>
      <c r="F94">
        <f>I88/C14</f>
        <v>1358.2324210282165</v>
      </c>
      <c r="G94">
        <f>Main!D38</f>
        <v>780</v>
      </c>
    </row>
    <row r="95">
      <c r="B95" t="str">
        <f>Main!D47</f>
        <v>Sulfato de Magnesio</v>
      </c>
      <c r="F95">
        <f>K88/C14</f>
        <v>871.7351124951995</v>
      </c>
      <c r="G95">
        <f>Main!D48</f>
        <v>951</v>
      </c>
    </row>
    <row r="96">
      <c r="B96" t="str">
        <f>Main!D52</f>
        <v>Nitrato de Calcio</v>
      </c>
      <c r="F96">
        <f>M88/C14</f>
        <v>1796.872072252144</v>
      </c>
      <c r="G96">
        <f>Main!D53</f>
        <v>1100</v>
      </c>
    </row>
    <row r="97">
      <c r="B97" t="str">
        <f>Main!D57</f>
        <v>Solubor</v>
      </c>
      <c r="F97">
        <f>O88/C14</f>
        <v>5589.448780487806</v>
      </c>
      <c r="G97">
        <f>Main!D58</f>
        <v>0.04</v>
      </c>
      <c r="I97" t="str">
        <v xml:space="preserve">Preparado y Autorizado Por </v>
      </c>
    </row>
    <row r="98" ht="18" customHeight="1">
      <c r="B98" t="str">
        <f>Main!D61</f>
        <v>Melaza</v>
      </c>
      <c r="F98">
        <f>Q88/C14</f>
        <v>199.99999999999994</v>
      </c>
      <c r="G98">
        <f>Main!D62</f>
        <v>2.8</v>
      </c>
      <c r="I98" t="str">
        <v>MSc Ricardo D. Lardizábal</v>
      </c>
    </row>
    <row r="99">
      <c r="B99" t="str">
        <v>NOTA: El Nitrato de Calcio se debe de diluir en un barril aparte para inyectarse al sistema</v>
      </c>
    </row>
    <row r="101">
      <c r="B101" t="str">
        <v>Abreviaciones usadas</v>
      </c>
    </row>
    <row r="102">
      <c r="B102" t="str">
        <v>Mz.-Manzanas, Ha-Hectáreas, Lbs-Libras, Lts-Litros y DDT-Días después de Trasplante</v>
      </c>
    </row>
  </sheetData>
  <sheetProtection sheet="1"/>
  <mergeCells count="52">
    <mergeCell ref="B102:S102"/>
    <mergeCell ref="A13:B13"/>
    <mergeCell ref="A14:B14"/>
    <mergeCell ref="I13:M13"/>
    <mergeCell ref="I14:M14"/>
    <mergeCell ref="I16:J16"/>
    <mergeCell ref="I97:Q97"/>
    <mergeCell ref="C14:E14"/>
    <mergeCell ref="A16:A17"/>
    <mergeCell ref="B16:B17"/>
    <mergeCell ref="C13:E13"/>
    <mergeCell ref="T16:T17"/>
    <mergeCell ref="K16:L16"/>
    <mergeCell ref="O16:P16"/>
    <mergeCell ref="M16:N16"/>
    <mergeCell ref="R16:S16"/>
    <mergeCell ref="G98:H98"/>
    <mergeCell ref="B96:E96"/>
    <mergeCell ref="B98:E98"/>
    <mergeCell ref="G96:H96"/>
    <mergeCell ref="G97:H97"/>
    <mergeCell ref="B90:E90"/>
    <mergeCell ref="B99:I100"/>
    <mergeCell ref="I98:Q98"/>
    <mergeCell ref="B101:D101"/>
    <mergeCell ref="G93:H93"/>
    <mergeCell ref="G91:H91"/>
    <mergeCell ref="G92:H92"/>
    <mergeCell ref="B94:E94"/>
    <mergeCell ref="B93:E93"/>
    <mergeCell ref="B92:E92"/>
    <mergeCell ref="B97:E97"/>
    <mergeCell ref="P1:S4"/>
    <mergeCell ref="B95:E95"/>
    <mergeCell ref="F13:H13"/>
    <mergeCell ref="F14:H14"/>
    <mergeCell ref="E16:F16"/>
    <mergeCell ref="G16:H16"/>
    <mergeCell ref="G94:H94"/>
    <mergeCell ref="G95:H95"/>
    <mergeCell ref="G90:H90"/>
    <mergeCell ref="A9:K9"/>
    <mergeCell ref="P5:S7"/>
    <mergeCell ref="I11:M11"/>
    <mergeCell ref="I12:M12"/>
    <mergeCell ref="F11:H11"/>
    <mergeCell ref="C11:E11"/>
    <mergeCell ref="A11:B11"/>
    <mergeCell ref="A12:B12"/>
    <mergeCell ref="C12:E12"/>
    <mergeCell ref="F12:H12"/>
    <mergeCell ref="P9:S12"/>
  </mergeCells>
  <pageMargins left="0" right="0" top="0.2" bottom="0.56" header="0" footer="0.25"/>
  <ignoredErrors>
    <ignoredError numberStoredAsText="1" sqref="A1:Z103"/>
  </ignoredErrors>
  <legacyDrawing r:id="rId1"/>
</worksheet>
</file>

<file path=xl/worksheets/sheet3.xml><?xml version="1.0" encoding="utf-8"?>
<worksheet xmlns="http://schemas.openxmlformats.org/spreadsheetml/2006/main" xmlns:r="http://schemas.openxmlformats.org/officeDocument/2006/relationships">
  <dimension ref="A1:Z103"/>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Lechuga</v>
      </c>
    </row>
    <row r="6" ht="26.25" customHeight="1"/>
    <row r="7" ht="26.25" customHeight="1"/>
    <row r="8" ht="8.4" customHeight="1"/>
    <row r="9" ht="26.25" customHeight="1">
      <c r="A9" t="str">
        <f>Main!$C$13</f>
        <v>"Sin Fertilización Base"</v>
      </c>
      <c r="P9" t="str">
        <f>Main!$G$21</f>
        <v>Super 88</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Raca</v>
      </c>
    </row>
    <row r="13" ht="20.1" customHeight="1">
      <c r="A13" t="str">
        <v>Área Mz.</v>
      </c>
      <c r="C13">
        <f>Main!E22</f>
        <v>1.43</v>
      </c>
      <c r="F13" t="str">
        <v>Fecha:</v>
      </c>
      <c r="I13">
        <f>Main!E23</f>
        <v>39814</v>
      </c>
    </row>
    <row r="14" ht="20.1" customHeight="1">
      <c r="A14" t="str">
        <v>Área Ha.</v>
      </c>
      <c r="C14">
        <f>Main!I22</f>
        <v>1.001</v>
      </c>
      <c r="F14" t="str">
        <v>Fecha de Cosecha:</v>
      </c>
      <c r="I14">
        <f>I13+Main!E24</f>
        <v>39874</v>
      </c>
    </row>
    <row r="15" ht="19.5" customHeight="1"/>
    <row r="16" ht="28.5" customHeight="1">
      <c r="A16" t="str">
        <v>Semana</v>
      </c>
      <c r="B16" t="str">
        <v>DDT</v>
      </c>
      <c r="C16" t="str">
        <v>FECHA</v>
      </c>
      <c r="E16" t="str">
        <f>Main!$D$42</f>
        <v>Nitrato de Amonio</v>
      </c>
      <c r="G16" t="str">
        <f>Main!$D$32</f>
        <v>MAP 12-61-0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39815</v>
      </c>
      <c r="E18">
        <f>IF($C$14*ReDiarioFert!C7&lt;=0,"0",$C$14*ReDiarioFert!C7)</f>
        <v>2.28576628691227</v>
      </c>
      <c r="G18">
        <f>$C$14*ReDiarioFert!E7</f>
        <v>0.8392297781223083</v>
      </c>
      <c r="I18">
        <f>$C$14*ReDiarioFert!G7</f>
        <v>4.620881928323374</v>
      </c>
      <c r="K18">
        <f>$C$14*ReDiarioFert!I7</f>
        <v>2.9657553193764716</v>
      </c>
      <c r="M18">
        <f>$C$14*ReDiarioFert!K7</f>
        <v>6.113190612762154</v>
      </c>
      <c r="O18">
        <f>$C$14*ReDiarioFert!M7</f>
        <v>24.866793170731707</v>
      </c>
      <c r="Q18">
        <f>$C$14*Main!$D$63</f>
        <v>20.019999999999996</v>
      </c>
      <c r="S18">
        <f>((E18/100)*$G$92+(G18/100)*$G$93+(I18/100)*$G$94+(K18/100)*$G$95+(M18/100)*$G$96+(O18)*$G$97+(Q18*$G$98))</f>
        <v>227.05239513980854</v>
      </c>
    </row>
    <row r="19" ht="18.75" customHeight="1">
      <c r="B19">
        <v>2</v>
      </c>
      <c r="C19">
        <f>$I$13+B19</f>
        <v>39816</v>
      </c>
      <c r="E19">
        <f>IF($C$14*ReDiarioFert!C8&lt;=0,"0",$C$14*ReDiarioFert!C8)</f>
        <v>2.28576628691227</v>
      </c>
      <c r="G19">
        <f>$C$14*ReDiarioFert!E8</f>
        <v>0.8392297781223083</v>
      </c>
      <c r="I19">
        <f>$C$14*ReDiarioFert!G8</f>
        <v>4.620881928323374</v>
      </c>
      <c r="K19">
        <f>$C$14*ReDiarioFert!I8</f>
        <v>2.9657553193764716</v>
      </c>
      <c r="M19">
        <f>$C$14*ReDiarioFert!K8</f>
        <v>6.113190612762154</v>
      </c>
      <c r="O19">
        <f>$C$14*ReDiarioFert!M8</f>
        <v>24.866793170731707</v>
      </c>
      <c r="S19">
        <f>((E19/100)*$G$92+(G19/100)*$G$93+(I19/100)*$G$94+(K19/100)*$G$95+(M19/100)*$G$96+(O19)*$G$97+(Q19*$G$98))</f>
        <v>170.99639513980856</v>
      </c>
    </row>
    <row r="20" ht="18.75" customHeight="1">
      <c r="B20">
        <v>3</v>
      </c>
      <c r="C20">
        <f>$I$13+B20</f>
        <v>39817</v>
      </c>
      <c r="E20">
        <f>IF($C$14*ReDiarioFert!C9&lt;=0,"0",$C$14*ReDiarioFert!C9)</f>
        <v>2.28576628691227</v>
      </c>
      <c r="G20">
        <f>$C$14*ReDiarioFert!E9</f>
        <v>0.8392297781223083</v>
      </c>
      <c r="I20">
        <f>$C$14*ReDiarioFert!G9</f>
        <v>4.620881928323374</v>
      </c>
      <c r="K20">
        <f>$C$14*ReDiarioFert!I9</f>
        <v>2.9657553193764716</v>
      </c>
      <c r="M20">
        <f>$C$14*ReDiarioFert!K9</f>
        <v>6.113190612762154</v>
      </c>
      <c r="O20">
        <f>$C$14*ReDiarioFert!M9</f>
        <v>24.866793170731707</v>
      </c>
      <c r="S20">
        <f>((E20/100)*$G$92+(G20/100)*$G$93+(I20/100)*$G$94+(K20/100)*$G$95+(M20/100)*$G$96+(O20)*$G$97+(Q20*$G$98))</f>
        <v>170.99639513980856</v>
      </c>
    </row>
    <row r="21" ht="18.75" customHeight="1">
      <c r="B21">
        <v>4</v>
      </c>
      <c r="C21">
        <f>$I$13+B21</f>
        <v>39818</v>
      </c>
      <c r="E21">
        <f>IF($C$14*ReDiarioFert!C10&lt;=0,"0",$C$14*ReDiarioFert!C10)</f>
        <v>2.28576628691227</v>
      </c>
      <c r="G21">
        <f>$C$14*ReDiarioFert!E10</f>
        <v>0.8392297781223083</v>
      </c>
      <c r="I21">
        <f>$C$14*ReDiarioFert!G10</f>
        <v>4.620881928323374</v>
      </c>
      <c r="K21">
        <f>$C$14*ReDiarioFert!I10</f>
        <v>2.9657553193764716</v>
      </c>
      <c r="M21">
        <f>$C$14*ReDiarioFert!K10</f>
        <v>6.113190612762154</v>
      </c>
      <c r="O21">
        <f>$C$14*ReDiarioFert!M10</f>
        <v>24.866793170731707</v>
      </c>
      <c r="S21">
        <f>((E21/100)*$G$92+(G21/100)*$G$93+(I21/100)*$G$94+(K21/100)*$G$95+(M21/100)*$G$96+(O21)*$G$97+(Q21*$G$98))</f>
        <v>170.99639513980856</v>
      </c>
    </row>
    <row r="22" ht="18.75" customHeight="1">
      <c r="B22">
        <v>5</v>
      </c>
      <c r="C22">
        <f>$I$13+B22</f>
        <v>39819</v>
      </c>
      <c r="E22">
        <f>IF($C$14*ReDiarioFert!C11&lt;=0,"0",$C$14*ReDiarioFert!C11)</f>
        <v>2.28576628691227</v>
      </c>
      <c r="G22">
        <f>$C$14*ReDiarioFert!E11</f>
        <v>0.8392297781223083</v>
      </c>
      <c r="I22">
        <f>$C$14*ReDiarioFert!G11</f>
        <v>4.620881928323374</v>
      </c>
      <c r="K22">
        <f>$C$14*ReDiarioFert!I11</f>
        <v>2.9657553193764716</v>
      </c>
      <c r="M22">
        <f>$C$14*ReDiarioFert!K11</f>
        <v>6.113190612762154</v>
      </c>
      <c r="O22">
        <f>$C$14*ReDiarioFert!M11</f>
        <v>24.866793170731707</v>
      </c>
      <c r="S22">
        <f>((E22/100)*$G$92+(G22/100)*$G$93+(I22/100)*$G$94+(K22/100)*$G$95+(M22/100)*$G$96+(O22)*$G$97+(Q22*$G$98))</f>
        <v>170.99639513980856</v>
      </c>
    </row>
    <row r="23" ht="18.75" customHeight="1">
      <c r="B23">
        <v>6</v>
      </c>
      <c r="C23">
        <f>$I$13+B23</f>
        <v>39820</v>
      </c>
      <c r="E23">
        <f>IF($C$14*ReDiarioFert!C12&lt;=0,"0",$C$14*ReDiarioFert!C12)</f>
        <v>2.28576628691227</v>
      </c>
      <c r="G23">
        <f>$C$14*ReDiarioFert!E12</f>
        <v>0.8392297781223083</v>
      </c>
      <c r="I23">
        <f>$C$14*ReDiarioFert!G12</f>
        <v>4.620881928323374</v>
      </c>
      <c r="K23">
        <f>$C$14*ReDiarioFert!I12</f>
        <v>2.9657553193764716</v>
      </c>
      <c r="M23">
        <f>$C$14*ReDiarioFert!K12</f>
        <v>6.113190612762154</v>
      </c>
      <c r="O23">
        <f>$C$14*ReDiarioFert!M12</f>
        <v>24.866793170731707</v>
      </c>
      <c r="S23">
        <f>((E23/100)*$G$92+(G23/100)*$G$93+(I23/100)*$G$94+(K23/100)*$G$95+(M23/100)*$G$96+(O23)*$G$97+(Q23*$G$98))</f>
        <v>170.99639513980856</v>
      </c>
    </row>
    <row r="24" ht="18.75" customHeight="1">
      <c r="B24">
        <v>7</v>
      </c>
      <c r="C24">
        <f>$I$13+B24</f>
        <v>39821</v>
      </c>
      <c r="E24">
        <f>IF($C$14*ReDiarioFert!C13&lt;=0,"0",$C$14*ReDiarioFert!C13)</f>
        <v>2.28576628691227</v>
      </c>
      <c r="G24">
        <f>$C$14*ReDiarioFert!E13</f>
        <v>0.8392297781223083</v>
      </c>
      <c r="I24">
        <f>$C$14*ReDiarioFert!G13</f>
        <v>4.620881928323374</v>
      </c>
      <c r="K24">
        <f>$C$14*ReDiarioFert!I13</f>
        <v>2.9657553193764716</v>
      </c>
      <c r="M24">
        <f>$C$14*ReDiarioFert!K13</f>
        <v>6.113190612762154</v>
      </c>
      <c r="O24">
        <f>$C$14*ReDiarioFert!M13</f>
        <v>24.866793170731707</v>
      </c>
      <c r="S24">
        <f>((E24/100)*$G$92+(G24/100)*$G$93+(I24/100)*$G$94+(K24/100)*$G$95+(M24/100)*$G$96+(O24)*$G$97+(Q24*$G$98))</f>
        <v>170.99639513980856</v>
      </c>
    </row>
    <row r="25">
      <c r="A25">
        <v>2</v>
      </c>
      <c r="B25">
        <v>8</v>
      </c>
      <c r="C25">
        <f>$I$13+B25</f>
        <v>39822</v>
      </c>
      <c r="E25">
        <f>IF($C$14*ReDiarioFert!C14&lt;=0,"0",$C$14*ReDiarioFert!C14)</f>
        <v>2.28576628691227</v>
      </c>
      <c r="G25">
        <f>$C$14*ReDiarioFert!E14</f>
        <v>0.8392297781223083</v>
      </c>
      <c r="I25">
        <f>$C$14*ReDiarioFert!G14</f>
        <v>4.620881928323374</v>
      </c>
      <c r="K25">
        <f>$C$14*ReDiarioFert!I14</f>
        <v>2.9657553193764716</v>
      </c>
      <c r="M25">
        <f>$C$14*ReDiarioFert!K14</f>
        <v>6.113190612762154</v>
      </c>
      <c r="O25">
        <f>$C$14*ReDiarioFert!M14</f>
        <v>24.866793170731707</v>
      </c>
      <c r="Q25">
        <f>$C$14*Main!$D$63</f>
        <v>20.019999999999996</v>
      </c>
      <c r="S25">
        <f>((E25/100)*$G$92+(G25/100)*$G$93+(I25/100)*$G$94+(K25/100)*$G$95+(M25/100)*$G$96+(O25)*$G$97+(Q25*$G$98))</f>
        <v>227.05239513980854</v>
      </c>
    </row>
    <row r="26">
      <c r="B26">
        <v>9</v>
      </c>
      <c r="C26">
        <f>$I$13+B26</f>
        <v>39823</v>
      </c>
      <c r="E26">
        <f>IF($C$14*ReDiarioFert!C15&lt;=0,"0",$C$14*ReDiarioFert!C15)</f>
        <v>2.28576628691227</v>
      </c>
      <c r="G26">
        <f>$C$14*ReDiarioFert!E15</f>
        <v>0.8392297781223083</v>
      </c>
      <c r="I26">
        <f>$C$14*ReDiarioFert!G15</f>
        <v>4.620881928323374</v>
      </c>
      <c r="K26">
        <f>$C$14*ReDiarioFert!I15</f>
        <v>2.9657553193764716</v>
      </c>
      <c r="M26">
        <f>$C$14*ReDiarioFert!K15</f>
        <v>6.113190612762154</v>
      </c>
      <c r="O26">
        <f>$C$14*ReDiarioFert!M15</f>
        <v>24.866793170731707</v>
      </c>
      <c r="S26">
        <f>((E26/100)*$G$92+(G26/100)*$G$93+(I26/100)*$G$94+(K26/100)*$G$95+(M26/100)*$G$96+(O26)*$G$97+(Q26*$G$98))</f>
        <v>170.99639513980856</v>
      </c>
    </row>
    <row r="27">
      <c r="B27">
        <v>10</v>
      </c>
      <c r="C27">
        <f>$I$13+B27</f>
        <v>39824</v>
      </c>
      <c r="E27">
        <f>IF($C$14*ReDiarioFert!C16&lt;=0,"0",$C$14*ReDiarioFert!C16)</f>
        <v>2.28576628691227</v>
      </c>
      <c r="G27">
        <f>$C$14*ReDiarioFert!E16</f>
        <v>0.8392297781223083</v>
      </c>
      <c r="I27">
        <f>$C$14*ReDiarioFert!G16</f>
        <v>4.620881928323374</v>
      </c>
      <c r="K27">
        <f>$C$14*ReDiarioFert!I16</f>
        <v>2.9657553193764716</v>
      </c>
      <c r="M27">
        <f>$C$14*ReDiarioFert!K16</f>
        <v>6.113190612762154</v>
      </c>
      <c r="O27">
        <f>$C$14*ReDiarioFert!M16</f>
        <v>24.866793170731707</v>
      </c>
      <c r="S27">
        <f>((E27/100)*$G$92+(G27/100)*$G$93+(I27/100)*$G$94+(K27/100)*$G$95+(M27/100)*$G$96+(O27)*$G$97+(Q27*$G$98))</f>
        <v>170.99639513980856</v>
      </c>
    </row>
    <row r="28">
      <c r="B28">
        <v>11</v>
      </c>
      <c r="C28">
        <f>$I$13+B28</f>
        <v>39825</v>
      </c>
      <c r="E28">
        <f>IF($C$14*ReDiarioFert!C17&lt;=0,"0",$C$14*ReDiarioFert!C17)</f>
        <v>4.000091002096473</v>
      </c>
      <c r="G28">
        <f>$C$14*ReDiarioFert!E17</f>
        <v>1.4686521117140392</v>
      </c>
      <c r="I28">
        <f>$C$14*ReDiarioFert!G17</f>
        <v>8.086543374565904</v>
      </c>
      <c r="K28">
        <f>$C$14*ReDiarioFert!I17</f>
        <v>5.190071808908827</v>
      </c>
      <c r="M28">
        <f>$C$14*ReDiarioFert!K17</f>
        <v>10.69808357233377</v>
      </c>
      <c r="O28">
        <f>$C$14*ReDiarioFert!M17</f>
        <v>44.76032536585365</v>
      </c>
      <c r="S28">
        <f>((E28/100)*$G$92+(G28/100)*$G$93+(I28/100)*$G$94+(K28/100)*$G$95+(M28/100)*$G$96+(O28)*$G$97+(Q28*$G$98))</f>
        <v>299.2934289873479</v>
      </c>
    </row>
    <row r="29">
      <c r="B29">
        <v>12</v>
      </c>
      <c r="C29">
        <f>$I$13+B29</f>
        <v>39826</v>
      </c>
      <c r="E29">
        <f>IF($C$14*ReDiarioFert!C18&lt;=0,"0",$C$14*ReDiarioFert!C18)</f>
        <v>4.000091002096473</v>
      </c>
      <c r="G29">
        <f>$C$14*ReDiarioFert!E18</f>
        <v>1.4686521117140392</v>
      </c>
      <c r="I29">
        <f>$C$14*ReDiarioFert!G18</f>
        <v>8.086543374565904</v>
      </c>
      <c r="K29">
        <f>$C$14*ReDiarioFert!I18</f>
        <v>5.190071808908827</v>
      </c>
      <c r="M29">
        <f>$C$14*ReDiarioFert!K18</f>
        <v>10.69808357233377</v>
      </c>
      <c r="O29">
        <f>$C$14*ReDiarioFert!M18</f>
        <v>44.76032536585365</v>
      </c>
      <c r="S29">
        <f>((E29/100)*$G$92+(G29/100)*$G$93+(I29/100)*$G$94+(K29/100)*$G$95+(M29/100)*$G$96+(O29)*$G$97+(Q29*$G$98))</f>
        <v>299.2934289873479</v>
      </c>
    </row>
    <row r="30">
      <c r="B30">
        <v>13</v>
      </c>
      <c r="C30">
        <f>$I$13+B30</f>
        <v>39827</v>
      </c>
      <c r="E30">
        <f>IF($C$14*ReDiarioFert!C19&lt;=0,"0",$C$14*ReDiarioFert!C19)</f>
        <v>4.000091002096473</v>
      </c>
      <c r="G30">
        <f>$C$14*ReDiarioFert!E19</f>
        <v>1.4686521117140392</v>
      </c>
      <c r="I30">
        <f>$C$14*ReDiarioFert!G19</f>
        <v>8.086543374565904</v>
      </c>
      <c r="K30">
        <f>$C$14*ReDiarioFert!I19</f>
        <v>5.190071808908827</v>
      </c>
      <c r="M30">
        <f>$C$14*ReDiarioFert!K19</f>
        <v>10.69808357233377</v>
      </c>
      <c r="O30">
        <f>$C$14*ReDiarioFert!M19</f>
        <v>44.76032536585365</v>
      </c>
      <c r="S30">
        <f>((E30/100)*$G$92+(G30/100)*$G$93+(I30/100)*$G$94+(K30/100)*$G$95+(M30/100)*$G$96+(O30)*$G$97+(Q30*$G$98))</f>
        <v>299.2934289873479</v>
      </c>
    </row>
    <row r="31">
      <c r="B31">
        <v>14</v>
      </c>
      <c r="C31">
        <f>$I$13+B31</f>
        <v>39828</v>
      </c>
      <c r="E31">
        <f>IF($C$14*ReDiarioFert!C20&lt;=0,"0",$C$14*ReDiarioFert!C20)</f>
        <v>4.000091002096473</v>
      </c>
      <c r="G31">
        <f>$C$14*ReDiarioFert!E20</f>
        <v>1.4686521117140392</v>
      </c>
      <c r="I31">
        <f>$C$14*ReDiarioFert!G20</f>
        <v>8.086543374565904</v>
      </c>
      <c r="K31">
        <f>$C$14*ReDiarioFert!I20</f>
        <v>5.190071808908827</v>
      </c>
      <c r="M31">
        <f>$C$14*ReDiarioFert!K20</f>
        <v>10.69808357233377</v>
      </c>
      <c r="O31">
        <f>$C$14*ReDiarioFert!M20</f>
        <v>44.76032536585365</v>
      </c>
      <c r="S31">
        <f>((E31/100)*$G$92+(G31/100)*$G$93+(I31/100)*$G$94+(K31/100)*$G$95+(M31/100)*$G$96+(O31)*$G$97+(Q31*$G$98))</f>
        <v>299.2934289873479</v>
      </c>
    </row>
    <row r="32">
      <c r="A32">
        <v>3</v>
      </c>
      <c r="B32">
        <v>15</v>
      </c>
      <c r="C32">
        <f>$I$13+B32</f>
        <v>39829</v>
      </c>
      <c r="E32">
        <f>IF($C$14*ReDiarioFert!C21&lt;=0,"0",$C$14*ReDiarioFert!C21)</f>
        <v>4.000091002096473</v>
      </c>
      <c r="G32">
        <f>$C$14*ReDiarioFert!E21</f>
        <v>1.4686521117140392</v>
      </c>
      <c r="I32">
        <f>$C$14*ReDiarioFert!G21</f>
        <v>8.086543374565904</v>
      </c>
      <c r="K32">
        <f>$C$14*ReDiarioFert!I21</f>
        <v>5.190071808908827</v>
      </c>
      <c r="M32">
        <f>$C$14*ReDiarioFert!K21</f>
        <v>10.69808357233377</v>
      </c>
      <c r="O32">
        <f>$C$14*ReDiarioFert!M21</f>
        <v>44.76032536585365</v>
      </c>
      <c r="Q32">
        <f>$C$14*Main!$D$63</f>
        <v>20.019999999999996</v>
      </c>
      <c r="S32">
        <f>((E32/100)*$G$92+(G32/100)*$G$93+(I32/100)*$G$94+(K32/100)*$G$95+(M32/100)*$G$96+(O32)*$G$97+(Q32*$G$98))</f>
        <v>355.3494289873479</v>
      </c>
    </row>
    <row r="33">
      <c r="B33">
        <v>16</v>
      </c>
      <c r="C33">
        <f>$I$13+B33</f>
        <v>39830</v>
      </c>
      <c r="E33">
        <f>IF($C$14*ReDiarioFert!C22&lt;=0,"0",$C$14*ReDiarioFert!C22)</f>
        <v>4.000091002096473</v>
      </c>
      <c r="G33">
        <f>$C$14*ReDiarioFert!E22</f>
        <v>1.4686521117140392</v>
      </c>
      <c r="I33">
        <f>$C$14*ReDiarioFert!G22</f>
        <v>8.086543374565904</v>
      </c>
      <c r="K33">
        <f>$C$14*ReDiarioFert!I22</f>
        <v>5.190071808908827</v>
      </c>
      <c r="M33">
        <f>$C$14*ReDiarioFert!K22</f>
        <v>10.69808357233377</v>
      </c>
      <c r="O33">
        <f>$C$14*ReDiarioFert!M22</f>
        <v>44.76032536585365</v>
      </c>
      <c r="S33">
        <f>((E33/100)*$G$92+(G33/100)*$G$93+(I33/100)*$G$94+(K33/100)*$G$95+(M33/100)*$G$96+(O33)*$G$97+(Q33*$G$98))</f>
        <v>299.2934289873479</v>
      </c>
    </row>
    <row r="34">
      <c r="B34">
        <v>17</v>
      </c>
      <c r="C34">
        <f>$I$13+B34</f>
        <v>39831</v>
      </c>
      <c r="E34">
        <f>IF($C$14*ReDiarioFert!C23&lt;=0,"0",$C$14*ReDiarioFert!C23)</f>
        <v>4.000091002096473</v>
      </c>
      <c r="G34">
        <f>$C$14*ReDiarioFert!E23</f>
        <v>1.4686521117140392</v>
      </c>
      <c r="I34">
        <f>$C$14*ReDiarioFert!G23</f>
        <v>8.086543374565904</v>
      </c>
      <c r="K34">
        <f>$C$14*ReDiarioFert!I23</f>
        <v>5.190071808908827</v>
      </c>
      <c r="M34">
        <f>$C$14*ReDiarioFert!K23</f>
        <v>10.69808357233377</v>
      </c>
      <c r="O34">
        <f>$C$14*ReDiarioFert!M23</f>
        <v>44.76032536585365</v>
      </c>
      <c r="S34">
        <f>((E34/100)*$G$92+(G34/100)*$G$93+(I34/100)*$G$94+(K34/100)*$G$95+(M34/100)*$G$96+(O34)*$G$97+(Q34*$G$98))</f>
        <v>299.2934289873479</v>
      </c>
    </row>
    <row r="35">
      <c r="B35">
        <v>18</v>
      </c>
      <c r="C35">
        <f>$I$13+B35</f>
        <v>39832</v>
      </c>
      <c r="E35">
        <f>IF($C$14*ReDiarioFert!C24&lt;=0,"0",$C$14*ReDiarioFert!C24)</f>
        <v>5.714415717280675</v>
      </c>
      <c r="G35">
        <f>$C$14*ReDiarioFert!E24</f>
        <v>2.0980744453057705</v>
      </c>
      <c r="I35">
        <f>$C$14*ReDiarioFert!G24</f>
        <v>11.552204820808436</v>
      </c>
      <c r="K35">
        <f>$C$14*ReDiarioFert!I24</f>
        <v>7.414388298441181</v>
      </c>
      <c r="M35">
        <f>$C$14*ReDiarioFert!K24</f>
        <v>15.282976531905385</v>
      </c>
      <c r="O35">
        <f>$C$14*ReDiarioFert!M24</f>
        <v>59.680108292682924</v>
      </c>
      <c r="S35">
        <f>((E35/100)*$G$92+(G35/100)*$G$93+(I35/100)*$G$94+(K35/100)*$G$95+(M35/100)*$G$96+(O35)*$G$97+(Q35*$G$98))</f>
        <v>427.39151286415546</v>
      </c>
    </row>
    <row r="36">
      <c r="B36">
        <v>19</v>
      </c>
      <c r="C36">
        <f>$I$13+B36</f>
        <v>39833</v>
      </c>
      <c r="E36">
        <f>IF($C$14*ReDiarioFert!C25&lt;=0,"0",$C$14*ReDiarioFert!C25)</f>
        <v>5.714415717280675</v>
      </c>
      <c r="G36">
        <f>$C$14*ReDiarioFert!E25</f>
        <v>2.0980744453057705</v>
      </c>
      <c r="I36">
        <f>$C$14*ReDiarioFert!G25</f>
        <v>11.552204820808436</v>
      </c>
      <c r="K36">
        <f>$C$14*ReDiarioFert!I25</f>
        <v>7.414388298441181</v>
      </c>
      <c r="M36">
        <f>$C$14*ReDiarioFert!K25</f>
        <v>15.282976531905385</v>
      </c>
      <c r="O36">
        <f>$C$14*ReDiarioFert!M25</f>
        <v>59.680108292682924</v>
      </c>
      <c r="S36">
        <f>((E36/100)*$G$92+(G36/100)*$G$93+(I36/100)*$G$94+(K36/100)*$G$95+(M36/100)*$G$96+(O36)*$G$97+(Q36*$G$98))</f>
        <v>427.39151286415546</v>
      </c>
    </row>
    <row r="37">
      <c r="B37">
        <v>20</v>
      </c>
      <c r="C37">
        <f>$I$13+B37</f>
        <v>39834</v>
      </c>
      <c r="E37">
        <f>IF($C$14*ReDiarioFert!C26&lt;=0,"0",$C$14*ReDiarioFert!C26)</f>
        <v>5.714415717280675</v>
      </c>
      <c r="G37">
        <f>$C$14*ReDiarioFert!E26</f>
        <v>2.0980744453057705</v>
      </c>
      <c r="I37">
        <f>$C$14*ReDiarioFert!G26</f>
        <v>11.552204820808436</v>
      </c>
      <c r="K37">
        <f>$C$14*ReDiarioFert!I26</f>
        <v>7.414388298441181</v>
      </c>
      <c r="M37">
        <f>$C$14*ReDiarioFert!K26</f>
        <v>15.282976531905385</v>
      </c>
      <c r="O37">
        <f>$C$14*ReDiarioFert!M26</f>
        <v>59.680108292682924</v>
      </c>
      <c r="S37">
        <f>((E37/100)*$G$92+(G37/100)*$G$93+(I37/100)*$G$94+(K37/100)*$G$95+(M37/100)*$G$96+(O37)*$G$97+(Q37*$G$98))</f>
        <v>427.39151286415546</v>
      </c>
    </row>
    <row r="38">
      <c r="B38">
        <v>21</v>
      </c>
      <c r="C38">
        <f>$I$13+B38</f>
        <v>39835</v>
      </c>
      <c r="E38">
        <f>IF($C$14*ReDiarioFert!C27&lt;=0,"0",$C$14*ReDiarioFert!C27)</f>
        <v>5.714415717280675</v>
      </c>
      <c r="G38">
        <f>$C$14*ReDiarioFert!E27</f>
        <v>2.0980744453057705</v>
      </c>
      <c r="I38">
        <f>$C$14*ReDiarioFert!G27</f>
        <v>11.552204820808436</v>
      </c>
      <c r="K38">
        <f>$C$14*ReDiarioFert!I27</f>
        <v>7.414388298441181</v>
      </c>
      <c r="M38">
        <f>$C$14*ReDiarioFert!K27</f>
        <v>15.282976531905385</v>
      </c>
      <c r="O38">
        <f>$C$14*ReDiarioFert!M27</f>
        <v>59.680108292682924</v>
      </c>
      <c r="S38">
        <f>((E38/100)*$G$92+(G38/100)*$G$93+(I38/100)*$G$94+(K38/100)*$G$95+(M38/100)*$G$96+(O38)*$G$97+(Q38*$G$98))</f>
        <v>427.39151286415546</v>
      </c>
    </row>
    <row r="39">
      <c r="A39">
        <v>4</v>
      </c>
      <c r="B39">
        <v>22</v>
      </c>
      <c r="C39">
        <f>$I$13+B39</f>
        <v>39836</v>
      </c>
      <c r="E39">
        <f>IF($C$14*ReDiarioFert!C28&lt;=0,"0",$C$14*ReDiarioFert!C28)</f>
        <v>5.171575448784793</v>
      </c>
      <c r="G39">
        <f>$C$14*ReDiarioFert!E28</f>
        <v>2.0980744453057705</v>
      </c>
      <c r="I39">
        <f>$C$14*ReDiarioFert!G28</f>
        <v>12.439038340123455</v>
      </c>
      <c r="K39">
        <f>$C$14*ReDiarioFert!I28</f>
        <v>7.983572118349814</v>
      </c>
      <c r="M39">
        <f>$C$14*ReDiarioFert!K28</f>
        <v>16.456211950912614</v>
      </c>
      <c r="O39">
        <f>$C$14*ReDiarioFert!M28</f>
        <v>59.680108292682924</v>
      </c>
      <c r="Q39">
        <f>$C$14*Main!$D$63</f>
        <v>20.019999999999996</v>
      </c>
      <c r="S39">
        <f>((E39/100)*$G$92+(G39/100)*$G$93+(I39/100)*$G$94+(K39/100)*$G$95+(M39/100)*$G$96+(O39)*$G$97+(Q39*$G$98))</f>
        <v>505.31773238654887</v>
      </c>
    </row>
    <row r="40">
      <c r="B40">
        <v>23</v>
      </c>
      <c r="C40">
        <f>$I$13+B40</f>
        <v>39837</v>
      </c>
      <c r="E40">
        <f>IF($C$14*ReDiarioFert!C29&lt;=0,"0",$C$14*ReDiarioFert!C29)</f>
        <v>5.171575448784793</v>
      </c>
      <c r="G40">
        <f>$C$14*ReDiarioFert!E29</f>
        <v>2.0980744453057705</v>
      </c>
      <c r="I40">
        <f>$C$14*ReDiarioFert!G29</f>
        <v>12.439038340123455</v>
      </c>
      <c r="K40">
        <f>$C$14*ReDiarioFert!I29</f>
        <v>7.983572118349814</v>
      </c>
      <c r="M40">
        <f>$C$14*ReDiarioFert!K29</f>
        <v>16.456211950912614</v>
      </c>
      <c r="O40">
        <f>$C$14*ReDiarioFert!M29</f>
        <v>59.680108292682924</v>
      </c>
      <c r="S40">
        <f>((E40/100)*$G$92+(G40/100)*$G$93+(I40/100)*$G$94+(K40/100)*$G$95+(M40/100)*$G$96+(O40)*$G$97+(Q40*$G$98))</f>
        <v>449.2617323865489</v>
      </c>
    </row>
    <row r="41">
      <c r="B41">
        <v>24</v>
      </c>
      <c r="C41">
        <f>$I$13+B41</f>
        <v>39838</v>
      </c>
      <c r="E41">
        <f>IF($C$14*ReDiarioFert!C30&lt;=0,"0",$C$14*ReDiarioFert!C30)</f>
        <v>5.171575448784793</v>
      </c>
      <c r="G41">
        <f>$C$14*ReDiarioFert!E30</f>
        <v>2.0980744453057705</v>
      </c>
      <c r="I41">
        <f>$C$14*ReDiarioFert!G30</f>
        <v>12.439038340123455</v>
      </c>
      <c r="K41">
        <f>$C$14*ReDiarioFert!I30</f>
        <v>7.983572118349814</v>
      </c>
      <c r="M41">
        <f>$C$14*ReDiarioFert!K30</f>
        <v>16.456211950912614</v>
      </c>
      <c r="O41">
        <f>$C$14*ReDiarioFert!M30</f>
        <v>59.680108292682924</v>
      </c>
      <c r="S41">
        <f>((E41/100)*$G$92+(G41/100)*$G$93+(I41/100)*$G$94+(K41/100)*$G$95+(M41/100)*$G$96+(O41)*$G$97+(Q41*$G$98))</f>
        <v>449.2617323865489</v>
      </c>
    </row>
    <row r="42">
      <c r="B42">
        <v>25</v>
      </c>
      <c r="C42">
        <f>$I$13+B42</f>
        <v>39839</v>
      </c>
      <c r="E42">
        <f>IF($C$14*ReDiarioFert!C31&lt;=0,"0",$C$14*ReDiarioFert!C31)</f>
        <v>5.171575448784793</v>
      </c>
      <c r="G42">
        <f>$C$14*ReDiarioFert!E31</f>
        <v>2.0980744453057705</v>
      </c>
      <c r="I42">
        <f>$C$14*ReDiarioFert!G31</f>
        <v>12.439038340123455</v>
      </c>
      <c r="K42">
        <f>$C$14*ReDiarioFert!I31</f>
        <v>7.983572118349814</v>
      </c>
      <c r="M42">
        <f>$C$14*ReDiarioFert!K31</f>
        <v>16.456211950912614</v>
      </c>
      <c r="O42">
        <f>$C$14*ReDiarioFert!M31</f>
        <v>59.680108292682924</v>
      </c>
      <c r="S42">
        <f>((E42/100)*$G$92+(G42/100)*$G$93+(I42/100)*$G$94+(K42/100)*$G$95+(M42/100)*$G$96+(O42)*$G$97+(Q42*$G$98))</f>
        <v>449.2617323865489</v>
      </c>
    </row>
    <row r="43">
      <c r="B43">
        <v>26</v>
      </c>
      <c r="C43">
        <f>$I$13+B43</f>
        <v>39840</v>
      </c>
      <c r="E43">
        <f>IF($C$14*ReDiarioFert!C32&lt;=0,"0",$C$14*ReDiarioFert!C32)</f>
        <v>5.171575448784793</v>
      </c>
      <c r="G43">
        <f>$C$14*ReDiarioFert!E32</f>
        <v>2.0980744453057705</v>
      </c>
      <c r="I43">
        <f>$C$14*ReDiarioFert!G32</f>
        <v>12.439038340123455</v>
      </c>
      <c r="K43">
        <f>$C$14*ReDiarioFert!I32</f>
        <v>7.983572118349814</v>
      </c>
      <c r="M43">
        <f>$C$14*ReDiarioFert!K32</f>
        <v>16.456211950912614</v>
      </c>
      <c r="O43">
        <f>$C$14*ReDiarioFert!M32</f>
        <v>59.680108292682924</v>
      </c>
      <c r="S43">
        <f>((E43/100)*$G$92+(G43/100)*$G$93+(I43/100)*$G$94+(K43/100)*$G$95+(M43/100)*$G$96+(O43)*$G$97+(Q43*$G$98))</f>
        <v>449.2617323865489</v>
      </c>
    </row>
    <row r="44">
      <c r="B44">
        <v>27</v>
      </c>
      <c r="C44">
        <f>$I$13+B44</f>
        <v>39841</v>
      </c>
      <c r="E44">
        <f>IF($C$14*ReDiarioFert!C33&lt;=0,"0",$C$14*ReDiarioFert!C33)</f>
        <v>5.171575448784793</v>
      </c>
      <c r="G44">
        <f>$C$14*ReDiarioFert!E33</f>
        <v>2.0980744453057705</v>
      </c>
      <c r="I44">
        <f>$C$14*ReDiarioFert!G33</f>
        <v>12.439038340123455</v>
      </c>
      <c r="K44">
        <f>$C$14*ReDiarioFert!I33</f>
        <v>7.983572118349814</v>
      </c>
      <c r="M44">
        <f>$C$14*ReDiarioFert!K33</f>
        <v>16.456211950912614</v>
      </c>
      <c r="O44">
        <f>$C$14*ReDiarioFert!M33</f>
        <v>59.680108292682924</v>
      </c>
      <c r="S44">
        <f>((E44/100)*$G$92+(G44/100)*$G$93+(I44/100)*$G$94+(K44/100)*$G$95+(M44/100)*$G$96+(O44)*$G$97+(Q44*$G$98))</f>
        <v>449.2617323865489</v>
      </c>
    </row>
    <row r="45">
      <c r="B45">
        <v>28</v>
      </c>
      <c r="C45">
        <f>$I$13+B45</f>
        <v>39842</v>
      </c>
      <c r="E45">
        <f>IF($C$14*ReDiarioFert!C34&lt;=0,"0",$C$14*ReDiarioFert!C34)</f>
        <v>5.171575448784793</v>
      </c>
      <c r="G45">
        <f>$C$14*ReDiarioFert!E34</f>
        <v>2.0980744453057705</v>
      </c>
      <c r="I45">
        <f>$C$14*ReDiarioFert!G34</f>
        <v>12.439038340123455</v>
      </c>
      <c r="K45">
        <f>$C$14*ReDiarioFert!I34</f>
        <v>7.983572118349814</v>
      </c>
      <c r="M45">
        <f>$C$14*ReDiarioFert!K34</f>
        <v>16.456211950912614</v>
      </c>
      <c r="O45">
        <f>$C$14*ReDiarioFert!M34</f>
        <v>59.680108292682924</v>
      </c>
      <c r="S45">
        <f>((E45/100)*$G$92+(G45/100)*$G$93+(I45/100)*$G$94+(K45/100)*$G$95+(M45/100)*$G$96+(O45)*$G$97+(Q45*$G$98))</f>
        <v>449.2617323865489</v>
      </c>
    </row>
    <row r="46">
      <c r="A46">
        <v>5</v>
      </c>
      <c r="B46">
        <v>29</v>
      </c>
      <c r="C46">
        <f>$I$13+B46</f>
        <v>39843</v>
      </c>
      <c r="E46">
        <f>IF($C$14*ReDiarioFert!C35&lt;=0,"0",$C$14*ReDiarioFert!C35)</f>
        <v>5.171575448784793</v>
      </c>
      <c r="G46">
        <f>$C$14*ReDiarioFert!E35</f>
        <v>2.0980744453057705</v>
      </c>
      <c r="I46">
        <f>$C$14*ReDiarioFert!G35</f>
        <v>12.439038340123455</v>
      </c>
      <c r="K46">
        <f>$C$14*ReDiarioFert!I35</f>
        <v>7.983572118349814</v>
      </c>
      <c r="M46">
        <f>$C$14*ReDiarioFert!K35</f>
        <v>16.456211950912614</v>
      </c>
      <c r="O46">
        <f>$C$14*ReDiarioFert!M35</f>
        <v>59.680108292682924</v>
      </c>
      <c r="Q46">
        <f>$C$14*Main!$D$63</f>
        <v>20.019999999999996</v>
      </c>
      <c r="S46">
        <f>((E46/100)*$G$92+(G46/100)*$G$93+(I46/100)*$G$94+(K46/100)*$G$95+(M46/100)*$G$96+(O46)*$G$97+(Q46*$G$98))</f>
        <v>505.31773238654887</v>
      </c>
    </row>
    <row r="47">
      <c r="B47">
        <v>30</v>
      </c>
      <c r="C47">
        <f>$I$13+B47</f>
        <v>39844</v>
      </c>
      <c r="E47">
        <f>IF($C$14*ReDiarioFert!C36&lt;=0,"0",$C$14*ReDiarioFert!C36)</f>
        <v>5.171575448784793</v>
      </c>
      <c r="G47">
        <f>$C$14*ReDiarioFert!E36</f>
        <v>2.0980744453057705</v>
      </c>
      <c r="I47">
        <f>$C$14*ReDiarioFert!G36</f>
        <v>12.439038340123455</v>
      </c>
      <c r="K47">
        <f>$C$14*ReDiarioFert!I36</f>
        <v>7.983572118349814</v>
      </c>
      <c r="M47">
        <f>$C$14*ReDiarioFert!K36</f>
        <v>16.456211950912614</v>
      </c>
      <c r="O47">
        <f>$C$14*ReDiarioFert!M36</f>
        <v>59.680108292682924</v>
      </c>
      <c r="S47">
        <f>((E47/100)*$G$92+(G47/100)*$G$93+(I47/100)*$G$94+(K47/100)*$G$95+(M47/100)*$G$96+(O47)*$G$97+(Q47*$G$98))</f>
        <v>449.2617323865489</v>
      </c>
    </row>
    <row r="48">
      <c r="B48">
        <v>31</v>
      </c>
      <c r="C48">
        <f>$I$13+B48</f>
        <v>39845</v>
      </c>
      <c r="E48">
        <f>IF($C$14*ReDiarioFert!C37&lt;=0,"0",$C$14*ReDiarioFert!C37)</f>
        <v>5.171575448784793</v>
      </c>
      <c r="G48">
        <f>$C$14*ReDiarioFert!E37</f>
        <v>2.0980744453057705</v>
      </c>
      <c r="I48">
        <f>$C$14*ReDiarioFert!G37</f>
        <v>12.439038340123455</v>
      </c>
      <c r="K48">
        <f>$C$14*ReDiarioFert!I37</f>
        <v>7.983572118349814</v>
      </c>
      <c r="M48">
        <f>$C$14*ReDiarioFert!K37</f>
        <v>16.456211950912614</v>
      </c>
      <c r="O48">
        <f>$C$14*ReDiarioFert!M37</f>
        <v>59.680108292682924</v>
      </c>
      <c r="S48">
        <f>((E48/100)*$G$92+(G48/100)*$G$93+(I48/100)*$G$94+(K48/100)*$G$95+(M48/100)*$G$96+(O48)*$G$97+(Q48*$G$98))</f>
        <v>449.2617323865489</v>
      </c>
    </row>
    <row r="49">
      <c r="B49">
        <v>32</v>
      </c>
      <c r="C49">
        <f>$I$13+B49</f>
        <v>39846</v>
      </c>
      <c r="E49">
        <f>IF($C$14*ReDiarioFert!C38&lt;=0,"0",$C$14*ReDiarioFert!C38)</f>
        <v>5.171575448784793</v>
      </c>
      <c r="G49">
        <f>$C$14*ReDiarioFert!E38</f>
        <v>2.0980744453057705</v>
      </c>
      <c r="I49">
        <f>$C$14*ReDiarioFert!G38</f>
        <v>12.439038340123455</v>
      </c>
      <c r="K49">
        <f>$C$14*ReDiarioFert!I38</f>
        <v>7.983572118349814</v>
      </c>
      <c r="M49">
        <f>$C$14*ReDiarioFert!K38</f>
        <v>16.456211950912614</v>
      </c>
      <c r="O49">
        <f>$C$14*ReDiarioFert!M38</f>
        <v>59.680108292682924</v>
      </c>
      <c r="S49">
        <f>((E49/100)*$G$92+(G49/100)*$G$93+(I49/100)*$G$94+(K49/100)*$G$95+(M49/100)*$G$96+(O49)*$G$97+(Q49*$G$98))</f>
        <v>449.2617323865489</v>
      </c>
    </row>
    <row r="50">
      <c r="B50">
        <v>33</v>
      </c>
      <c r="C50">
        <f>$I$13+B50</f>
        <v>39847</v>
      </c>
      <c r="E50">
        <f>IF($C$14*ReDiarioFert!C39&lt;=0,"0",$C$14*ReDiarioFert!C39)</f>
        <v>8.27452071805567</v>
      </c>
      <c r="G50">
        <f>$C$14*ReDiarioFert!E39</f>
        <v>3.356919112489233</v>
      </c>
      <c r="I50">
        <f>$C$14*ReDiarioFert!G39</f>
        <v>19.90246134419753</v>
      </c>
      <c r="K50">
        <f>$C$14*ReDiarioFert!I39</f>
        <v>12.773715389359703</v>
      </c>
      <c r="M50">
        <f>$C$14*ReDiarioFert!K39</f>
        <v>26.32993912146018</v>
      </c>
      <c r="O50">
        <f>$C$14*ReDiarioFert!M39</f>
        <v>84.54738975609757</v>
      </c>
      <c r="S50">
        <f>((E50/100)*$G$92+(G50/100)*$G$93+(I50/100)*$G$94+(K50/100)*$G$95+(M50/100)*$G$96+(O50)*$G$97+(Q50*$G$98))</f>
        <v>718.3811404779902</v>
      </c>
    </row>
    <row r="51">
      <c r="B51">
        <v>34</v>
      </c>
      <c r="C51">
        <f>$I$13+B51</f>
        <v>39848</v>
      </c>
      <c r="E51">
        <f>IF($C$14*ReDiarioFert!C40&lt;=0,"0",$C$14*ReDiarioFert!C40)</f>
        <v>8.27452071805567</v>
      </c>
      <c r="G51">
        <f>$C$14*ReDiarioFert!E40</f>
        <v>3.356919112489233</v>
      </c>
      <c r="I51">
        <f>$C$14*ReDiarioFert!G40</f>
        <v>19.90246134419753</v>
      </c>
      <c r="K51">
        <f>$C$14*ReDiarioFert!I40</f>
        <v>12.773715389359703</v>
      </c>
      <c r="M51">
        <f>$C$14*ReDiarioFert!K40</f>
        <v>26.32993912146018</v>
      </c>
      <c r="O51">
        <f>$C$14*ReDiarioFert!M40</f>
        <v>84.54738975609757</v>
      </c>
      <c r="S51">
        <f>((E51/100)*$G$92+(G51/100)*$G$93+(I51/100)*$G$94+(K51/100)*$G$95+(M51/100)*$G$96+(O51)*$G$97+(Q51*$G$98))</f>
        <v>718.3811404779902</v>
      </c>
    </row>
    <row r="52">
      <c r="B52">
        <v>35</v>
      </c>
      <c r="C52">
        <f>$I$13+B52</f>
        <v>39849</v>
      </c>
      <c r="E52">
        <f>IF($C$14*ReDiarioFert!C41&lt;=0,"0",$C$14*ReDiarioFert!C41)</f>
        <v>8.27452071805567</v>
      </c>
      <c r="G52">
        <f>$C$14*ReDiarioFert!E41</f>
        <v>3.356919112489233</v>
      </c>
      <c r="I52">
        <f>$C$14*ReDiarioFert!G41</f>
        <v>19.90246134419753</v>
      </c>
      <c r="K52">
        <f>$C$14*ReDiarioFert!I41</f>
        <v>12.773715389359703</v>
      </c>
      <c r="M52">
        <f>$C$14*ReDiarioFert!K41</f>
        <v>26.32993912146018</v>
      </c>
      <c r="O52">
        <f>$C$14*ReDiarioFert!M41</f>
        <v>84.54738975609757</v>
      </c>
      <c r="S52">
        <f>((E52/100)*$G$92+(G52/100)*$G$93+(I52/100)*$G$94+(K52/100)*$G$95+(M52/100)*$G$96+(O52)*$G$97+(Q52*$G$98))</f>
        <v>718.3811404779902</v>
      </c>
    </row>
    <row r="53">
      <c r="A53">
        <v>6</v>
      </c>
      <c r="B53">
        <v>36</v>
      </c>
      <c r="C53">
        <f>$I$13+B53</f>
        <v>39850</v>
      </c>
      <c r="E53">
        <f>IF($C$14*ReDiarioFert!C42&lt;=0,"0",$C$14*ReDiarioFert!C42)</f>
        <v>8.27452071805567</v>
      </c>
      <c r="G53">
        <f>$C$14*ReDiarioFert!E42</f>
        <v>3.356919112489233</v>
      </c>
      <c r="I53">
        <f>$C$14*ReDiarioFert!G42</f>
        <v>19.90246134419753</v>
      </c>
      <c r="K53">
        <f>$C$14*ReDiarioFert!I42</f>
        <v>12.773715389359703</v>
      </c>
      <c r="M53">
        <f>$C$14*ReDiarioFert!K42</f>
        <v>26.32993912146018</v>
      </c>
      <c r="O53">
        <f>$C$14*ReDiarioFert!M42</f>
        <v>84.54738975609757</v>
      </c>
      <c r="Q53">
        <f>$C$14*Main!$D$63</f>
        <v>20.019999999999996</v>
      </c>
      <c r="S53">
        <f>((E53/100)*$G$92+(G53/100)*$G$93+(I53/100)*$G$94+(K53/100)*$G$95+(M53/100)*$G$96+(O53)*$G$97+(Q53*$G$98))</f>
        <v>774.4371404779902</v>
      </c>
    </row>
    <row r="54">
      <c r="B54">
        <v>37</v>
      </c>
      <c r="C54">
        <f>$I$13+B54</f>
        <v>39851</v>
      </c>
      <c r="E54">
        <f>IF($C$14*ReDiarioFert!C43&lt;=0,"0",$C$14*ReDiarioFert!C43)</f>
        <v>8.27452071805567</v>
      </c>
      <c r="G54">
        <f>$C$14*ReDiarioFert!E43</f>
        <v>3.356919112489233</v>
      </c>
      <c r="I54">
        <f>$C$14*ReDiarioFert!G43</f>
        <v>19.90246134419753</v>
      </c>
      <c r="K54">
        <f>$C$14*ReDiarioFert!I43</f>
        <v>12.773715389359703</v>
      </c>
      <c r="M54">
        <f>$C$14*ReDiarioFert!K43</f>
        <v>26.32993912146018</v>
      </c>
      <c r="O54">
        <f>$C$14*ReDiarioFert!M43</f>
        <v>84.54738975609757</v>
      </c>
      <c r="S54">
        <f>((E54/100)*$G$92+(G54/100)*$G$93+(I54/100)*$G$94+(K54/100)*$G$95+(M54/100)*$G$96+(O54)*$G$97+(Q54*$G$98))</f>
        <v>718.3811404779902</v>
      </c>
    </row>
    <row r="55">
      <c r="B55">
        <v>38</v>
      </c>
      <c r="C55">
        <f>$I$13+B55</f>
        <v>39852</v>
      </c>
      <c r="E55">
        <f>IF($C$14*ReDiarioFert!C44&lt;=0,"0",$C$14*ReDiarioFert!C44)</f>
        <v>8.27452071805567</v>
      </c>
      <c r="G55">
        <f>$C$14*ReDiarioFert!E44</f>
        <v>3.356919112489233</v>
      </c>
      <c r="I55">
        <f>$C$14*ReDiarioFert!G44</f>
        <v>19.90246134419753</v>
      </c>
      <c r="K55">
        <f>$C$14*ReDiarioFert!I44</f>
        <v>12.773715389359703</v>
      </c>
      <c r="M55">
        <f>$C$14*ReDiarioFert!K44</f>
        <v>26.32993912146018</v>
      </c>
      <c r="O55">
        <f>$C$14*ReDiarioFert!M44</f>
        <v>84.54738975609757</v>
      </c>
      <c r="S55">
        <f>((E55/100)*$G$92+(G55/100)*$G$93+(I55/100)*$G$94+(K55/100)*$G$95+(M55/100)*$G$96+(O55)*$G$97+(Q55*$G$98))</f>
        <v>718.3811404779902</v>
      </c>
    </row>
    <row r="56">
      <c r="B56">
        <v>39</v>
      </c>
      <c r="C56">
        <f>$I$13+B56</f>
        <v>39853</v>
      </c>
      <c r="E56">
        <f>IF($C$14*ReDiarioFert!C45&lt;=0,"0",$C$14*ReDiarioFert!C45)</f>
        <v>8.27452071805567</v>
      </c>
      <c r="G56">
        <f>$C$14*ReDiarioFert!E45</f>
        <v>3.356919112489233</v>
      </c>
      <c r="I56">
        <f>$C$14*ReDiarioFert!G45</f>
        <v>19.90246134419753</v>
      </c>
      <c r="K56">
        <f>$C$14*ReDiarioFert!I45</f>
        <v>12.773715389359703</v>
      </c>
      <c r="M56">
        <f>$C$14*ReDiarioFert!K45</f>
        <v>26.32993912146018</v>
      </c>
      <c r="O56">
        <f>$C$14*ReDiarioFert!M45</f>
        <v>84.54738975609757</v>
      </c>
      <c r="S56">
        <f>((E56/100)*$G$92+(G56/100)*$G$93+(I56/100)*$G$94+(K56/100)*$G$95+(M56/100)*$G$96+(O56)*$G$97+(Q56*$G$98))</f>
        <v>718.3811404779902</v>
      </c>
    </row>
    <row r="57">
      <c r="B57">
        <v>40</v>
      </c>
      <c r="C57">
        <f>$I$13+B57</f>
        <v>39854</v>
      </c>
      <c r="E57">
        <f>IF($C$14*ReDiarioFert!C46&lt;=0,"0",$C$14*ReDiarioFert!C46)</f>
        <v>8.27452071805567</v>
      </c>
      <c r="G57">
        <f>$C$14*ReDiarioFert!E46</f>
        <v>3.356919112489233</v>
      </c>
      <c r="I57">
        <f>$C$14*ReDiarioFert!G46</f>
        <v>19.90246134419753</v>
      </c>
      <c r="K57">
        <f>$C$14*ReDiarioFert!I46</f>
        <v>12.773715389359703</v>
      </c>
      <c r="M57">
        <f>$C$14*ReDiarioFert!K46</f>
        <v>26.32993912146018</v>
      </c>
      <c r="O57">
        <f>$C$14*ReDiarioFert!M46</f>
        <v>84.54738975609757</v>
      </c>
      <c r="S57">
        <f>((E57/100)*$G$92+(G57/100)*$G$93+(I57/100)*$G$94+(K57/100)*$G$95+(M57/100)*$G$96+(O57)*$G$97+(Q57*$G$98))</f>
        <v>718.3811404779902</v>
      </c>
    </row>
    <row r="58">
      <c r="B58">
        <v>41</v>
      </c>
      <c r="C58">
        <f>$I$13+B58</f>
        <v>39855</v>
      </c>
      <c r="E58">
        <f>IF($C$14*ReDiarioFert!C47&lt;=0,"0",$C$14*ReDiarioFert!C47)</f>
        <v>8.27452071805567</v>
      </c>
      <c r="G58">
        <f>$C$14*ReDiarioFert!E47</f>
        <v>3.356919112489233</v>
      </c>
      <c r="I58">
        <f>$C$14*ReDiarioFert!G47</f>
        <v>19.90246134419753</v>
      </c>
      <c r="K58">
        <f>$C$14*ReDiarioFert!I47</f>
        <v>12.773715389359703</v>
      </c>
      <c r="M58">
        <f>$C$14*ReDiarioFert!K47</f>
        <v>26.32993912146018</v>
      </c>
      <c r="O58">
        <f>$C$14*ReDiarioFert!M47</f>
        <v>84.54738975609757</v>
      </c>
      <c r="S58">
        <f>((E58/100)*$G$92+(G58/100)*$G$93+(I58/100)*$G$94+(K58/100)*$G$95+(M58/100)*$G$96+(O58)*$G$97+(Q58*$G$98))</f>
        <v>718.3811404779902</v>
      </c>
    </row>
    <row r="59">
      <c r="B59">
        <v>42</v>
      </c>
      <c r="C59">
        <f>$I$13+B59</f>
        <v>39856</v>
      </c>
      <c r="E59">
        <f>IF($C$14*ReDiarioFert!C48&lt;=0,"0",$C$14*ReDiarioFert!C48)</f>
        <v>8.27452071805567</v>
      </c>
      <c r="G59">
        <f>$C$14*ReDiarioFert!E48</f>
        <v>3.356919112489233</v>
      </c>
      <c r="I59">
        <f>$C$14*ReDiarioFert!G48</f>
        <v>19.90246134419753</v>
      </c>
      <c r="K59">
        <f>$C$14*ReDiarioFert!I48</f>
        <v>12.773715389359703</v>
      </c>
      <c r="M59">
        <f>$C$14*ReDiarioFert!K48</f>
        <v>26.32993912146018</v>
      </c>
      <c r="O59">
        <f>$C$14*ReDiarioFert!M48</f>
        <v>84.54738975609757</v>
      </c>
      <c r="S59">
        <f>((E59/100)*$G$92+(G59/100)*$G$93+(I59/100)*$G$94+(K59/100)*$G$95+(M59/100)*$G$96+(O59)*$G$97+(Q59*$G$98))</f>
        <v>718.3811404779902</v>
      </c>
    </row>
    <row r="60">
      <c r="A60">
        <v>7</v>
      </c>
      <c r="B60">
        <v>43</v>
      </c>
      <c r="C60">
        <f>$I$13+B60</f>
        <v>39857</v>
      </c>
      <c r="E60">
        <f>IF($C$14*ReDiarioFert!C49&lt;=0,"0",$C$14*ReDiarioFert!C49)</f>
        <v>5.838018888905623</v>
      </c>
      <c r="G60">
        <f>$C$14*ReDiarioFert!E49</f>
        <v>3.356919112489233</v>
      </c>
      <c r="I60">
        <f>$C$14*ReDiarioFert!G49</f>
        <v>23.882953613037035</v>
      </c>
      <c r="K60">
        <f>$C$14*ReDiarioFert!I49</f>
        <v>15.328458467231647</v>
      </c>
      <c r="M60">
        <f>$C$14*ReDiarioFert!K49</f>
        <v>31.59592694575222</v>
      </c>
      <c r="O60">
        <f>$C$14*ReDiarioFert!M49</f>
        <v>84.54738975609757</v>
      </c>
      <c r="Q60">
        <f>$C$14*Main!$D$63</f>
        <v>20.019999999999996</v>
      </c>
      <c r="S60">
        <f>((E60/100)*$G$92+(G60/100)*$G$93+(I60/100)*$G$94+(K60/100)*$G$95+(M60/100)*$G$96+(O60)*$G$97+(Q60*$G$98))</f>
        <v>872.6001415719827</v>
      </c>
    </row>
    <row r="61">
      <c r="B61">
        <v>44</v>
      </c>
      <c r="C61">
        <f>$I$13+B61</f>
        <v>39858</v>
      </c>
      <c r="E61">
        <f>IF($C$14*ReDiarioFert!C50&lt;=0,"0",$C$14*ReDiarioFert!C50)</f>
        <v>5.838018888905623</v>
      </c>
      <c r="G61">
        <f>$C$14*ReDiarioFert!E50</f>
        <v>3.356919112489233</v>
      </c>
      <c r="I61">
        <f>$C$14*ReDiarioFert!G50</f>
        <v>23.882953613037035</v>
      </c>
      <c r="K61">
        <f>$C$14*ReDiarioFert!I50</f>
        <v>15.328458467231647</v>
      </c>
      <c r="M61">
        <f>$C$14*ReDiarioFert!K50</f>
        <v>31.59592694575222</v>
      </c>
      <c r="O61">
        <f>$C$14*ReDiarioFert!M50</f>
        <v>84.54738975609757</v>
      </c>
      <c r="S61">
        <f>((E61/100)*$G$92+(G61/100)*$G$93+(I61/100)*$G$94+(K61/100)*$G$95+(M61/100)*$G$96+(O61)*$G$97+(Q61*$G$98))</f>
        <v>816.5441415719827</v>
      </c>
    </row>
    <row r="62">
      <c r="B62">
        <v>45</v>
      </c>
      <c r="C62">
        <f>$I$13+B62</f>
        <v>39859</v>
      </c>
      <c r="E62">
        <f>IF($C$14*ReDiarioFert!C51&lt;=0,"0",$C$14*ReDiarioFert!C51)</f>
        <v>5.838018888905623</v>
      </c>
      <c r="G62">
        <f>$C$14*ReDiarioFert!E51</f>
        <v>3.356919112489233</v>
      </c>
      <c r="I62">
        <f>$C$14*ReDiarioFert!G51</f>
        <v>23.882953613037035</v>
      </c>
      <c r="K62">
        <f>$C$14*ReDiarioFert!I51</f>
        <v>15.328458467231647</v>
      </c>
      <c r="M62">
        <f>$C$14*ReDiarioFert!K51</f>
        <v>31.59592694575222</v>
      </c>
      <c r="O62">
        <f>$C$14*ReDiarioFert!M51</f>
        <v>84.54738975609757</v>
      </c>
      <c r="S62">
        <f>((E62/100)*$G$92+(G62/100)*$G$93+(I62/100)*$G$94+(K62/100)*$G$95+(M62/100)*$G$96+(O62)*$G$97+(Q62*$G$98))</f>
        <v>816.5441415719827</v>
      </c>
    </row>
    <row r="63">
      <c r="B63">
        <v>46</v>
      </c>
      <c r="C63">
        <f>$I$13+B63</f>
        <v>39860</v>
      </c>
      <c r="E63">
        <f>IF($C$14*ReDiarioFert!C52&lt;=0,"0",$C$14*ReDiarioFert!C52)</f>
        <v>5.838018888905623</v>
      </c>
      <c r="G63">
        <f>$C$14*ReDiarioFert!E52</f>
        <v>3.356919112489233</v>
      </c>
      <c r="I63">
        <f>$C$14*ReDiarioFert!G52</f>
        <v>23.882953613037035</v>
      </c>
      <c r="K63">
        <f>$C$14*ReDiarioFert!I52</f>
        <v>15.328458467231647</v>
      </c>
      <c r="M63">
        <f>$C$14*ReDiarioFert!K52</f>
        <v>31.59592694575222</v>
      </c>
      <c r="O63">
        <f>$C$14*ReDiarioFert!M52</f>
        <v>84.54738975609757</v>
      </c>
      <c r="S63">
        <f>((E63/100)*$G$92+(G63/100)*$G$93+(I63/100)*$G$94+(K63/100)*$G$95+(M63/100)*$G$96+(O63)*$G$97+(Q63*$G$98))</f>
        <v>816.5441415719827</v>
      </c>
    </row>
    <row r="64">
      <c r="B64">
        <v>47</v>
      </c>
      <c r="C64">
        <f>$I$13+B64</f>
        <v>39861</v>
      </c>
      <c r="E64">
        <f>IF($C$14*ReDiarioFert!C53&lt;=0,"0",$C$14*ReDiarioFert!C53)</f>
        <v>5.838018888905623</v>
      </c>
      <c r="G64">
        <f>$C$14*ReDiarioFert!E53</f>
        <v>3.356919112489233</v>
      </c>
      <c r="I64">
        <f>$C$14*ReDiarioFert!G53</f>
        <v>23.882953613037035</v>
      </c>
      <c r="K64">
        <f>$C$14*ReDiarioFert!I53</f>
        <v>15.328458467231647</v>
      </c>
      <c r="M64">
        <f>$C$14*ReDiarioFert!K53</f>
        <v>31.59592694575222</v>
      </c>
      <c r="O64">
        <f>$C$14*ReDiarioFert!M53</f>
        <v>84.54738975609757</v>
      </c>
      <c r="S64">
        <f>((E64/100)*$G$92+(G64/100)*$G$93+(I64/100)*$G$94+(K64/100)*$G$95+(M64/100)*$G$96+(O64)*$G$97+(Q64*$G$98))</f>
        <v>816.5441415719827</v>
      </c>
    </row>
    <row r="65">
      <c r="B65">
        <v>48</v>
      </c>
      <c r="C65">
        <f>$I$13+B65</f>
        <v>39862</v>
      </c>
      <c r="E65">
        <f>IF($C$14*ReDiarioFert!C54&lt;=0,"0",$C$14*ReDiarioFert!C54)</f>
        <v>8.027275972245224</v>
      </c>
      <c r="G65">
        <f>$C$14*ReDiarioFert!E54</f>
        <v>4.615763779672696</v>
      </c>
      <c r="I65">
        <f>$C$14*ReDiarioFert!G54</f>
        <v>32.839061217925924</v>
      </c>
      <c r="K65">
        <f>$C$14*ReDiarioFert!I54</f>
        <v>21.076630392443516</v>
      </c>
      <c r="M65">
        <f>$C$14*ReDiarioFert!K54</f>
        <v>43.44439955040931</v>
      </c>
      <c r="O65">
        <f>$C$14*ReDiarioFert!M54</f>
        <v>114.387443902439</v>
      </c>
      <c r="S65">
        <f>((E65/100)*$G$92+(G65/100)*$G$93+(I65/100)*$G$94+(K65/100)*$G$95+(M65/100)*$G$96+(O65)*$G$97+(Q65*$G$98))</f>
        <v>1122.6735859809885</v>
      </c>
    </row>
    <row r="66">
      <c r="B66">
        <v>49</v>
      </c>
      <c r="C66">
        <f>$I$13+B66</f>
        <v>39863</v>
      </c>
      <c r="E66">
        <f>IF($C$14*ReDiarioFert!C55&lt;=0,"0",$C$14*ReDiarioFert!C55)</f>
        <v>8.027275972245224</v>
      </c>
      <c r="G66">
        <f>$C$14*ReDiarioFert!E55</f>
        <v>4.615763779672696</v>
      </c>
      <c r="I66">
        <f>$C$14*ReDiarioFert!G55</f>
        <v>32.839061217925924</v>
      </c>
      <c r="K66">
        <f>$C$14*ReDiarioFert!I55</f>
        <v>21.076630392443516</v>
      </c>
      <c r="M66">
        <f>$C$14*ReDiarioFert!K55</f>
        <v>43.44439955040931</v>
      </c>
      <c r="O66">
        <f>$C$14*ReDiarioFert!M55</f>
        <v>114.387443902439</v>
      </c>
      <c r="S66">
        <f>((E66/100)*$G$92+(G66/100)*$G$93+(I66/100)*$G$94+(K66/100)*$G$95+(M66/100)*$G$96+(O66)*$G$97+(Q66*$G$98))</f>
        <v>1122.6735859809885</v>
      </c>
    </row>
    <row r="67">
      <c r="A67">
        <v>8</v>
      </c>
      <c r="B67">
        <v>50</v>
      </c>
      <c r="C67">
        <f>$I$13+B67</f>
        <v>39864</v>
      </c>
      <c r="E67">
        <f>IF($C$14*ReDiarioFert!C56&lt;=0,"0",$C$14*ReDiarioFert!C56)</f>
        <v>8.027275972245224</v>
      </c>
      <c r="G67">
        <f>$C$14*ReDiarioFert!E56</f>
        <v>4.615763779672696</v>
      </c>
      <c r="I67">
        <f>$C$14*ReDiarioFert!G56</f>
        <v>32.839061217925924</v>
      </c>
      <c r="K67">
        <f>$C$14*ReDiarioFert!I56</f>
        <v>21.076630392443516</v>
      </c>
      <c r="M67">
        <f>$C$14*ReDiarioFert!K56</f>
        <v>43.44439955040931</v>
      </c>
      <c r="O67">
        <f>$C$14*ReDiarioFert!M56</f>
        <v>114.387443902439</v>
      </c>
      <c r="Q67">
        <f>$C$14*Main!$D$63</f>
        <v>20.019999999999996</v>
      </c>
      <c r="S67">
        <f>((E67/100)*$G$92+(G67/100)*$G$93+(I67/100)*$G$94+(K67/100)*$G$95+(M67/100)*$G$96+(O67)*$G$97+(Q67*$G$98))</f>
        <v>1178.7295859809885</v>
      </c>
    </row>
    <row r="68">
      <c r="B68">
        <v>51</v>
      </c>
      <c r="C68">
        <f>$I$13+B68</f>
        <v>39865</v>
      </c>
      <c r="E68">
        <f>IF($C$14*ReDiarioFert!C57&lt;=0,"0",$C$14*ReDiarioFert!C57)</f>
        <v>8.027275972245224</v>
      </c>
      <c r="G68">
        <f>$C$14*ReDiarioFert!E57</f>
        <v>4.615763779672696</v>
      </c>
      <c r="I68">
        <f>$C$14*ReDiarioFert!G57</f>
        <v>32.839061217925924</v>
      </c>
      <c r="K68">
        <f>$C$14*ReDiarioFert!I57</f>
        <v>21.076630392443516</v>
      </c>
      <c r="M68">
        <f>$C$14*ReDiarioFert!K57</f>
        <v>43.44439955040931</v>
      </c>
      <c r="O68">
        <f>$C$14*ReDiarioFert!M57</f>
        <v>114.387443902439</v>
      </c>
      <c r="S68">
        <f>((E68/100)*$G$92+(G68/100)*$G$93+(I68/100)*$G$94+(K68/100)*$G$95+(M68/100)*$G$96+(O68)*$G$97+(Q68*$G$98))</f>
        <v>1122.6735859809885</v>
      </c>
    </row>
    <row r="69">
      <c r="B69">
        <v>52</v>
      </c>
      <c r="C69">
        <f>$I$13+B69</f>
        <v>39866</v>
      </c>
      <c r="E69">
        <f>IF($C$14*ReDiarioFert!C58&lt;=0,"0",$C$14*ReDiarioFert!C58)</f>
        <v>8.027275972245224</v>
      </c>
      <c r="G69">
        <f>$C$14*ReDiarioFert!E58</f>
        <v>4.615763779672696</v>
      </c>
      <c r="I69">
        <f>$C$14*ReDiarioFert!G58</f>
        <v>32.839061217925924</v>
      </c>
      <c r="K69">
        <f>$C$14*ReDiarioFert!I58</f>
        <v>21.076630392443516</v>
      </c>
      <c r="M69">
        <f>$C$14*ReDiarioFert!K58</f>
        <v>43.44439955040931</v>
      </c>
      <c r="O69">
        <f>$C$14*ReDiarioFert!M58</f>
        <v>114.387443902439</v>
      </c>
      <c r="S69">
        <f>((E69/100)*$G$92+(G69/100)*$G$93+(I69/100)*$G$94+(K69/100)*$G$95+(M69/100)*$G$96+(O69)*$G$97+(Q69*$G$98))</f>
        <v>1122.6735859809885</v>
      </c>
    </row>
    <row r="70">
      <c r="B70">
        <v>53</v>
      </c>
      <c r="C70">
        <f>$I$13+B70</f>
        <v>39867</v>
      </c>
      <c r="E70">
        <f>IF($C$14*ReDiarioFert!C59&lt;=0,"0",$C$14*ReDiarioFert!C59)</f>
        <v>8.027275972245224</v>
      </c>
      <c r="G70">
        <f>$C$14*ReDiarioFert!E59</f>
        <v>4.615763779672696</v>
      </c>
      <c r="I70">
        <f>$C$14*ReDiarioFert!G59</f>
        <v>32.839061217925924</v>
      </c>
      <c r="K70">
        <f>$C$14*ReDiarioFert!I59</f>
        <v>21.076630392443516</v>
      </c>
      <c r="M70">
        <f>$C$14*ReDiarioFert!K59</f>
        <v>43.44439955040931</v>
      </c>
      <c r="O70">
        <f>$C$14*ReDiarioFert!M59</f>
        <v>114.387443902439</v>
      </c>
      <c r="S70">
        <f>((E70/100)*$G$92+(G70/100)*$G$93+(I70/100)*$G$94+(K70/100)*$G$95+(M70/100)*$G$96+(O70)*$G$97+(Q70*$G$98))</f>
        <v>1122.6735859809885</v>
      </c>
    </row>
    <row r="71">
      <c r="B71">
        <v>54</v>
      </c>
      <c r="C71">
        <f>$I$13+B71</f>
        <v>39868</v>
      </c>
      <c r="E71">
        <f>IF($C$14*ReDiarioFert!C60&lt;=0,"0",$C$14*ReDiarioFert!C60)</f>
        <v>8.027275972245224</v>
      </c>
      <c r="G71">
        <f>$C$14*ReDiarioFert!E60</f>
        <v>4.615763779672696</v>
      </c>
      <c r="I71">
        <f>$C$14*ReDiarioFert!G60</f>
        <v>32.839061217925924</v>
      </c>
      <c r="K71">
        <f>$C$14*ReDiarioFert!I60</f>
        <v>21.076630392443516</v>
      </c>
      <c r="M71">
        <f>$C$14*ReDiarioFert!K60</f>
        <v>43.44439955040931</v>
      </c>
      <c r="O71">
        <f>$C$14*ReDiarioFert!M60</f>
        <v>114.387443902439</v>
      </c>
      <c r="S71">
        <f>((E71/100)*$G$92+(G71/100)*$G$93+(I71/100)*$G$94+(K71/100)*$G$95+(M71/100)*$G$96+(O71)*$G$97+(Q71*$G$98))</f>
        <v>1122.6735859809885</v>
      </c>
    </row>
    <row r="72">
      <c r="B72">
        <v>55</v>
      </c>
      <c r="C72">
        <f>$I$13+B72</f>
        <v>39869</v>
      </c>
      <c r="E72">
        <f>IF($C$14*ReDiarioFert!C61&lt;=0,"0",$C$14*ReDiarioFert!C61)</f>
        <v>8.027275972245224</v>
      </c>
      <c r="G72">
        <f>$C$14*ReDiarioFert!E61</f>
        <v>4.615763779672696</v>
      </c>
      <c r="I72">
        <f>$C$14*ReDiarioFert!G61</f>
        <v>32.839061217925924</v>
      </c>
      <c r="K72">
        <f>$C$14*ReDiarioFert!I61</f>
        <v>21.076630392443516</v>
      </c>
      <c r="M72">
        <f>$C$14*ReDiarioFert!K61</f>
        <v>43.44439955040931</v>
      </c>
      <c r="O72">
        <f>$C$14*ReDiarioFert!M61</f>
        <v>114.387443902439</v>
      </c>
      <c r="S72">
        <f>((E72/100)*$G$92+(G72/100)*$G$93+(I72/100)*$G$94+(K72/100)*$G$95+(M72/100)*$G$96+(O72)*$G$97+(Q72*$G$98))</f>
        <v>1122.6735859809885</v>
      </c>
    </row>
    <row r="73">
      <c r="B73">
        <v>56</v>
      </c>
      <c r="C73">
        <f>$I$13+B73</f>
        <v>39870</v>
      </c>
      <c r="E73">
        <f>IF($C$14*ReDiarioFert!C62&lt;=0,"0",$C$14*ReDiarioFert!C62)</f>
        <v>8.027275972245224</v>
      </c>
      <c r="G73">
        <f>$C$14*ReDiarioFert!E62</f>
        <v>4.615763779672696</v>
      </c>
      <c r="I73">
        <f>$C$14*ReDiarioFert!G62</f>
        <v>32.839061217925924</v>
      </c>
      <c r="K73">
        <f>$C$14*ReDiarioFert!I62</f>
        <v>21.076630392443516</v>
      </c>
      <c r="M73">
        <f>$C$14*ReDiarioFert!K62</f>
        <v>43.44439955040931</v>
      </c>
      <c r="O73">
        <f>$C$14*ReDiarioFert!M62</f>
        <v>114.387443902439</v>
      </c>
      <c r="S73">
        <f>((E73/100)*$G$92+(G73/100)*$G$93+(I73/100)*$G$94+(K73/100)*$G$95+(M73/100)*$G$96+(O73)*$G$97+(Q73*$G$98))</f>
        <v>1122.6735859809885</v>
      </c>
    </row>
    <row r="74">
      <c r="A74">
        <v>9</v>
      </c>
      <c r="B74">
        <v>57</v>
      </c>
      <c r="C74">
        <f>$I$13+B74</f>
        <v>39871</v>
      </c>
      <c r="E74">
        <f>IF($C$14*ReDiarioFert!C63&lt;=0,"0",$C$14*ReDiarioFert!C63)</f>
        <v>8.027275972245224</v>
      </c>
      <c r="G74">
        <f>$C$14*ReDiarioFert!E63</f>
        <v>4.615763779672696</v>
      </c>
      <c r="I74">
        <f>$C$14*ReDiarioFert!G63</f>
        <v>32.839061217925924</v>
      </c>
      <c r="K74">
        <f>$C$14*ReDiarioFert!I63</f>
        <v>21.076630392443516</v>
      </c>
      <c r="M74">
        <f>$C$14*ReDiarioFert!K63</f>
        <v>43.44439955040931</v>
      </c>
      <c r="O74">
        <f>$C$14*ReDiarioFert!M63</f>
        <v>114.387443902439</v>
      </c>
      <c r="Q74">
        <f>$C$14*Main!$D$63</f>
        <v>20.019999999999996</v>
      </c>
      <c r="S74">
        <f>((E74/100)*$G$92+(G74/100)*$G$93+(I74/100)*$G$94+(K74/100)*$G$95+(M74/100)*$G$96+(O74)*$G$97+(Q74*$G$98))</f>
        <v>1178.7295859809885</v>
      </c>
    </row>
    <row r="75">
      <c r="B75">
        <v>58</v>
      </c>
      <c r="C75">
        <f>$I$13+B75</f>
        <v>39872</v>
      </c>
      <c r="E75">
        <f>IF($C$14*ReDiarioFert!C64&lt;=0,"0",$C$14*ReDiarioFert!C64)</f>
        <v>8.027275972245224</v>
      </c>
      <c r="G75">
        <f>$C$14*ReDiarioFert!E64</f>
        <v>4.615763779672696</v>
      </c>
      <c r="I75">
        <f>$C$14*ReDiarioFert!G64</f>
        <v>32.839061217925924</v>
      </c>
      <c r="K75">
        <f>$C$14*ReDiarioFert!I64</f>
        <v>21.076630392443516</v>
      </c>
      <c r="M75">
        <f>$C$14*ReDiarioFert!K64</f>
        <v>43.44439955040931</v>
      </c>
      <c r="O75">
        <f>$C$14*ReDiarioFert!M64</f>
        <v>114.387443902439</v>
      </c>
      <c r="S75">
        <f>((E75/100)*$G$92+(G75/100)*$G$93+(I75/100)*$G$94+(K75/100)*$G$95+(M75/100)*$G$96+(O75)*$G$97+(Q75*$G$98))</f>
        <v>1122.6735859809885</v>
      </c>
    </row>
    <row r="76">
      <c r="B76">
        <v>59</v>
      </c>
      <c r="C76">
        <f>$I$13+B76</f>
        <v>39873</v>
      </c>
      <c r="E76">
        <f>IF($C$14*ReDiarioFert!C65&lt;=0,"0",$C$14*ReDiarioFert!C65)</f>
        <v>8.027275972245224</v>
      </c>
      <c r="G76">
        <f>$C$14*ReDiarioFert!E65</f>
        <v>4.615763779672696</v>
      </c>
      <c r="I76">
        <f>$C$14*ReDiarioFert!G65</f>
        <v>32.839061217925924</v>
      </c>
      <c r="K76">
        <f>$C$14*ReDiarioFert!I65</f>
        <v>21.076630392443516</v>
      </c>
      <c r="M76">
        <f>$C$14*ReDiarioFert!K65</f>
        <v>43.44439955040931</v>
      </c>
      <c r="O76">
        <f>$C$14*ReDiarioFert!M65</f>
        <v>114.387443902439</v>
      </c>
      <c r="S76">
        <f>((E76/100)*$G$92+(G76/100)*$G$93+(I76/100)*$G$94+(K76/100)*$G$95+(M76/100)*$G$96+(O76)*$G$97+(Q76*$G$98))</f>
        <v>1122.6735859809885</v>
      </c>
    </row>
    <row r="77">
      <c r="B77">
        <v>60</v>
      </c>
      <c r="C77">
        <f>$I$13+B77</f>
        <v>39874</v>
      </c>
      <c r="E77">
        <f>IF($C$14*ReDiarioFert!C66&lt;=0,"0",$C$14*ReDiarioFert!C66)</f>
        <v>8.027275972245224</v>
      </c>
      <c r="G77">
        <f>$C$14*ReDiarioFert!E66</f>
        <v>4.615763779672696</v>
      </c>
      <c r="I77">
        <f>$C$14*ReDiarioFert!G66</f>
        <v>32.839061217925924</v>
      </c>
      <c r="K77">
        <f>$C$14*ReDiarioFert!I66</f>
        <v>21.076630392443516</v>
      </c>
      <c r="M77">
        <f>$C$14*ReDiarioFert!K66</f>
        <v>43.44439955040931</v>
      </c>
      <c r="O77">
        <f>$C$14*ReDiarioFert!M66</f>
        <v>114.387443902439</v>
      </c>
      <c r="S77">
        <f>((E77/100)*$G$92+(G77/100)*$G$93+(I77/100)*$G$94+(K77/100)*$G$95+(M77/100)*$G$96+(O77)*$G$97+(Q77*$G$98))</f>
        <v>1122.6735859809885</v>
      </c>
    </row>
    <row r="78">
      <c r="B78">
        <v>61</v>
      </c>
      <c r="C78">
        <f>$I$13+B78</f>
        <v>39875</v>
      </c>
      <c r="E78">
        <f>IF($C$14*ReDiarioFert!C67&lt;=0,"0",$C$14*ReDiarioFert!C67)</f>
        <v>8.027275972245224</v>
      </c>
      <c r="G78">
        <f>$C$14*ReDiarioFert!E67</f>
        <v>4.615763779672696</v>
      </c>
      <c r="I78">
        <f>$C$14*ReDiarioFert!G67</f>
        <v>32.839061217925924</v>
      </c>
      <c r="K78">
        <f>$C$14*ReDiarioFert!I67</f>
        <v>21.076630392443516</v>
      </c>
      <c r="M78">
        <f>$C$14*ReDiarioFert!K67</f>
        <v>43.44439955040931</v>
      </c>
      <c r="O78">
        <f>$C$14*ReDiarioFert!M67</f>
        <v>114.387443902439</v>
      </c>
      <c r="S78">
        <f>((E78/100)*$G$92+(G78/100)*$G$93+(I78/100)*$G$94+(K78/100)*$G$95+(M78/100)*$G$96+(O78)*$G$97+(Q78*$G$98))</f>
        <v>1122.6735859809885</v>
      </c>
    </row>
    <row r="79">
      <c r="B79">
        <v>62</v>
      </c>
      <c r="C79">
        <f>$I$13+B79</f>
        <v>39876</v>
      </c>
      <c r="E79">
        <f>IF($C$14*ReDiarioFert!C68&lt;=0,"0",$C$14*ReDiarioFert!C68)</f>
        <v>8.027275972245224</v>
      </c>
      <c r="G79">
        <f>$C$14*ReDiarioFert!E68</f>
        <v>4.615763779672696</v>
      </c>
      <c r="I79">
        <f>$C$14*ReDiarioFert!G68</f>
        <v>32.839061217925924</v>
      </c>
      <c r="K79">
        <f>$C$14*ReDiarioFert!I68</f>
        <v>21.076630392443516</v>
      </c>
      <c r="M79">
        <f>$C$14*ReDiarioFert!K68</f>
        <v>43.44439955040931</v>
      </c>
      <c r="O79">
        <f>$C$14*ReDiarioFert!M68</f>
        <v>114.387443902439</v>
      </c>
      <c r="S79">
        <f>((E79/100)*$G$92+(G79/100)*$G$93+(I79/100)*$G$94+(K79/100)*$G$95+(M79/100)*$G$96+(O79)*$G$97+(Q79*$G$98))</f>
        <v>1122.6735859809885</v>
      </c>
    </row>
    <row r="80">
      <c r="B80">
        <v>63</v>
      </c>
      <c r="C80">
        <f>$I$13+B80</f>
        <v>39877</v>
      </c>
      <c r="E80">
        <f>IF($C$14*ReDiarioFert!C69&lt;=0,"0",$C$14*ReDiarioFert!C69)</f>
        <v>8.027275972245224</v>
      </c>
      <c r="G80">
        <f>$C$14*ReDiarioFert!E69</f>
        <v>4.615763779672696</v>
      </c>
      <c r="I80">
        <f>$C$14*ReDiarioFert!G69</f>
        <v>32.839061217925924</v>
      </c>
      <c r="K80">
        <f>$C$14*ReDiarioFert!I69</f>
        <v>21.076630392443516</v>
      </c>
      <c r="M80">
        <f>$C$14*ReDiarioFert!K69</f>
        <v>43.44439955040931</v>
      </c>
      <c r="O80">
        <f>$C$14*ReDiarioFert!M69</f>
        <v>144.2279863414634</v>
      </c>
      <c r="S80">
        <f>((E80/100)*$G$92+(G80/100)*$G$93+(I80/100)*$G$94+(K80/100)*$G$95+(M80/100)*$G$96+(O80)*$G$97+(Q80*$G$98))</f>
        <v>1123.8672076785494</v>
      </c>
    </row>
    <row r="81">
      <c r="A81">
        <v>10</v>
      </c>
      <c r="B81">
        <v>64</v>
      </c>
      <c r="C81">
        <f>$I$13+B81</f>
        <v>39878</v>
      </c>
      <c r="E81">
        <f>IF($C$14*ReDiarioFert!C70&lt;=0,"0",$C$14*ReDiarioFert!C70)</f>
        <v>8.027275972245224</v>
      </c>
      <c r="G81">
        <f>$C$14*ReDiarioFert!E70</f>
        <v>4.615763779672696</v>
      </c>
      <c r="I81">
        <f>$C$14*ReDiarioFert!G70</f>
        <v>32.839061217925924</v>
      </c>
      <c r="K81">
        <f>$C$14*ReDiarioFert!I70</f>
        <v>21.076630392443516</v>
      </c>
      <c r="M81">
        <f>$C$14*ReDiarioFert!K70</f>
        <v>43.44439955040931</v>
      </c>
      <c r="O81">
        <f>$C$14*ReDiarioFert!M70</f>
        <v>144.2279863414634</v>
      </c>
      <c r="Q81">
        <f>$C$14*Main!$D$63</f>
        <v>20.019999999999996</v>
      </c>
      <c r="S81">
        <f>((E81/100)*$G$92+(G81/100)*$G$93+(I81/100)*$G$94+(K81/100)*$G$95+(M81/100)*$G$96+(O81)*$G$97+(Q81*$G$98))</f>
        <v>1179.9232076785495</v>
      </c>
    </row>
    <row r="82">
      <c r="B82">
        <v>65</v>
      </c>
      <c r="C82">
        <f>$I$13+B82</f>
        <v>39879</v>
      </c>
      <c r="E82">
        <f>IF($C$14*ReDiarioFert!C71&lt;=0,"0",$C$14*ReDiarioFert!C71)</f>
        <v>8.027275972245224</v>
      </c>
      <c r="G82">
        <f>$C$14*ReDiarioFert!E71</f>
        <v>4.615763779672696</v>
      </c>
      <c r="I82">
        <f>$C$14*ReDiarioFert!G71</f>
        <v>32.839061217925924</v>
      </c>
      <c r="K82">
        <f>$C$14*ReDiarioFert!I71</f>
        <v>21.076630392443516</v>
      </c>
      <c r="M82">
        <f>$C$14*ReDiarioFert!K71</f>
        <v>43.44439955040931</v>
      </c>
      <c r="O82">
        <f>$C$14*ReDiarioFert!M71</f>
        <v>144.2279863414634</v>
      </c>
      <c r="S82">
        <f>((E82/100)*$G$92+(G82/100)*$G$93+(I82/100)*$G$94+(K82/100)*$G$95+(M82/100)*$G$96+(O82)*$G$97+(Q82*$G$98))</f>
        <v>1123.8672076785494</v>
      </c>
    </row>
    <row r="83">
      <c r="B83">
        <v>66</v>
      </c>
      <c r="C83">
        <f>$I$13+B83</f>
        <v>39880</v>
      </c>
      <c r="E83">
        <f>IF($C$14*ReDiarioFert!C72&lt;=0,"0",$C$14*ReDiarioFert!C72)</f>
        <v>8.027275972245224</v>
      </c>
      <c r="G83">
        <f>$C$14*ReDiarioFert!E72</f>
        <v>4.615763779672696</v>
      </c>
      <c r="I83">
        <f>$C$14*ReDiarioFert!G72</f>
        <v>32.839061217925924</v>
      </c>
      <c r="K83">
        <f>$C$14*ReDiarioFert!I72</f>
        <v>21.076630392443516</v>
      </c>
      <c r="M83">
        <f>$C$14*ReDiarioFert!K72</f>
        <v>43.44439955040931</v>
      </c>
      <c r="O83">
        <f>$C$14*ReDiarioFert!M72</f>
        <v>144.2279863414634</v>
      </c>
      <c r="S83">
        <f>((E83/100)*$G$92+(G83/100)*$G$93+(I83/100)*$G$94+(K83/100)*$G$95+(M83/100)*$G$96+(O83)*$G$97+(Q83*$G$98))</f>
        <v>1123.8672076785494</v>
      </c>
    </row>
    <row r="84">
      <c r="B84">
        <v>67</v>
      </c>
      <c r="C84">
        <f>$I$13+B84</f>
        <v>39881</v>
      </c>
      <c r="E84">
        <f>IF($C$14*ReDiarioFert!C73&lt;=0,"0",$C$14*ReDiarioFert!C73)</f>
        <v>8.027275972245224</v>
      </c>
      <c r="G84">
        <f>$C$14*ReDiarioFert!E73</f>
        <v>4.615763779672696</v>
      </c>
      <c r="I84">
        <f>$C$14*ReDiarioFert!G73</f>
        <v>32.839061217925924</v>
      </c>
      <c r="K84">
        <f>$C$14*ReDiarioFert!I73</f>
        <v>21.076630392443516</v>
      </c>
      <c r="M84">
        <f>$C$14*ReDiarioFert!K73</f>
        <v>43.44439955040931</v>
      </c>
      <c r="O84">
        <f>$C$14*ReDiarioFert!M73</f>
        <v>144.2279863414634</v>
      </c>
      <c r="S84">
        <f>((E84/100)*$G$92+(G84/100)*$G$93+(I84/100)*$G$94+(K84/100)*$G$95+(M84/100)*$G$96+(O84)*$G$97+(Q84*$G$98))</f>
        <v>1123.8672076785494</v>
      </c>
    </row>
    <row r="85">
      <c r="B85">
        <v>68</v>
      </c>
      <c r="C85">
        <f>$I$13+B85</f>
        <v>39882</v>
      </c>
      <c r="E85">
        <f>IF($C$14*ReDiarioFert!C74&lt;=0,"0",$C$14*ReDiarioFert!C74)</f>
        <v>8.027275972245224</v>
      </c>
      <c r="G85">
        <f>$C$14*ReDiarioFert!E74</f>
        <v>4.615763779672696</v>
      </c>
      <c r="I85">
        <f>$C$14*ReDiarioFert!G74</f>
        <v>32.839061217925924</v>
      </c>
      <c r="K85">
        <f>$C$14*ReDiarioFert!I74</f>
        <v>21.076630392443516</v>
      </c>
      <c r="M85">
        <f>$C$14*ReDiarioFert!K74</f>
        <v>43.44439955040931</v>
      </c>
      <c r="O85">
        <f>$C$14*ReDiarioFert!M74</f>
        <v>144.2279863414634</v>
      </c>
      <c r="S85">
        <f>((E85/100)*$G$92+(G85/100)*$G$93+(I85/100)*$G$94+(K85/100)*$G$95+(M85/100)*$G$96+(O85)*$G$97+(Q85*$G$98))</f>
        <v>1123.8672076785494</v>
      </c>
    </row>
    <row r="86">
      <c r="B86">
        <v>69</v>
      </c>
      <c r="C86">
        <f>$I$13+B86</f>
        <v>39883</v>
      </c>
      <c r="E86">
        <f>IF($C$14*ReDiarioFert!C75&lt;=0,"0",$C$14*ReDiarioFert!C75)</f>
        <v>8.027275972245224</v>
      </c>
      <c r="G86">
        <f>$C$14*ReDiarioFert!E75</f>
        <v>4.615763779672696</v>
      </c>
      <c r="I86">
        <f>$C$14*ReDiarioFert!G75</f>
        <v>32.839061217925924</v>
      </c>
      <c r="K86">
        <f>$C$14*ReDiarioFert!I75</f>
        <v>21.076630392443516</v>
      </c>
      <c r="M86">
        <f>$C$14*ReDiarioFert!K75</f>
        <v>43.44439955040931</v>
      </c>
      <c r="O86">
        <f>$C$14*ReDiarioFert!M75</f>
        <v>144.2279863414634</v>
      </c>
      <c r="S86">
        <f>((E86/100)*$G$92+(G86/100)*$G$93+(I86/100)*$G$94+(K86/100)*$G$95+(M86/100)*$G$96+(O86)*$G$97+(Q86*$G$98))</f>
        <v>1123.8672076785494</v>
      </c>
    </row>
    <row r="87">
      <c r="B87">
        <v>70</v>
      </c>
      <c r="C87">
        <f>$I$13+B87</f>
        <v>39884</v>
      </c>
      <c r="E87">
        <f>IF($C$14*ReDiarioFert!C76&lt;=0,"0",$C$14*ReDiarioFert!C76)</f>
        <v>8.027275972245224</v>
      </c>
      <c r="G87">
        <f>$C$14*ReDiarioFert!E76</f>
        <v>4.615763779672696</v>
      </c>
      <c r="I87">
        <f>$C$14*ReDiarioFert!G76</f>
        <v>32.839061217925924</v>
      </c>
      <c r="K87">
        <f>$C$14*ReDiarioFert!I76</f>
        <v>21.076630392443516</v>
      </c>
      <c r="M87">
        <f>$C$14*ReDiarioFert!K76</f>
        <v>43.44439955040931</v>
      </c>
      <c r="O87">
        <f>$C$14*ReDiarioFert!M76</f>
        <v>144.2279863414634</v>
      </c>
      <c r="S87">
        <f>((E87/100)*$G$92+(G87/100)*$G$93+(I87/100)*$G$94+(K87/100)*$G$95+(M87/100)*$G$96+(O87)*$G$97+(Q87*$G$98))</f>
        <v>1123.8672076785494</v>
      </c>
    </row>
    <row r="88">
      <c r="C88" t="str">
        <v>Total</v>
      </c>
      <c r="E88">
        <f>SUM(E18:E87)</f>
        <v>427.165941676278</v>
      </c>
      <c r="G88">
        <f>SUM(G18:G87)</f>
        <v>206.66033286261856</v>
      </c>
      <c r="I88">
        <f>SUM(I18:I87)</f>
        <v>1359.5906534492447</v>
      </c>
      <c r="K88">
        <f>SUM(K18:K87)</f>
        <v>872.6068476076946</v>
      </c>
      <c r="M88">
        <f>SUM(M18:M87)</f>
        <v>1798.668944324396</v>
      </c>
      <c r="O88">
        <f>SUM(O18:O87)</f>
        <v>5595.038229268293</v>
      </c>
      <c r="Q88">
        <f>SUM(Q18:Q87)</f>
        <v>200.19999999999993</v>
      </c>
      <c r="S88">
        <f>SUM(S18:S87)</f>
        <v>48114.59662580122</v>
      </c>
    </row>
    <row r="89">
      <c r="D89" t="str">
        <v>OJO cualquier cultivo que no se termine la cosecha en el ultimo día del calendario solo seguir repitiendo la ultima aplicación de fertilizante.</v>
      </c>
    </row>
    <row r="90" ht="39.75" customHeight="1">
      <c r="B90" t="str">
        <v>Producto</v>
      </c>
      <c r="F90" t="str">
        <v>Lbs/Ha</v>
      </c>
      <c r="G90" t="str">
        <v>Costo por qq</v>
      </c>
    </row>
    <row r="91" ht="24" customHeight="1">
      <c r="G91" t="str">
        <f>Main!$E$25</f>
        <v>Lempiras</v>
      </c>
    </row>
    <row r="92">
      <c r="B92" t="str">
        <f>Main!D42</f>
        <v>Nitrato de Amonio</v>
      </c>
      <c r="F92">
        <f>E88/C14</f>
        <v>426.73920247380426</v>
      </c>
      <c r="G92">
        <f>Main!D43</f>
        <v>620</v>
      </c>
    </row>
    <row r="93">
      <c r="B93" t="str">
        <f>Main!D32</f>
        <v>MAP 12-61-0</v>
      </c>
      <c r="F93">
        <f>G88/C14</f>
        <v>206.45387898363495</v>
      </c>
      <c r="G93">
        <f>Main!D33</f>
        <v>2900</v>
      </c>
    </row>
    <row r="94">
      <c r="B94" t="str">
        <f>Main!D37</f>
        <v>Kcl Soluble</v>
      </c>
      <c r="F94">
        <f>I88/C14</f>
        <v>1358.2324210282165</v>
      </c>
      <c r="G94">
        <f>Main!D38</f>
        <v>780</v>
      </c>
    </row>
    <row r="95">
      <c r="B95" t="str">
        <f>Main!D47</f>
        <v>Sulfato de Magnesio</v>
      </c>
      <c r="F95">
        <f>K88/C14</f>
        <v>871.7351124951995</v>
      </c>
      <c r="G95">
        <f>Main!D48</f>
        <v>951</v>
      </c>
    </row>
    <row r="96">
      <c r="B96" t="str">
        <f>Main!D52</f>
        <v>Nitrato de Calcio</v>
      </c>
      <c r="F96">
        <f>M88/C14</f>
        <v>1796.872072252144</v>
      </c>
      <c r="G96">
        <f>Main!D53</f>
        <v>1100</v>
      </c>
    </row>
    <row r="97">
      <c r="B97" t="str">
        <f>Main!D57</f>
        <v>Solubor</v>
      </c>
      <c r="F97">
        <f>O88/C14</f>
        <v>5589.448780487806</v>
      </c>
      <c r="G97">
        <f>Main!D58</f>
        <v>0.04</v>
      </c>
      <c r="I97" t="str">
        <v xml:space="preserve">Preparado y Autorizado Por </v>
      </c>
    </row>
    <row r="98" ht="18" customHeight="1">
      <c r="B98" t="str">
        <f>Main!D61</f>
        <v>Melaza</v>
      </c>
      <c r="F98">
        <f>Q88/C14</f>
        <v>199.99999999999994</v>
      </c>
      <c r="G98">
        <f>Main!D62</f>
        <v>2.8</v>
      </c>
      <c r="I98" t="str">
        <v>MSc Ricardo D. Lardizábal</v>
      </c>
    </row>
    <row r="99">
      <c r="B99" t="str">
        <v>NOTA: El Nitrato de Calcio se debe de diluir en un barril aparte para inyectarse al sistema</v>
      </c>
    </row>
    <row r="101">
      <c r="B101" t="str">
        <v>Abreviaciones usadas</v>
      </c>
    </row>
    <row r="102">
      <c r="B102" t="str">
        <v>Mz.-Manzanas, Ha-Hectáreas, Lbs-Libras, Lts-Litros y DDT-Días después de Trasplante</v>
      </c>
    </row>
  </sheetData>
  <sheetProtection sheet="1"/>
  <mergeCells count="53">
    <mergeCell ref="B102:S102"/>
    <mergeCell ref="A9:K9"/>
    <mergeCell ref="P9:S12"/>
    <mergeCell ref="P1:S3"/>
    <mergeCell ref="P5:S7"/>
    <mergeCell ref="I11:M11"/>
    <mergeCell ref="I12:M12"/>
    <mergeCell ref="F11:H11"/>
    <mergeCell ref="C11:E11"/>
    <mergeCell ref="A11:B11"/>
    <mergeCell ref="G94:H94"/>
    <mergeCell ref="G95:H95"/>
    <mergeCell ref="G90:H90"/>
    <mergeCell ref="B90:E90"/>
    <mergeCell ref="B16:B17"/>
    <mergeCell ref="B92:E92"/>
    <mergeCell ref="B93:E93"/>
    <mergeCell ref="G98:H98"/>
    <mergeCell ref="B96:E96"/>
    <mergeCell ref="B98:E98"/>
    <mergeCell ref="G96:H96"/>
    <mergeCell ref="G97:H97"/>
    <mergeCell ref="B95:E95"/>
    <mergeCell ref="B99:I100"/>
    <mergeCell ref="I98:Q98"/>
    <mergeCell ref="B101:D101"/>
    <mergeCell ref="B94:E94"/>
    <mergeCell ref="S16:S17"/>
    <mergeCell ref="Q16:R16"/>
    <mergeCell ref="K16:L16"/>
    <mergeCell ref="O16:P16"/>
    <mergeCell ref="M16:N16"/>
    <mergeCell ref="I16:J16"/>
    <mergeCell ref="I97:Q97"/>
    <mergeCell ref="A12:B12"/>
    <mergeCell ref="C12:E12"/>
    <mergeCell ref="F12:H12"/>
    <mergeCell ref="C13:E13"/>
    <mergeCell ref="C14:E14"/>
    <mergeCell ref="A16:A17"/>
    <mergeCell ref="B97:E97"/>
    <mergeCell ref="F13:H13"/>
    <mergeCell ref="F14:H14"/>
    <mergeCell ref="A13:B13"/>
    <mergeCell ref="A14:B14"/>
    <mergeCell ref="I13:M13"/>
    <mergeCell ref="I14:M14"/>
    <mergeCell ref="G93:H93"/>
    <mergeCell ref="G91:H91"/>
    <mergeCell ref="G92:H92"/>
    <mergeCell ref="C16:D16"/>
    <mergeCell ref="E16:F16"/>
    <mergeCell ref="G16:H16"/>
  </mergeCells>
  <pageMargins left="0" right="0" top="0.2" bottom="0.56" header="0" footer="0.25"/>
  <ignoredErrors>
    <ignoredError numberStoredAsText="1" sqref="A1:Z103"/>
  </ignoredErrors>
  <legacyDrawing r:id="rId1"/>
</worksheet>
</file>

<file path=xl/worksheets/sheet4.xml><?xml version="1.0" encoding="utf-8"?>
<worksheet xmlns="http://schemas.openxmlformats.org/spreadsheetml/2006/main" xmlns:r="http://schemas.openxmlformats.org/officeDocument/2006/relationships">
  <dimension ref="A1:V70"/>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Lechuga</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Super 88</v>
      </c>
    </row>
    <row r="10" ht="20.1" customHeight="1">
      <c r="A10" t="str">
        <v>Zona</v>
      </c>
      <c r="C10" t="str">
        <f>Main!E18</f>
        <v>Cantarranas</v>
      </c>
      <c r="F10" t="str">
        <v>Técnico</v>
      </c>
      <c r="I10" t="str">
        <f>Main!E20</f>
        <v>Raca</v>
      </c>
    </row>
    <row r="11" ht="20.1" customHeight="1">
      <c r="A11" t="str">
        <v>Área Mz.</v>
      </c>
      <c r="C11">
        <f>Main!E22</f>
        <v>1.43</v>
      </c>
      <c r="F11" t="str">
        <v>Fecha:</v>
      </c>
      <c r="I11">
        <f>Main!E23</f>
        <v>39814</v>
      </c>
    </row>
    <row r="12" ht="20.1" customHeight="1">
      <c r="A12" t="str">
        <v>Área Ha.</v>
      </c>
      <c r="C12">
        <f>Main!I22</f>
        <v>1.001</v>
      </c>
      <c r="F12" t="str">
        <v>Fecha de Cosecha:</v>
      </c>
      <c r="I12">
        <f>I11+Main!E24</f>
        <v>39874</v>
      </c>
    </row>
    <row r="13" ht="19.5" customHeight="1"/>
    <row r="14" ht="27.600000000000005" customHeight="1">
      <c r="A14" t="str">
        <v>Semana</v>
      </c>
      <c r="B14" t="str">
        <v>DDT</v>
      </c>
      <c r="C14" t="str">
        <v>FECHA</v>
      </c>
      <c r="E14" t="str">
        <f>Main!$D$42</f>
        <v>Nitrato de Amonio</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39815</v>
      </c>
      <c r="E16">
        <f>IF(($C$12*(ReDiarioFert!C7+ReDiarioFert!C8))&lt;=0,"0",($C$12*(ReDiarioFert!C7+ReDiarioFert!C8)))</f>
        <v>4.57153257382454</v>
      </c>
      <c r="G16">
        <f>$C$12*(ReDiarioFert!E7+ReDiarioFert!E8)</f>
        <v>1.6784595562446165</v>
      </c>
      <c r="I16">
        <f>$C$12*(ReDiarioFert!G7+ReDiarioFert!G8)</f>
        <v>9.241763856646749</v>
      </c>
      <c r="K16">
        <f>$C$12*(ReDiarioFert!I7+ReDiarioFert!I8)</f>
        <v>5.931510638752943</v>
      </c>
      <c r="M16">
        <f>$C$12*(ReDiarioFert!K7+ReDiarioFert!K8)</f>
        <v>12.226381225524309</v>
      </c>
      <c r="O16">
        <f>$C$12*(ReDiarioFert!M7+ReDiarioFert!M8)</f>
        <v>49.733586341463415</v>
      </c>
      <c r="Q16">
        <f>$C$12*Main!$D$63</f>
        <v>20.019999999999996</v>
      </c>
      <c r="S16">
        <f>((E16/100)*$G$50+(G16/100)*$G$51+(I16/100)*$G$52+(K16/100)*$G$53+(M16/100)*$G$54+(O16)*$G$55+(Q16*$G$56))</f>
        <v>398.0487902796171</v>
      </c>
    </row>
    <row r="17" ht="18.75" customHeight="1">
      <c r="B17">
        <v>3</v>
      </c>
      <c r="C17">
        <f>$I$11+B17</f>
        <v>39817</v>
      </c>
      <c r="E17">
        <f>IF(($C$12*(ReDiarioFert!C9+ReDiarioFert!C10))&lt;=0,"0",($C$12*(ReDiarioFert!C9+ReDiarioFert!C10)))</f>
        <v>4.57153257382454</v>
      </c>
      <c r="G17">
        <f>$C$12*(ReDiarioFert!E9+ReDiarioFert!E10)</f>
        <v>1.6784595562446165</v>
      </c>
      <c r="I17">
        <f>$C$12*(ReDiarioFert!G9+ReDiarioFert!G10)</f>
        <v>9.241763856646749</v>
      </c>
      <c r="K17">
        <f>$C$12*(ReDiarioFert!I9+ReDiarioFert!I10)</f>
        <v>5.931510638752943</v>
      </c>
      <c r="M17">
        <f>$C$12*(ReDiarioFert!K9+ReDiarioFert!K10)</f>
        <v>12.226381225524309</v>
      </c>
      <c r="O17">
        <f>$C$12*(ReDiarioFert!M9+ReDiarioFert!M10)</f>
        <v>49.733586341463415</v>
      </c>
      <c r="S17">
        <f>((E17/100)*$G$50+(G17/100)*$G$51+(I17/100)*$G$52+(K17/100)*$G$53+(M17/100)*$G$54+(O17)*$G$55+(Q17*$G$56))</f>
        <v>341.9927902796171</v>
      </c>
    </row>
    <row r="18" ht="18.75" customHeight="1">
      <c r="B18">
        <v>5</v>
      </c>
      <c r="C18">
        <f>$I$11+B18</f>
        <v>39819</v>
      </c>
      <c r="E18">
        <f>IF(($C$12*(ReDiarioFert!C11+ReDiarioFert!C12+ReDiarioFert!C13))&lt;=0,"0",($C$12*(ReDiarioFert!C11+ReDiarioFert!C12+ReDiarioFert!C13)))</f>
        <v>6.857298860736809</v>
      </c>
      <c r="G18">
        <f>$C$12*(ReDiarioFert!E11+ReDiarioFert!E12+ReDiarioFert!E13)</f>
        <v>2.5176893343669247</v>
      </c>
      <c r="I18">
        <f>$C$12*(ReDiarioFert!G11+ReDiarioFert!G12+ReDiarioFert!G13)</f>
        <v>13.862645784970123</v>
      </c>
      <c r="K18">
        <f>$C$12*(ReDiarioFert!I11+ReDiarioFert!I12+ReDiarioFert!I13)</f>
        <v>8.897265958129415</v>
      </c>
      <c r="M18">
        <f>$C$12*(ReDiarioFert!K11+ReDiarioFert!K12+ReDiarioFert!K13)</f>
        <v>18.33957183828646</v>
      </c>
      <c r="O18">
        <f>$C$12*(ReDiarioFert!M11+ReDiarioFert!M12+ReDiarioFert!M13)</f>
        <v>74.60037951219512</v>
      </c>
      <c r="S18">
        <f>((E18/100)*$G$50+(G18/100)*$G$51+(I18/100)*$G$52+(K18/100)*$G$53+(M18/100)*$G$54+(O18)*$G$55+(Q18*$G$56))</f>
        <v>512.9891854194257</v>
      </c>
    </row>
    <row r="19">
      <c r="A19">
        <v>2</v>
      </c>
      <c r="B19">
        <f>B18+3</f>
        <v>8</v>
      </c>
      <c r="C19">
        <f>$I$11+B19</f>
        <v>39822</v>
      </c>
      <c r="E19">
        <f>IF(($C$12*(ReDiarioFert!C14+ReDiarioFert!C15))&lt;=0,"0",($C$12*(ReDiarioFert!C14+ReDiarioFert!C15)))</f>
        <v>4.57153257382454</v>
      </c>
      <c r="G19">
        <f>$C$12*(ReDiarioFert!E14+ReDiarioFert!E15)</f>
        <v>1.6784595562446165</v>
      </c>
      <c r="I19">
        <f>$C$12*(ReDiarioFert!G14+ReDiarioFert!G15)</f>
        <v>9.241763856646749</v>
      </c>
      <c r="K19">
        <f>$C$12*(ReDiarioFert!I14+ReDiarioFert!I15)</f>
        <v>5.931510638752943</v>
      </c>
      <c r="M19">
        <f>$C$12*(ReDiarioFert!K14+ReDiarioFert!K15)</f>
        <v>12.226381225524309</v>
      </c>
      <c r="O19">
        <f>$C$12*(ReDiarioFert!M14+ReDiarioFert!M15)</f>
        <v>49.733586341463415</v>
      </c>
      <c r="Q19">
        <f>$C$12*Main!$D$63</f>
        <v>20.019999999999996</v>
      </c>
      <c r="S19">
        <f>((E19/100)*$G$50+(G19/100)*$G$51+(I19/100)*$G$52+(K19/100)*$G$53+(M19/100)*$G$54+(O19)*$G$55+(Q19*$G$56))</f>
        <v>398.0487902796171</v>
      </c>
    </row>
    <row r="20">
      <c r="B20">
        <f>B19+2</f>
        <v>10</v>
      </c>
      <c r="C20">
        <f>$I$11+B20</f>
        <v>39824</v>
      </c>
      <c r="E20">
        <f>IF(($C$12*(ReDiarioFert!C16+ReDiarioFert!C17))&lt;=0,"0",($C$12*(ReDiarioFert!C16+ReDiarioFert!C17)))</f>
        <v>6.285857289008742</v>
      </c>
      <c r="G20">
        <f>$C$12*(ReDiarioFert!E16+ReDiarioFert!E17)</f>
        <v>2.3078818898363473</v>
      </c>
      <c r="I20">
        <f>$C$12*(ReDiarioFert!G16+ReDiarioFert!G17)</f>
        <v>12.707425302889279</v>
      </c>
      <c r="K20">
        <f>$C$12*(ReDiarioFert!I16+ReDiarioFert!I17)</f>
        <v>8.1558271282853</v>
      </c>
      <c r="M20">
        <f>$C$12*(ReDiarioFert!K16+ReDiarioFert!K17)</f>
        <v>16.811274185095925</v>
      </c>
      <c r="O20">
        <f>$C$12*(ReDiarioFert!M16+ReDiarioFert!M17)</f>
        <v>69.62711853658536</v>
      </c>
      <c r="S20">
        <f>((E20/100)*$G$50+(G20/100)*$G$51+(I20/100)*$G$52+(K20/100)*$G$53+(M20/100)*$G$54+(O20)*$G$55+(Q20*$G$56))</f>
        <v>470.28982412715646</v>
      </c>
    </row>
    <row r="21">
      <c r="B21">
        <f>B20+2</f>
        <v>12</v>
      </c>
      <c r="C21">
        <f>$I$11+B21</f>
        <v>39826</v>
      </c>
      <c r="E21">
        <f>IF(($C$12*(ReDiarioFert!C18+ReDiarioFert!C19+ReDiarioFert!C20))&lt;=0,"0",($C$12*(ReDiarioFert!C18+ReDiarioFert!C19+ReDiarioFert!C20)))</f>
        <v>12.000273006289417</v>
      </c>
      <c r="G21">
        <f>$C$12*(ReDiarioFert!E18+ReDiarioFert!E19+ReDiarioFert!E20)</f>
        <v>4.405956335142117</v>
      </c>
      <c r="I21">
        <f>$C$12*(ReDiarioFert!G18+ReDiarioFert!G19+ReDiarioFert!G20)</f>
        <v>24.259630123697715</v>
      </c>
      <c r="K21">
        <f>$C$12*(ReDiarioFert!I18+ReDiarioFert!I19+ReDiarioFert!I20)</f>
        <v>15.57021542672648</v>
      </c>
      <c r="M21">
        <f>$C$12*(ReDiarioFert!K18+ReDiarioFert!K19+ReDiarioFert!K20)</f>
        <v>32.094250717001316</v>
      </c>
      <c r="O21">
        <f>$C$12*(ReDiarioFert!M18+ReDiarioFert!M19+ReDiarioFert!M20)</f>
        <v>134.28097609756097</v>
      </c>
      <c r="S21">
        <f>((E21/100)*$G$50+(G21/100)*$G$51+(I21/100)*$G$52+(K21/100)*$G$53+(M21/100)*$G$54+(O21)*$G$55+(Q21*$G$56))</f>
        <v>897.8802869620436</v>
      </c>
    </row>
    <row r="22">
      <c r="A22">
        <v>3</v>
      </c>
      <c r="B22">
        <f>B21+3</f>
        <v>15</v>
      </c>
      <c r="C22">
        <f>$I$11+B22</f>
        <v>39829</v>
      </c>
      <c r="E22">
        <f>IF(($C$12*(ReDiarioFert!C21+ReDiarioFert!C22))&lt;=0,"0",($C$12*(ReDiarioFert!C21+ReDiarioFert!C22)))</f>
        <v>8.000182004192945</v>
      </c>
      <c r="G22">
        <f>$C$12*(ReDiarioFert!E21+ReDiarioFert!E22)</f>
        <v>2.9373042234280784</v>
      </c>
      <c r="I22">
        <f>$C$12*(ReDiarioFert!G21+ReDiarioFert!G22)</f>
        <v>16.17308674913181</v>
      </c>
      <c r="K22">
        <f>$C$12*(ReDiarioFert!I21+ReDiarioFert!I22)</f>
        <v>10.380143617817653</v>
      </c>
      <c r="M22">
        <f>$C$12*(ReDiarioFert!K21+ReDiarioFert!K22)</f>
        <v>21.39616714466754</v>
      </c>
      <c r="O22">
        <f>$C$12*(ReDiarioFert!M21+ReDiarioFert!M22)</f>
        <v>89.5206507317073</v>
      </c>
      <c r="Q22">
        <f>$C$12*Main!$D$63</f>
        <v>20.019999999999996</v>
      </c>
      <c r="S22">
        <f>((E22/100)*$G$50+(G22/100)*$G$51+(I22/100)*$G$52+(K22/100)*$G$53+(M22/100)*$G$54+(O22)*$G$55+(Q22*$G$56))</f>
        <v>654.6428579746957</v>
      </c>
    </row>
    <row r="23">
      <c r="B23">
        <f>B22+2</f>
        <v>17</v>
      </c>
      <c r="C23">
        <f>$I$11+B23</f>
        <v>39831</v>
      </c>
      <c r="E23">
        <f>IF(($C$12*(ReDiarioFert!C23+ReDiarioFert!C24))&lt;=0,"0",($C$12*(ReDiarioFert!C23+ReDiarioFert!C24)))</f>
        <v>9.714506719377146</v>
      </c>
      <c r="G23">
        <f>$C$12*(ReDiarioFert!E23+ReDiarioFert!E24)</f>
        <v>3.5667265570198095</v>
      </c>
      <c r="I23">
        <f>$C$12*(ReDiarioFert!G23+ReDiarioFert!G24)</f>
        <v>19.63874819537434</v>
      </c>
      <c r="K23">
        <f>$C$12*(ReDiarioFert!I23+ReDiarioFert!I24)</f>
        <v>12.604460107350008</v>
      </c>
      <c r="M23">
        <f>$C$12*(ReDiarioFert!K23+ReDiarioFert!K24)</f>
        <v>25.98106010423916</v>
      </c>
      <c r="O23">
        <f>$C$12*(ReDiarioFert!M23+ReDiarioFert!M24)</f>
        <v>104.44043365853658</v>
      </c>
      <c r="S23">
        <f>((E23/100)*$G$50+(G23/100)*$G$51+(I23/100)*$G$52+(K23/100)*$G$53+(M23/100)*$G$54+(O23)*$G$55+(Q23*$G$56))</f>
        <v>726.6849418515034</v>
      </c>
    </row>
    <row r="24">
      <c r="B24">
        <f>B23+2</f>
        <v>19</v>
      </c>
      <c r="C24">
        <f>$I$11+B24</f>
        <v>39833</v>
      </c>
      <c r="E24">
        <f>IF(($C$12*(ReDiarioFert!C25+ReDiarioFert!C26+ReDiarioFert!C27))&lt;=0,"0",($C$12*(ReDiarioFert!C25+ReDiarioFert!C26+ReDiarioFert!C27)))</f>
        <v>17.143247151842022</v>
      </c>
      <c r="G24">
        <f>$C$12*(ReDiarioFert!E25+ReDiarioFert!E26+ReDiarioFert!E27)</f>
        <v>6.294223335917311</v>
      </c>
      <c r="I24">
        <f>$C$12*(ReDiarioFert!G25+ReDiarioFert!G26+ReDiarioFert!G27)</f>
        <v>34.65661446242531</v>
      </c>
      <c r="K24">
        <f>$C$12*(ReDiarioFert!I25+ReDiarioFert!I26+ReDiarioFert!I27)</f>
        <v>22.243164895323545</v>
      </c>
      <c r="M24">
        <f>$C$12*(ReDiarioFert!K25+ReDiarioFert!K26+ReDiarioFert!K27)</f>
        <v>45.848929595716164</v>
      </c>
      <c r="O24">
        <f>$C$12*(ReDiarioFert!M25+ReDiarioFert!M26+ReDiarioFert!M27)</f>
        <v>179.04032487804878</v>
      </c>
      <c r="S24">
        <f>((E24/100)*$G$50+(G24/100)*$G$51+(I24/100)*$G$52+(K24/100)*$G$53+(M24/100)*$G$54+(O24)*$G$55+(Q24*$G$56))</f>
        <v>1282.1745385924667</v>
      </c>
    </row>
    <row r="25">
      <c r="A25">
        <v>4</v>
      </c>
      <c r="B25">
        <f>B24+3</f>
        <v>22</v>
      </c>
      <c r="C25">
        <f>$I$11+B25</f>
        <v>39836</v>
      </c>
      <c r="E25">
        <f>IF(($C$12*(ReDiarioFert!C28+ReDiarioFert!C29))&lt;=0,"0",($C$12*(ReDiarioFert!C28+ReDiarioFert!C29)))</f>
        <v>10.343150897569586</v>
      </c>
      <c r="G25">
        <f>$C$12*(ReDiarioFert!E28+ReDiarioFert!E29)</f>
        <v>4.196148890611541</v>
      </c>
      <c r="I25">
        <f>$C$12*(ReDiarioFert!G28+ReDiarioFert!G29)</f>
        <v>24.87807668024691</v>
      </c>
      <c r="K25">
        <f>$C$12*(ReDiarioFert!I28+ReDiarioFert!I29)</f>
        <v>15.967144236699628</v>
      </c>
      <c r="M25">
        <f>$C$12*(ReDiarioFert!K28+ReDiarioFert!K29)</f>
        <v>32.91242390182523</v>
      </c>
      <c r="O25">
        <f>$C$12*(ReDiarioFert!M28+ReDiarioFert!M29)</f>
        <v>119.36021658536585</v>
      </c>
      <c r="Q25">
        <f>$C$12*Main!$D$63</f>
        <v>20.019999999999996</v>
      </c>
      <c r="S25">
        <f>((E25/100)*$G$50+(G25/100)*$G$51+(I25/100)*$G$52+(K25/100)*$G$53+(M25/100)*$G$54+(O25)*$G$55+(Q25*$G$56))</f>
        <v>954.5794647730977</v>
      </c>
    </row>
    <row r="26">
      <c r="B26">
        <f>B25+2</f>
        <v>24</v>
      </c>
      <c r="C26">
        <f>$I$11+B26</f>
        <v>39838</v>
      </c>
      <c r="E26">
        <f>IF(($C$12*(ReDiarioFert!C30+ReDiarioFert!C31))&lt;=0,"0",($C$12*(ReDiarioFert!C30+ReDiarioFert!C31)))</f>
        <v>10.343150897569586</v>
      </c>
      <c r="G26">
        <f>$C$12*(ReDiarioFert!E30+ReDiarioFert!E31)</f>
        <v>4.196148890611541</v>
      </c>
      <c r="I26">
        <f>$C$12*(ReDiarioFert!G30+ReDiarioFert!G31)</f>
        <v>24.87807668024691</v>
      </c>
      <c r="K26">
        <f>$C$12*(ReDiarioFert!I30+ReDiarioFert!I31)</f>
        <v>15.967144236699628</v>
      </c>
      <c r="M26">
        <f>$C$12*(ReDiarioFert!K30+ReDiarioFert!K31)</f>
        <v>32.91242390182523</v>
      </c>
      <c r="O26">
        <f>$C$12*(ReDiarioFert!M30+ReDiarioFert!M31)</f>
        <v>119.36021658536585</v>
      </c>
      <c r="S26">
        <f>((E26/100)*$G$50+(G26/100)*$G$51+(I26/100)*$G$52+(K26/100)*$G$53+(M26/100)*$G$54+(O26)*$G$55+(Q26*$G$56))</f>
        <v>898.5234647730978</v>
      </c>
    </row>
    <row r="27">
      <c r="B27">
        <f>B26+2</f>
        <v>26</v>
      </c>
      <c r="C27">
        <f>$I$11+B27</f>
        <v>39840</v>
      </c>
      <c r="E27">
        <f>IF(($C$12*(ReDiarioFert!C32+ReDiarioFert!C33+ReDiarioFert!C34))&lt;=0,"0",($C$12*(ReDiarioFert!C32+ReDiarioFert!C33+ReDiarioFert!C34)))</f>
        <v>15.514726346354381</v>
      </c>
      <c r="G27">
        <f>$C$12*(ReDiarioFert!E32+ReDiarioFert!E33+ReDiarioFert!E34)</f>
        <v>6.294223335917311</v>
      </c>
      <c r="I27">
        <f>$C$12*(ReDiarioFert!G32+ReDiarioFert!G33+ReDiarioFert!G34)</f>
        <v>37.317115020370366</v>
      </c>
      <c r="K27">
        <f>$C$12*(ReDiarioFert!I32+ReDiarioFert!I33+ReDiarioFert!I34)</f>
        <v>23.950716355049444</v>
      </c>
      <c r="M27">
        <f>$C$12*(ReDiarioFert!K32+ReDiarioFert!K33+ReDiarioFert!K34)</f>
        <v>49.368635852737846</v>
      </c>
      <c r="O27">
        <f>$C$12*(ReDiarioFert!M32+ReDiarioFert!M33+ReDiarioFert!M34)</f>
        <v>179.04032487804878</v>
      </c>
      <c r="S27">
        <f>((E27/100)*$G$50+(G27/100)*$G$51+(I27/100)*$G$52+(K27/100)*$G$53+(M27/100)*$G$54+(O27)*$G$55+(Q27*$G$56))</f>
        <v>1347.7851971596467</v>
      </c>
    </row>
    <row r="28">
      <c r="A28">
        <v>5</v>
      </c>
      <c r="B28">
        <f>B27+3</f>
        <v>29</v>
      </c>
      <c r="C28">
        <f>$I$11+B28</f>
        <v>39843</v>
      </c>
      <c r="E28">
        <f>IF(($C$12*(ReDiarioFert!C35+ReDiarioFert!C36))&lt;=0,"0",($C$12*(ReDiarioFert!C35+ReDiarioFert!C36)))</f>
        <v>10.343150897569586</v>
      </c>
      <c r="G28">
        <f>$C$12*(ReDiarioFert!E35+ReDiarioFert!E36)</f>
        <v>4.196148890611541</v>
      </c>
      <c r="I28">
        <f>$C$12*(ReDiarioFert!G35+ReDiarioFert!G36)</f>
        <v>24.87807668024691</v>
      </c>
      <c r="K28">
        <f>$C$12*(ReDiarioFert!I35+ReDiarioFert!I36)</f>
        <v>15.967144236699628</v>
      </c>
      <c r="M28">
        <f>$C$12*(ReDiarioFert!K35+ReDiarioFert!K36)</f>
        <v>32.91242390182523</v>
      </c>
      <c r="O28">
        <f>$C$12*(ReDiarioFert!M35+ReDiarioFert!M36)</f>
        <v>119.36021658536585</v>
      </c>
      <c r="Q28">
        <f>$C$12*Main!$D$63</f>
        <v>20.019999999999996</v>
      </c>
      <c r="S28">
        <f>((E28/100)*$G$50+(G28/100)*$G$51+(I28/100)*$G$52+(K28/100)*$G$53+(M28/100)*$G$54+(O28)*$G$55+(Q28*$G$56))</f>
        <v>954.5794647730977</v>
      </c>
    </row>
    <row r="29">
      <c r="B29">
        <f>B28+2</f>
        <v>31</v>
      </c>
      <c r="C29">
        <f>$I$11+B29</f>
        <v>39845</v>
      </c>
      <c r="E29">
        <f>IF(($C$12*(ReDiarioFert!C37+ReDiarioFert!C38))&lt;=0,"0",($C$12*(ReDiarioFert!C37+ReDiarioFert!C38)))</f>
        <v>10.343150897569586</v>
      </c>
      <c r="G29">
        <f>$C$12*(ReDiarioFert!E37+ReDiarioFert!E38)</f>
        <v>4.196148890611541</v>
      </c>
      <c r="I29">
        <f>$C$12*(ReDiarioFert!G37+ReDiarioFert!G38)</f>
        <v>24.87807668024691</v>
      </c>
      <c r="K29">
        <f>$C$12*(ReDiarioFert!I37+ReDiarioFert!I38)</f>
        <v>15.967144236699628</v>
      </c>
      <c r="M29">
        <f>$C$12*(ReDiarioFert!K37+ReDiarioFert!K38)</f>
        <v>32.91242390182523</v>
      </c>
      <c r="O29">
        <f>$C$12*(ReDiarioFert!M37+ReDiarioFert!M38)</f>
        <v>119.36021658536585</v>
      </c>
      <c r="S29">
        <f>((E29/100)*$G$50+(G29/100)*$G$51+(I29/100)*$G$52+(K29/100)*$G$53+(M29/100)*$G$54+(O29)*$G$55+(Q29*$G$56))</f>
        <v>898.5234647730978</v>
      </c>
    </row>
    <row r="30">
      <c r="B30">
        <f>B29+2</f>
        <v>33</v>
      </c>
      <c r="C30">
        <f>$I$11+B30</f>
        <v>39847</v>
      </c>
      <c r="E30">
        <f>IF(($C$12*(ReDiarioFert!C39+ReDiarioFert!C40+ReDiarioFert!C41))&lt;=0,"0",($C$12*(ReDiarioFert!C39+ReDiarioFert!C40+ReDiarioFert!C41)))</f>
        <v>24.823562154167014</v>
      </c>
      <c r="G30">
        <f>$C$12*(ReDiarioFert!E39+ReDiarioFert!E40+ReDiarioFert!E41)</f>
        <v>10.070757337467699</v>
      </c>
      <c r="I30">
        <f>$C$12*(ReDiarioFert!G39+ReDiarioFert!G40+ReDiarioFert!G41)</f>
        <v>59.70738403259259</v>
      </c>
      <c r="K30">
        <f>$C$12*(ReDiarioFert!I39+ReDiarioFert!I40+ReDiarioFert!I41)</f>
        <v>38.32114616807911</v>
      </c>
      <c r="M30">
        <f>$C$12*(ReDiarioFert!K39+ReDiarioFert!K40+ReDiarioFert!K41)</f>
        <v>78.98981736438054</v>
      </c>
      <c r="O30">
        <f>$C$12*(ReDiarioFert!M39+ReDiarioFert!M40+ReDiarioFert!M41)</f>
        <v>253.6421692682927</v>
      </c>
      <c r="S30">
        <f>((E30/100)*$G$50+(G30/100)*$G$51+(I30/100)*$G$52+(K30/100)*$G$53+(M30/100)*$G$54+(O30)*$G$55+(Q30*$G$56))</f>
        <v>2155.143421433971</v>
      </c>
    </row>
    <row r="31">
      <c r="A31">
        <v>6</v>
      </c>
      <c r="B31">
        <f>B30+3</f>
        <v>36</v>
      </c>
      <c r="C31">
        <f>$I$11+B31</f>
        <v>39850</v>
      </c>
      <c r="E31">
        <f>IF(($C$12*(ReDiarioFert!C42+ReDiarioFert!C43))&lt;=0,"0",($C$12*(ReDiarioFert!C42+ReDiarioFert!C43)))</f>
        <v>16.54904143611134</v>
      </c>
      <c r="G31">
        <f>$C$12*(ReDiarioFert!E42+ReDiarioFert!E43)</f>
        <v>6.713838224978466</v>
      </c>
      <c r="I31">
        <f>$C$12*(ReDiarioFert!G42+ReDiarioFert!G43)</f>
        <v>39.80492268839506</v>
      </c>
      <c r="K31">
        <f>$C$12*(ReDiarioFert!I42+ReDiarioFert!I43)</f>
        <v>25.547430778719406</v>
      </c>
      <c r="M31">
        <f>$C$12*(ReDiarioFert!K42+ReDiarioFert!K43)</f>
        <v>52.65987824292036</v>
      </c>
      <c r="O31">
        <f>$C$12*(ReDiarioFert!M42+ReDiarioFert!M43)</f>
        <v>169.09477951219515</v>
      </c>
      <c r="Q31">
        <f>$C$12*Main!$D$63</f>
        <v>20.019999999999996</v>
      </c>
      <c r="S31">
        <f>((E31/100)*$G$50+(G31/100)*$G$51+(I31/100)*$G$52+(K31/100)*$G$53+(M31/100)*$G$54+(O31)*$G$55+(Q31*$G$56))</f>
        <v>1492.8182809559805</v>
      </c>
    </row>
    <row r="32">
      <c r="B32">
        <f>B31+2</f>
        <v>38</v>
      </c>
      <c r="C32">
        <f>$I$11+B32</f>
        <v>39852</v>
      </c>
      <c r="E32">
        <f>IF(($C$12*(ReDiarioFert!C44+ReDiarioFert!C45))&lt;=0,"0",($C$12*(ReDiarioFert!C44+ReDiarioFert!C45)))</f>
        <v>16.54904143611134</v>
      </c>
      <c r="G32">
        <f>$C$12*(ReDiarioFert!E44+ReDiarioFert!E45)</f>
        <v>6.713838224978466</v>
      </c>
      <c r="I32">
        <f>$C$12*(ReDiarioFert!G44+ReDiarioFert!G45)</f>
        <v>39.80492268839506</v>
      </c>
      <c r="K32">
        <f>$C$12*(ReDiarioFert!I44+ReDiarioFert!I45)</f>
        <v>25.547430778719406</v>
      </c>
      <c r="M32">
        <f>$C$12*(ReDiarioFert!K44+ReDiarioFert!K45)</f>
        <v>52.65987824292036</v>
      </c>
      <c r="O32">
        <f>$C$12*(ReDiarioFert!M44+ReDiarioFert!M45)</f>
        <v>169.09477951219515</v>
      </c>
      <c r="S32">
        <f>((E32/100)*$G$50+(G32/100)*$G$51+(I32/100)*$G$52+(K32/100)*$G$53+(M32/100)*$G$54+(O32)*$G$55+(Q32*$G$56))</f>
        <v>1436.7622809559805</v>
      </c>
    </row>
    <row r="33">
      <c r="B33">
        <f>B32+2</f>
        <v>40</v>
      </c>
      <c r="C33">
        <f>$I$11+B33</f>
        <v>39854</v>
      </c>
      <c r="E33">
        <f>IF(($C$12*(ReDiarioFert!C46+ReDiarioFert!C47+ReDiarioFert!C48))&lt;=0,"0",($C$12*(ReDiarioFert!C46+ReDiarioFert!C47+ReDiarioFert!C48)))</f>
        <v>24.823562154167014</v>
      </c>
      <c r="G33">
        <f>$C$12*(ReDiarioFert!E46+ReDiarioFert!E47+ReDiarioFert!E48)</f>
        <v>10.070757337467699</v>
      </c>
      <c r="I33">
        <f>$C$12*(ReDiarioFert!G46+ReDiarioFert!G47+ReDiarioFert!G48)</f>
        <v>59.70738403259259</v>
      </c>
      <c r="K33">
        <f>$C$12*(ReDiarioFert!I46+ReDiarioFert!I47+ReDiarioFert!I48)</f>
        <v>38.32114616807911</v>
      </c>
      <c r="M33">
        <f>$C$12*(ReDiarioFert!K46+ReDiarioFert!K47+ReDiarioFert!K48)</f>
        <v>78.98981736438054</v>
      </c>
      <c r="O33">
        <f>$C$12*(ReDiarioFert!M46+ReDiarioFert!M47+ReDiarioFert!M48)</f>
        <v>253.6421692682927</v>
      </c>
      <c r="S33">
        <f>((E33/100)*$G$50+(G33/100)*$G$51+(I33/100)*$G$52+(K33/100)*$G$53+(M33/100)*$G$54+(O33)*$G$55+(Q33*$G$56))</f>
        <v>2155.143421433971</v>
      </c>
    </row>
    <row r="34">
      <c r="A34">
        <v>7</v>
      </c>
      <c r="B34">
        <f>B33+3</f>
        <v>43</v>
      </c>
      <c r="C34">
        <f>$I$11+B34</f>
        <v>39857</v>
      </c>
      <c r="E34">
        <f>IF(($C$12*(ReDiarioFert!C49+ReDiarioFert!C50))&lt;=0,"0",($C$12*(ReDiarioFert!C49+ReDiarioFert!C50)))</f>
        <v>11.676037777811246</v>
      </c>
      <c r="G34">
        <f>$C$12*(ReDiarioFert!E49+ReDiarioFert!E50)</f>
        <v>6.713838224978466</v>
      </c>
      <c r="I34">
        <f>$C$12*(ReDiarioFert!G49+ReDiarioFert!G50)</f>
        <v>47.76590722607407</v>
      </c>
      <c r="K34">
        <f>$C$12*(ReDiarioFert!I49+ReDiarioFert!I50)</f>
        <v>30.656916934463293</v>
      </c>
      <c r="M34">
        <f>$C$12*(ReDiarioFert!K49+ReDiarioFert!K50)</f>
        <v>63.19185389150444</v>
      </c>
      <c r="O34">
        <f>$C$12*(ReDiarioFert!M49+ReDiarioFert!M50)</f>
        <v>169.09477951219515</v>
      </c>
      <c r="Q34">
        <f>$C$12*Main!$D$63</f>
        <v>20.019999999999996</v>
      </c>
      <c r="S34">
        <f>((E34/100)*$G$50+(G34/100)*$G$51+(I34/100)*$G$52+(K34/100)*$G$53+(M34/100)*$G$54+(O34)*$G$55+(Q34*$G$56))</f>
        <v>1689.1442831439654</v>
      </c>
    </row>
    <row r="35">
      <c r="B35">
        <f>B34+2</f>
        <v>45</v>
      </c>
      <c r="C35">
        <f>$I$11+B35</f>
        <v>39859</v>
      </c>
      <c r="E35">
        <f>IF(($C$12*(ReDiarioFert!C51+ReDiarioFert!C52))&lt;=0,"0",($C$12*(ReDiarioFert!C51+ReDiarioFert!C52)))</f>
        <v>11.676037777811246</v>
      </c>
      <c r="G35">
        <f>$C$12*(ReDiarioFert!E51+ReDiarioFert!E52)</f>
        <v>6.713838224978466</v>
      </c>
      <c r="I35">
        <f>$C$12*(ReDiarioFert!G51+ReDiarioFert!G52)</f>
        <v>47.76590722607407</v>
      </c>
      <c r="K35">
        <f>$C$12*(ReDiarioFert!I51+ReDiarioFert!I52)</f>
        <v>30.656916934463293</v>
      </c>
      <c r="M35">
        <f>$C$12*(ReDiarioFert!K51+ReDiarioFert!K52)</f>
        <v>63.19185389150444</v>
      </c>
      <c r="O35">
        <f>$C$12*(ReDiarioFert!M51+ReDiarioFert!M52)</f>
        <v>169.09477951219515</v>
      </c>
      <c r="S35">
        <f>((E35/100)*$G$50+(G35/100)*$G$51+(I35/100)*$G$52+(K35/100)*$G$53+(M35/100)*$G$54+(O35)*$G$55+(Q35*$G$56))</f>
        <v>1633.0882831439653</v>
      </c>
    </row>
    <row r="36">
      <c r="B36">
        <f>B35+2</f>
        <v>47</v>
      </c>
      <c r="C36">
        <f>$I$11+B36</f>
        <v>39861</v>
      </c>
      <c r="E36">
        <f>IF(($C$12*(ReDiarioFert!C53+ReDiarioFert!C54+ReDiarioFert!C55))&lt;=0,"0",($C$12*(ReDiarioFert!C53+ReDiarioFert!C54+ReDiarioFert!C55)))</f>
        <v>21.89257083339607</v>
      </c>
      <c r="G36">
        <f>$C$12*(ReDiarioFert!E53+ReDiarioFert!E54+ReDiarioFert!E55)</f>
        <v>12.588446671834625</v>
      </c>
      <c r="I36">
        <f>$C$12*(ReDiarioFert!G53+ReDiarioFert!G54+ReDiarioFert!G55)</f>
        <v>89.56107604888889</v>
      </c>
      <c r="K36">
        <f>$C$12*(ReDiarioFert!I53+ReDiarioFert!I54+ReDiarioFert!I55)</f>
        <v>57.48171925211868</v>
      </c>
      <c r="M36">
        <f>$C$12*(ReDiarioFert!K53+ReDiarioFert!K54+ReDiarioFert!K55)</f>
        <v>118.48472604657084</v>
      </c>
      <c r="O36">
        <f>$C$12*(ReDiarioFert!M53+ReDiarioFert!M54+ReDiarioFert!M55)</f>
        <v>313.3222775609756</v>
      </c>
      <c r="S36">
        <f>((E36/100)*$G$50+(G36/100)*$G$51+(I36/100)*$G$52+(K36/100)*$G$53+(M36/100)*$G$54+(O36)*$G$55+(Q36*$G$56))</f>
        <v>3061.89131353396</v>
      </c>
    </row>
    <row r="37">
      <c r="A37">
        <v>8</v>
      </c>
      <c r="B37">
        <f>B36+3</f>
        <v>50</v>
      </c>
      <c r="C37">
        <f>$I$11+B37</f>
        <v>39864</v>
      </c>
      <c r="E37">
        <f>IF(($C$12*(ReDiarioFert!C56+ReDiarioFert!C57))&lt;=0,"0",($C$12*(ReDiarioFert!C56+ReDiarioFert!C57)))</f>
        <v>16.05455194449045</v>
      </c>
      <c r="G37">
        <f>$C$12*(ReDiarioFert!E56+ReDiarioFert!E57)</f>
        <v>9.231527559345391</v>
      </c>
      <c r="I37">
        <f>$C$12*(ReDiarioFert!G56+ReDiarioFert!G57)</f>
        <v>65.67812243585185</v>
      </c>
      <c r="K37">
        <f>$C$12*(ReDiarioFert!I56+ReDiarioFert!I57)</f>
        <v>42.15326078488703</v>
      </c>
      <c r="M37">
        <f>$C$12*(ReDiarioFert!K56+ReDiarioFert!K57)</f>
        <v>86.88879910081862</v>
      </c>
      <c r="O37">
        <f>$C$12*(ReDiarioFert!M56+ReDiarioFert!M57)</f>
        <v>228.774887804878</v>
      </c>
      <c r="Q37">
        <f>$C$12*Main!$D$63</f>
        <v>20.019999999999996</v>
      </c>
      <c r="S37">
        <f>((E37/100)*$G$50+(G37/100)*$G$51+(I37/100)*$G$52+(K37/100)*$G$53+(M37/100)*$G$54+(O37)*$G$55+(Q37*$G$56))</f>
        <v>2301.403171961977</v>
      </c>
    </row>
    <row r="38">
      <c r="B38">
        <f>B37+2</f>
        <v>52</v>
      </c>
      <c r="C38">
        <f>$I$11+B38</f>
        <v>39866</v>
      </c>
      <c r="E38">
        <f>IF(($C$12*(ReDiarioFert!C58+ReDiarioFert!C59))&lt;=0,"0",($C$12*(ReDiarioFert!C58+ReDiarioFert!C59)))</f>
        <v>16.05455194449045</v>
      </c>
      <c r="G38">
        <f>$C$12*(ReDiarioFert!E58+ReDiarioFert!E59)</f>
        <v>9.231527559345391</v>
      </c>
      <c r="I38">
        <f>$C$12*(ReDiarioFert!G58+ReDiarioFert!G59)</f>
        <v>65.67812243585185</v>
      </c>
      <c r="K38">
        <f>$C$12*(ReDiarioFert!I58+ReDiarioFert!I59)</f>
        <v>42.15326078488703</v>
      </c>
      <c r="M38">
        <f>$C$12*(ReDiarioFert!K58+ReDiarioFert!K59)</f>
        <v>86.88879910081862</v>
      </c>
      <c r="O38">
        <f>$C$12*(ReDiarioFert!M58+ReDiarioFert!M59)</f>
        <v>228.774887804878</v>
      </c>
      <c r="S38">
        <f>((E38/100)*$G$50+(G38/100)*$G$51+(I38/100)*$G$52+(K38/100)*$G$53+(M38/100)*$G$54+(O38)*$G$55+(Q38*$G$56))</f>
        <v>2245.347171961977</v>
      </c>
    </row>
    <row r="39">
      <c r="B39">
        <f>B38+2</f>
        <v>54</v>
      </c>
      <c r="C39">
        <f>$I$11+B39</f>
        <v>39868</v>
      </c>
      <c r="E39">
        <f>IF(($C$12*(ReDiarioFert!C60+ReDiarioFert!C61+ReDiarioFert!C62))&lt;=0,"0",($C$12*(ReDiarioFert!C60+ReDiarioFert!C61+ReDiarioFert!C62)))</f>
        <v>24.081827916735676</v>
      </c>
      <c r="G39">
        <f>$C$12*(ReDiarioFert!E60+ReDiarioFert!E61+ReDiarioFert!E62)</f>
        <v>13.847291339018087</v>
      </c>
      <c r="I39">
        <f>$C$12*(ReDiarioFert!G60+ReDiarioFert!G61+ReDiarioFert!G62)</f>
        <v>98.51718365377778</v>
      </c>
      <c r="K39">
        <f>$C$12*(ReDiarioFert!I60+ReDiarioFert!I61+ReDiarioFert!I62)</f>
        <v>63.22989117733054</v>
      </c>
      <c r="M39">
        <f>$C$12*(ReDiarioFert!K60+ReDiarioFert!K61+ReDiarioFert!K62)</f>
        <v>130.33319865122792</v>
      </c>
      <c r="O39">
        <f>$C$12*(ReDiarioFert!M60+ReDiarioFert!M61+ReDiarioFert!M62)</f>
        <v>343.16233170731704</v>
      </c>
      <c r="S39">
        <f>((E39/100)*$G$50+(G39/100)*$G$51+(I39/100)*$G$52+(K39/100)*$G$53+(M39/100)*$G$54+(O39)*$G$55+(Q39*$G$56))</f>
        <v>3368.0207579429657</v>
      </c>
    </row>
    <row r="40">
      <c r="A40">
        <v>9</v>
      </c>
      <c r="B40">
        <f>B39+3</f>
        <v>57</v>
      </c>
      <c r="C40">
        <f>$I$11+B40</f>
        <v>39871</v>
      </c>
      <c r="E40">
        <f>IF(($C$12*(ReDiarioFert!C63+ReDiarioFert!C64))&lt;=0,"0",($C$12*(ReDiarioFert!C63+ReDiarioFert!C64)))</f>
        <v>16.05455194449045</v>
      </c>
      <c r="G40">
        <f>$C$12*(ReDiarioFert!E63+ReDiarioFert!E64)</f>
        <v>9.231527559345391</v>
      </c>
      <c r="I40">
        <f>$C$12*(ReDiarioFert!G63+ReDiarioFert!G64)</f>
        <v>65.67812243585185</v>
      </c>
      <c r="K40">
        <f>$C$12*(ReDiarioFert!I63+ReDiarioFert!I64)</f>
        <v>42.15326078488703</v>
      </c>
      <c r="M40">
        <f>$C$12*(ReDiarioFert!K63+ReDiarioFert!K64)</f>
        <v>86.88879910081862</v>
      </c>
      <c r="O40">
        <f>$C$12*(ReDiarioFert!M63+ReDiarioFert!M64)</f>
        <v>228.774887804878</v>
      </c>
      <c r="Q40">
        <f>$C$12*Main!$D$63</f>
        <v>20.019999999999996</v>
      </c>
      <c r="S40">
        <f>((E40/100)*$G$50+(G40/100)*$G$51+(I40/100)*$G$52+(K40/100)*$G$53+(M40/100)*$G$54+(O40)*$G$55+(Q40*$G$56))</f>
        <v>2301.403171961977</v>
      </c>
    </row>
    <row r="41">
      <c r="B41">
        <f>B40+2</f>
        <v>59</v>
      </c>
      <c r="C41">
        <f>$I$11+B41</f>
        <v>39873</v>
      </c>
      <c r="E41">
        <f>IF(($C$12*(ReDiarioFert!C65+ReDiarioFert!C66))&lt;=0,"0",($C$12*(ReDiarioFert!C65+ReDiarioFert!C66)))</f>
        <v>16.05455194449045</v>
      </c>
      <c r="G41">
        <f>$C$12*(ReDiarioFert!E65+ReDiarioFert!E66)</f>
        <v>9.231527559345391</v>
      </c>
      <c r="I41">
        <f>$C$12*(ReDiarioFert!G65+ReDiarioFert!G66)</f>
        <v>65.67812243585185</v>
      </c>
      <c r="K41">
        <f>$C$12*(ReDiarioFert!I65+ReDiarioFert!I66)</f>
        <v>42.15326078488703</v>
      </c>
      <c r="M41">
        <f>$C$12*(ReDiarioFert!K65+ReDiarioFert!K66)</f>
        <v>86.88879910081862</v>
      </c>
      <c r="O41">
        <f>$C$12*(ReDiarioFert!M65+ReDiarioFert!M66)</f>
        <v>228.774887804878</v>
      </c>
      <c r="S41">
        <f>((E41/100)*$G$50+(G41/100)*$G$51+(I41/100)*$G$52+(K41/100)*$G$53+(M41/100)*$G$54+(O41)*$G$55+(Q41*$G$56))</f>
        <v>2245.347171961977</v>
      </c>
    </row>
    <row r="42">
      <c r="B42">
        <f>B41+2</f>
        <v>61</v>
      </c>
      <c r="C42">
        <f>$I$11+B42</f>
        <v>39875</v>
      </c>
      <c r="E42">
        <f>IF(($C$12*(ReDiarioFert!C67+ReDiarioFert!C68+ReDiarioFert!C69))&lt;=0,"0",($C$12*(ReDiarioFert!C67+ReDiarioFert!C68+ReDiarioFert!C69)))</f>
        <v>24.081827916735676</v>
      </c>
      <c r="G42">
        <f>$C$12*(ReDiarioFert!E67+ReDiarioFert!E68+ReDiarioFert!E69)</f>
        <v>13.847291339018087</v>
      </c>
      <c r="I42">
        <f>$C$12*(ReDiarioFert!G67+ReDiarioFert!G68+ReDiarioFert!G69)</f>
        <v>98.51718365377778</v>
      </c>
      <c r="K42">
        <f>$C$12*(ReDiarioFert!I67+ReDiarioFert!I68+ReDiarioFert!I69)</f>
        <v>63.22989117733054</v>
      </c>
      <c r="M42">
        <f>$C$12*(ReDiarioFert!K67+ReDiarioFert!K68+ReDiarioFert!K69)</f>
        <v>130.33319865122792</v>
      </c>
      <c r="O42">
        <f>$C$12*(ReDiarioFert!M67+ReDiarioFert!M68+ReDiarioFert!M69)</f>
        <v>373.0028741463414</v>
      </c>
      <c r="S42">
        <f>((E42/100)*$G$50+(G42/100)*$G$51+(I42/100)*$G$52+(K42/100)*$G$53+(M42/100)*$G$54+(O42)*$G$55+(Q42*$G$56))</f>
        <v>3369.2143796405267</v>
      </c>
    </row>
    <row r="43">
      <c r="A43">
        <v>10</v>
      </c>
      <c r="B43">
        <f>B42+3</f>
        <v>64</v>
      </c>
      <c r="C43">
        <f>$I$11+B43</f>
        <v>39878</v>
      </c>
      <c r="E43">
        <f>IF(($C$12*(ReDiarioFert!C70+ReDiarioFert!C71))&lt;=0,"0",($C$12*(ReDiarioFert!C70+ReDiarioFert!C71)))</f>
        <v>16.05455194449045</v>
      </c>
      <c r="G43">
        <f>$C$12*(ReDiarioFert!E70+ReDiarioFert!E71)</f>
        <v>9.231527559345391</v>
      </c>
      <c r="I43">
        <f>$C$12*(ReDiarioFert!G70+ReDiarioFert!G71)</f>
        <v>65.67812243585185</v>
      </c>
      <c r="K43">
        <f>$C$12*(ReDiarioFert!I70+ReDiarioFert!I71)</f>
        <v>42.15326078488703</v>
      </c>
      <c r="M43">
        <f>$C$12*(ReDiarioFert!K70+ReDiarioFert!K71)</f>
        <v>86.88879910081862</v>
      </c>
      <c r="O43">
        <f>$C$12*(ReDiarioFert!M70+ReDiarioFert!M71)</f>
        <v>288.4559726829268</v>
      </c>
      <c r="Q43">
        <f>$C$12*Main!$D$63</f>
        <v>20.019999999999996</v>
      </c>
      <c r="S43">
        <f>((E43/100)*$G$50+(G43/100)*$G$51+(I43/100)*$G$52+(K43/100)*$G$53+(M43/100)*$G$54+(O43)*$G$55+(Q43*$G$56))</f>
        <v>2303.790415357099</v>
      </c>
    </row>
    <row r="44">
      <c r="B44">
        <f>B43+2</f>
        <v>66</v>
      </c>
      <c r="C44">
        <f>$I$11+B44</f>
        <v>39880</v>
      </c>
      <c r="E44">
        <f>IF(($C$12*(ReDiarioFert!C72+ReDiarioFert!C73))&lt;=0,"0",($C$12*(ReDiarioFert!C72+ReDiarioFert!C73)))</f>
        <v>16.05455194449045</v>
      </c>
      <c r="G44">
        <f>$C$12*(ReDiarioFert!E72+ReDiarioFert!E73)</f>
        <v>9.231527559345391</v>
      </c>
      <c r="I44">
        <f>$C$12*(ReDiarioFert!G72+ReDiarioFert!G73)</f>
        <v>65.67812243585185</v>
      </c>
      <c r="K44">
        <f>$C$12*(ReDiarioFert!I72+ReDiarioFert!I73)</f>
        <v>42.15326078488703</v>
      </c>
      <c r="M44">
        <f>$C$12*(ReDiarioFert!K72+ReDiarioFert!K73)</f>
        <v>86.88879910081862</v>
      </c>
      <c r="O44">
        <f>$C$12*(ReDiarioFert!M72+ReDiarioFert!M73)</f>
        <v>288.4559726829268</v>
      </c>
      <c r="S44">
        <f>((E44/100)*$G$50+(G44/100)*$G$51+(I44/100)*$G$52+(K44/100)*$G$53+(M44/100)*$G$54+(O44)*$G$55+(Q44*$G$56))</f>
        <v>2247.734415357099</v>
      </c>
    </row>
    <row r="45">
      <c r="B45">
        <f>B44+2</f>
        <v>68</v>
      </c>
      <c r="C45">
        <f>$I$11+B45</f>
        <v>39882</v>
      </c>
      <c r="E45">
        <f>IF(($C$12*(ReDiarioFert!C74+ReDiarioFert!C75+ReDiarioFert!C76))&lt;=0,"0",($C$12*(ReDiarioFert!C74+ReDiarioFert!C75+ReDiarioFert!C76)))</f>
        <v>24.081827916735676</v>
      </c>
      <c r="G45">
        <f>$C$12*(ReDiarioFert!E74+ReDiarioFert!E75+ReDiarioFert!E76)</f>
        <v>13.847291339018087</v>
      </c>
      <c r="I45">
        <f>$C$12*(ReDiarioFert!G74+ReDiarioFert!G75+ReDiarioFert!G76)</f>
        <v>98.51718365377778</v>
      </c>
      <c r="K45">
        <f>$C$12*(ReDiarioFert!I74+ReDiarioFert!I75+ReDiarioFert!I76)</f>
        <v>63.22989117733054</v>
      </c>
      <c r="M45">
        <f>$C$12*(ReDiarioFert!K74+ReDiarioFert!K75+ReDiarioFert!K76)</f>
        <v>130.33319865122792</v>
      </c>
      <c r="O45">
        <f>$C$12*(ReDiarioFert!M74+ReDiarioFert!M75+ReDiarioFert!M76)</f>
        <v>432.6839590243902</v>
      </c>
      <c r="S45">
        <f>((E45/100)*$G$50+(G45/100)*$G$51+(I45/100)*$G$52+(K45/100)*$G$53+(M45/100)*$G$54+(O45)*$G$55+(Q45*$G$56))</f>
        <v>3371.6016230356486</v>
      </c>
    </row>
    <row r="46">
      <c r="C46" t="str">
        <v>Total</v>
      </c>
      <c r="E46">
        <f>SUM(E16:E45)</f>
        <v>427.1659416762785</v>
      </c>
      <c r="G46">
        <f>SUM(G16:G45)</f>
        <v>206.66033286261833</v>
      </c>
      <c r="I46">
        <f>SUM(I16:I45)</f>
        <v>1359.5906534492437</v>
      </c>
      <c r="K46">
        <f>SUM(K16:K45)</f>
        <v>872.6068476076953</v>
      </c>
      <c r="M46">
        <f>SUM(M16:M45)</f>
        <v>1798.6689443243959</v>
      </c>
      <c r="O46">
        <f>SUM(O16:O45)</f>
        <v>5595.038229268291</v>
      </c>
      <c r="Q46">
        <f>SUM(Q16:Q45)</f>
        <v>200.19999999999993</v>
      </c>
      <c r="S46">
        <f>SUM(S16:S45)</f>
        <v>48114.59662580122</v>
      </c>
    </row>
    <row r="47">
      <c r="D47" t="str">
        <v>OJO cualquier cultivo que no se termine la cosecha en el ultimo día del calendario solo seguir repitiendo la ultima aplicación de fertilizante.</v>
      </c>
    </row>
    <row r="48" ht="39.75" customHeight="1">
      <c r="B48" t="str">
        <v>Producto</v>
      </c>
      <c r="F48" t="str">
        <v>Lbs/Ha</v>
      </c>
      <c r="G48" t="str">
        <v>Costo por qq</v>
      </c>
    </row>
    <row r="49" ht="24" customHeight="1">
      <c r="G49" t="str">
        <f>Main!$E$25</f>
        <v>Lempiras</v>
      </c>
    </row>
    <row r="50">
      <c r="B50" t="str">
        <f>Main!D42</f>
        <v>Nitrato de Amonio</v>
      </c>
      <c r="F50">
        <f>E46/C12</f>
        <v>426.73920247380477</v>
      </c>
      <c r="G50">
        <f>Main!D43</f>
        <v>620</v>
      </c>
    </row>
    <row r="51">
      <c r="B51" t="str">
        <f>Main!D32</f>
        <v>MAP 12-61-0</v>
      </c>
      <c r="F51">
        <f>G46/C12</f>
        <v>206.45387898363472</v>
      </c>
      <c r="G51">
        <f>Main!D33</f>
        <v>2900</v>
      </c>
    </row>
    <row r="52">
      <c r="B52" t="str">
        <f>Main!D37</f>
        <v>Kcl Soluble</v>
      </c>
      <c r="F52">
        <f>I46/C12</f>
        <v>1358.2324210282156</v>
      </c>
      <c r="G52">
        <f>Main!D38</f>
        <v>780</v>
      </c>
    </row>
    <row r="53">
      <c r="B53" t="str">
        <f>Main!D47</f>
        <v>Sulfato de Magnesio</v>
      </c>
      <c r="F53">
        <f>K46/C12</f>
        <v>871.7351124952002</v>
      </c>
      <c r="G53">
        <f>Main!D48</f>
        <v>951</v>
      </c>
    </row>
    <row r="54">
      <c r="B54" t="str">
        <f>Main!D52</f>
        <v>Nitrato de Calcio</v>
      </c>
      <c r="F54">
        <f>M46/C12</f>
        <v>1796.8720722521439</v>
      </c>
      <c r="G54">
        <f>Main!D53</f>
        <v>1100</v>
      </c>
    </row>
    <row r="55">
      <c r="B55" t="str">
        <f>Main!D57</f>
        <v>Solubor</v>
      </c>
      <c r="F55">
        <f>O46/C12</f>
        <v>5589.448780487804</v>
      </c>
      <c r="G55">
        <f>Main!D58</f>
        <v>0.04</v>
      </c>
      <c r="I55" t="str">
        <v xml:space="preserve">Preparado y Autorizado Por </v>
      </c>
    </row>
    <row r="56" ht="18" customHeight="1">
      <c r="B56" t="str">
        <f>Main!D61</f>
        <v>Melaza</v>
      </c>
      <c r="F56">
        <f>Q46/C12</f>
        <v>199.99999999999994</v>
      </c>
      <c r="G56">
        <f>Main!D62</f>
        <v>2.8</v>
      </c>
      <c r="I56" t="str">
        <v>MSc Ricardo D. Lardizábal</v>
      </c>
    </row>
    <row r="57" ht="17.4" customHeight="1">
      <c r="B57" t="str">
        <v>NOTA: El Nitrato de Calcio se debe de diluir en un barril aparte para inyectarse al sistema</v>
      </c>
    </row>
    <row r="60">
      <c r="B60" t="str">
        <v>Abreviaciones usadas</v>
      </c>
    </row>
    <row r="61">
      <c r="B61" t="str">
        <v>Mz.-Manzanas, Ha-Hectáreas, Lbs-Libras, Lts-Litros y DDT-Días después de Trasplante</v>
      </c>
    </row>
  </sheetData>
  <sheetProtection sheet="1"/>
  <mergeCells count="53">
    <mergeCell ref="B61:S61"/>
    <mergeCell ref="P2:S3"/>
    <mergeCell ref="A8:M8"/>
    <mergeCell ref="P5:S7"/>
    <mergeCell ref="P9:S12"/>
    <mergeCell ref="F10:H10"/>
    <mergeCell ref="F11:H11"/>
    <mergeCell ref="C9:E9"/>
    <mergeCell ref="B60:C60"/>
    <mergeCell ref="B56:E56"/>
    <mergeCell ref="B54:E54"/>
    <mergeCell ref="B57:I58"/>
    <mergeCell ref="B55:E55"/>
    <mergeCell ref="F9:H9"/>
    <mergeCell ref="G54:H54"/>
    <mergeCell ref="A12:B12"/>
    <mergeCell ref="C12:E12"/>
    <mergeCell ref="G53:H53"/>
    <mergeCell ref="A9:B9"/>
    <mergeCell ref="G52:H52"/>
    <mergeCell ref="A10:B10"/>
    <mergeCell ref="C10:E10"/>
    <mergeCell ref="C11:E11"/>
    <mergeCell ref="A11:B11"/>
    <mergeCell ref="B53:E53"/>
    <mergeCell ref="B48:E48"/>
    <mergeCell ref="B50:E50"/>
    <mergeCell ref="B51:E51"/>
    <mergeCell ref="B52:E52"/>
    <mergeCell ref="A14:A15"/>
    <mergeCell ref="B14:B15"/>
    <mergeCell ref="C14:D14"/>
    <mergeCell ref="E14:F14"/>
    <mergeCell ref="S14:S15"/>
    <mergeCell ref="M14:N14"/>
    <mergeCell ref="Q14:R14"/>
    <mergeCell ref="O14:P14"/>
    <mergeCell ref="G50:H50"/>
    <mergeCell ref="G51:H51"/>
    <mergeCell ref="I14:J14"/>
    <mergeCell ref="K14:L14"/>
    <mergeCell ref="G48:H48"/>
    <mergeCell ref="G49:H49"/>
    <mergeCell ref="G55:H55"/>
    <mergeCell ref="I56:Q56"/>
    <mergeCell ref="I9:M9"/>
    <mergeCell ref="I10:M10"/>
    <mergeCell ref="I11:M11"/>
    <mergeCell ref="I12:M12"/>
    <mergeCell ref="I55:Q55"/>
    <mergeCell ref="G56:H56"/>
    <mergeCell ref="F12:H12"/>
    <mergeCell ref="G14:H14"/>
  </mergeCells>
  <pageMargins left="0.25" right="0.25" top="0.39" bottom="0.5" header="0.27" footer="0.25"/>
  <ignoredErrors>
    <ignoredError numberStoredAsText="1" sqref="A1:V70"/>
  </ignoredErrors>
  <legacyDrawing r:id="rId1"/>
</worksheet>
</file>

<file path=xl/worksheets/sheet5.xml><?xml version="1.0" encoding="utf-8"?>
<worksheet xmlns="http://schemas.openxmlformats.org/spreadsheetml/2006/main" xmlns:r="http://schemas.openxmlformats.org/officeDocument/2006/relationships">
  <dimension ref="A1:V60"/>
  <sheetViews>
    <sheetView workbookViewId="0" rightToLeft="0"/>
  </sheetViews>
  <sheetData>
    <row r="1" ht="56.4" customHeight="1"/>
    <row r="2" ht="32.7" customHeight="1">
      <c r="P2" t="str">
        <v>Calendario de Fertilización para Goteo 2 Veces Por Semana</v>
      </c>
    </row>
    <row r="3" ht="32.7" customHeight="1"/>
    <row r="5">
      <c r="P5" t="str">
        <f>Main!$E$21</f>
        <v>Lechuga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Super 88</v>
      </c>
    </row>
    <row r="10" ht="20.1" customHeight="1">
      <c r="A10" t="str">
        <v>Zona</v>
      </c>
      <c r="C10" t="str">
        <f>Main!E18</f>
        <v>Cantarranas</v>
      </c>
      <c r="G10" t="str">
        <v>Técnico</v>
      </c>
      <c r="J10" t="str">
        <f>Main!E20</f>
        <v>Raca</v>
      </c>
    </row>
    <row r="11" ht="20.1" customHeight="1">
      <c r="A11" t="str">
        <v>Área Mz.</v>
      </c>
      <c r="C11">
        <f>Main!E22</f>
        <v>1.43</v>
      </c>
      <c r="G11" t="str">
        <v>Fecha:</v>
      </c>
      <c r="J11">
        <f>Main!E23</f>
        <v>39814</v>
      </c>
    </row>
    <row r="12" ht="20.1" customHeight="1">
      <c r="A12" t="str">
        <v>Área Ha.</v>
      </c>
      <c r="C12">
        <f>Main!I22</f>
        <v>1.001</v>
      </c>
      <c r="G12" t="str">
        <v>Fecha de Cosecha:</v>
      </c>
      <c r="J12">
        <f>J11+Main!E24</f>
        <v>39874</v>
      </c>
    </row>
    <row r="13" ht="19.5" customHeight="1"/>
    <row r="14" ht="28.5" customHeight="1">
      <c r="A14" t="str">
        <v>Semana</v>
      </c>
      <c r="B14" t="str">
        <v>DDT</v>
      </c>
      <c r="C14" t="str">
        <v>FECHA</v>
      </c>
      <c r="D14" t="str">
        <v>Seleccioné su opción</v>
      </c>
      <c r="E14" t="str">
        <f>Main!$D$42</f>
        <v>Nitrato de Amonio</v>
      </c>
      <c r="G14" t="str">
        <f>Main!$D$32</f>
        <v>MAP 12-61-0</v>
      </c>
      <c r="I14" t="str">
        <f>Main!$D$37</f>
        <v>Kcl Soluble</v>
      </c>
      <c r="K14" t="str">
        <f>Main!$D$47</f>
        <v>Sulfato de Magnesio</v>
      </c>
      <c r="M14" t="str">
        <f>Main!$D$52</f>
        <v>Nitrato de Calcio</v>
      </c>
      <c r="O14" t="str">
        <f>Main!$D$57</f>
        <v>Solubor</v>
      </c>
      <c r="Q14" t="str">
        <f>Main!$D$61</f>
        <v>Melaza</v>
      </c>
      <c r="R14" t="str">
        <v>Preventivos</v>
      </c>
      <c r="T14" t="str">
        <v>Costo / Aplicación</v>
      </c>
    </row>
    <row r="15">
      <c r="D15" t="str">
        <v>Preventivos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Dosis</v>
      </c>
      <c r="S15" t="str">
        <v>Unidades</v>
      </c>
    </row>
    <row r="16" ht="18.75" customHeight="1">
      <c r="A16">
        <v>1</v>
      </c>
      <c r="B16">
        <v>3</v>
      </c>
      <c r="C16">
        <f>$J$11+B16</f>
        <v>39817</v>
      </c>
      <c r="E16">
        <f>IF(((SUM(ReDiarioFert!C7:C13)/2)*$C$12)&lt;=0,"0",(((SUM(ReDiarioFert!C7:C13)/2)*$C$12)))</f>
        <v>8.000182004192945</v>
      </c>
      <c r="G16">
        <f>IF(((SUM(ReDiarioFert!E7:E13)/2)*$C$12)&lt;=0,"0",(((SUM(ReDiarioFert!E7:E13)/2)*$C$12)))</f>
        <v>2.9373042234280793</v>
      </c>
      <c r="I16">
        <f>IF(((SUM(ReDiarioFert!G7:G13)/2)*$C$12)&lt;=0,"0",(((SUM(ReDiarioFert!G7:G13)/2)*$C$12)))</f>
        <v>16.173086749131812</v>
      </c>
      <c r="K16">
        <f>IF(((SUM(ReDiarioFert!I7:I13)/2)*$C$12)&lt;=0,"0",(((SUM(ReDiarioFert!I7:I13)/2)*$C$12)))</f>
        <v>10.380143617817652</v>
      </c>
      <c r="M16">
        <f>IF(((SUM(ReDiarioFert!K7:K13)/2)*$C$12)&lt;=0,"0",(((SUM(ReDiarioFert!K7:K13)/2)*$C$12)))</f>
        <v>21.39616714466754</v>
      </c>
      <c r="O16">
        <f>IF(((SUM(ReDiarioFert!M7:M13)/2)*$C$12)&lt;=0,"0",(((SUM(ReDiarioFert!M7:M13)/2)*$C$12)))</f>
        <v>87.03377609756097</v>
      </c>
      <c r="Q16">
        <f>$C$12*Main!$D$63</f>
        <v>20.019999999999996</v>
      </c>
      <c r="R16">
        <f>VLOOKUP(D16,Fertilizantes!$A$49:$E$123,2,FALSE)*$C$12</f>
        <v>0</v>
      </c>
      <c r="S16">
        <f>VLOOKUP(D16,Fertilizantes!$A$49:$E$123,4,FALSE)</f>
        <v>0</v>
      </c>
      <c r="T16">
        <f>((E16/100)*$G$40+(G16/100)*$G$41+(I16/100)*$G$42+(K16/100)*$G$43+(M16/100)*$G$44+(O16)*$G$45+(Q16*$G$46)+(R16*(VLOOKUP(D16,Fertilizantes!$A$49:$E$122,3,FALSE))))</f>
        <v>654.54338298933</v>
      </c>
    </row>
    <row r="17" ht="18.75" customHeight="1">
      <c r="B17">
        <v>7</v>
      </c>
      <c r="C17">
        <f>$J$11+B17</f>
        <v>39821</v>
      </c>
      <c r="E17">
        <f>E16</f>
        <v>8.000182004192945</v>
      </c>
      <c r="G17">
        <f>G16</f>
        <v>2.9373042234280793</v>
      </c>
      <c r="I17">
        <f>I16</f>
        <v>16.173086749131812</v>
      </c>
      <c r="K17">
        <f>K16</f>
        <v>10.380143617817652</v>
      </c>
      <c r="M17">
        <f>M16</f>
        <v>21.39616714466754</v>
      </c>
      <c r="O17">
        <f>O16</f>
        <v>87.03377609756097</v>
      </c>
      <c r="R17">
        <f>VLOOKUP(D17,Fertilizantes!$A$49:$E$123,2,FALSE)*$C$12</f>
        <v>0</v>
      </c>
      <c r="S17">
        <f>VLOOKUP(D17,Fertilizantes!$A$49:$E$123,4,FALSE)</f>
        <v>0</v>
      </c>
      <c r="T17">
        <f>((E17/100)*$G$40+(G17/100)*$G$41+(I17/100)*$G$42+(K17/100)*$G$43+(M17/100)*$G$44+(O17)*$G$45+(Q17*$G$46)+(R17*(VLOOKUP(D17,Fertilizantes!$A$49:$E$122,3,FALSE))))</f>
        <v>598.48738298933</v>
      </c>
    </row>
    <row r="18">
      <c r="A18">
        <v>2</v>
      </c>
      <c r="B18">
        <f>B17+3</f>
        <v>10</v>
      </c>
      <c r="C18">
        <f>$J$11+B18</f>
        <v>39824</v>
      </c>
      <c r="E18">
        <f>IF(((SUM(ReDiarioFert!C14:C20)/2)*$C$12)&lt;=0,"0",(((SUM(ReDiarioFert!C14:C20)/2)*$C$12)))</f>
        <v>11.428831434561353</v>
      </c>
      <c r="G18">
        <f>IF(((SUM(ReDiarioFert!E14:E20)/2)*$C$12)&lt;=0,"0",(((SUM(ReDiarioFert!E14:E20)/2)*$C$12)))</f>
        <v>4.196148890611541</v>
      </c>
      <c r="I18">
        <f>IF(((SUM(ReDiarioFert!G14:G20)/2)*$C$12)&lt;=0,"0",(((SUM(ReDiarioFert!G14:G20)/2)*$C$12)))</f>
        <v>23.10440964161687</v>
      </c>
      <c r="K18">
        <f>IF(((SUM(ReDiarioFert!I14:I20)/2)*$C$12)&lt;=0,"0",(((SUM(ReDiarioFert!I14:I20)/2)*$C$12)))</f>
        <v>14.828776596882362</v>
      </c>
      <c r="M18">
        <f>IF(((SUM(ReDiarioFert!K14:K20)/2)*$C$12)&lt;=0,"0",(((SUM(ReDiarioFert!K14:K20)/2)*$C$12)))</f>
        <v>30.565953063810767</v>
      </c>
      <c r="O18">
        <f>IF(((SUM(ReDiarioFert!M14:M20)/2)*$C$12)&lt;=0,"0",(((SUM(ReDiarioFert!M14:M20)/2)*$C$12)))</f>
        <v>126.82084048780487</v>
      </c>
      <c r="Q18">
        <f>$C$12*Main!$D$63</f>
        <v>20.019999999999996</v>
      </c>
      <c r="R18">
        <f>VLOOKUP(D18,Fertilizantes!$A$49:$E$123,2,FALSE)*$C$12</f>
        <v>0</v>
      </c>
      <c r="S18">
        <f>VLOOKUP(D18,Fertilizantes!$A$49:$E$123,4,FALSE)</f>
        <v>0</v>
      </c>
      <c r="T18">
        <f>((E18/100)*$G$40+(G18/100)*$G$41+(I18/100)*$G$42+(K18/100)*$G$43+(M18/100)*$G$44+(O18)*$G$45+(Q18*$G$46)+(R18*(VLOOKUP(D18,Fertilizantes!$A$49:$E$122,3,FALSE))))</f>
        <v>911.1374506844083</v>
      </c>
    </row>
    <row r="19">
      <c r="B19">
        <f>B18+4</f>
        <v>14</v>
      </c>
      <c r="C19">
        <f>$J$11+B19</f>
        <v>39828</v>
      </c>
      <c r="E19">
        <f>E18</f>
        <v>11.428831434561353</v>
      </c>
      <c r="G19">
        <f>G18</f>
        <v>4.196148890611541</v>
      </c>
      <c r="I19">
        <f>I18</f>
        <v>23.10440964161687</v>
      </c>
      <c r="K19">
        <f>K18</f>
        <v>14.828776596882362</v>
      </c>
      <c r="M19">
        <f>M18</f>
        <v>30.565953063810767</v>
      </c>
      <c r="O19">
        <f>O18</f>
        <v>126.82084048780487</v>
      </c>
      <c r="R19">
        <f>VLOOKUP(D19,Fertilizantes!$A$49:$E$123,2,FALSE)*$C$12</f>
        <v>0</v>
      </c>
      <c r="S19">
        <f>VLOOKUP(D19,Fertilizantes!$A$49:$E$123,4,FALSE)</f>
        <v>0</v>
      </c>
      <c r="T19">
        <f>((E19/100)*$G$40+(G19/100)*$G$41+(I19/100)*$G$42+(K19/100)*$G$43+(M19/100)*$G$44+(O19)*$G$45+(Q19*$G$46)+(R19*(VLOOKUP(D19,Fertilizantes!$A$49:$E$122,3,FALSE))))</f>
        <v>855.0814506844084</v>
      </c>
    </row>
    <row r="20">
      <c r="A20">
        <v>3</v>
      </c>
      <c r="B20">
        <f>B19+3</f>
        <v>17</v>
      </c>
      <c r="C20">
        <f>$J$11+B20</f>
        <v>39831</v>
      </c>
      <c r="E20">
        <f>IF(((SUM(ReDiarioFert!C21:C27)/2)*$C$12)&lt;=0,"0",(((SUM(ReDiarioFert!C21:C27)/2)*$C$12)))</f>
        <v>17.42896793770606</v>
      </c>
      <c r="G20">
        <f>IF(((SUM(ReDiarioFert!E21:E27)/2)*$C$12)&lt;=0,"0",(((SUM(ReDiarioFert!E21:E27)/2)*$C$12)))</f>
        <v>6.399127058182599</v>
      </c>
      <c r="I20">
        <f>IF(((SUM(ReDiarioFert!G21:G27)/2)*$C$12)&lt;=0,"0",(((SUM(ReDiarioFert!G21:G27)/2)*$C$12)))</f>
        <v>35.23422470346573</v>
      </c>
      <c r="K20">
        <f>IF(((SUM(ReDiarioFert!I21:I27)/2)*$C$12)&lt;=0,"0",(((SUM(ReDiarioFert!I21:I27)/2)*$C$12)))</f>
        <v>22.6138843102456</v>
      </c>
      <c r="M20">
        <f>IF(((SUM(ReDiarioFert!K21:K27)/2)*$C$12)&lt;=0,"0",(((SUM(ReDiarioFert!K21:K27)/2)*$C$12)))</f>
        <v>46.613078422311425</v>
      </c>
      <c r="O20">
        <f>IF(((SUM(ReDiarioFert!M21:M27)/2)*$C$12)&lt;=0,"0",(((SUM(ReDiarioFert!M21:M27)/2)*$C$12)))</f>
        <v>186.50070463414633</v>
      </c>
      <c r="Q20">
        <f>$C$12*Main!$D$63</f>
        <v>20.019999999999996</v>
      </c>
      <c r="R20">
        <f>VLOOKUP(D20,Fertilizantes!$A$49:$E$123,2,FALSE)*$C$12</f>
        <v>0</v>
      </c>
      <c r="S20">
        <f>VLOOKUP(D20,Fertilizantes!$A$49:$E$123,4,FALSE)</f>
        <v>0</v>
      </c>
      <c r="T20">
        <f>((E20/100)*$G$40+(G20/100)*$G$41+(I20/100)*$G$42+(K20/100)*$G$43+(M20/100)*$G$44+(O20)*$G$45+(Q20*$G$46)+(R20*(VLOOKUP(D20,Fertilizantes!$A$49:$E$122,3,FALSE))))</f>
        <v>1359.7791692093328</v>
      </c>
    </row>
    <row r="21">
      <c r="B21">
        <f>B20+4</f>
        <v>21</v>
      </c>
      <c r="C21">
        <f>$J$11+B21</f>
        <v>39835</v>
      </c>
      <c r="E21">
        <f>E20</f>
        <v>17.42896793770606</v>
      </c>
      <c r="G21">
        <f>G20</f>
        <v>6.399127058182599</v>
      </c>
      <c r="I21">
        <f>I20</f>
        <v>35.23422470346573</v>
      </c>
      <c r="K21">
        <f>K20</f>
        <v>22.6138843102456</v>
      </c>
      <c r="M21">
        <f>M20</f>
        <v>46.613078422311425</v>
      </c>
      <c r="O21">
        <f>O20</f>
        <v>186.50070463414633</v>
      </c>
      <c r="R21">
        <f>VLOOKUP(D21,Fertilizantes!$A$49:$E$123,2,FALSE)*$C$12</f>
        <v>0</v>
      </c>
      <c r="S21">
        <f>VLOOKUP(D21,Fertilizantes!$A$49:$E$123,4,FALSE)</f>
        <v>0</v>
      </c>
      <c r="T21">
        <f>((E21/100)*$G$40+(G21/100)*$G$41+(I21/100)*$G$42+(K21/100)*$G$43+(M21/100)*$G$44+(O21)*$G$45+(Q21*$G$46)+(R21*(VLOOKUP(D21,Fertilizantes!$A$49:$E$122,3,FALSE))))</f>
        <v>1303.7231692093328</v>
      </c>
    </row>
    <row r="22">
      <c r="A22">
        <v>4</v>
      </c>
      <c r="B22">
        <f>B21+3</f>
        <v>24</v>
      </c>
      <c r="C22">
        <f>$J$11+B22</f>
        <v>39838</v>
      </c>
      <c r="E22">
        <f>IF(((SUM(ReDiarioFert!C28:C34)/2)*$C$12)&lt;=0,"0",(((SUM(ReDiarioFert!C28:C34)/2)*$C$12)))</f>
        <v>18.100514070746776</v>
      </c>
      <c r="G22">
        <f>IF(((SUM(ReDiarioFert!E28:E34)/2)*$C$12)&lt;=0,"0",(((SUM(ReDiarioFert!E28:E34)/2)*$C$12)))</f>
        <v>7.343260558570197</v>
      </c>
      <c r="I22">
        <f>IF(((SUM(ReDiarioFert!G28:G34)/2)*$C$12)&lt;=0,"0",(((SUM(ReDiarioFert!G28:G34)/2)*$C$12)))</f>
        <v>43.53663419043209</v>
      </c>
      <c r="K22">
        <f>IF(((SUM(ReDiarioFert!I28:I34)/2)*$C$12)&lt;=0,"0",(((SUM(ReDiarioFert!I28:I34)/2)*$C$12)))</f>
        <v>27.94250241422435</v>
      </c>
      <c r="M22">
        <f>IF(((SUM(ReDiarioFert!K28:K34)/2)*$C$12)&lt;=0,"0",(((SUM(ReDiarioFert!K28:K34)/2)*$C$12)))</f>
        <v>57.59674182819414</v>
      </c>
      <c r="O22">
        <f>IF(((SUM(ReDiarioFert!M28:M34)/2)*$C$12)&lt;=0,"0",(((SUM(ReDiarioFert!M28:M34)/2)*$C$12)))</f>
        <v>208.88037902439024</v>
      </c>
      <c r="Q22">
        <f>$C$12*Main!$D$63</f>
        <v>20.019999999999996</v>
      </c>
      <c r="R22">
        <f>VLOOKUP(D22,Fertilizantes!$A$49:$E$123,2,FALSE)*$C$12</f>
        <v>0</v>
      </c>
      <c r="S22">
        <f>VLOOKUP(D22,Fertilizantes!$A$49:$E$123,4,FALSE)</f>
        <v>0</v>
      </c>
      <c r="T22">
        <f>((E22/100)*$G$40+(G22/100)*$G$41+(I22/100)*$G$42+(K22/100)*$G$43+(M22/100)*$G$44+(O22)*$G$45+(Q22*$G$46)+(R22*(VLOOKUP(D22,Fertilizantes!$A$49:$E$122,3,FALSE))))</f>
        <v>1628.472063352921</v>
      </c>
    </row>
    <row r="23">
      <c r="B23">
        <f>B22+4</f>
        <v>28</v>
      </c>
      <c r="C23">
        <f>$J$11+B23</f>
        <v>39842</v>
      </c>
      <c r="E23">
        <f>E22</f>
        <v>18.100514070746776</v>
      </c>
      <c r="G23">
        <f>G22</f>
        <v>7.343260558570197</v>
      </c>
      <c r="I23">
        <f>I22</f>
        <v>43.53663419043209</v>
      </c>
      <c r="K23">
        <f>K22</f>
        <v>27.94250241422435</v>
      </c>
      <c r="M23">
        <f>M22</f>
        <v>57.59674182819414</v>
      </c>
      <c r="O23">
        <f>O22</f>
        <v>208.88037902439024</v>
      </c>
      <c r="R23">
        <f>VLOOKUP(D23,Fertilizantes!$A$49:$E$123,2,FALSE)*$C$12</f>
        <v>0</v>
      </c>
      <c r="S23">
        <f>VLOOKUP(D23,Fertilizantes!$A$49:$E$123,4,FALSE)</f>
        <v>0</v>
      </c>
      <c r="T23">
        <f>((E23/100)*$G$40+(G23/100)*$G$41+(I23/100)*$G$42+(K23/100)*$G$43+(M23/100)*$G$44+(O23)*$G$45+(Q23*$G$46)+(R23*(VLOOKUP(D23,Fertilizantes!$A$49:$E$122,3,FALSE))))</f>
        <v>1572.416063352921</v>
      </c>
    </row>
    <row r="24">
      <c r="A24">
        <v>5</v>
      </c>
      <c r="B24">
        <f>B23+3</f>
        <v>31</v>
      </c>
      <c r="C24">
        <f>$J$11+B24</f>
        <v>39845</v>
      </c>
      <c r="E24">
        <f>IF(((SUM(ReDiarioFert!C35:C41)/2)*$C$12)&lt;=0,"0",(((SUM(ReDiarioFert!C35:C41)/2)*$C$12)))</f>
        <v>22.754931974653093</v>
      </c>
      <c r="G24">
        <f>IF(((SUM(ReDiarioFert!E35:E41)/2)*$C$12)&lt;=0,"0",(((SUM(ReDiarioFert!E35:E41)/2)*$C$12)))</f>
        <v>9.231527559345391</v>
      </c>
      <c r="I24">
        <f>IF(((SUM(ReDiarioFert!G35:G41)/2)*$C$12)&lt;=0,"0",(((SUM(ReDiarioFert!G35:G41)/2)*$C$12)))</f>
        <v>54.7317686965432</v>
      </c>
      <c r="K24">
        <f>IF(((SUM(ReDiarioFert!I35:I41)/2)*$C$12)&lt;=0,"0",(((SUM(ReDiarioFert!I35:I41)/2)*$C$12)))</f>
        <v>35.12771732073919</v>
      </c>
      <c r="M24">
        <f>IF(((SUM(ReDiarioFert!K35:K41)/2)*$C$12)&lt;=0,"0",(((SUM(ReDiarioFert!K35:K41)/2)*$C$12)))</f>
        <v>72.4073325840155</v>
      </c>
      <c r="O24">
        <f>IF(((SUM(ReDiarioFert!M35:M41)/2)*$C$12)&lt;=0,"0",(((SUM(ReDiarioFert!M35:M41)/2)*$C$12)))</f>
        <v>246.18130121951222</v>
      </c>
      <c r="Q24">
        <f>$C$12*Main!$D$63</f>
        <v>20.019999999999996</v>
      </c>
      <c r="R24">
        <f>VLOOKUP(D24,Fertilizantes!$A$49:$E$123,2,FALSE)*$C$12</f>
        <v>0</v>
      </c>
      <c r="S24">
        <f>VLOOKUP(D24,Fertilizantes!$A$49:$E$123,4,FALSE)</f>
        <v>0</v>
      </c>
      <c r="T24">
        <f>((E24/100)*$G$40+(G24/100)*$G$41+(I24/100)*$G$42+(K24/100)*$G$43+(M24/100)*$G$44+(O24)*$G$45+(Q24*$G$46)+(R24*(VLOOKUP(D24,Fertilizantes!$A$49:$E$122,3,FALSE))))</f>
        <v>2032.1511754900832</v>
      </c>
    </row>
    <row r="25">
      <c r="B25">
        <f>B24+4</f>
        <v>35</v>
      </c>
      <c r="C25">
        <f>$J$11+B25</f>
        <v>39849</v>
      </c>
      <c r="E25">
        <f>E24</f>
        <v>22.754931974653093</v>
      </c>
      <c r="G25">
        <f>G24</f>
        <v>9.231527559345391</v>
      </c>
      <c r="I25">
        <f>I24</f>
        <v>54.7317686965432</v>
      </c>
      <c r="K25">
        <f>K24</f>
        <v>35.12771732073919</v>
      </c>
      <c r="M25">
        <f>M24</f>
        <v>72.4073325840155</v>
      </c>
      <c r="O25">
        <f>O24</f>
        <v>246.18130121951222</v>
      </c>
      <c r="R25">
        <f>VLOOKUP(D25,Fertilizantes!$A$49:$E$123,2,FALSE)*$C$12</f>
        <v>0</v>
      </c>
      <c r="S25">
        <f>VLOOKUP(D25,Fertilizantes!$A$49:$E$123,4,FALSE)</f>
        <v>0</v>
      </c>
      <c r="T25">
        <f>((E25/100)*$G$40+(G25/100)*$G$41+(I25/100)*$G$42+(K25/100)*$G$43+(M25/100)*$G$44+(O25)*$G$45+(Q25*$G$46)+(R25*(VLOOKUP(D25,Fertilizantes!$A$49:$E$122,3,FALSE))))</f>
        <v>1976.0951754900832</v>
      </c>
    </row>
    <row r="26">
      <c r="A26">
        <v>6</v>
      </c>
      <c r="B26">
        <f>B25+3</f>
        <v>38</v>
      </c>
      <c r="C26">
        <f>$J$11+B26</f>
        <v>39852</v>
      </c>
      <c r="E26">
        <f>IF(((SUM(ReDiarioFert!C42:C48)/2)*$C$12)&lt;=0,"0",(((SUM(ReDiarioFert!C42:C48)/2)*$C$12)))</f>
        <v>28.960822513194845</v>
      </c>
      <c r="G26">
        <f>IF(((SUM(ReDiarioFert!E42:E48)/2)*$C$12)&lt;=0,"0",(((SUM(ReDiarioFert!E42:E48)/2)*$C$12)))</f>
        <v>11.749216893712317</v>
      </c>
      <c r="I26">
        <f>IF(((SUM(ReDiarioFert!G42:G48)/2)*$C$12)&lt;=0,"0",(((SUM(ReDiarioFert!G42:G48)/2)*$C$12)))</f>
        <v>69.65861470469136</v>
      </c>
      <c r="K26">
        <f>IF(((SUM(ReDiarioFert!I42:I48)/2)*$C$12)&lt;=0,"0",(((SUM(ReDiarioFert!I42:I48)/2)*$C$12)))</f>
        <v>44.708003862758964</v>
      </c>
      <c r="M26">
        <f>IF(((SUM(ReDiarioFert!K42:K48)/2)*$C$12)&lt;=0,"0",(((SUM(ReDiarioFert!K42:K48)/2)*$C$12)))</f>
        <v>92.15478692511063</v>
      </c>
      <c r="O26">
        <f>IF(((SUM(ReDiarioFert!M42:M48)/2)*$C$12)&lt;=0,"0",(((SUM(ReDiarioFert!M42:M48)/2)*$C$12)))</f>
        <v>295.9158641463415</v>
      </c>
      <c r="Q26">
        <f>$C$12*Main!$D$63</f>
        <v>20.019999999999996</v>
      </c>
      <c r="R26">
        <f>VLOOKUP(D26,Fertilizantes!$A$49:$E$123,2,FALSE)*$C$12</f>
        <v>0</v>
      </c>
      <c r="S26">
        <f>VLOOKUP(D26,Fertilizantes!$A$49:$E$123,4,FALSE)</f>
        <v>0</v>
      </c>
      <c r="T26">
        <f>((E26/100)*$G$40+(G26/100)*$G$41+(I26/100)*$G$42+(K26/100)*$G$43+(M26/100)*$G$44+(O26)*$G$45+(Q26*$G$46)+(R26*(VLOOKUP(D26,Fertilizantes!$A$49:$E$122,3,FALSE))))</f>
        <v>2570.3899916729665</v>
      </c>
    </row>
    <row r="27">
      <c r="B27">
        <f>B26+4</f>
        <v>42</v>
      </c>
      <c r="C27">
        <f>$J$11+B27</f>
        <v>39856</v>
      </c>
      <c r="E27">
        <f>E26</f>
        <v>28.960822513194845</v>
      </c>
      <c r="G27">
        <f>G26</f>
        <v>11.749216893712317</v>
      </c>
      <c r="I27">
        <f>I26</f>
        <v>69.65861470469136</v>
      </c>
      <c r="K27">
        <f>K26</f>
        <v>44.708003862758964</v>
      </c>
      <c r="M27">
        <f>M26</f>
        <v>92.15478692511063</v>
      </c>
      <c r="O27">
        <f>O26</f>
        <v>295.9158641463415</v>
      </c>
      <c r="R27">
        <f>VLOOKUP(D27,Fertilizantes!$A$49:$E$123,2,FALSE)*$C$12</f>
        <v>0</v>
      </c>
      <c r="S27">
        <f>VLOOKUP(D27,Fertilizantes!$A$49:$E$123,4,FALSE)</f>
        <v>0</v>
      </c>
      <c r="T27">
        <f>((E27/100)*$G$40+(G27/100)*$G$41+(I27/100)*$G$42+(K27/100)*$G$43+(M27/100)*$G$44+(O27)*$G$45+(Q27*$G$46)+(R27*(VLOOKUP(D27,Fertilizantes!$A$49:$E$122,3,FALSE))))</f>
        <v>2514.3339916729665</v>
      </c>
    </row>
    <row r="28">
      <c r="A28">
        <v>7</v>
      </c>
      <c r="B28">
        <f>B27+3</f>
        <v>45</v>
      </c>
      <c r="C28">
        <f>$J$11+B28</f>
        <v>39859</v>
      </c>
      <c r="E28">
        <f>IF(((SUM(ReDiarioFert!C49:C55)/2)*$C$12)&lt;=0,"0",(((SUM(ReDiarioFert!C49:C55)/2)*$C$12)))</f>
        <v>22.62232319450928</v>
      </c>
      <c r="G28">
        <f>IF(((SUM(ReDiarioFert!E49:E55)/2)*$C$12)&lt;=0,"0",(((SUM(ReDiarioFert!E49:E55)/2)*$C$12)))</f>
        <v>13.00806156089578</v>
      </c>
      <c r="I28">
        <f>IF(((SUM(ReDiarioFert!G49:G55)/2)*$C$12)&lt;=0,"0",(((SUM(ReDiarioFert!G49:G55)/2)*$C$12)))</f>
        <v>92.5464452505185</v>
      </c>
      <c r="K28">
        <f>IF(((SUM(ReDiarioFert!I49:I55)/2)*$C$12)&lt;=0,"0",(((SUM(ReDiarioFert!I49:I55)/2)*$C$12)))</f>
        <v>59.39777656052264</v>
      </c>
      <c r="M28">
        <f>IF(((SUM(ReDiarioFert!K49:K55)/2)*$C$12)&lt;=0,"0",(((SUM(ReDiarioFert!K49:K55)/2)*$C$12)))</f>
        <v>122.43421691478987</v>
      </c>
      <c r="O28">
        <f>IF(((SUM(ReDiarioFert!M49:M55)/2)*$C$12)&lt;=0,"0",(((SUM(ReDiarioFert!M49:M55)/2)*$C$12)))</f>
        <v>325.75591829268296</v>
      </c>
      <c r="Q28">
        <f>$C$12*Main!$D$63</f>
        <v>20.019999999999996</v>
      </c>
      <c r="R28">
        <f>VLOOKUP(D28,Fertilizantes!$A$49:$E$123,2,FALSE)*$C$12</f>
        <v>0</v>
      </c>
      <c r="S28">
        <f>VLOOKUP(D28,Fertilizantes!$A$49:$E$123,4,FALSE)</f>
        <v>0</v>
      </c>
      <c r="T28">
        <f>((E28/100)*$G$40+(G28/100)*$G$41+(I28/100)*$G$42+(K28/100)*$G$43+(M28/100)*$G$44+(O28)*$G$45+(Q28*$G$46)+(R28*(VLOOKUP(D28,Fertilizantes!$A$49:$E$122,3,FALSE))))</f>
        <v>3220.0899399109453</v>
      </c>
    </row>
    <row r="29">
      <c r="B29">
        <f>B28+4</f>
        <v>49</v>
      </c>
      <c r="C29">
        <f>$J$11+B29</f>
        <v>39863</v>
      </c>
      <c r="E29">
        <f>E28</f>
        <v>22.62232319450928</v>
      </c>
      <c r="G29">
        <f>G28</f>
        <v>13.00806156089578</v>
      </c>
      <c r="I29">
        <f>I28</f>
        <v>92.5464452505185</v>
      </c>
      <c r="K29">
        <f>K28</f>
        <v>59.39777656052264</v>
      </c>
      <c r="M29">
        <f>M28</f>
        <v>122.43421691478987</v>
      </c>
      <c r="O29">
        <f>O28</f>
        <v>325.75591829268296</v>
      </c>
      <c r="R29">
        <f>VLOOKUP(D29,Fertilizantes!$A$49:$E$123,2,FALSE)*$C$12</f>
        <v>0</v>
      </c>
      <c r="S29">
        <f>VLOOKUP(D29,Fertilizantes!$A$49:$E$123,4,FALSE)</f>
        <v>0</v>
      </c>
      <c r="T29">
        <f>((E29/100)*$G$40+(G29/100)*$G$41+(I29/100)*$G$42+(K29/100)*$G$43+(M29/100)*$G$44+(O29)*$G$45+(Q29*$G$46)+(R29*(VLOOKUP(D29,Fertilizantes!$A$49:$E$122,3,FALSE))))</f>
        <v>3164.0339399109453</v>
      </c>
    </row>
    <row r="30">
      <c r="A30">
        <v>8</v>
      </c>
      <c r="B30">
        <f>B29+3</f>
        <v>52</v>
      </c>
      <c r="C30">
        <f>$J$11+B30</f>
        <v>39866</v>
      </c>
      <c r="E30">
        <f>IF(((SUM(ReDiarioFert!C56:C62)/2)*$C$12)&lt;=0,"0",(((SUM(ReDiarioFert!C56:C62)/2)*$C$12)))</f>
        <v>28.095465902858283</v>
      </c>
      <c r="G30">
        <f>IF(((SUM(ReDiarioFert!E56:E62)/2)*$C$12)&lt;=0,"0",(((SUM(ReDiarioFert!E56:E62)/2)*$C$12)))</f>
        <v>16.155173228854437</v>
      </c>
      <c r="I30">
        <f>IF(((SUM(ReDiarioFert!G56:G62)/2)*$C$12)&lt;=0,"0",(((SUM(ReDiarioFert!G56:G62)/2)*$C$12)))</f>
        <v>114.93671426274072</v>
      </c>
      <c r="K30">
        <f>IF(((SUM(ReDiarioFert!I56:I62)/2)*$C$12)&lt;=0,"0",(((SUM(ReDiarioFert!I56:I62)/2)*$C$12)))</f>
        <v>73.76820637355232</v>
      </c>
      <c r="M30">
        <f>IF(((SUM(ReDiarioFert!K56:K62)/2)*$C$12)&lt;=0,"0",(((SUM(ReDiarioFert!K56:K62)/2)*$C$12)))</f>
        <v>152.0553984264326</v>
      </c>
      <c r="O30">
        <f>IF(((SUM(ReDiarioFert!M56:M62)/2)*$C$12)&lt;=0,"0",(((SUM(ReDiarioFert!M56:M62)/2)*$C$12)))</f>
        <v>400.35605365853655</v>
      </c>
      <c r="Q30">
        <f>$C$12*Main!$D$63</f>
        <v>20.019999999999996</v>
      </c>
      <c r="R30">
        <f>VLOOKUP(D30,Fertilizantes!$A$49:$E$123,2,FALSE)*$C$12</f>
        <v>0</v>
      </c>
      <c r="S30">
        <f>VLOOKUP(D30,Fertilizantes!$A$49:$E$123,4,FALSE)</f>
        <v>0</v>
      </c>
      <c r="T30">
        <f>((E30/100)*$G$40+(G30/100)*$G$41+(I30/100)*$G$42+(K30/100)*$G$43+(M30/100)*$G$44+(O30)*$G$45+(Q30*$G$46)+(R30*(VLOOKUP(D30,Fertilizantes!$A$49:$E$122,3,FALSE))))</f>
        <v>3985.4135509334606</v>
      </c>
    </row>
    <row r="31">
      <c r="B31">
        <f>B30+4</f>
        <v>56</v>
      </c>
      <c r="C31">
        <f>$J$11+B31</f>
        <v>39870</v>
      </c>
      <c r="E31">
        <f>E30</f>
        <v>28.095465902858283</v>
      </c>
      <c r="G31">
        <f>G30</f>
        <v>16.155173228854437</v>
      </c>
      <c r="I31">
        <f>I30</f>
        <v>114.93671426274072</v>
      </c>
      <c r="K31">
        <f>K30</f>
        <v>73.76820637355232</v>
      </c>
      <c r="M31">
        <f>M30</f>
        <v>152.0553984264326</v>
      </c>
      <c r="O31">
        <f>O30</f>
        <v>400.35605365853655</v>
      </c>
      <c r="R31">
        <f>VLOOKUP(D31,Fertilizantes!$A$49:$E$123,2,FALSE)*$C$12</f>
        <v>0</v>
      </c>
      <c r="S31">
        <f>VLOOKUP(D31,Fertilizantes!$A$49:$E$123,4,FALSE)</f>
        <v>0</v>
      </c>
      <c r="T31">
        <f>((E31/100)*$G$40+(G31/100)*$G$41+(I31/100)*$G$42+(K31/100)*$G$43+(M31/100)*$G$44+(O31)*$G$45+(Q31*$G$46)+(R31*(VLOOKUP(D31,Fertilizantes!$A$49:$E$122,3,FALSE))))</f>
        <v>3929.3575509334605</v>
      </c>
    </row>
    <row r="32">
      <c r="A32">
        <v>9</v>
      </c>
      <c r="B32">
        <f>B31+3</f>
        <v>59</v>
      </c>
      <c r="C32">
        <f>$J$11+B32</f>
        <v>39873</v>
      </c>
      <c r="E32">
        <f>IF(((SUM(ReDiarioFert!C63:C69)/2)*$C$12)&lt;=0,"0",(((SUM(ReDiarioFert!C63:C69)/2)*$C$12)))</f>
        <v>28.095465902858283</v>
      </c>
      <c r="G32">
        <f>IF(((SUM(ReDiarioFert!E63:E69)/2)*$C$12)&lt;=0,"0",(((SUM(ReDiarioFert!E63:E69)/2)*$C$12)))</f>
        <v>16.155173228854437</v>
      </c>
      <c r="I32">
        <f>IF(((SUM(ReDiarioFert!G63:G69)/2)*$C$12)&lt;=0,"0",(((SUM(ReDiarioFert!G63:G69)/2)*$C$12)))</f>
        <v>114.93671426274072</v>
      </c>
      <c r="K32">
        <f>IF(((SUM(ReDiarioFert!I63:I69)/2)*$C$12)&lt;=0,"0",(((SUM(ReDiarioFert!I63:I69)/2)*$C$12)))</f>
        <v>73.76820637355232</v>
      </c>
      <c r="M32">
        <f>IF(((SUM(ReDiarioFert!K63:K69)/2)*$C$12)&lt;=0,"0",(((SUM(ReDiarioFert!K63:K69)/2)*$C$12)))</f>
        <v>152.0553984264326</v>
      </c>
      <c r="O32">
        <f>IF(((SUM(ReDiarioFert!M63:M69)/2)*$C$12)&lt;=0,"0",(((SUM(ReDiarioFert!M63:M69)/2)*$C$12)))</f>
        <v>415.27632487804874</v>
      </c>
      <c r="Q32">
        <f>$C$12*Main!$D$63</f>
        <v>20.019999999999996</v>
      </c>
      <c r="R32">
        <f>VLOOKUP(D32,Fertilizantes!$A$49:$E$123,2,FALSE)*$C$12</f>
        <v>0</v>
      </c>
      <c r="S32">
        <f>VLOOKUP(D32,Fertilizantes!$A$49:$E$123,4,FALSE)</f>
        <v>0</v>
      </c>
      <c r="T32">
        <f>((E32/100)*$G$40+(G32/100)*$G$41+(I32/100)*$G$42+(K32/100)*$G$43+(M32/100)*$G$44+(O32)*$G$45+(Q32*$G$46)+(R32*(VLOOKUP(D32,Fertilizantes!$A$49:$E$122,3,FALSE))))</f>
        <v>3986.010361782241</v>
      </c>
    </row>
    <row r="33">
      <c r="B33">
        <f>B32+4</f>
        <v>63</v>
      </c>
      <c r="C33">
        <f>$J$11+B33</f>
        <v>39877</v>
      </c>
      <c r="E33">
        <f>E32</f>
        <v>28.095465902858283</v>
      </c>
      <c r="G33">
        <f>G32</f>
        <v>16.155173228854437</v>
      </c>
      <c r="I33">
        <f>I32</f>
        <v>114.93671426274072</v>
      </c>
      <c r="K33">
        <f>K32</f>
        <v>73.76820637355232</v>
      </c>
      <c r="M33">
        <f>M32</f>
        <v>152.0553984264326</v>
      </c>
      <c r="O33">
        <f>O32</f>
        <v>415.27632487804874</v>
      </c>
      <c r="R33">
        <f>VLOOKUP(D33,Fertilizantes!$A$49:$E$123,2,FALSE)*$C$12</f>
        <v>0</v>
      </c>
      <c r="S33">
        <f>VLOOKUP(D33,Fertilizantes!$A$49:$E$123,4,FALSE)</f>
        <v>0</v>
      </c>
      <c r="T33">
        <f>((E33/100)*$G$40+(G33/100)*$G$41+(I33/100)*$G$42+(K33/100)*$G$43+(M33/100)*$G$44+(O33)*$G$45+(Q33*$G$46)+(R33*(VLOOKUP(D33,Fertilizantes!$A$49:$E$122,3,FALSE))))</f>
        <v>3929.954361782241</v>
      </c>
    </row>
    <row r="34">
      <c r="A34">
        <v>10</v>
      </c>
      <c r="B34">
        <f>B33+3</f>
        <v>66</v>
      </c>
      <c r="C34">
        <f>$J$11+B34</f>
        <v>39880</v>
      </c>
      <c r="E34">
        <f>IF(((SUM(ReDiarioFert!C70:C76)/2)*$C$12)&lt;=0,"0",(((SUM(ReDiarioFert!C70:C76)/2)*$C$12)))</f>
        <v>28.095465902858283</v>
      </c>
      <c r="G34">
        <f>IF(((SUM(ReDiarioFert!E70:E76)/2)*$C$12)&lt;=0,"0",(((SUM(ReDiarioFert!E70:E76)/2)*$C$12)))</f>
        <v>16.155173228854437</v>
      </c>
      <c r="I34">
        <f>IF(((SUM(ReDiarioFert!G70:G76)/2)*$C$12)&lt;=0,"0",(((SUM(ReDiarioFert!G70:G76)/2)*$C$12)))</f>
        <v>114.93671426274072</v>
      </c>
      <c r="K34">
        <f>IF(((SUM(ReDiarioFert!I70:I76)/2)*$C$12)&lt;=0,"0",(((SUM(ReDiarioFert!I70:I76)/2)*$C$12)))</f>
        <v>73.76820637355232</v>
      </c>
      <c r="M34">
        <f>IF(((SUM(ReDiarioFert!K70:K76)/2)*$C$12)&lt;=0,"0",(((SUM(ReDiarioFert!K70:K76)/2)*$C$12)))</f>
        <v>152.0553984264326</v>
      </c>
      <c r="O34">
        <f>IF(((SUM(ReDiarioFert!M70:M76)/2)*$C$12)&lt;=0,"0",(((SUM(ReDiarioFert!M70:M76)/2)*$C$12)))</f>
        <v>504.797952195122</v>
      </c>
      <c r="Q34">
        <f>$C$12*Main!$D$63</f>
        <v>20.019999999999996</v>
      </c>
      <c r="R34">
        <f>VLOOKUP(D34,Fertilizantes!$A$49:$E$123,2,FALSE)*$C$12</f>
        <v>0</v>
      </c>
      <c r="S34">
        <f>VLOOKUP(D34,Fertilizantes!$A$49:$E$123,4,FALSE)</f>
        <v>0</v>
      </c>
      <c r="T34">
        <f>((E34/100)*$G$40+(G34/100)*$G$41+(I34/100)*$G$42+(K34/100)*$G$43+(M34/100)*$G$44+(O34)*$G$45+(Q34*$G$46)+(R34*(VLOOKUP(D34,Fertilizantes!$A$49:$E$122,3,FALSE))))</f>
        <v>3989.591226874924</v>
      </c>
    </row>
    <row r="35">
      <c r="B35">
        <f>B34+4</f>
        <v>70</v>
      </c>
      <c r="C35">
        <f>$J$11+B35</f>
        <v>39884</v>
      </c>
      <c r="E35">
        <f>E34</f>
        <v>28.095465902858283</v>
      </c>
      <c r="G35">
        <f>G34</f>
        <v>16.155173228854437</v>
      </c>
      <c r="I35">
        <f>I34</f>
        <v>114.93671426274072</v>
      </c>
      <c r="K35">
        <f>K34</f>
        <v>73.76820637355232</v>
      </c>
      <c r="M35">
        <f>M34</f>
        <v>152.0553984264326</v>
      </c>
      <c r="O35">
        <f>O34</f>
        <v>504.797952195122</v>
      </c>
      <c r="R35">
        <f>VLOOKUP(D35,Fertilizantes!$A$49:$E$123,2,FALSE)*$C$12</f>
        <v>0</v>
      </c>
      <c r="S35">
        <f>VLOOKUP(D35,Fertilizantes!$A$49:$E$123,4,FALSE)</f>
        <v>0</v>
      </c>
      <c r="T35">
        <f>((E35/100)*$G$40+(G35/100)*$G$41+(I35/100)*$G$42+(K35/100)*$G$43+(M35/100)*$G$44+(O35)*$G$45+(Q35*$G$46)+(R35*(VLOOKUP(D35,Fertilizantes!$A$49:$E$122,3,FALSE))))</f>
        <v>3933.535226874924</v>
      </c>
    </row>
    <row r="36">
      <c r="C36" t="str">
        <v>Total</v>
      </c>
      <c r="E36">
        <f>SUM(E16:E35)</f>
        <v>427.1659416762784</v>
      </c>
      <c r="G36">
        <f>SUM(G16:G35)</f>
        <v>206.66033286261845</v>
      </c>
      <c r="I36">
        <f>SUM(I16:I35)</f>
        <v>1359.590653449243</v>
      </c>
      <c r="K36">
        <f>SUM(K16:K35)</f>
        <v>872.6068476076953</v>
      </c>
      <c r="M36">
        <f>SUM(M16:M35)</f>
        <v>1798.668944324395</v>
      </c>
      <c r="O36">
        <f>SUM(O16:O35)</f>
        <v>5595.0382292682925</v>
      </c>
      <c r="Q36">
        <f>SUM(Q16:Q35)</f>
        <v>200.19999999999993</v>
      </c>
      <c r="T36">
        <f>SUM(T16:T35)</f>
        <v>48114.59662580123</v>
      </c>
    </row>
    <row r="37">
      <c r="D37" t="str">
        <v>OJO cualquier cultivo que no se termine la cosecha en el ultimo día del calendario solo seguir repitiendo la ultima aplicación de fertilizante.</v>
      </c>
    </row>
    <row r="38" ht="39.75" customHeight="1">
      <c r="B38" t="str">
        <v>Producto</v>
      </c>
      <c r="F38" t="str">
        <v>Lbs/Ha</v>
      </c>
      <c r="G38" t="str">
        <v>Costo por qq</v>
      </c>
    </row>
    <row r="39" ht="24" customHeight="1">
      <c r="G39" t="str">
        <f>Main!$E$25</f>
        <v>Lempiras</v>
      </c>
    </row>
    <row r="40">
      <c r="B40" t="str">
        <f>Main!D42</f>
        <v>Nitrato de Amonio</v>
      </c>
      <c r="F40">
        <f>E36/C12</f>
        <v>426.73920247380465</v>
      </c>
      <c r="G40">
        <f>Main!D43</f>
        <v>620</v>
      </c>
    </row>
    <row r="41">
      <c r="B41" t="str">
        <f>Main!D32</f>
        <v>MAP 12-61-0</v>
      </c>
      <c r="F41">
        <f>G36/C12</f>
        <v>206.45387898363484</v>
      </c>
      <c r="G41">
        <f>Main!D33</f>
        <v>2900</v>
      </c>
    </row>
    <row r="42">
      <c r="B42" t="str">
        <f>Main!D37</f>
        <v>Kcl Soluble</v>
      </c>
      <c r="F42">
        <f>I36/C12</f>
        <v>1358.232421028215</v>
      </c>
      <c r="G42">
        <f>Main!D38</f>
        <v>780</v>
      </c>
    </row>
    <row r="43">
      <c r="B43" t="str">
        <f>Main!D47</f>
        <v>Sulfato de Magnesio</v>
      </c>
      <c r="F43">
        <f>K36/C12</f>
        <v>871.7351124952002</v>
      </c>
      <c r="G43">
        <f>Main!D48</f>
        <v>951</v>
      </c>
    </row>
    <row r="44">
      <c r="B44" t="str">
        <f>Main!D52</f>
        <v>Nitrato de Calcio</v>
      </c>
      <c r="F44">
        <f>M36/C12</f>
        <v>1796.872072252143</v>
      </c>
      <c r="G44">
        <f>Main!D53</f>
        <v>1100</v>
      </c>
    </row>
    <row r="45">
      <c r="B45" t="str">
        <f>Main!D57</f>
        <v>Solubor</v>
      </c>
      <c r="F45">
        <f>O36/C12</f>
        <v>5589.448780487805</v>
      </c>
      <c r="G45">
        <f>Main!D58</f>
        <v>0.04</v>
      </c>
      <c r="I45" t="str">
        <v xml:space="preserve">Preparado y Autorizado Por </v>
      </c>
    </row>
    <row r="46" ht="18" customHeight="1">
      <c r="B46" t="str">
        <f>Main!D61</f>
        <v>Melaza</v>
      </c>
      <c r="F46">
        <f>Q36/C12</f>
        <v>199.99999999999994</v>
      </c>
      <c r="G46">
        <f>Main!D62</f>
        <v>2.8</v>
      </c>
      <c r="I46" t="str">
        <v>MSc Ricardo D. Lardizábal</v>
      </c>
    </row>
    <row r="47" ht="17.4" customHeight="1">
      <c r="B47" t="str">
        <v>NOTA: El Nitrato de Calcio se debe de diluir en un barril aparte para inyectarse al sistema</v>
      </c>
    </row>
    <row r="50">
      <c r="B50" t="str">
        <v>Abreviaciones usadas</v>
      </c>
    </row>
    <row r="51">
      <c r="B51" t="str">
        <v>Mz.-Manzanas, Ha-Hectáreas, Lbs-Libras, Lts-Litros y DDT-Días después de Trasplante</v>
      </c>
    </row>
  </sheetData>
  <sheetProtection sheet="1"/>
  <autoFilter ref="R16:S35"/>
  <mergeCells count="52">
    <mergeCell ref="G40:H40"/>
    <mergeCell ref="G41:H41"/>
    <mergeCell ref="J9:N9"/>
    <mergeCell ref="J10:N10"/>
    <mergeCell ref="J11:N11"/>
    <mergeCell ref="J12:N12"/>
    <mergeCell ref="G42:H42"/>
    <mergeCell ref="T14:T15"/>
    <mergeCell ref="O14:P14"/>
    <mergeCell ref="G14:H14"/>
    <mergeCell ref="I14:J14"/>
    <mergeCell ref="K14:L14"/>
    <mergeCell ref="M14:N14"/>
    <mergeCell ref="G38:H38"/>
    <mergeCell ref="G39:H39"/>
    <mergeCell ref="R14:S14"/>
    <mergeCell ref="C11:F11"/>
    <mergeCell ref="C12:F12"/>
    <mergeCell ref="G11:I11"/>
    <mergeCell ref="G12:I12"/>
    <mergeCell ref="A14:A15"/>
    <mergeCell ref="B14:B15"/>
    <mergeCell ref="A11:B11"/>
    <mergeCell ref="A12:B12"/>
    <mergeCell ref="B51:S51"/>
    <mergeCell ref="E14:F14"/>
    <mergeCell ref="B50:C50"/>
    <mergeCell ref="B46:E46"/>
    <mergeCell ref="B38:E38"/>
    <mergeCell ref="B40:E40"/>
    <mergeCell ref="B41:E41"/>
    <mergeCell ref="B42:E42"/>
    <mergeCell ref="B47:I48"/>
    <mergeCell ref="B44:E44"/>
    <mergeCell ref="B43:E43"/>
    <mergeCell ref="I46:Q46"/>
    <mergeCell ref="B45:E45"/>
    <mergeCell ref="G46:H46"/>
    <mergeCell ref="G45:H45"/>
    <mergeCell ref="G43:H43"/>
    <mergeCell ref="G44:H44"/>
    <mergeCell ref="I45:Q45"/>
    <mergeCell ref="P5:S7"/>
    <mergeCell ref="A8:N8"/>
    <mergeCell ref="P2:S3"/>
    <mergeCell ref="A10:B10"/>
    <mergeCell ref="G9:I9"/>
    <mergeCell ref="G10:I10"/>
    <mergeCell ref="A9:B9"/>
    <mergeCell ref="C9:F9"/>
    <mergeCell ref="C10:F10"/>
    <mergeCell ref="P9:S12"/>
  </mergeCells>
  <pageMargins left="0.25" right="0.25" top="0.48" bottom="0.8" header="0.25" footer="0.25"/>
  <ignoredErrors>
    <ignoredError numberStoredAsText="1" sqref="A1:V60"/>
  </ignoredErrors>
  <legacyDrawing r:id="rId1"/>
</worksheet>
</file>

<file path=xl/worksheets/sheet6.xml><?xml version="1.0" encoding="utf-8"?>
<worksheet xmlns="http://schemas.openxmlformats.org/spreadsheetml/2006/main" xmlns:r="http://schemas.openxmlformats.org/officeDocument/2006/relationships">
  <dimension ref="A1:V60"/>
  <sheetViews>
    <sheetView workbookViewId="0" rightToLeft="0"/>
  </sheetViews>
  <sheetData>
    <row r="1" ht="32.7" customHeight="1"/>
    <row r="2" ht="32.7" customHeight="1">
      <c r="P2" t="str">
        <v>Calendario de Fertilización para Goteo 2 Veces Por Semana</v>
      </c>
    </row>
    <row r="3" ht="32.7" customHeight="1"/>
    <row r="5">
      <c r="P5" t="str">
        <f>Main!$E$21</f>
        <v>Lechuga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Super 88</v>
      </c>
    </row>
    <row r="10" ht="20.1" customHeight="1">
      <c r="A10" t="str">
        <v>Zona</v>
      </c>
      <c r="C10" t="str">
        <f>Main!E18</f>
        <v>Cantarranas</v>
      </c>
      <c r="G10" t="str">
        <v>Técnico</v>
      </c>
      <c r="J10" t="str">
        <f>Main!E20</f>
        <v>Raca</v>
      </c>
    </row>
    <row r="11" ht="20.1" customHeight="1">
      <c r="A11" t="str">
        <v>Área Mz.</v>
      </c>
      <c r="C11">
        <f>Main!E22</f>
        <v>1.43</v>
      </c>
      <c r="G11" t="str">
        <v>Fecha:</v>
      </c>
      <c r="J11">
        <f>Main!E23</f>
        <v>39814</v>
      </c>
    </row>
    <row r="12" ht="20.1" customHeight="1">
      <c r="A12" t="str">
        <v>Área Ha.</v>
      </c>
      <c r="C12">
        <f>Main!I22</f>
        <v>1.001</v>
      </c>
      <c r="G12" t="str">
        <v>Fecha de Cosecha:</v>
      </c>
      <c r="J12">
        <f>J11+Main!E24</f>
        <v>39874</v>
      </c>
    </row>
    <row r="13" ht="19.5" customHeight="1"/>
    <row r="14" ht="28.5" customHeight="1">
      <c r="A14" t="str">
        <v>Semana</v>
      </c>
      <c r="B14" t="str">
        <v>DDT</v>
      </c>
      <c r="C14" t="str">
        <v>FECHA</v>
      </c>
      <c r="E14" t="str">
        <f>Main!$D$42</f>
        <v>Nitrato de Amonio</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39817</v>
      </c>
      <c r="E16">
        <f>IF(((SUM(ReDiarioFert!C7:C13)/2)*$C$12)&lt;=0,"0",(((SUM(ReDiarioFert!C7:C13)/2)*$C$12)))</f>
        <v>8.000182004192945</v>
      </c>
      <c r="G16">
        <f>IF(((SUM(ReDiarioFert!E7:E13)/2)*$C$12)&lt;=0,"0",(((SUM(ReDiarioFert!E7:E13)/2)*$C$12)))</f>
        <v>2.9373042234280793</v>
      </c>
      <c r="I16">
        <f>IF(((SUM(ReDiarioFert!G7:G13)/2)*$C$12)&lt;=0,"0",(((SUM(ReDiarioFert!G7:G13)/2)*$C$12)))</f>
        <v>16.173086749131812</v>
      </c>
      <c r="K16">
        <f>IF(((SUM(ReDiarioFert!I7:I13)/2)*$C$12)&lt;=0,"0",(((SUM(ReDiarioFert!I7:I13)/2)*$C$12)))</f>
        <v>10.380143617817652</v>
      </c>
      <c r="M16">
        <f>IF(((SUM(ReDiarioFert!K7:K13)/2)*$C$12)&lt;=0,"0",(((SUM(ReDiarioFert!K7:K13)/2)*$C$12)))</f>
        <v>21.39616714466754</v>
      </c>
      <c r="O16">
        <f>IF(((SUM(ReDiarioFert!M7:M13)/2)*$C$12)&lt;=0,"0",(((SUM(ReDiarioFert!M7:M13)/2)*$C$12)))</f>
        <v>87.03377609756097</v>
      </c>
      <c r="Q16">
        <f>$C$12*Main!$D$63</f>
        <v>20.019999999999996</v>
      </c>
      <c r="S16">
        <f>((E16/100)*$G$40+(G16/100)*$G$41+(I16/100)*$G$42+(K16/100)*$G$43+(M16/100)*$G$44+(O16)*$G$45+(Q16*$G$46))</f>
        <v>654.54338298933</v>
      </c>
    </row>
    <row r="17" ht="18.75" customHeight="1">
      <c r="B17">
        <v>7</v>
      </c>
      <c r="C17">
        <f>$J$11+B17</f>
        <v>39821</v>
      </c>
      <c r="E17">
        <f>E16</f>
        <v>8.000182004192945</v>
      </c>
      <c r="G17">
        <f>G16</f>
        <v>2.9373042234280793</v>
      </c>
      <c r="I17">
        <f>I16</f>
        <v>16.173086749131812</v>
      </c>
      <c r="K17">
        <f>K16</f>
        <v>10.380143617817652</v>
      </c>
      <c r="M17">
        <f>M16</f>
        <v>21.39616714466754</v>
      </c>
      <c r="O17">
        <f>O16</f>
        <v>87.03377609756097</v>
      </c>
      <c r="S17">
        <f>((E17/100)*$G$40+(G17/100)*$G$41+(I17/100)*$G$42+(K17/100)*$G$43+(M17/100)*$G$44+(O17)*$G$45+(Q17*$G$46))</f>
        <v>598.48738298933</v>
      </c>
    </row>
    <row r="18">
      <c r="A18">
        <v>2</v>
      </c>
      <c r="B18">
        <f>B17+3</f>
        <v>10</v>
      </c>
      <c r="C18">
        <f>$J$11+B18</f>
        <v>39824</v>
      </c>
      <c r="E18">
        <f>IF(((SUM(ReDiarioFert!C14:C20)/2)*$C$12)&lt;=0,"0",(((SUM(ReDiarioFert!C14:C20)/2)*$C$12)))</f>
        <v>11.428831434561353</v>
      </c>
      <c r="G18">
        <f>IF(((SUM(ReDiarioFert!E14:E20)/2)*$C$12)&lt;=0,"0",(((SUM(ReDiarioFert!E14:E20)/2)*$C$12)))</f>
        <v>4.196148890611541</v>
      </c>
      <c r="I18">
        <f>IF(((SUM(ReDiarioFert!G14:G20)/2)*$C$12)&lt;=0,"0",(((SUM(ReDiarioFert!G14:G20)/2)*$C$12)))</f>
        <v>23.10440964161687</v>
      </c>
      <c r="K18">
        <f>IF(((SUM(ReDiarioFert!I14:I20)/2)*$C$12)&lt;=0,"0",(((SUM(ReDiarioFert!I14:I20)/2)*$C$12)))</f>
        <v>14.828776596882362</v>
      </c>
      <c r="M18">
        <f>IF(((SUM(ReDiarioFert!K14:K20)/2)*$C$12)&lt;=0,"0",(((SUM(ReDiarioFert!K14:K20)/2)*$C$12)))</f>
        <v>30.565953063810767</v>
      </c>
      <c r="O18">
        <f>IF(((SUM(ReDiarioFert!M14:M20)/2)*$C$12)&lt;=0,"0",(((SUM(ReDiarioFert!M14:M20)/2)*$C$12)))</f>
        <v>126.82084048780487</v>
      </c>
      <c r="Q18">
        <f>$C$12*Main!$D$63</f>
        <v>20.019999999999996</v>
      </c>
      <c r="S18">
        <f>((E18/100)*$G$40+(G18/100)*$G$41+(I18/100)*$G$42+(K18/100)*$G$43+(M18/100)*$G$44+(O18)*$G$45+(Q18*$G$46))</f>
        <v>911.1374506844083</v>
      </c>
    </row>
    <row r="19">
      <c r="B19">
        <f>B18+4</f>
        <v>14</v>
      </c>
      <c r="C19">
        <f>$J$11+B19</f>
        <v>39828</v>
      </c>
      <c r="E19">
        <f>E18</f>
        <v>11.428831434561353</v>
      </c>
      <c r="G19">
        <f>G18</f>
        <v>4.196148890611541</v>
      </c>
      <c r="I19">
        <f>I18</f>
        <v>23.10440964161687</v>
      </c>
      <c r="K19">
        <f>K18</f>
        <v>14.828776596882362</v>
      </c>
      <c r="M19">
        <f>M18</f>
        <v>30.565953063810767</v>
      </c>
      <c r="O19">
        <f>O18</f>
        <v>126.82084048780487</v>
      </c>
      <c r="S19">
        <f>((E19/100)*$G$40+(G19/100)*$G$41+(I19/100)*$G$42+(K19/100)*$G$43+(M19/100)*$G$44+(O19)*$G$45+(Q19*$G$46))</f>
        <v>855.0814506844084</v>
      </c>
    </row>
    <row r="20">
      <c r="A20">
        <v>3</v>
      </c>
      <c r="B20">
        <f>B19+3</f>
        <v>17</v>
      </c>
      <c r="C20">
        <f>$J$11+B20</f>
        <v>39831</v>
      </c>
      <c r="E20">
        <f>IF(((SUM(ReDiarioFert!C21:C27)/2)*$C$12)&lt;=0,"0",(((SUM(ReDiarioFert!C21:C27)/2)*$C$12)))</f>
        <v>17.42896793770606</v>
      </c>
      <c r="G20">
        <f>IF(((SUM(ReDiarioFert!E21:E27)/2)*$C$12)&lt;=0,"0",(((SUM(ReDiarioFert!E21:E27)/2)*$C$12)))</f>
        <v>6.399127058182599</v>
      </c>
      <c r="I20">
        <f>IF(((SUM(ReDiarioFert!G21:G27)/2)*$C$12)&lt;=0,"0",(((SUM(ReDiarioFert!G21:G27)/2)*$C$12)))</f>
        <v>35.23422470346573</v>
      </c>
      <c r="K20">
        <f>IF(((SUM(ReDiarioFert!I21:I27)/2)*$C$12)&lt;=0,"0",(((SUM(ReDiarioFert!I21:I27)/2)*$C$12)))</f>
        <v>22.6138843102456</v>
      </c>
      <c r="M20">
        <f>IF(((SUM(ReDiarioFert!K21:K27)/2)*$C$12)&lt;=0,"0",(((SUM(ReDiarioFert!K21:K27)/2)*$C$12)))</f>
        <v>46.613078422311425</v>
      </c>
      <c r="O20">
        <f>IF(((SUM(ReDiarioFert!M21:M27)/2)*$C$12)&lt;=0,"0",(((SUM(ReDiarioFert!M21:M27)/2)*$C$12)))</f>
        <v>186.50070463414633</v>
      </c>
      <c r="Q20">
        <f>$C$12*Main!$D$63</f>
        <v>20.019999999999996</v>
      </c>
      <c r="S20">
        <f>((E20/100)*$G$40+(G20/100)*$G$41+(I20/100)*$G$42+(K20/100)*$G$43+(M20/100)*$G$44+(O20)*$G$45+(Q20*$G$46))</f>
        <v>1359.7791692093328</v>
      </c>
    </row>
    <row r="21">
      <c r="B21">
        <f>B20+4</f>
        <v>21</v>
      </c>
      <c r="C21">
        <f>$J$11+B21</f>
        <v>39835</v>
      </c>
      <c r="E21">
        <f>E20</f>
        <v>17.42896793770606</v>
      </c>
      <c r="G21">
        <f>G20</f>
        <v>6.399127058182599</v>
      </c>
      <c r="I21">
        <f>I20</f>
        <v>35.23422470346573</v>
      </c>
      <c r="K21">
        <f>K20</f>
        <v>22.6138843102456</v>
      </c>
      <c r="M21">
        <f>M20</f>
        <v>46.613078422311425</v>
      </c>
      <c r="O21">
        <f>O20</f>
        <v>186.50070463414633</v>
      </c>
      <c r="S21">
        <f>((E21/100)*$G$40+(G21/100)*$G$41+(I21/100)*$G$42+(K21/100)*$G$43+(M21/100)*$G$44+(O21)*$G$45+(Q21*$G$46))</f>
        <v>1303.7231692093328</v>
      </c>
    </row>
    <row r="22">
      <c r="A22">
        <v>4</v>
      </c>
      <c r="B22">
        <f>B21+3</f>
        <v>24</v>
      </c>
      <c r="C22">
        <f>$J$11+B22</f>
        <v>39838</v>
      </c>
      <c r="E22">
        <f>IF(((SUM(ReDiarioFert!C28:C34)/2)*$C$12)&lt;=0,"0",(((SUM(ReDiarioFert!C28:C34)/2)*$C$12)))</f>
        <v>18.100514070746776</v>
      </c>
      <c r="G22">
        <f>IF(((SUM(ReDiarioFert!E28:E34)/2)*$C$12)&lt;=0,"0",(((SUM(ReDiarioFert!E28:E34)/2)*$C$12)))</f>
        <v>7.343260558570197</v>
      </c>
      <c r="I22">
        <f>IF(((SUM(ReDiarioFert!G28:G34)/2)*$C$12)&lt;=0,"0",(((SUM(ReDiarioFert!G28:G34)/2)*$C$12)))</f>
        <v>43.53663419043209</v>
      </c>
      <c r="K22">
        <f>IF(((SUM(ReDiarioFert!I28:I34)/2)*$C$12)&lt;=0,"0",(((SUM(ReDiarioFert!I28:I34)/2)*$C$12)))</f>
        <v>27.94250241422435</v>
      </c>
      <c r="M22">
        <f>IF(((SUM(ReDiarioFert!K28:K34)/2)*$C$12)&lt;=0,"0",(((SUM(ReDiarioFert!K28:K34)/2)*$C$12)))</f>
        <v>57.59674182819414</v>
      </c>
      <c r="O22">
        <f>IF(((SUM(ReDiarioFert!M28:M34)/2)*$C$12)&lt;=0,"0",(((SUM(ReDiarioFert!M28:M34)/2)*$C$12)))</f>
        <v>208.88037902439024</v>
      </c>
      <c r="Q22">
        <f>$C$12*Main!$D$63</f>
        <v>20.019999999999996</v>
      </c>
      <c r="S22">
        <f>((E22/100)*$G$40+(G22/100)*$G$41+(I22/100)*$G$42+(K22/100)*$G$43+(M22/100)*$G$44+(O22)*$G$45+(Q22*$G$46))</f>
        <v>1628.472063352921</v>
      </c>
    </row>
    <row r="23">
      <c r="B23">
        <f>B22+4</f>
        <v>28</v>
      </c>
      <c r="C23">
        <f>$J$11+B23</f>
        <v>39842</v>
      </c>
      <c r="E23">
        <f>E22</f>
        <v>18.100514070746776</v>
      </c>
      <c r="G23">
        <f>G22</f>
        <v>7.343260558570197</v>
      </c>
      <c r="I23">
        <f>I22</f>
        <v>43.53663419043209</v>
      </c>
      <c r="K23">
        <f>K22</f>
        <v>27.94250241422435</v>
      </c>
      <c r="M23">
        <f>M22</f>
        <v>57.59674182819414</v>
      </c>
      <c r="O23">
        <f>O22</f>
        <v>208.88037902439024</v>
      </c>
      <c r="S23">
        <f>((E23/100)*$G$40+(G23/100)*$G$41+(I23/100)*$G$42+(K23/100)*$G$43+(M23/100)*$G$44+(O23)*$G$45+(Q23*$G$46))</f>
        <v>1572.416063352921</v>
      </c>
    </row>
    <row r="24">
      <c r="A24">
        <v>5</v>
      </c>
      <c r="B24">
        <f>B23+3</f>
        <v>31</v>
      </c>
      <c r="C24">
        <f>$J$11+B24</f>
        <v>39845</v>
      </c>
      <c r="E24">
        <f>IF(((SUM(ReDiarioFert!C35:C41)/2)*$C$12)&lt;=0,"0",(((SUM(ReDiarioFert!C35:C41)/2)*$C$12)))</f>
        <v>22.754931974653093</v>
      </c>
      <c r="G24">
        <f>IF(((SUM(ReDiarioFert!E35:E41)/2)*$C$12)&lt;=0,"0",(((SUM(ReDiarioFert!E35:E41)/2)*$C$12)))</f>
        <v>9.231527559345391</v>
      </c>
      <c r="I24">
        <f>IF(((SUM(ReDiarioFert!G35:G41)/2)*$C$12)&lt;=0,"0",(((SUM(ReDiarioFert!G35:G41)/2)*$C$12)))</f>
        <v>54.7317686965432</v>
      </c>
      <c r="K24">
        <f>IF(((SUM(ReDiarioFert!I35:I41)/2)*$C$12)&lt;=0,"0",(((SUM(ReDiarioFert!I35:I41)/2)*$C$12)))</f>
        <v>35.12771732073919</v>
      </c>
      <c r="M24">
        <f>IF(((SUM(ReDiarioFert!K35:K41)/2)*$C$12)&lt;=0,"0",(((SUM(ReDiarioFert!K35:K41)/2)*$C$12)))</f>
        <v>72.4073325840155</v>
      </c>
      <c r="O24">
        <f>IF(((SUM(ReDiarioFert!M35:M41)/2)*$C$12)&lt;=0,"0",(((SUM(ReDiarioFert!M35:M41)/2)*$C$12)))</f>
        <v>246.18130121951222</v>
      </c>
      <c r="Q24">
        <f>$C$12*Main!$D$63</f>
        <v>20.019999999999996</v>
      </c>
      <c r="S24">
        <f>((E24/100)*$G$40+(G24/100)*$G$41+(I24/100)*$G$42+(K24/100)*$G$43+(M24/100)*$G$44+(O24)*$G$45+(Q24*$G$46))</f>
        <v>2032.1511754900832</v>
      </c>
    </row>
    <row r="25">
      <c r="B25">
        <f>B24+4</f>
        <v>35</v>
      </c>
      <c r="C25">
        <f>$J$11+B25</f>
        <v>39849</v>
      </c>
      <c r="E25">
        <f>E24</f>
        <v>22.754931974653093</v>
      </c>
      <c r="G25">
        <f>G24</f>
        <v>9.231527559345391</v>
      </c>
      <c r="I25">
        <f>I24</f>
        <v>54.7317686965432</v>
      </c>
      <c r="K25">
        <f>K24</f>
        <v>35.12771732073919</v>
      </c>
      <c r="M25">
        <f>M24</f>
        <v>72.4073325840155</v>
      </c>
      <c r="O25">
        <f>O24</f>
        <v>246.18130121951222</v>
      </c>
      <c r="S25">
        <f>((E25/100)*$G$40+(G25/100)*$G$41+(I25/100)*$G$42+(K25/100)*$G$43+(M25/100)*$G$44+(O25)*$G$45+(Q25*$G$46))</f>
        <v>1976.0951754900832</v>
      </c>
    </row>
    <row r="26">
      <c r="A26">
        <v>6</v>
      </c>
      <c r="B26">
        <f>B25+3</f>
        <v>38</v>
      </c>
      <c r="C26">
        <f>$J$11+B26</f>
        <v>39852</v>
      </c>
      <c r="E26">
        <f>IF(((SUM(ReDiarioFert!C42:C48)/2)*$C$12)&lt;=0,"0",(((SUM(ReDiarioFert!C42:C48)/2)*$C$12)))</f>
        <v>28.960822513194845</v>
      </c>
      <c r="G26">
        <f>IF(((SUM(ReDiarioFert!E42:E48)/2)*$C$12)&lt;=0,"0",(((SUM(ReDiarioFert!E42:E48)/2)*$C$12)))</f>
        <v>11.749216893712317</v>
      </c>
      <c r="I26">
        <f>IF(((SUM(ReDiarioFert!G42:G48)/2)*$C$12)&lt;=0,"0",(((SUM(ReDiarioFert!G42:G48)/2)*$C$12)))</f>
        <v>69.65861470469136</v>
      </c>
      <c r="K26">
        <f>IF(((SUM(ReDiarioFert!I42:I48)/2)*$C$12)&lt;=0,"0",(((SUM(ReDiarioFert!I42:I48)/2)*$C$12)))</f>
        <v>44.708003862758964</v>
      </c>
      <c r="M26">
        <f>IF(((SUM(ReDiarioFert!K42:K48)/2)*$C$12)&lt;=0,"0",(((SUM(ReDiarioFert!K42:K48)/2)*$C$12)))</f>
        <v>92.15478692511063</v>
      </c>
      <c r="O26">
        <f>IF(((SUM(ReDiarioFert!M42:M48)/2)*$C$12)&lt;=0,"0",(((SUM(ReDiarioFert!M42:M48)/2)*$C$12)))</f>
        <v>295.9158641463415</v>
      </c>
      <c r="Q26">
        <f>$C$12*Main!$D$63</f>
        <v>20.019999999999996</v>
      </c>
      <c r="S26">
        <f>((E26/100)*$G$40+(G26/100)*$G$41+(I26/100)*$G$42+(K26/100)*$G$43+(M26/100)*$G$44+(O26)*$G$45+(Q26*$G$46))</f>
        <v>2570.3899916729665</v>
      </c>
    </row>
    <row r="27">
      <c r="B27">
        <f>B26+4</f>
        <v>42</v>
      </c>
      <c r="C27">
        <f>$J$11+B27</f>
        <v>39856</v>
      </c>
      <c r="E27">
        <f>E26</f>
        <v>28.960822513194845</v>
      </c>
      <c r="G27">
        <f>G26</f>
        <v>11.749216893712317</v>
      </c>
      <c r="I27">
        <f>I26</f>
        <v>69.65861470469136</v>
      </c>
      <c r="K27">
        <f>K26</f>
        <v>44.708003862758964</v>
      </c>
      <c r="M27">
        <f>M26</f>
        <v>92.15478692511063</v>
      </c>
      <c r="O27">
        <f>O26</f>
        <v>295.9158641463415</v>
      </c>
      <c r="S27">
        <f>((E27/100)*$G$40+(G27/100)*$G$41+(I27/100)*$G$42+(K27/100)*$G$43+(M27/100)*$G$44+(O27)*$G$45+(Q27*$G$46))</f>
        <v>2514.3339916729665</v>
      </c>
    </row>
    <row r="28">
      <c r="A28">
        <v>7</v>
      </c>
      <c r="B28">
        <f>B27+3</f>
        <v>45</v>
      </c>
      <c r="C28">
        <f>$J$11+B28</f>
        <v>39859</v>
      </c>
      <c r="E28">
        <f>IF(((SUM(ReDiarioFert!C49:C55)/2)*$C$12)&lt;=0,"0",(((SUM(ReDiarioFert!C49:C55)/2)*$C$12)))</f>
        <v>22.62232319450928</v>
      </c>
      <c r="G28">
        <f>IF(((SUM(ReDiarioFert!E49:E55)/2)*$C$12)&lt;=0,"0",(((SUM(ReDiarioFert!E49:E55)/2)*$C$12)))</f>
        <v>13.00806156089578</v>
      </c>
      <c r="I28">
        <f>IF(((SUM(ReDiarioFert!G49:G55)/2)*$C$12)&lt;=0,"0",(((SUM(ReDiarioFert!G49:G55)/2)*$C$12)))</f>
        <v>92.5464452505185</v>
      </c>
      <c r="K28">
        <f>IF(((SUM(ReDiarioFert!I49:I55)/2)*$C$12)&lt;=0,"0",(((SUM(ReDiarioFert!I49:I55)/2)*$C$12)))</f>
        <v>59.39777656052264</v>
      </c>
      <c r="M28">
        <f>IF(((SUM(ReDiarioFert!K49:K55)/2)*$C$12)&lt;=0,"0",(((SUM(ReDiarioFert!K49:K55)/2)*$C$12)))</f>
        <v>122.43421691478987</v>
      </c>
      <c r="O28">
        <f>IF(((SUM(ReDiarioFert!M49:M55)/2)*$C$12)&lt;=0,"0",(((SUM(ReDiarioFert!M49:M55)/2)*$C$12)))</f>
        <v>325.75591829268296</v>
      </c>
      <c r="Q28">
        <f>$C$12*Main!$D$63</f>
        <v>20.019999999999996</v>
      </c>
      <c r="S28">
        <f>((E28/100)*$G$40+(G28/100)*$G$41+(I28/100)*$G$42+(K28/100)*$G$43+(M28/100)*$G$44+(O28)*$G$45+(Q28*$G$46))</f>
        <v>3220.0899399109453</v>
      </c>
    </row>
    <row r="29">
      <c r="B29">
        <f>B28+4</f>
        <v>49</v>
      </c>
      <c r="C29">
        <f>$J$11+B29</f>
        <v>39863</v>
      </c>
      <c r="E29">
        <f>E28</f>
        <v>22.62232319450928</v>
      </c>
      <c r="G29">
        <f>G28</f>
        <v>13.00806156089578</v>
      </c>
      <c r="I29">
        <f>I28</f>
        <v>92.5464452505185</v>
      </c>
      <c r="K29">
        <f>K28</f>
        <v>59.39777656052264</v>
      </c>
      <c r="M29">
        <f>M28</f>
        <v>122.43421691478987</v>
      </c>
      <c r="O29">
        <f>O28</f>
        <v>325.75591829268296</v>
      </c>
      <c r="S29">
        <f>((E29/100)*$G$40+(G29/100)*$G$41+(I29/100)*$G$42+(K29/100)*$G$43+(M29/100)*$G$44+(O29)*$G$45+(Q29*$G$46))</f>
        <v>3164.0339399109453</v>
      </c>
    </row>
    <row r="30">
      <c r="A30">
        <v>8</v>
      </c>
      <c r="B30">
        <f>B29+3</f>
        <v>52</v>
      </c>
      <c r="C30">
        <f>$J$11+B30</f>
        <v>39866</v>
      </c>
      <c r="E30">
        <f>IF(((SUM(ReDiarioFert!C56:C62)/2)*$C$12)&lt;=0,"0",(((SUM(ReDiarioFert!C56:C62)/2)*$C$12)))</f>
        <v>28.095465902858283</v>
      </c>
      <c r="G30">
        <f>IF(((SUM(ReDiarioFert!E56:E62)/2)*$C$12)&lt;=0,"0",(((SUM(ReDiarioFert!E56:E62)/2)*$C$12)))</f>
        <v>16.155173228854437</v>
      </c>
      <c r="I30">
        <f>IF(((SUM(ReDiarioFert!G56:G62)/2)*$C$12)&lt;=0,"0",(((SUM(ReDiarioFert!G56:G62)/2)*$C$12)))</f>
        <v>114.93671426274072</v>
      </c>
      <c r="K30">
        <f>IF(((SUM(ReDiarioFert!I56:I62)/2)*$C$12)&lt;=0,"0",(((SUM(ReDiarioFert!I56:I62)/2)*$C$12)))</f>
        <v>73.76820637355232</v>
      </c>
      <c r="M30">
        <f>IF(((SUM(ReDiarioFert!K56:K62)/2)*$C$12)&lt;=0,"0",(((SUM(ReDiarioFert!K56:K62)/2)*$C$12)))</f>
        <v>152.0553984264326</v>
      </c>
      <c r="O30">
        <f>IF(((SUM(ReDiarioFert!M56:M62)/2)*$C$12)&lt;=0,"0",(((SUM(ReDiarioFert!M56:M62)/2)*$C$12)))</f>
        <v>400.35605365853655</v>
      </c>
      <c r="Q30">
        <f>$C$12*Main!$D$63</f>
        <v>20.019999999999996</v>
      </c>
      <c r="S30">
        <f>((E30/100)*$G$40+(G30/100)*$G$41+(I30/100)*$G$42+(K30/100)*$G$43+(M30/100)*$G$44+(O30)*$G$45+(Q30*$G$46))</f>
        <v>3985.4135509334606</v>
      </c>
    </row>
    <row r="31">
      <c r="B31">
        <f>B30+4</f>
        <v>56</v>
      </c>
      <c r="C31">
        <f>$J$11+B31</f>
        <v>39870</v>
      </c>
      <c r="E31">
        <f>E30</f>
        <v>28.095465902858283</v>
      </c>
      <c r="G31">
        <f>G30</f>
        <v>16.155173228854437</v>
      </c>
      <c r="I31">
        <f>I30</f>
        <v>114.93671426274072</v>
      </c>
      <c r="K31">
        <f>K30</f>
        <v>73.76820637355232</v>
      </c>
      <c r="M31">
        <f>M30</f>
        <v>152.0553984264326</v>
      </c>
      <c r="O31">
        <f>O30</f>
        <v>400.35605365853655</v>
      </c>
      <c r="S31">
        <f>((E31/100)*$G$40+(G31/100)*$G$41+(I31/100)*$G$42+(K31/100)*$G$43+(M31/100)*$G$44+(O31)*$G$45+(Q31*$G$46))</f>
        <v>3929.3575509334605</v>
      </c>
    </row>
    <row r="32">
      <c r="A32">
        <v>9</v>
      </c>
      <c r="B32">
        <f>B31+3</f>
        <v>59</v>
      </c>
      <c r="C32">
        <f>$J$11+B32</f>
        <v>39873</v>
      </c>
      <c r="E32">
        <f>IF(((SUM(ReDiarioFert!C63:C69)/2)*$C$12)&lt;=0,"0",(((SUM(ReDiarioFert!C63:C69)/2)*$C$12)))</f>
        <v>28.095465902858283</v>
      </c>
      <c r="G32">
        <f>IF(((SUM(ReDiarioFert!E63:E69)/2)*$C$12)&lt;=0,"0",(((SUM(ReDiarioFert!E63:E69)/2)*$C$12)))</f>
        <v>16.155173228854437</v>
      </c>
      <c r="I32">
        <f>IF(((SUM(ReDiarioFert!G63:G69)/2)*$C$12)&lt;=0,"0",(((SUM(ReDiarioFert!G63:G69)/2)*$C$12)))</f>
        <v>114.93671426274072</v>
      </c>
      <c r="K32">
        <f>IF(((SUM(ReDiarioFert!I63:I69)/2)*$C$12)&lt;=0,"0",(((SUM(ReDiarioFert!I63:I69)/2)*$C$12)))</f>
        <v>73.76820637355232</v>
      </c>
      <c r="M32">
        <f>IF(((SUM(ReDiarioFert!K63:K69)/2)*$C$12)&lt;=0,"0",(((SUM(ReDiarioFert!K63:K69)/2)*$C$12)))</f>
        <v>152.0553984264326</v>
      </c>
      <c r="O32">
        <f>IF(((SUM(ReDiarioFert!M63:M69)/2)*$C$12)&lt;=0,"0",(((SUM(ReDiarioFert!M63:M69)/2)*$C$12)))</f>
        <v>415.27632487804874</v>
      </c>
      <c r="Q32">
        <f>$C$12*Main!$D$63</f>
        <v>20.019999999999996</v>
      </c>
      <c r="S32">
        <f>((E32/100)*$G$40+(G32/100)*$G$41+(I32/100)*$G$42+(K32/100)*$G$43+(M32/100)*$G$44+(O32)*$G$45+(Q32*$G$46))</f>
        <v>3986.010361782241</v>
      </c>
    </row>
    <row r="33">
      <c r="B33">
        <f>B32+4</f>
        <v>63</v>
      </c>
      <c r="C33">
        <f>$J$11+B33</f>
        <v>39877</v>
      </c>
      <c r="E33">
        <f>E32</f>
        <v>28.095465902858283</v>
      </c>
      <c r="G33">
        <f>G32</f>
        <v>16.155173228854437</v>
      </c>
      <c r="I33">
        <f>I32</f>
        <v>114.93671426274072</v>
      </c>
      <c r="K33">
        <f>K32</f>
        <v>73.76820637355232</v>
      </c>
      <c r="M33">
        <f>M32</f>
        <v>152.0553984264326</v>
      </c>
      <c r="O33">
        <f>O32</f>
        <v>415.27632487804874</v>
      </c>
      <c r="S33">
        <f>((E33/100)*$G$40+(G33/100)*$G$41+(I33/100)*$G$42+(K33/100)*$G$43+(M33/100)*$G$44+(O33)*$G$45+(Q33*$G$46))</f>
        <v>3929.954361782241</v>
      </c>
    </row>
    <row r="34">
      <c r="A34">
        <v>10</v>
      </c>
      <c r="B34">
        <f>B33+3</f>
        <v>66</v>
      </c>
      <c r="C34">
        <f>$J$11+B34</f>
        <v>39880</v>
      </c>
      <c r="E34">
        <f>IF(((SUM(ReDiarioFert!C70:C76)/2)*$C$12)&lt;=0,"0",(((SUM(ReDiarioFert!C70:C76)/2)*$C$12)))</f>
        <v>28.095465902858283</v>
      </c>
      <c r="G34">
        <f>IF(((SUM(ReDiarioFert!E70:E76)/2)*$C$12)&lt;=0,"0",(((SUM(ReDiarioFert!E70:E76)/2)*$C$12)))</f>
        <v>16.155173228854437</v>
      </c>
      <c r="I34">
        <f>IF(((SUM(ReDiarioFert!G70:G76)/2)*$C$12)&lt;=0,"0",(((SUM(ReDiarioFert!G70:G76)/2)*$C$12)))</f>
        <v>114.93671426274072</v>
      </c>
      <c r="K34">
        <f>IF(((SUM(ReDiarioFert!I70:I76)/2)*$C$12)&lt;=0,"0",(((SUM(ReDiarioFert!I70:I76)/2)*$C$12)))</f>
        <v>73.76820637355232</v>
      </c>
      <c r="M34">
        <f>IF(((SUM(ReDiarioFert!K70:K76)/2)*$C$12)&lt;=0,"0",(((SUM(ReDiarioFert!K70:K76)/2)*$C$12)))</f>
        <v>152.0553984264326</v>
      </c>
      <c r="O34">
        <f>IF(((SUM(ReDiarioFert!M70:M76)/2)*$C$12)&lt;=0,"0",(((SUM(ReDiarioFert!M70:M76)/2)*$C$12)))</f>
        <v>504.797952195122</v>
      </c>
      <c r="Q34">
        <f>$C$12*Main!$D$63</f>
        <v>20.019999999999996</v>
      </c>
      <c r="S34">
        <f>((E34/100)*$G$40+(G34/100)*$G$41+(I34/100)*$G$42+(K34/100)*$G$43+(M34/100)*$G$44+(O34)*$G$45+(Q34*$G$46))</f>
        <v>3989.591226874924</v>
      </c>
    </row>
    <row r="35">
      <c r="B35">
        <f>B34+4</f>
        <v>70</v>
      </c>
      <c r="C35">
        <f>$J$11+B35</f>
        <v>39884</v>
      </c>
      <c r="E35">
        <f>E34</f>
        <v>28.095465902858283</v>
      </c>
      <c r="G35">
        <f>G34</f>
        <v>16.155173228854437</v>
      </c>
      <c r="I35">
        <f>I34</f>
        <v>114.93671426274072</v>
      </c>
      <c r="K35">
        <f>K34</f>
        <v>73.76820637355232</v>
      </c>
      <c r="M35">
        <f>M34</f>
        <v>152.0553984264326</v>
      </c>
      <c r="O35">
        <f>O34</f>
        <v>504.797952195122</v>
      </c>
      <c r="S35">
        <f>((E35/100)*$G$40+(G35/100)*$G$41+(I35/100)*$G$42+(K35/100)*$G$43+(M35/100)*$G$44+(O35)*$G$45+(Q35*$G$46))</f>
        <v>3933.535226874924</v>
      </c>
    </row>
    <row r="36">
      <c r="C36" t="str">
        <v>Total</v>
      </c>
      <c r="E36">
        <f>SUM(E16:E35)</f>
        <v>427.1659416762784</v>
      </c>
      <c r="G36">
        <f>SUM(G16:G35)</f>
        <v>206.66033286261845</v>
      </c>
      <c r="I36">
        <f>SUM(I16:I35)</f>
        <v>1359.590653449243</v>
      </c>
      <c r="K36">
        <f>SUM(K16:K35)</f>
        <v>872.6068476076953</v>
      </c>
      <c r="M36">
        <f>SUM(M16:M35)</f>
        <v>1798.668944324395</v>
      </c>
      <c r="O36">
        <f>SUM(O16:O35)</f>
        <v>5595.0382292682925</v>
      </c>
      <c r="Q36">
        <f>SUM(Q16:Q35)</f>
        <v>200.19999999999993</v>
      </c>
      <c r="S36">
        <f>SUM(S16:S35)</f>
        <v>48114.59662580123</v>
      </c>
    </row>
    <row r="37">
      <c r="D37" t="str">
        <v>OJO cualquier cultivo que no se termine la cosecha en el ultimo día del calendario solo seguir repitiendo la ultima aplicación de fertilizante.</v>
      </c>
    </row>
    <row r="38" ht="39.75" customHeight="1">
      <c r="B38" t="str">
        <v>Producto</v>
      </c>
      <c r="F38" t="str">
        <v>Lbs/Ha</v>
      </c>
      <c r="G38" t="str">
        <v>Costo por qq</v>
      </c>
    </row>
    <row r="39" ht="24" customHeight="1">
      <c r="G39" t="str">
        <f>Main!$E$25</f>
        <v>Lempiras</v>
      </c>
    </row>
    <row r="40">
      <c r="B40" t="str">
        <f>Main!D42</f>
        <v>Nitrato de Amonio</v>
      </c>
      <c r="F40">
        <f>E36/C12</f>
        <v>426.73920247380465</v>
      </c>
      <c r="G40">
        <f>Main!D43</f>
        <v>620</v>
      </c>
    </row>
    <row r="41">
      <c r="B41" t="str">
        <f>Main!D32</f>
        <v>MAP 12-61-0</v>
      </c>
      <c r="F41">
        <f>G36/C12</f>
        <v>206.45387898363484</v>
      </c>
      <c r="G41">
        <f>Main!D33</f>
        <v>2900</v>
      </c>
    </row>
    <row r="42">
      <c r="B42" t="str">
        <f>Main!D37</f>
        <v>Kcl Soluble</v>
      </c>
      <c r="F42">
        <f>I36/C12</f>
        <v>1358.232421028215</v>
      </c>
      <c r="G42">
        <f>Main!D38</f>
        <v>780</v>
      </c>
    </row>
    <row r="43">
      <c r="B43" t="str">
        <f>Main!D47</f>
        <v>Sulfato de Magnesio</v>
      </c>
      <c r="F43">
        <f>K36/C12</f>
        <v>871.7351124952002</v>
      </c>
      <c r="G43">
        <f>Main!D48</f>
        <v>951</v>
      </c>
    </row>
    <row r="44">
      <c r="B44" t="str">
        <f>Main!D52</f>
        <v>Nitrato de Calcio</v>
      </c>
      <c r="F44">
        <f>M36/C12</f>
        <v>1796.872072252143</v>
      </c>
      <c r="G44">
        <f>Main!D53</f>
        <v>1100</v>
      </c>
    </row>
    <row r="45">
      <c r="B45" t="str">
        <f>Main!D57</f>
        <v>Solubor</v>
      </c>
      <c r="F45">
        <f>O36/C12</f>
        <v>5589.448780487805</v>
      </c>
      <c r="G45">
        <f>Main!D58</f>
        <v>0.04</v>
      </c>
      <c r="I45" t="str">
        <v xml:space="preserve">Preparado y Autorizado Por </v>
      </c>
    </row>
    <row r="46" ht="18" customHeight="1">
      <c r="B46" t="str">
        <f>Main!D61</f>
        <v>Melaza</v>
      </c>
      <c r="F46">
        <f>Q36/C12</f>
        <v>199.99999999999994</v>
      </c>
      <c r="G46">
        <f>Main!D62</f>
        <v>2.8</v>
      </c>
      <c r="I46" t="str">
        <v>MSc Ricardo D. Lardizábal</v>
      </c>
    </row>
    <row r="47" ht="17.4" customHeight="1">
      <c r="B47" t="str">
        <v>NOTA: El Nitrato de Calcio se debe de diluir en un barril aparte para inyectarse al sistema</v>
      </c>
    </row>
    <row r="50">
      <c r="B50" t="str">
        <v>Abreviaciones usadas</v>
      </c>
    </row>
    <row r="51">
      <c r="B51"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47:I48"/>
    <mergeCell ref="B44:E44"/>
    <mergeCell ref="B43:E43"/>
    <mergeCell ref="I46:Q46"/>
    <mergeCell ref="B45:E45"/>
    <mergeCell ref="G46:H46"/>
    <mergeCell ref="G45:H45"/>
    <mergeCell ref="G43:H43"/>
    <mergeCell ref="G44:H44"/>
    <mergeCell ref="I45:Q45"/>
    <mergeCell ref="B51:S51"/>
    <mergeCell ref="E14:F14"/>
    <mergeCell ref="B50:C50"/>
    <mergeCell ref="B46:E46"/>
    <mergeCell ref="B38:E38"/>
    <mergeCell ref="B40:E40"/>
    <mergeCell ref="B41:E41"/>
    <mergeCell ref="B42:E42"/>
    <mergeCell ref="C14:D14"/>
    <mergeCell ref="G38:H38"/>
    <mergeCell ref="A14:A15"/>
    <mergeCell ref="B14:B15"/>
    <mergeCell ref="A11:B11"/>
    <mergeCell ref="A12:B12"/>
    <mergeCell ref="C11:F11"/>
    <mergeCell ref="C12:F12"/>
    <mergeCell ref="G42:H42"/>
    <mergeCell ref="S14:S15"/>
    <mergeCell ref="O14:P14"/>
    <mergeCell ref="Q14:R14"/>
    <mergeCell ref="G14:H14"/>
    <mergeCell ref="I14:J14"/>
    <mergeCell ref="K14:L14"/>
    <mergeCell ref="M14:N14"/>
    <mergeCell ref="G39:H39"/>
    <mergeCell ref="G40:H40"/>
    <mergeCell ref="G41:H41"/>
    <mergeCell ref="J9:N9"/>
    <mergeCell ref="J10:N10"/>
    <mergeCell ref="J11:N11"/>
    <mergeCell ref="J12:N12"/>
    <mergeCell ref="G11:I11"/>
    <mergeCell ref="G12:I12"/>
  </mergeCells>
  <pageMargins left="0.25" right="0.25" top="0.48" bottom="0.8" header="0.25" footer="0.25"/>
  <ignoredErrors>
    <ignoredError numberStoredAsText="1" sqref="A1:V60"/>
  </ignoredErrors>
  <legacyDrawing r:id="rId1"/>
</worksheet>
</file>

<file path=xl/worksheets/sheet7.xml><?xml version="1.0" encoding="utf-8"?>
<worksheet xmlns="http://schemas.openxmlformats.org/spreadsheetml/2006/main" xmlns:r="http://schemas.openxmlformats.org/officeDocument/2006/relationships">
  <dimension ref="A1:V48"/>
  <sheetViews>
    <sheetView workbookViewId="0" rightToLeft="0"/>
  </sheetViews>
  <sheetData>
    <row r="1" ht="32.7" customHeight="1"/>
    <row r="2" ht="32.7" customHeight="1">
      <c r="P2" t="str">
        <v>Calendario de Fertilización para Goteo 1 Vez Por Semana</v>
      </c>
    </row>
    <row r="3" ht="32.7" customHeight="1"/>
    <row r="5">
      <c r="P5" t="str">
        <f>Main!$E$21</f>
        <v>Lechuga</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Super 88</v>
      </c>
    </row>
    <row r="10" ht="20.1" customHeight="1">
      <c r="A10" t="str">
        <v>Zona</v>
      </c>
      <c r="C10" t="str">
        <f>Main!E18</f>
        <v>Cantarranas</v>
      </c>
      <c r="G10" t="str">
        <v>Técnico</v>
      </c>
      <c r="J10" t="str">
        <f>Main!E20</f>
        <v>Raca</v>
      </c>
    </row>
    <row r="11" ht="20.1" customHeight="1">
      <c r="A11" t="str">
        <v>Área Mz.</v>
      </c>
      <c r="C11">
        <f>Main!E22</f>
        <v>1.43</v>
      </c>
      <c r="G11" t="str">
        <v>Fecha:</v>
      </c>
      <c r="J11">
        <f>Main!E23</f>
        <v>39814</v>
      </c>
    </row>
    <row r="12" ht="20.1" customHeight="1">
      <c r="A12" t="str">
        <v>Área Ha.</v>
      </c>
      <c r="C12">
        <f>Main!I22</f>
        <v>1.001</v>
      </c>
      <c r="G12" t="str">
        <v>Fecha de Cosecha:</v>
      </c>
      <c r="J12">
        <f>J11+Main!E24</f>
        <v>39874</v>
      </c>
    </row>
    <row r="13" ht="19.5" customHeight="1"/>
    <row r="14" ht="26.399999999999995" customHeight="1">
      <c r="A14" t="str">
        <v>Semana</v>
      </c>
      <c r="B14" t="str">
        <v>DDT</v>
      </c>
      <c r="C14" t="str">
        <v>FECHA</v>
      </c>
      <c r="E14" t="str">
        <f>Main!$D$42</f>
        <v>Nitrato de Amonio</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39815</v>
      </c>
      <c r="E16">
        <f>IF((SUM(ReDiarioFert!C7:C13)*$C$12)&lt;=0,"0",((SUM(ReDiarioFert!C7:C13)*$C$12)))</f>
        <v>16.00036400838589</v>
      </c>
      <c r="G16">
        <f>IF((SUM(ReDiarioFert!E7:E13)*$C$12)&lt;=0,"0",((SUM(ReDiarioFert!E7:E13)*$C$12)))</f>
        <v>5.874608446856159</v>
      </c>
      <c r="I16">
        <f>IF((SUM(ReDiarioFert!G7:G13)*$C$12)&lt;=0,"0",((SUM(ReDiarioFert!G7:G13)*$C$12)))</f>
        <v>32.346173498263624</v>
      </c>
      <c r="K16">
        <f>IF((SUM(ReDiarioFert!I7:I13)*$C$12)&lt;=0,"0",((SUM(ReDiarioFert!I7:I13)*$C$12)))</f>
        <v>20.760287235635303</v>
      </c>
      <c r="M16">
        <f>IF((SUM(ReDiarioFert!K7:K13)*$C$12)&lt;=0,"0",((SUM(ReDiarioFert!K7:K13)*$C$12)))</f>
        <v>42.79233428933508</v>
      </c>
      <c r="O16">
        <f>IF((SUM(ReDiarioFert!M7:M13)*$C$12)&lt;=0,"0",((SUM(ReDiarioFert!M7:M13)*$C$12)))</f>
        <v>174.06755219512195</v>
      </c>
      <c r="Q16">
        <f>$C$12*Main!$D$63</f>
        <v>20.019999999999996</v>
      </c>
      <c r="S16">
        <f>((E16/100)*$G$30+(G16/100)*$G$31+(I16/100)*$G$32+(K16/100)*$G$33+(M16/100)*$G$34+(O16)*$G$35+(Q16*$G$36))</f>
        <v>1253.03076597866</v>
      </c>
    </row>
    <row r="17">
      <c r="A17">
        <v>2</v>
      </c>
      <c r="B17">
        <v>8</v>
      </c>
      <c r="C17">
        <f>$J$11+B17</f>
        <v>39822</v>
      </c>
      <c r="E17">
        <f>IF((SUM(ReDiarioFert!C14:C20)*$C$12)&lt;=0,"0",((SUM(ReDiarioFert!C14:C20)*$C$12)))</f>
        <v>22.857662869122706</v>
      </c>
      <c r="G17">
        <f>IF((SUM(ReDiarioFert!E14:E20)*$C$12)&lt;=0,"0",((SUM(ReDiarioFert!E14:E20)*$C$12)))</f>
        <v>8.392297781223082</v>
      </c>
      <c r="I17">
        <f>IF((SUM(ReDiarioFert!G14:G20)*$C$12)&lt;=0,"0",((SUM(ReDiarioFert!G14:G20)*$C$12)))</f>
        <v>46.20881928323374</v>
      </c>
      <c r="K17">
        <f>IF((SUM(ReDiarioFert!I14:I20)*$C$12)&lt;=0,"0",((SUM(ReDiarioFert!I14:I20)*$C$12)))</f>
        <v>29.657553193764723</v>
      </c>
      <c r="M17">
        <f>IF((SUM(ReDiarioFert!K14:K20)*$C$12)&lt;=0,"0",((SUM(ReDiarioFert!K14:K20)*$C$12)))</f>
        <v>61.131906127621534</v>
      </c>
      <c r="O17">
        <f>IF((SUM(ReDiarioFert!M14:M20)*$C$12)&lt;=0,"0",((SUM(ReDiarioFert!M14:M20)*$C$12)))</f>
        <v>253.64168097560975</v>
      </c>
      <c r="Q17">
        <f>$C$12*Main!$D$63</f>
        <v>20.019999999999996</v>
      </c>
      <c r="S17">
        <f>((E17/100)*$G$30+(G17/100)*$G$31+(I17/100)*$G$32+(K17/100)*$G$33+(M17/100)*$G$34+(O17)*$G$35+(Q17*$G$36))</f>
        <v>1766.218901368817</v>
      </c>
    </row>
    <row r="18">
      <c r="A18">
        <v>3</v>
      </c>
      <c r="B18">
        <v>15</v>
      </c>
      <c r="C18">
        <f>$J$11+B18</f>
        <v>39829</v>
      </c>
      <c r="E18">
        <f>IF((SUM(ReDiarioFert!C21:C27)*$C$12)&lt;=0,"0",((SUM(ReDiarioFert!C21:C27)*$C$12)))</f>
        <v>34.85793587541212</v>
      </c>
      <c r="G18">
        <f>IF((SUM(ReDiarioFert!E21:E27)*$C$12)&lt;=0,"0",((SUM(ReDiarioFert!E21:E27)*$C$12)))</f>
        <v>12.798254116365198</v>
      </c>
      <c r="I18">
        <f>IF((SUM(ReDiarioFert!G21:G27)*$C$12)&lt;=0,"0",((SUM(ReDiarioFert!G21:G27)*$C$12)))</f>
        <v>70.46844940693146</v>
      </c>
      <c r="K18">
        <f>IF((SUM(ReDiarioFert!I21:I27)*$C$12)&lt;=0,"0",((SUM(ReDiarioFert!I21:I27)*$C$12)))</f>
        <v>45.2277686204912</v>
      </c>
      <c r="M18">
        <f>IF((SUM(ReDiarioFert!K21:K27)*$C$12)&lt;=0,"0",((SUM(ReDiarioFert!K21:K27)*$C$12)))</f>
        <v>93.22615684462285</v>
      </c>
      <c r="O18">
        <f>IF((SUM(ReDiarioFert!M21:M27)*$C$12)&lt;=0,"0",((SUM(ReDiarioFert!M21:M27)*$C$12)))</f>
        <v>373.00140926829266</v>
      </c>
      <c r="Q18">
        <f>$C$12*Main!$D$63</f>
        <v>20.019999999999996</v>
      </c>
      <c r="S18">
        <f>((E18/100)*$G$30+(G18/100)*$G$31+(I18/100)*$G$32+(K18/100)*$G$33+(M18/100)*$G$34+(O18)*$G$35+(Q18*$G$36))</f>
        <v>2663.5023384186657</v>
      </c>
    </row>
    <row r="19">
      <c r="A19">
        <v>4</v>
      </c>
      <c r="B19">
        <v>22</v>
      </c>
      <c r="C19">
        <f>$J$11+B19</f>
        <v>39836</v>
      </c>
      <c r="E19">
        <f>IF((SUM(ReDiarioFert!C28:C34)*$C$12)&lt;=0,"0",((SUM(ReDiarioFert!C28:C34)*$C$12)))</f>
        <v>36.20102814149355</v>
      </c>
      <c r="G19">
        <f>IF((SUM(ReDiarioFert!E28:E34)*$C$12)&lt;=0,"0",((SUM(ReDiarioFert!E28:E34)*$C$12)))</f>
        <v>14.686521117140394</v>
      </c>
      <c r="I19">
        <f>IF((SUM(ReDiarioFert!G28:G34)*$C$12)&lt;=0,"0",((SUM(ReDiarioFert!G28:G34)*$C$12)))</f>
        <v>87.07326838086418</v>
      </c>
      <c r="K19">
        <f>IF((SUM(ReDiarioFert!I28:I34)*$C$12)&lt;=0,"0",((SUM(ReDiarioFert!I28:I34)*$C$12)))</f>
        <v>55.8850048284487</v>
      </c>
      <c r="M19">
        <f>IF((SUM(ReDiarioFert!K28:K34)*$C$12)&lt;=0,"0",((SUM(ReDiarioFert!K28:K34)*$C$12)))</f>
        <v>115.19348365638828</v>
      </c>
      <c r="O19">
        <f>IF((SUM(ReDiarioFert!M28:M34)*$C$12)&lt;=0,"0",((SUM(ReDiarioFert!M28:M34)*$C$12)))</f>
        <v>417.7607580487805</v>
      </c>
      <c r="Q19">
        <f>$C$12*Main!$D$63</f>
        <v>20.019999999999996</v>
      </c>
      <c r="S19">
        <f>((E19/100)*$G$30+(G19/100)*$G$31+(I19/100)*$G$32+(K19/100)*$G$33+(M19/100)*$G$34+(O19)*$G$35+(Q19*$G$36))</f>
        <v>3200.888126705842</v>
      </c>
    </row>
    <row r="20">
      <c r="A20">
        <v>5</v>
      </c>
      <c r="B20">
        <v>29</v>
      </c>
      <c r="C20">
        <f>$J$11+B20</f>
        <v>39843</v>
      </c>
      <c r="E20">
        <f>IF((SUM(ReDiarioFert!C35:C41)*$C$12)&lt;=0,"0",((SUM(ReDiarioFert!C35:C41)*$C$12)))</f>
        <v>45.50986394930619</v>
      </c>
      <c r="G20">
        <f>IF((SUM(ReDiarioFert!E35:E41)*$C$12)&lt;=0,"0",((SUM(ReDiarioFert!E35:E41)*$C$12)))</f>
        <v>18.463055118690782</v>
      </c>
      <c r="I20">
        <f>IF((SUM(ReDiarioFert!G35:G41)*$C$12)&lt;=0,"0",((SUM(ReDiarioFert!G35:G41)*$C$12)))</f>
        <v>109.4635373930864</v>
      </c>
      <c r="K20">
        <f>IF((SUM(ReDiarioFert!I35:I41)*$C$12)&lt;=0,"0",((SUM(ReDiarioFert!I35:I41)*$C$12)))</f>
        <v>70.25543464147837</v>
      </c>
      <c r="M20">
        <f>IF((SUM(ReDiarioFert!K35:K41)*$C$12)&lt;=0,"0",((SUM(ReDiarioFert!K35:K41)*$C$12)))</f>
        <v>144.814665168031</v>
      </c>
      <c r="O20">
        <f>IF((SUM(ReDiarioFert!M35:M41)*$C$12)&lt;=0,"0",((SUM(ReDiarioFert!M35:M41)*$C$12)))</f>
        <v>492.36260243902444</v>
      </c>
      <c r="Q20">
        <f>$C$12*Main!$D$63</f>
        <v>20.019999999999996</v>
      </c>
      <c r="S20">
        <f>((E20/100)*$G$30+(G20/100)*$G$31+(I20/100)*$G$32+(K20/100)*$G$33+(M20/100)*$G$34+(O20)*$G$35+(Q20*$G$36))</f>
        <v>4008.2463509801664</v>
      </c>
    </row>
    <row r="21">
      <c r="A21">
        <v>6</v>
      </c>
      <c r="B21">
        <v>36</v>
      </c>
      <c r="C21">
        <f>$J$11+B21</f>
        <v>39850</v>
      </c>
      <c r="E21">
        <f>IF((SUM(ReDiarioFert!C42:C48)*$C$12)&lt;=0,"0",((SUM(ReDiarioFert!C42:C48)*$C$12)))</f>
        <v>57.92164502638969</v>
      </c>
      <c r="G21">
        <f>IF((SUM(ReDiarioFert!E42:E48)*$C$12)&lt;=0,"0",((SUM(ReDiarioFert!E42:E48)*$C$12)))</f>
        <v>23.498433787424634</v>
      </c>
      <c r="I21">
        <f>IF((SUM(ReDiarioFert!G42:G48)*$C$12)&lt;=0,"0",((SUM(ReDiarioFert!G42:G48)*$C$12)))</f>
        <v>139.31722940938272</v>
      </c>
      <c r="K21">
        <f>IF((SUM(ReDiarioFert!I42:I48)*$C$12)&lt;=0,"0",((SUM(ReDiarioFert!I42:I48)*$C$12)))</f>
        <v>89.41600772551793</v>
      </c>
      <c r="M21">
        <f>IF((SUM(ReDiarioFert!K42:K48)*$C$12)&lt;=0,"0",((SUM(ReDiarioFert!K42:K48)*$C$12)))</f>
        <v>184.30957385022126</v>
      </c>
      <c r="O21">
        <f>IF((SUM(ReDiarioFert!M42:M48)*$C$12)&lt;=0,"0",((SUM(ReDiarioFert!M42:M48)*$C$12)))</f>
        <v>591.831728292683</v>
      </c>
      <c r="Q21">
        <f>$C$12*Main!$D$63</f>
        <v>20.019999999999996</v>
      </c>
      <c r="S21">
        <f>((E21/100)*$G$30+(G21/100)*$G$31+(I21/100)*$G$32+(K21/100)*$G$33+(M21/100)*$G$34+(O21)*$G$35+(Q21*$G$36))</f>
        <v>5084.7239833459325</v>
      </c>
    </row>
    <row r="22">
      <c r="A22">
        <v>7</v>
      </c>
      <c r="B22">
        <v>43</v>
      </c>
      <c r="C22">
        <f>$J$11+B22</f>
        <v>39857</v>
      </c>
      <c r="E22">
        <f>IF((SUM(ReDiarioFert!C49:C55)*$C$12)&lt;=0,"0",((SUM(ReDiarioFert!C49:C55)*$C$12)))</f>
        <v>45.24464638901856</v>
      </c>
      <c r="G22">
        <f>IF((SUM(ReDiarioFert!E49:E55)*$C$12)&lt;=0,"0",((SUM(ReDiarioFert!E49:E55)*$C$12)))</f>
        <v>26.01612312179156</v>
      </c>
      <c r="I22">
        <f>IF((SUM(ReDiarioFert!G49:G55)*$C$12)&lt;=0,"0",((SUM(ReDiarioFert!G49:G55)*$C$12)))</f>
        <v>185.092890501037</v>
      </c>
      <c r="K22">
        <f>IF((SUM(ReDiarioFert!I49:I55)*$C$12)&lt;=0,"0",((SUM(ReDiarioFert!I49:I55)*$C$12)))</f>
        <v>118.79555312104527</v>
      </c>
      <c r="M22">
        <f>IF((SUM(ReDiarioFert!K49:K55)*$C$12)&lt;=0,"0",((SUM(ReDiarioFert!K49:K55)*$C$12)))</f>
        <v>244.86843382957974</v>
      </c>
      <c r="O22">
        <f>IF((SUM(ReDiarioFert!M49:M55)*$C$12)&lt;=0,"0",((SUM(ReDiarioFert!M49:M55)*$C$12)))</f>
        <v>651.5118365853659</v>
      </c>
      <c r="Q22">
        <f>$C$12*Main!$D$63</f>
        <v>20.019999999999996</v>
      </c>
      <c r="S22">
        <f>((E22/100)*$G$30+(G22/100)*$G$31+(I22/100)*$G$32+(K22/100)*$G$33+(M22/100)*$G$34+(O22)*$G$35+(Q22*$G$36))</f>
        <v>6384.12387982189</v>
      </c>
    </row>
    <row r="23">
      <c r="A23">
        <v>8</v>
      </c>
      <c r="B23">
        <v>50</v>
      </c>
      <c r="C23">
        <f>$J$11+B23</f>
        <v>39864</v>
      </c>
      <c r="E23">
        <f>IF((SUM(ReDiarioFert!C56:C62)*$C$12)&lt;=0,"0",((SUM(ReDiarioFert!C56:C62)*$C$12)))</f>
        <v>56.190931805716566</v>
      </c>
      <c r="G23">
        <f>IF((SUM(ReDiarioFert!E56:E62)*$C$12)&lt;=0,"0",((SUM(ReDiarioFert!E56:E62)*$C$12)))</f>
        <v>32.310346457708874</v>
      </c>
      <c r="I23">
        <f>IF((SUM(ReDiarioFert!G56:G62)*$C$12)&lt;=0,"0",((SUM(ReDiarioFert!G56:G62)*$C$12)))</f>
        <v>229.87342852548144</v>
      </c>
      <c r="K23">
        <f>IF((SUM(ReDiarioFert!I56:I62)*$C$12)&lt;=0,"0",((SUM(ReDiarioFert!I56:I62)*$C$12)))</f>
        <v>147.53641274710463</v>
      </c>
      <c r="M23">
        <f>IF((SUM(ReDiarioFert!K56:K62)*$C$12)&lt;=0,"0",((SUM(ReDiarioFert!K56:K62)*$C$12)))</f>
        <v>304.1107968528652</v>
      </c>
      <c r="O23">
        <f>IF((SUM(ReDiarioFert!M56:M62)*$C$12)&lt;=0,"0",((SUM(ReDiarioFert!M56:M62)*$C$12)))</f>
        <v>800.7121073170731</v>
      </c>
      <c r="Q23">
        <f>$C$12*Main!$D$63</f>
        <v>20.019999999999996</v>
      </c>
      <c r="S23">
        <f>((E23/100)*$G$30+(G23/100)*$G$31+(I23/100)*$G$32+(K23/100)*$G$33+(M23/100)*$G$34+(O23)*$G$35+(Q23*$G$36))</f>
        <v>7914.771101866921</v>
      </c>
    </row>
    <row r="24">
      <c r="A24">
        <v>9</v>
      </c>
      <c r="B24">
        <v>57</v>
      </c>
      <c r="C24">
        <f>$J$11+B24</f>
        <v>39871</v>
      </c>
      <c r="E24">
        <f>IF((SUM(ReDiarioFert!C63:C69)*$C$12)&lt;=0,"0",((SUM(ReDiarioFert!C63:C69)*$C$12)))</f>
        <v>56.190931805716566</v>
      </c>
      <c r="G24">
        <f>IF((SUM(ReDiarioFert!E63:E69)*$C$12)&lt;=0,"0",((SUM(ReDiarioFert!E63:E69)*$C$12)))</f>
        <v>32.310346457708874</v>
      </c>
      <c r="I24">
        <f>IF((SUM(ReDiarioFert!G63:G69)*$C$12)&lt;=0,"0",((SUM(ReDiarioFert!G63:G69)*$C$12)))</f>
        <v>229.87342852548144</v>
      </c>
      <c r="K24">
        <f>IF((SUM(ReDiarioFert!I63:I69)*$C$12)&lt;=0,"0",((SUM(ReDiarioFert!I63:I69)*$C$12)))</f>
        <v>147.53641274710463</v>
      </c>
      <c r="M24">
        <f>IF((SUM(ReDiarioFert!K63:K69)*$C$12)&lt;=0,"0",((SUM(ReDiarioFert!K63:K69)*$C$12)))</f>
        <v>304.1107968528652</v>
      </c>
      <c r="O24">
        <f>IF((SUM(ReDiarioFert!M63:M69)*$C$12)&lt;=0,"0",((SUM(ReDiarioFert!M63:M69)*$C$12)))</f>
        <v>830.5526497560975</v>
      </c>
      <c r="Q24">
        <f>$C$12*Main!$D$63</f>
        <v>20.019999999999996</v>
      </c>
      <c r="S24">
        <f>((E24/100)*$G$30+(G24/100)*$G$31+(I24/100)*$G$32+(K24/100)*$G$33+(M24/100)*$G$34+(O24)*$G$35+(Q24*$G$36))</f>
        <v>7915.964723564482</v>
      </c>
    </row>
    <row r="25">
      <c r="A25">
        <v>10</v>
      </c>
      <c r="B25">
        <v>64</v>
      </c>
      <c r="C25">
        <f>$J$11+B25</f>
        <v>39878</v>
      </c>
      <c r="E25">
        <f>IF((SUM(ReDiarioFert!C70:C76)*$C$12)&lt;=0,"0",((SUM(ReDiarioFert!C70:C76)*$C$12)))</f>
        <v>56.190931805716566</v>
      </c>
      <c r="G25">
        <f>IF((SUM(ReDiarioFert!E70:E76)*$C$12)&lt;=0,"0",((SUM(ReDiarioFert!E70:E76)*$C$12)))</f>
        <v>32.310346457708874</v>
      </c>
      <c r="I25">
        <f>IF((SUM(ReDiarioFert!G70:G76)*$C$12)&lt;=0,"0",((SUM(ReDiarioFert!G70:G76)*$C$12)))</f>
        <v>229.87342852548144</v>
      </c>
      <c r="K25">
        <f>IF((SUM(ReDiarioFert!I70:I76)*$C$12)&lt;=0,"0",((SUM(ReDiarioFert!I70:I76)*$C$12)))</f>
        <v>147.53641274710463</v>
      </c>
      <c r="M25">
        <f>IF((SUM(ReDiarioFert!K70:K76)*$C$12)&lt;=0,"0",((SUM(ReDiarioFert!K70:K76)*$C$12)))</f>
        <v>304.1107968528652</v>
      </c>
      <c r="O25">
        <f>IF((SUM(ReDiarioFert!M70:M76)*$C$12)&lt;=0,"0",((SUM(ReDiarioFert!M70:M76)*$C$12)))</f>
        <v>1009.595904390244</v>
      </c>
      <c r="Q25">
        <f>$C$12*Main!$D$63</f>
        <v>20.019999999999996</v>
      </c>
      <c r="S25">
        <f>((E25/100)*$G$30+(G25/100)*$G$31+(I25/100)*$G$32+(K25/100)*$G$33+(M25/100)*$G$34+(O25)*$G$35+(Q25*$G$36))</f>
        <v>7923.126453749847</v>
      </c>
    </row>
    <row r="26">
      <c r="C26" t="str">
        <v>Total</v>
      </c>
      <c r="E26">
        <f>SUM(E16:E25)</f>
        <v>427.1659416762784</v>
      </c>
      <c r="G26">
        <f>SUM(G16:G25)</f>
        <v>206.66033286261842</v>
      </c>
      <c r="I26">
        <f>SUM(I16:I25)</f>
        <v>1359.5906534492435</v>
      </c>
      <c r="K26">
        <f>SUM(K16:K25)</f>
        <v>872.6068476076953</v>
      </c>
      <c r="M26">
        <f>SUM(M16:M25)</f>
        <v>1798.6689443243954</v>
      </c>
      <c r="O26">
        <f>SUM(O16:O25)</f>
        <v>5595.0382292682925</v>
      </c>
      <c r="Q26">
        <f>SUM(Q16:Q25)</f>
        <v>200.19999999999993</v>
      </c>
      <c r="S26">
        <f>SUM(S16:S25)</f>
        <v>48114.59662580123</v>
      </c>
    </row>
    <row r="27">
      <c r="D27" t="str">
        <v>OJO cualquier cultivo que no se termine la cosecha en el ultimo día del calendario solo seguir repitiendo la ultima aplicación de fertilizante.</v>
      </c>
    </row>
    <row r="28" ht="39.75" customHeight="1">
      <c r="B28" t="str">
        <v>Producto</v>
      </c>
      <c r="F28" t="str">
        <v>Lbs/Ha</v>
      </c>
      <c r="G28" t="str">
        <v>Costo por qq</v>
      </c>
    </row>
    <row r="29" ht="24" customHeight="1">
      <c r="G29" t="str">
        <f>Main!$E$25</f>
        <v>Lempiras</v>
      </c>
    </row>
    <row r="30">
      <c r="B30" t="str">
        <f>Main!D42</f>
        <v>Nitrato de Amonio</v>
      </c>
      <c r="F30">
        <f>E26/C12</f>
        <v>426.73920247380465</v>
      </c>
      <c r="G30">
        <f>Main!D43</f>
        <v>620</v>
      </c>
    </row>
    <row r="31">
      <c r="B31" t="str">
        <f>Main!D32</f>
        <v>MAP 12-61-0</v>
      </c>
      <c r="F31">
        <f>G26/C12</f>
        <v>206.4538789836348</v>
      </c>
      <c r="G31">
        <f>Main!D33</f>
        <v>2900</v>
      </c>
    </row>
    <row r="32">
      <c r="B32" t="str">
        <f>Main!D37</f>
        <v>Kcl Soluble</v>
      </c>
      <c r="F32">
        <f>I26/C12</f>
        <v>1358.2324210282154</v>
      </c>
      <c r="G32">
        <f>Main!D38</f>
        <v>780</v>
      </c>
    </row>
    <row r="33">
      <c r="B33" t="str">
        <f>Main!D47</f>
        <v>Sulfato de Magnesio</v>
      </c>
      <c r="F33">
        <f>K26/C12</f>
        <v>871.7351124952002</v>
      </c>
      <c r="G33">
        <f>Main!D48</f>
        <v>951</v>
      </c>
    </row>
    <row r="34">
      <c r="B34" t="str">
        <f>Main!D52</f>
        <v>Nitrato de Calcio</v>
      </c>
      <c r="F34">
        <f>M26/C12</f>
        <v>1796.8720722521434</v>
      </c>
      <c r="G34">
        <f>Main!D53</f>
        <v>1100</v>
      </c>
    </row>
    <row r="35">
      <c r="B35" t="str">
        <f>Main!D57</f>
        <v>Solubor</v>
      </c>
      <c r="F35">
        <f>O26/C12</f>
        <v>5589.448780487805</v>
      </c>
      <c r="G35">
        <f>Main!D58</f>
        <v>0.04</v>
      </c>
      <c r="I35" t="str">
        <v xml:space="preserve">Preparado y Autorizado Por </v>
      </c>
    </row>
    <row r="36" ht="18" customHeight="1">
      <c r="B36" t="str">
        <f>Main!D61</f>
        <v>Melaza</v>
      </c>
      <c r="F36">
        <f>Q26/C12</f>
        <v>199.99999999999994</v>
      </c>
      <c r="G36">
        <f>Main!D62</f>
        <v>2.8</v>
      </c>
      <c r="I36" t="str">
        <v>MSc Ricardo D. Lardizábal</v>
      </c>
    </row>
    <row r="37" ht="17.4" customHeight="1">
      <c r="B37" t="str">
        <v>NOTA: El Nitrato de Calcio se debe de diluir en un barril aparte para inyectarse al sistema</v>
      </c>
    </row>
    <row r="39">
      <c r="B39" t="str">
        <v>Abreviaciones usadas</v>
      </c>
    </row>
    <row r="40">
      <c r="B40" t="str">
        <v>Mz.-Manzanas, Ha-Hectáreas, Lbs-Libras, Lts-Litros y DDT-Días después de Trasplante</v>
      </c>
    </row>
  </sheetData>
  <sheetProtection sheet="1"/>
  <mergeCells count="55">
    <mergeCell ref="B40:S40"/>
    <mergeCell ref="P5:S7"/>
    <mergeCell ref="P2:S3"/>
    <mergeCell ref="A8:M8"/>
    <mergeCell ref="C11:F11"/>
    <mergeCell ref="C10:F10"/>
    <mergeCell ref="G10:I10"/>
    <mergeCell ref="A9:B9"/>
    <mergeCell ref="G9:I9"/>
    <mergeCell ref="J11:M11"/>
    <mergeCell ref="B39:C39"/>
    <mergeCell ref="B31:E31"/>
    <mergeCell ref="B32:E32"/>
    <mergeCell ref="P9:S12"/>
    <mergeCell ref="G11:I11"/>
    <mergeCell ref="J10:M10"/>
    <mergeCell ref="B36:E36"/>
    <mergeCell ref="B34:E34"/>
    <mergeCell ref="B37:I38"/>
    <mergeCell ref="G36:H36"/>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33:E33"/>
    <mergeCell ref="B28:E28"/>
    <mergeCell ref="B30:E30"/>
    <mergeCell ref="G28:H28"/>
    <mergeCell ref="G29:H29"/>
    <mergeCell ref="B35:E35"/>
    <mergeCell ref="G34:H34"/>
    <mergeCell ref="G35:H35"/>
    <mergeCell ref="G30:H30"/>
    <mergeCell ref="I35:Q35"/>
    <mergeCell ref="I36:Q36"/>
    <mergeCell ref="G12:I12"/>
    <mergeCell ref="J12:M12"/>
    <mergeCell ref="I33:Q33"/>
    <mergeCell ref="I32:Q32"/>
    <mergeCell ref="G32:H32"/>
    <mergeCell ref="G33:H33"/>
    <mergeCell ref="G31:H31"/>
    <mergeCell ref="G14:H14"/>
  </mergeCells>
  <pageMargins left="0.35" right="0.25" top="0.32" bottom="0.53" header="0.17" footer="0.16"/>
  <ignoredErrors>
    <ignoredError numberStoredAsText="1" sqref="A1:V48"/>
  </ignoredErrors>
  <legacyDrawing r:id="rId1"/>
</worksheet>
</file>

<file path=xl/worksheets/sheet8.xml><?xml version="1.0" encoding="utf-8"?>
<worksheet xmlns="http://schemas.openxmlformats.org/spreadsheetml/2006/main" xmlns:r="http://schemas.openxmlformats.org/officeDocument/2006/relationships">
  <dimension ref="A1:T36"/>
  <sheetViews>
    <sheetView workbookViewId="0" rightToLeft="0"/>
  </sheetViews>
  <sheetData>
    <row r="1" ht="32.7" customHeight="1"/>
    <row r="2" ht="32.7" customHeight="1">
      <c r="P2" t="str">
        <v>Calendario de Fertilización Cada 14 Días o a Mano</v>
      </c>
    </row>
    <row r="3" ht="32.4" customHeight="1"/>
    <row r="5">
      <c r="P5" t="str">
        <f>Main!$E$21</f>
        <v>Lechuga</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Super 88</v>
      </c>
    </row>
    <row r="10" ht="19.95" customHeight="1">
      <c r="A10" t="str">
        <v>Zona</v>
      </c>
      <c r="C10" t="str">
        <f>'1 Por Sem'!C10</f>
        <v>Cantarranas</v>
      </c>
      <c r="F10" t="str">
        <v>Técnico</v>
      </c>
      <c r="I10" t="str">
        <f>'1 Por Sem'!J10</f>
        <v>Raca</v>
      </c>
    </row>
    <row r="11" ht="19.95" customHeight="1">
      <c r="A11" t="str">
        <v>Área Mz.</v>
      </c>
      <c r="C11">
        <f>'1 Por Sem'!C11</f>
        <v>1.43</v>
      </c>
      <c r="F11" t="str">
        <v>Fecha</v>
      </c>
      <c r="I11">
        <f>'1 Por Sem'!J11</f>
        <v>39814</v>
      </c>
    </row>
    <row r="12" ht="19.95" customHeight="1">
      <c r="A12" t="str">
        <v>Área Ha.</v>
      </c>
      <c r="C12">
        <f>Main!I22</f>
        <v>1.001</v>
      </c>
      <c r="F12" t="str">
        <v>Fecha  de Cosecha</v>
      </c>
      <c r="I12">
        <f>'1 Por Sem'!J12</f>
        <v>39874</v>
      </c>
    </row>
    <row r="14" ht="28.95" customHeight="1">
      <c r="A14" t="str">
        <v>Semana</v>
      </c>
      <c r="B14" t="str">
        <v>DDT</v>
      </c>
      <c r="C14" t="str">
        <v>FECHA</v>
      </c>
      <c r="E14" t="str">
        <f>Main!$D$42</f>
        <v>Nitrato de Amonio</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39815</v>
      </c>
      <c r="E16">
        <f>IF((SUM(ReDiarioFert!C7:C20)*$C$12)&lt;=0,"0",((SUM(ReDiarioFert!C7:C20)*$C$12)))</f>
        <v>38.858026877508586</v>
      </c>
      <c r="G16">
        <f>IF((SUM(ReDiarioFert!E7:E20)*$C$12)&lt;=0,"0",((SUM(ReDiarioFert!E7:E20)*$C$12)))</f>
        <v>14.266906228079243</v>
      </c>
      <c r="I16">
        <f>IF((SUM(ReDiarioFert!G7:G20)*$C$12)&lt;=0,"0",((SUM(ReDiarioFert!G7:G20)*$C$12)))</f>
        <v>78.55499278149738</v>
      </c>
      <c r="K16">
        <f>IF((SUM(ReDiarioFert!I7:I20)*$C$12)&lt;=0,"0",((SUM(ReDiarioFert!I7:I20)*$C$12)))</f>
        <v>50.417840429400016</v>
      </c>
      <c r="M16">
        <f>IF((SUM(ReDiarioFert!K7:K20)*$C$12)&lt;=0,"0",((SUM(ReDiarioFert!K7:K20)*$C$12)))</f>
        <v>103.92424041695665</v>
      </c>
      <c r="O16">
        <f>IF((SUM(ReDiarioFert!M7:M20)*$C$12)&lt;=0,"0",((SUM(ReDiarioFert!M7:M20)*$C$12)))</f>
        <v>427.70923317073175</v>
      </c>
      <c r="Q16">
        <f>$C$12*Main!$D$63</f>
        <v>20.019999999999996</v>
      </c>
      <c r="S16">
        <f>((E16/100)*$F$25+(G16/100)*$F$26+(I16/100)*$F$27+(K16/100)*$F$28+(M16/100)*$F$29+(O16)*$F$30+(Q16*$F$31))</f>
        <v>2963.193667347477</v>
      </c>
    </row>
    <row r="17">
      <c r="A17">
        <v>4</v>
      </c>
      <c r="B17">
        <v>15</v>
      </c>
      <c r="C17">
        <f>$I$11+B17</f>
        <v>39829</v>
      </c>
      <c r="E17">
        <f>IF((SUM(ReDiarioFert!C21:C34)*$C$12)&lt;=0,"0",((SUM(ReDiarioFert!C21:C34)*$C$12)))</f>
        <v>71.05896401690566</v>
      </c>
      <c r="G17">
        <f>IF((SUM(ReDiarioFert!E21:E34)*$C$12)&lt;=0,"0",((SUM(ReDiarioFert!E21:E34)*$C$12)))</f>
        <v>27.484775233505598</v>
      </c>
      <c r="I17">
        <f>IF((SUM(ReDiarioFert!G21:G34)*$C$12)&lt;=0,"0",((SUM(ReDiarioFert!G21:G34)*$C$12)))</f>
        <v>157.54171778779568</v>
      </c>
      <c r="K17">
        <f>IF((SUM(ReDiarioFert!I21:I34)*$C$12)&lt;=0,"0",((SUM(ReDiarioFert!I21:I34)*$C$12)))</f>
        <v>101.11277344893988</v>
      </c>
      <c r="M17">
        <f>IF((SUM(ReDiarioFert!K21:K34)*$C$12)&lt;=0,"0",((SUM(ReDiarioFert!K21:K34)*$C$12)))</f>
        <v>208.41964050101112</v>
      </c>
      <c r="O17">
        <f>IF((SUM(ReDiarioFert!M21:M34)*$C$12)&lt;=0,"0",((SUM(ReDiarioFert!M21:M34)*$C$12)))</f>
        <v>790.7621673170731</v>
      </c>
      <c r="Q17">
        <f>$C$12*Main!$D$63</f>
        <v>20.019999999999996</v>
      </c>
      <c r="S17">
        <f>((E17/100)*$F$25+(G17/100)*$F$26+(I17/100)*$F$27+(K17/100)*$F$28+(M17/100)*$F$29+(O17)*$F$30+(Q17*$F$31))</f>
        <v>5808.334465124506</v>
      </c>
    </row>
    <row r="18">
      <c r="A18">
        <v>6</v>
      </c>
      <c r="B18">
        <v>29</v>
      </c>
      <c r="C18">
        <f>$I$11+B18</f>
        <v>39843</v>
      </c>
      <c r="E18">
        <f>IF((SUM(ReDiarioFert!C35:C48)*$C$12)&lt;=0,"0",((SUM(ReDiarioFert!C35:C48)*$C$12)))</f>
        <v>103.43150897569586</v>
      </c>
      <c r="G18">
        <f>IF((SUM(ReDiarioFert!E35:E48)*$C$12)&lt;=0,"0",((SUM(ReDiarioFert!E35:E48)*$C$12)))</f>
        <v>41.96148890611542</v>
      </c>
      <c r="I18">
        <f>IF((SUM(ReDiarioFert!G35:G48)*$C$12)&lt;=0,"0",((SUM(ReDiarioFert!G35:G48)*$C$12)))</f>
        <v>248.78076680246912</v>
      </c>
      <c r="K18">
        <f>IF((SUM(ReDiarioFert!I35:I48)*$C$12)&lt;=0,"0",((SUM(ReDiarioFert!I35:I48)*$C$12)))</f>
        <v>159.67144236699627</v>
      </c>
      <c r="M18">
        <f>IF((SUM(ReDiarioFert!K35:K48)*$C$12)&lt;=0,"0",((SUM(ReDiarioFert!K35:K48)*$C$12)))</f>
        <v>329.12423901825224</v>
      </c>
      <c r="O18">
        <f>IF((SUM(ReDiarioFert!M35:M48)*$C$12)&lt;=0,"0",((SUM(ReDiarioFert!M35:M48)*$C$12)))</f>
        <v>1084.1943307317076</v>
      </c>
      <c r="Q18">
        <f>$C$12*Main!$D$63</f>
        <v>20.019999999999996</v>
      </c>
      <c r="S18">
        <f>((E18/100)*$F$25+(G18/100)*$F$26+(I18/100)*$F$27+(K18/100)*$F$28+(M18/100)*$F$29+(O18)*$F$30+(Q18*$F$31))</f>
        <v>9036.9143343261</v>
      </c>
    </row>
    <row r="19">
      <c r="A19">
        <v>8</v>
      </c>
      <c r="B19">
        <v>43</v>
      </c>
      <c r="C19">
        <f>$I$11+B19</f>
        <v>39857</v>
      </c>
      <c r="E19">
        <f>IF((SUM(ReDiarioFert!C49:C62)*$C$12)&lt;=0,"0",((SUM(ReDiarioFert!C49:C62)*$C$12)))</f>
        <v>101.43557819473511</v>
      </c>
      <c r="G19">
        <f>IF((SUM(ReDiarioFert!E49:E62)*$C$12)&lt;=0,"0",((SUM(ReDiarioFert!E49:E62)*$C$12)))</f>
        <v>58.32646957950041</v>
      </c>
      <c r="I19">
        <f>IF((SUM(ReDiarioFert!G49:G62)*$C$12)&lt;=0,"0",((SUM(ReDiarioFert!G49:G62)*$C$12)))</f>
        <v>414.9663190265184</v>
      </c>
      <c r="K19">
        <f>IF((SUM(ReDiarioFert!I49:I62)*$C$12)&lt;=0,"0",((SUM(ReDiarioFert!I49:I62)*$C$12)))</f>
        <v>266.33196586814984</v>
      </c>
      <c r="M19">
        <f>IF((SUM(ReDiarioFert!K49:K62)*$C$12)&lt;=0,"0",((SUM(ReDiarioFert!K49:K62)*$C$12)))</f>
        <v>548.979230682445</v>
      </c>
      <c r="O19">
        <f>IF((SUM(ReDiarioFert!M49:M62)*$C$12)&lt;=0,"0",((SUM(ReDiarioFert!M49:M62)*$C$12)))</f>
        <v>1452.2239439024388</v>
      </c>
      <c r="Q19">
        <f>$C$12*Main!$D$63</f>
        <v>20.019999999999996</v>
      </c>
      <c r="S19">
        <f>((E19/100)*$F$25+(G19/100)*$F$26+(I19/100)*$F$27+(K19/100)*$F$28+(M19/100)*$F$29+(O19)*$F$30+(Q19*$F$31))</f>
        <v>14242.83898168881</v>
      </c>
    </row>
    <row r="20">
      <c r="A20">
        <v>10</v>
      </c>
      <c r="B20">
        <v>57</v>
      </c>
      <c r="C20">
        <f>$I$11+B20</f>
        <v>39871</v>
      </c>
      <c r="E20">
        <f>IF((SUM(ReDiarioFert!C63:C76)*$C$12)&lt;=0,"0",((SUM(ReDiarioFert!C63:C76)*$C$12)))</f>
        <v>112.38186361143312</v>
      </c>
      <c r="G20">
        <f>IF((SUM(ReDiarioFert!E63:E76)*$C$12)&lt;=0,"0",((SUM(ReDiarioFert!E63:E76)*$C$12)))</f>
        <v>64.62069291541773</v>
      </c>
      <c r="I20">
        <f>IF((SUM(ReDiarioFert!G63:G76)*$C$12)&lt;=0,"0",((SUM(ReDiarioFert!G63:G76)*$C$12)))</f>
        <v>459.74685705096283</v>
      </c>
      <c r="K20">
        <f>IF((SUM(ReDiarioFert!I63:I76)*$C$12)&lt;=0,"0",((SUM(ReDiarioFert!I63:I76)*$C$12)))</f>
        <v>295.0728254942092</v>
      </c>
      <c r="M20">
        <f>IF((SUM(ReDiarioFert!K63:K76)*$C$12)&lt;=0,"0",((SUM(ReDiarioFert!K63:K76)*$C$12)))</f>
        <v>608.2215937057304</v>
      </c>
      <c r="O20">
        <f>IF((SUM(ReDiarioFert!M63:M76)*$C$12)&lt;=0,"0",((SUM(ReDiarioFert!M63:M76)*$C$12)))</f>
        <v>1840.148554146341</v>
      </c>
      <c r="Q20">
        <f>$C$12*Main!$D$63</f>
        <v>20.019999999999996</v>
      </c>
      <c r="S20">
        <f>((E20/100)*$F$25+(G20/100)*$F$26+(I20/100)*$F$27+(K20/100)*$F$28+(M20/100)*$F$29+(O20)*$F$30+(Q20*$F$31))</f>
        <v>15783.035177314327</v>
      </c>
    </row>
    <row r="21">
      <c r="C21" t="str">
        <v>Total</v>
      </c>
      <c r="E21">
        <f>SUM(E16:E20)</f>
        <v>427.16594167627835</v>
      </c>
      <c r="G21">
        <f>SUM(G16:G20)</f>
        <v>206.66033286261842</v>
      </c>
      <c r="I21">
        <f>SUM(I16:I20)</f>
        <v>1359.5906534492433</v>
      </c>
      <c r="K21">
        <f>SUM(K16:K20)</f>
        <v>872.6068476076953</v>
      </c>
      <c r="M21">
        <f>SUM(M16:M20)</f>
        <v>1798.6689443243954</v>
      </c>
      <c r="O21">
        <f>SUM(O16:O20)</f>
        <v>5595.0382292682925</v>
      </c>
      <c r="Q21">
        <f>SUM(Q16:Q20)</f>
        <v>100.09999999999998</v>
      </c>
      <c r="S21">
        <f>SUM(S16:S20)</f>
        <v>47834.31662580122</v>
      </c>
    </row>
    <row r="22">
      <c r="D22" t="str">
        <v>OJO cualquier cultivo que no se termine la cosecha en el ultimo día del calendario solo seguir repitiendo la ultima aplicación de fertilizante.</v>
      </c>
    </row>
    <row r="23" ht="33.75" customHeight="1">
      <c r="B23" t="str">
        <v>Producto</v>
      </c>
      <c r="E23" t="str">
        <v>Lbs/Ha</v>
      </c>
      <c r="F23" t="str">
        <v>Costo por qq</v>
      </c>
    </row>
    <row r="24" ht="24" customHeight="1">
      <c r="F24" t="str">
        <f>Main!$E$25</f>
        <v>Lempiras</v>
      </c>
    </row>
    <row r="25">
      <c r="B25" t="str">
        <f>Main!D42</f>
        <v>Nitrato de Amonio</v>
      </c>
      <c r="E25">
        <f>E21/$C$12</f>
        <v>426.7392024738046</v>
      </c>
      <c r="F25">
        <f>Main!D43</f>
        <v>620</v>
      </c>
    </row>
    <row r="26">
      <c r="B26" t="str">
        <f>Main!D32</f>
        <v>MAP 12-61-0</v>
      </c>
      <c r="E26">
        <f>G21/$C$12</f>
        <v>206.4538789836348</v>
      </c>
      <c r="F26">
        <f>Main!D33</f>
        <v>2900</v>
      </c>
    </row>
    <row r="27">
      <c r="B27" t="str">
        <f>Main!D37</f>
        <v>Kcl Soluble</v>
      </c>
      <c r="E27">
        <f>I21/$C$12</f>
        <v>1358.2324210282152</v>
      </c>
      <c r="F27">
        <f>Main!D38</f>
        <v>780</v>
      </c>
    </row>
    <row r="28">
      <c r="B28" t="str">
        <f>Main!D47</f>
        <v>Sulfato de Magnesio</v>
      </c>
      <c r="E28">
        <f>K21/$C$12</f>
        <v>871.7351124952002</v>
      </c>
      <c r="F28">
        <f>Main!D48</f>
        <v>951</v>
      </c>
    </row>
    <row r="29">
      <c r="B29" t="str">
        <f>Main!D52</f>
        <v>Nitrato de Calcio</v>
      </c>
      <c r="E29">
        <f>M21/$C$12</f>
        <v>1796.8720722521434</v>
      </c>
      <c r="F29">
        <f>Main!D53</f>
        <v>1100</v>
      </c>
    </row>
    <row r="30">
      <c r="B30" t="str">
        <f>Main!D57</f>
        <v>Solubor</v>
      </c>
      <c r="E30">
        <f>O21/$C$12</f>
        <v>5589.448780487805</v>
      </c>
      <c r="F30">
        <f>Main!D58</f>
        <v>0.04</v>
      </c>
      <c r="I30" t="str">
        <v xml:space="preserve">Preparado y Autorizado Por </v>
      </c>
    </row>
    <row r="31">
      <c r="B31" t="str">
        <f>Main!D61</f>
        <v>Melaza</v>
      </c>
      <c r="E31">
        <f>Q21/$C$12</f>
        <v>99.99999999999999</v>
      </c>
      <c r="F31">
        <f>Main!D62</f>
        <v>2.8</v>
      </c>
      <c r="I31" t="str">
        <v>MSc Ricardo D. Lardizábal</v>
      </c>
    </row>
    <row r="32">
      <c r="B32" t="str">
        <v>NOTA: El Nitrato de Calcio se debe de diluir en un barril aparte para inyectarse al sistema</v>
      </c>
    </row>
    <row r="33" ht="18.6" customHeight="1"/>
    <row r="35">
      <c r="B35" t="str">
        <v>Abreviaciones usadas</v>
      </c>
    </row>
    <row r="36">
      <c r="B36" t="str">
        <v>Mz.-Manzanas, Ha-Hectáreas, Lbs-Libras, Lts-Litros y DDT-Días después de Trasplante</v>
      </c>
    </row>
  </sheetData>
  <sheetProtection sheet="1"/>
  <mergeCells count="52">
    <mergeCell ref="I9:M9"/>
    <mergeCell ref="I10:M10"/>
    <mergeCell ref="B14:B15"/>
    <mergeCell ref="F23:G23"/>
    <mergeCell ref="P5:S7"/>
    <mergeCell ref="P2:S3"/>
    <mergeCell ref="A8:M8"/>
    <mergeCell ref="P9:S12"/>
    <mergeCell ref="A7:K7"/>
    <mergeCell ref="A9:B9"/>
    <mergeCell ref="C9:E9"/>
    <mergeCell ref="F9:H9"/>
    <mergeCell ref="B36:Q36"/>
    <mergeCell ref="B35:C35"/>
    <mergeCell ref="B32:I33"/>
    <mergeCell ref="F24:G24"/>
    <mergeCell ref="F25:G25"/>
    <mergeCell ref="B25:D25"/>
    <mergeCell ref="B29:D29"/>
    <mergeCell ref="B30:D30"/>
    <mergeCell ref="B31:D31"/>
    <mergeCell ref="F28:G28"/>
    <mergeCell ref="S14:S15"/>
    <mergeCell ref="Q14:R14"/>
    <mergeCell ref="O14:P14"/>
    <mergeCell ref="G14:H14"/>
    <mergeCell ref="F29:G29"/>
    <mergeCell ref="F30:G30"/>
    <mergeCell ref="F31:G31"/>
    <mergeCell ref="F26:G26"/>
    <mergeCell ref="I11:M11"/>
    <mergeCell ref="I12:M12"/>
    <mergeCell ref="I14:J14"/>
    <mergeCell ref="K14:L14"/>
    <mergeCell ref="M14:N14"/>
    <mergeCell ref="F11:H11"/>
    <mergeCell ref="F27:G27"/>
    <mergeCell ref="C12:E12"/>
    <mergeCell ref="B23:D23"/>
    <mergeCell ref="B26:D26"/>
    <mergeCell ref="B27:D27"/>
    <mergeCell ref="B28:D28"/>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36"/>
  </ignoredErrors>
  <legacyDrawing r:id="rId1"/>
</worksheet>
</file>

<file path=xl/worksheets/sheet9.xml><?xml version="1.0" encoding="utf-8"?>
<worksheet xmlns="http://schemas.openxmlformats.org/spreadsheetml/2006/main" xmlns:r="http://schemas.openxmlformats.org/officeDocument/2006/relationships">
  <dimension ref="A1:Q78"/>
  <sheetViews>
    <sheetView workbookViewId="0" rightToLeft="0"/>
  </sheetViews>
  <sheetData>
    <row r="1">
      <c r="A1" t="str">
        <v>Requerimientos Diario para:</v>
      </c>
      <c r="E1" t="str">
        <f>Main!E21</f>
        <v>Lechuga</v>
      </c>
    </row>
    <row r="4" ht="30" customHeight="1">
      <c r="A4" t="str">
        <v>Semana</v>
      </c>
      <c r="B4" t="str">
        <v>N</v>
      </c>
      <c r="C4" t="str">
        <f>Main!D42</f>
        <v>Nitrato de Amonio</v>
      </c>
      <c r="D4" t="str">
        <v>P2O5</v>
      </c>
      <c r="E4" t="str">
        <f>Main!D32</f>
        <v>MAP 12-61-0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61</v>
      </c>
      <c r="G5">
        <f>Main!G36</f>
        <v>60</v>
      </c>
      <c r="I5">
        <f>Main!I46</f>
        <v>16</v>
      </c>
      <c r="K5">
        <f>Main!H51</f>
        <v>27</v>
      </c>
      <c r="M5">
        <f>Main!K56</f>
        <v>20.5</v>
      </c>
    </row>
    <row r="6">
      <c r="C6">
        <f>Main!E41/100</f>
        <v>0.335</v>
      </c>
      <c r="E6">
        <f>(Main!F31/100)/Main!F72</f>
        <v>0.61</v>
      </c>
      <c r="G6">
        <f>(Main!G36/100)/Main!F73</f>
        <v>0.6</v>
      </c>
      <c r="I6">
        <f>(I5/100)/Main!F74</f>
        <v>0.16</v>
      </c>
      <c r="K6">
        <f>(K5/100)/Main!F75</f>
        <v>0.27</v>
      </c>
      <c r="M6">
        <f>M5/100</f>
        <v>0.205</v>
      </c>
    </row>
    <row r="7">
      <c r="A7">
        <v>1</v>
      </c>
      <c r="B7">
        <f>'Req. Diario'!D6</f>
        <v>1.812171652815606</v>
      </c>
      <c r="C7">
        <f>(B7-((E7*(Main!$E$31/100))+(G7*(Main!$E$36/100))+(I7*(Main!$E$46/100))+(K7*(Main!$E$51/100))))/$C$6</f>
        <v>2.283482804108162</v>
      </c>
      <c r="D7">
        <f>'Req. Diario'!E6</f>
        <v>0.5114187459086994</v>
      </c>
      <c r="E7">
        <f>(D7-((C7*(Main!$F$41/100))+(G7*(Main!$F$36/100))+(I7*(Main!$F$46/100))+(K7*(Main!$F$51/100))))/$E$6</f>
        <v>0.8383913867355728</v>
      </c>
      <c r="F7">
        <f>'Req. Diario'!F6</f>
        <v>2.7697593975964283</v>
      </c>
      <c r="G7">
        <f>(F7-((C7*(Main!$G$41/100))+(E7*(Main!$G$31/100))+(I7*(Main!$G$46/100))+(K7*(Main!$G$51/100))))/$G$6</f>
        <v>4.616265662660714</v>
      </c>
      <c r="H7">
        <f>'Req. Diario'!G6</f>
        <v>0.4740468042959396</v>
      </c>
      <c r="I7">
        <f>H7/$I$6</f>
        <v>2.9627925268496225</v>
      </c>
      <c r="J7">
        <f>'Req. Diario'!H6</f>
        <v>1.648912552892889</v>
      </c>
      <c r="K7">
        <f>J7/$K$6</f>
        <v>6.107083529232922</v>
      </c>
      <c r="L7">
        <f>'Req. Diario'!I6</f>
        <v>5.0926</v>
      </c>
      <c r="M7">
        <f>L7/$M$6</f>
        <v>24.841951219512197</v>
      </c>
    </row>
    <row r="8">
      <c r="B8">
        <f>'Req. Diario'!D7</f>
        <v>1.812171652815606</v>
      </c>
      <c r="C8">
        <f>(B8-((E8*(Main!$E$31/100))+(G8*(Main!$E$36/100))+(I8*(Main!$E$46/100))+(K8*(Main!$E$51/100))))/$C$6</f>
        <v>2.283482804108162</v>
      </c>
      <c r="D8">
        <f>'Req. Diario'!E7</f>
        <v>0.5114187459086994</v>
      </c>
      <c r="E8">
        <f>(D8-((C8*(Main!$F$41/100))+(G8*(Main!$F$36/100))+(I8*(Main!$F$46/100))+(K8*(Main!$F$51/100))))/$E$6</f>
        <v>0.8383913867355728</v>
      </c>
      <c r="F8">
        <f>'Req. Diario'!F7</f>
        <v>2.7697593975964283</v>
      </c>
      <c r="G8">
        <f>(F8-((C8*(Main!$G$41/100))+(E8*(Main!$G$31/100))+(I8*(Main!$G$46/100))+(K8*(Main!$G$51/100))))/$G$6</f>
        <v>4.616265662660714</v>
      </c>
      <c r="H8">
        <f>'Req. Diario'!G7</f>
        <v>0.4740468042959396</v>
      </c>
      <c r="I8">
        <f>H8/$I$6</f>
        <v>2.9627925268496225</v>
      </c>
      <c r="J8">
        <f>'Req. Diario'!H7</f>
        <v>1.648912552892889</v>
      </c>
      <c r="K8">
        <f>J8/$K$6</f>
        <v>6.107083529232922</v>
      </c>
      <c r="L8">
        <f>'Req. Diario'!I7</f>
        <v>5.0926</v>
      </c>
      <c r="M8">
        <f>L8/$M$6</f>
        <v>24.841951219512197</v>
      </c>
    </row>
    <row r="9">
      <c r="B9">
        <f>'Req. Diario'!D8</f>
        <v>1.812171652815606</v>
      </c>
      <c r="C9">
        <f>(B9-((E9*(Main!$E$31/100))+(G9*(Main!$E$36/100))+(I9*(Main!$E$46/100))+(K9*(Main!$E$51/100))))/$C$6</f>
        <v>2.283482804108162</v>
      </c>
      <c r="D9">
        <f>'Req. Diario'!E8</f>
        <v>0.5114187459086994</v>
      </c>
      <c r="E9">
        <f>(D9-((C9*(Main!$F$41/100))+(G9*(Main!$F$36/100))+(I9*(Main!$F$46/100))+(K9*(Main!$F$51/100))))/$E$6</f>
        <v>0.8383913867355728</v>
      </c>
      <c r="F9">
        <f>'Req. Diario'!F8</f>
        <v>2.7697593975964283</v>
      </c>
      <c r="G9">
        <f>(F9-((C9*(Main!$G$41/100))+(E9*(Main!$G$31/100))+(I9*(Main!$G$46/100))+(K9*(Main!$G$51/100))))/$G$6</f>
        <v>4.616265662660714</v>
      </c>
      <c r="H9">
        <f>'Req. Diario'!G8</f>
        <v>0.4740468042959396</v>
      </c>
      <c r="I9">
        <f>H9/$I$6</f>
        <v>2.9627925268496225</v>
      </c>
      <c r="J9">
        <f>'Req. Diario'!H8</f>
        <v>1.648912552892889</v>
      </c>
      <c r="K9">
        <f>J9/$K$6</f>
        <v>6.107083529232922</v>
      </c>
      <c r="L9">
        <f>'Req. Diario'!I8</f>
        <v>5.0926</v>
      </c>
      <c r="M9">
        <f>L9/$M$6</f>
        <v>24.841951219512197</v>
      </c>
    </row>
    <row r="10">
      <c r="B10">
        <f>'Req. Diario'!D9</f>
        <v>1.812171652815606</v>
      </c>
      <c r="C10">
        <f>(B10-((E10*(Main!$E$31/100))+(G10*(Main!$E$36/100))+(I10*(Main!$E$46/100))+(K10*(Main!$E$51/100))))/$C$6</f>
        <v>2.283482804108162</v>
      </c>
      <c r="D10">
        <f>'Req. Diario'!E9</f>
        <v>0.5114187459086994</v>
      </c>
      <c r="E10">
        <f>(D10-((C10*(Main!$F$41/100))+(G10*(Main!$F$36/100))+(I10*(Main!$F$46/100))+(K10*(Main!$F$51/100))))/$E$6</f>
        <v>0.8383913867355728</v>
      </c>
      <c r="F10">
        <f>'Req. Diario'!F9</f>
        <v>2.7697593975964283</v>
      </c>
      <c r="G10">
        <f>(F10-((C10*(Main!$G$41/100))+(E10*(Main!$G$31/100))+(I10*(Main!$G$46/100))+(K10*(Main!$G$51/100))))/$G$6</f>
        <v>4.616265662660714</v>
      </c>
      <c r="H10">
        <f>'Req. Diario'!G9</f>
        <v>0.4740468042959396</v>
      </c>
      <c r="I10">
        <f>H10/$I$6</f>
        <v>2.9627925268496225</v>
      </c>
      <c r="J10">
        <f>'Req. Diario'!H9</f>
        <v>1.648912552892889</v>
      </c>
      <c r="K10">
        <f>J10/$K$6</f>
        <v>6.107083529232922</v>
      </c>
      <c r="L10">
        <f>'Req. Diario'!I9</f>
        <v>5.0926</v>
      </c>
      <c r="M10">
        <f>L10/$M$6</f>
        <v>24.841951219512197</v>
      </c>
    </row>
    <row r="11">
      <c r="B11">
        <f>'Req. Diario'!D10</f>
        <v>1.812171652815606</v>
      </c>
      <c r="C11">
        <f>(B11-((E11*(Main!$E$31/100))+(G11*(Main!$E$36/100))+(I11*(Main!$E$46/100))+(K11*(Main!$E$51/100))))/$C$6</f>
        <v>2.283482804108162</v>
      </c>
      <c r="D11">
        <f>'Req. Diario'!E10</f>
        <v>0.5114187459086994</v>
      </c>
      <c r="E11">
        <f>(D11-((C11*(Main!$F$41/100))+(G11*(Main!$F$36/100))+(I11*(Main!$F$46/100))+(K11*(Main!$F$51/100))))/$E$6</f>
        <v>0.8383913867355728</v>
      </c>
      <c r="F11">
        <f>'Req. Diario'!F10</f>
        <v>2.7697593975964283</v>
      </c>
      <c r="G11">
        <f>(F11-((C11*(Main!$G$41/100))+(E11*(Main!$G$31/100))+(I11*(Main!$G$46/100))+(K11*(Main!$G$51/100))))/$G$6</f>
        <v>4.616265662660714</v>
      </c>
      <c r="H11">
        <f>'Req. Diario'!G10</f>
        <v>0.4740468042959396</v>
      </c>
      <c r="I11">
        <f>H11/$I$6</f>
        <v>2.9627925268496225</v>
      </c>
      <c r="J11">
        <f>'Req. Diario'!H10</f>
        <v>1.648912552892889</v>
      </c>
      <c r="K11">
        <f>J11/$K$6</f>
        <v>6.107083529232922</v>
      </c>
      <c r="L11">
        <f>'Req. Diario'!I10</f>
        <v>5.0926</v>
      </c>
      <c r="M11">
        <f>L11/$M$6</f>
        <v>24.841951219512197</v>
      </c>
    </row>
    <row r="12">
      <c r="B12">
        <f>'Req. Diario'!D11</f>
        <v>1.812171652815606</v>
      </c>
      <c r="C12">
        <f>(B12-((E12*(Main!$E$31/100))+(G12*(Main!$E$36/100))+(I12*(Main!$E$46/100))+(K12*(Main!$E$51/100))))/$C$6</f>
        <v>2.283482804108162</v>
      </c>
      <c r="D12">
        <f>'Req. Diario'!E11</f>
        <v>0.5114187459086994</v>
      </c>
      <c r="E12">
        <f>(D12-((C12*(Main!$F$41/100))+(G12*(Main!$F$36/100))+(I12*(Main!$F$46/100))+(K12*(Main!$F$51/100))))/$E$6</f>
        <v>0.8383913867355728</v>
      </c>
      <c r="F12">
        <f>'Req. Diario'!F11</f>
        <v>2.7697593975964283</v>
      </c>
      <c r="G12">
        <f>(F12-((C12*(Main!$G$41/100))+(E12*(Main!$G$31/100))+(I12*(Main!$G$46/100))+(K12*(Main!$G$51/100))))/$G$6</f>
        <v>4.616265662660714</v>
      </c>
      <c r="H12">
        <f>'Req. Diario'!G11</f>
        <v>0.4740468042959396</v>
      </c>
      <c r="I12">
        <f>H12/$I$6</f>
        <v>2.9627925268496225</v>
      </c>
      <c r="J12">
        <f>'Req. Diario'!H11</f>
        <v>1.648912552892889</v>
      </c>
      <c r="K12">
        <f>J12/$K$6</f>
        <v>6.107083529232922</v>
      </c>
      <c r="L12">
        <f>'Req. Diario'!I11</f>
        <v>5.0926</v>
      </c>
      <c r="M12">
        <f>L12/$M$6</f>
        <v>24.841951219512197</v>
      </c>
    </row>
    <row r="13">
      <c r="B13">
        <f>'Req. Diario'!D12</f>
        <v>1.812171652815606</v>
      </c>
      <c r="C13">
        <f>(B13-((E13*(Main!$E$31/100))+(G13*(Main!$E$36/100))+(I13*(Main!$E$46/100))+(K13*(Main!$E$51/100))))/$C$6</f>
        <v>2.283482804108162</v>
      </c>
      <c r="D13">
        <f>'Req. Diario'!E12</f>
        <v>0.5114187459086994</v>
      </c>
      <c r="E13">
        <f>(D13-((C13*(Main!$F$41/100))+(G13*(Main!$F$36/100))+(I13*(Main!$F$46/100))+(K13*(Main!$F$51/100))))/$E$6</f>
        <v>0.8383913867355728</v>
      </c>
      <c r="F13">
        <f>'Req. Diario'!F12</f>
        <v>2.7697593975964283</v>
      </c>
      <c r="G13">
        <f>(F13-((C13*(Main!$G$41/100))+(E13*(Main!$G$31/100))+(I13*(Main!$G$46/100))+(K13*(Main!$G$51/100))))/$G$6</f>
        <v>4.616265662660714</v>
      </c>
      <c r="H13">
        <f>'Req. Diario'!G12</f>
        <v>0.4740468042959396</v>
      </c>
      <c r="I13">
        <f>H13/$I$6</f>
        <v>2.9627925268496225</v>
      </c>
      <c r="J13">
        <f>'Req. Diario'!H12</f>
        <v>1.648912552892889</v>
      </c>
      <c r="K13">
        <f>J13/$K$6</f>
        <v>6.107083529232922</v>
      </c>
      <c r="L13">
        <f>'Req. Diario'!I12</f>
        <v>5.0926</v>
      </c>
      <c r="M13">
        <f>L13/$M$6</f>
        <v>24.841951219512197</v>
      </c>
    </row>
    <row r="14">
      <c r="A14">
        <v>2</v>
      </c>
      <c r="B14">
        <f>'Req. Diario'!D13</f>
        <v>1.812171652815606</v>
      </c>
      <c r="C14">
        <f>(B14-((E14*(Main!$E$31/100))+(G14*(Main!$E$36/100))+(I14*(Main!$E$46/100))+(K14*(Main!$E$51/100))))/$C$6</f>
        <v>2.283482804108162</v>
      </c>
      <c r="D14">
        <f>'Req. Diario'!E13</f>
        <v>0.5114187459086994</v>
      </c>
      <c r="E14">
        <f>(D14-((C14*(Main!$F$41/100))+(G14*(Main!$F$36/100))+(I14*(Main!$F$46/100))+(K14*(Main!$F$51/100))))/$E$6</f>
        <v>0.8383913867355728</v>
      </c>
      <c r="F14">
        <f>'Req. Diario'!F13</f>
        <v>2.7697593975964283</v>
      </c>
      <c r="G14">
        <f>(F14-((C14*(Main!$G$41/100))+(E14*(Main!$G$31/100))+(I14*(Main!$G$46/100))+(K14*(Main!$G$51/100))))/$G$6</f>
        <v>4.616265662660714</v>
      </c>
      <c r="H14">
        <f>'Req. Diario'!G13</f>
        <v>0.4740468042959396</v>
      </c>
      <c r="I14">
        <f>H14/$I$6</f>
        <v>2.9627925268496225</v>
      </c>
      <c r="J14">
        <f>'Req. Diario'!H13</f>
        <v>1.648912552892889</v>
      </c>
      <c r="K14">
        <f>J14/$K$6</f>
        <v>6.107083529232922</v>
      </c>
      <c r="L14">
        <f>'Req. Diario'!I13</f>
        <v>5.0926</v>
      </c>
      <c r="M14">
        <f>L14/$M$6</f>
        <v>24.841951219512197</v>
      </c>
    </row>
    <row r="15">
      <c r="B15">
        <f>'Req. Diario'!D14</f>
        <v>1.812171652815606</v>
      </c>
      <c r="C15">
        <f>(B15-((E15*(Main!$E$31/100))+(G15*(Main!$E$36/100))+(I15*(Main!$E$46/100))+(K15*(Main!$E$51/100))))/$C$6</f>
        <v>2.283482804108162</v>
      </c>
      <c r="D15">
        <f>'Req. Diario'!E14</f>
        <v>0.5114187459086994</v>
      </c>
      <c r="E15">
        <f>(D15-((C15*(Main!$F$41/100))+(G15*(Main!$F$36/100))+(I15*(Main!$F$46/100))+(K15*(Main!$F$51/100))))/$E$6</f>
        <v>0.8383913867355728</v>
      </c>
      <c r="F15">
        <f>'Req. Diario'!F14</f>
        <v>2.7697593975964283</v>
      </c>
      <c r="G15">
        <f>(F15-((C15*(Main!$G$41/100))+(E15*(Main!$G$31/100))+(I15*(Main!$G$46/100))+(K15*(Main!$G$51/100))))/$G$6</f>
        <v>4.616265662660714</v>
      </c>
      <c r="H15">
        <f>'Req. Diario'!G14</f>
        <v>0.4740468042959396</v>
      </c>
      <c r="I15">
        <f>H15/$I$6</f>
        <v>2.9627925268496225</v>
      </c>
      <c r="J15">
        <f>'Req. Diario'!H14</f>
        <v>1.648912552892889</v>
      </c>
      <c r="K15">
        <f>J15/$K$6</f>
        <v>6.107083529232922</v>
      </c>
      <c r="L15">
        <f>'Req. Diario'!I14</f>
        <v>5.0926</v>
      </c>
      <c r="M15">
        <f>L15/$M$6</f>
        <v>24.841951219512197</v>
      </c>
    </row>
    <row r="16">
      <c r="B16">
        <f>'Req. Diario'!D15</f>
        <v>1.812171652815606</v>
      </c>
      <c r="C16">
        <f>(B16-((E16*(Main!$E$31/100))+(G16*(Main!$E$36/100))+(I16*(Main!$E$46/100))+(K16*(Main!$E$51/100))))/$C$6</f>
        <v>2.283482804108162</v>
      </c>
      <c r="D16">
        <f>'Req. Diario'!E15</f>
        <v>0.5114187459086994</v>
      </c>
      <c r="E16">
        <f>(D16-((C16*(Main!$F$41/100))+(G16*(Main!$F$36/100))+(I16*(Main!$F$46/100))+(K16*(Main!$F$51/100))))/$E$6</f>
        <v>0.8383913867355728</v>
      </c>
      <c r="F16">
        <f>'Req. Diario'!F15</f>
        <v>2.7697593975964283</v>
      </c>
      <c r="G16">
        <f>(F16-((C16*(Main!$G$41/100))+(E16*(Main!$G$31/100))+(I16*(Main!$G$46/100))+(K16*(Main!$G$51/100))))/$G$6</f>
        <v>4.616265662660714</v>
      </c>
      <c r="H16">
        <f>'Req. Diario'!G15</f>
        <v>0.4740468042959396</v>
      </c>
      <c r="I16">
        <f>H16/$I$6</f>
        <v>2.9627925268496225</v>
      </c>
      <c r="J16">
        <f>'Req. Diario'!H15</f>
        <v>1.648912552892889</v>
      </c>
      <c r="K16">
        <f>J16/$K$6</f>
        <v>6.107083529232922</v>
      </c>
      <c r="L16">
        <f>'Req. Diario'!I15</f>
        <v>5.0926</v>
      </c>
      <c r="M16">
        <f>L16/$M$6</f>
        <v>24.841951219512197</v>
      </c>
    </row>
    <row r="17">
      <c r="B17">
        <f>'Req. Diario'!D16</f>
        <v>3.1713003924273107</v>
      </c>
      <c r="C17">
        <f>(B17-((E17*(Main!$E$31/100))+(G17*(Main!$E$36/100))+(I17*(Main!$E$46/100))+(K17*(Main!$E$51/100))))/$C$6</f>
        <v>3.996094907189284</v>
      </c>
      <c r="D17">
        <f>'Req. Diario'!E16</f>
        <v>0.8949828053402238</v>
      </c>
      <c r="E17">
        <f>(D17-((C17*(Main!$F$41/100))+(G17*(Main!$F$36/100))+(I17*(Main!$F$46/100))+(K17*(Main!$F$51/100))))/$E$6</f>
        <v>1.467184926787252</v>
      </c>
      <c r="F17">
        <f>'Req. Diario'!F16</f>
        <v>4.84707894579375</v>
      </c>
      <c r="G17">
        <f>(F17-((C17*(Main!$G$41/100))+(E17*(Main!$G$31/100))+(I17*(Main!$G$46/100))+(K17*(Main!$G$51/100))))/$G$6</f>
        <v>8.07846490965625</v>
      </c>
      <c r="H17">
        <f>'Req. Diario'!G16</f>
        <v>0.8295819075178944</v>
      </c>
      <c r="I17">
        <f>H17/$I$6</f>
        <v>5.18488692198684</v>
      </c>
      <c r="J17">
        <f>'Req. Diario'!H16</f>
        <v>2.885596967562556</v>
      </c>
      <c r="K17">
        <f>J17/$K$6</f>
        <v>10.687396176157614</v>
      </c>
      <c r="L17">
        <f>'Req. Diario'!I16</f>
        <v>9.1667</v>
      </c>
      <c r="M17">
        <f>L17/$M$6</f>
        <v>44.715609756097564</v>
      </c>
    </row>
    <row r="18">
      <c r="B18">
        <f>'Req. Diario'!D17</f>
        <v>3.1713003924273107</v>
      </c>
      <c r="C18">
        <f>(B18-((E18*(Main!$E$31/100))+(G18*(Main!$E$36/100))+(I18*(Main!$E$46/100))+(K18*(Main!$E$51/100))))/$C$6</f>
        <v>3.996094907189284</v>
      </c>
      <c r="D18">
        <f>'Req. Diario'!E17</f>
        <v>0.8949828053402238</v>
      </c>
      <c r="E18">
        <f>(D18-((C18*(Main!$F$41/100))+(G18*(Main!$F$36/100))+(I18*(Main!$F$46/100))+(K18*(Main!$F$51/100))))/$E$6</f>
        <v>1.467184926787252</v>
      </c>
      <c r="F18">
        <f>'Req. Diario'!F17</f>
        <v>4.84707894579375</v>
      </c>
      <c r="G18">
        <f>(F18-((C18*(Main!$G$41/100))+(E18*(Main!$G$31/100))+(I18*(Main!$G$46/100))+(K18*(Main!$G$51/100))))/$G$6</f>
        <v>8.07846490965625</v>
      </c>
      <c r="H18">
        <f>'Req. Diario'!G17</f>
        <v>0.8295819075178944</v>
      </c>
      <c r="I18">
        <f>H18/$I$6</f>
        <v>5.18488692198684</v>
      </c>
      <c r="J18">
        <f>'Req. Diario'!H17</f>
        <v>2.885596967562556</v>
      </c>
      <c r="K18">
        <f>J18/$K$6</f>
        <v>10.687396176157614</v>
      </c>
      <c r="L18">
        <f>'Req. Diario'!I17</f>
        <v>9.1667</v>
      </c>
      <c r="M18">
        <f>L18/$M$6</f>
        <v>44.715609756097564</v>
      </c>
    </row>
    <row r="19">
      <c r="B19">
        <f>'Req. Diario'!D18</f>
        <v>3.1713003924273107</v>
      </c>
      <c r="C19">
        <f>(B19-((E19*(Main!$E$31/100))+(G19*(Main!$E$36/100))+(I19*(Main!$E$46/100))+(K19*(Main!$E$51/100))))/$C$6</f>
        <v>3.996094907189284</v>
      </c>
      <c r="D19">
        <f>'Req. Diario'!E18</f>
        <v>0.8949828053402238</v>
      </c>
      <c r="E19">
        <f>(D19-((C19*(Main!$F$41/100))+(G19*(Main!$F$36/100))+(I19*(Main!$F$46/100))+(K19*(Main!$F$51/100))))/$E$6</f>
        <v>1.467184926787252</v>
      </c>
      <c r="F19">
        <f>'Req. Diario'!F18</f>
        <v>4.84707894579375</v>
      </c>
      <c r="G19">
        <f>(F19-((C19*(Main!$G$41/100))+(E19*(Main!$G$31/100))+(I19*(Main!$G$46/100))+(K19*(Main!$G$51/100))))/$G$6</f>
        <v>8.07846490965625</v>
      </c>
      <c r="H19">
        <f>'Req. Diario'!G18</f>
        <v>0.8295819075178944</v>
      </c>
      <c r="I19">
        <f>H19/$I$6</f>
        <v>5.18488692198684</v>
      </c>
      <c r="J19">
        <f>'Req. Diario'!H18</f>
        <v>2.885596967562556</v>
      </c>
      <c r="K19">
        <f>J19/$K$6</f>
        <v>10.687396176157614</v>
      </c>
      <c r="L19">
        <f>'Req. Diario'!I18</f>
        <v>9.1667</v>
      </c>
      <c r="M19">
        <f>L19/$M$6</f>
        <v>44.715609756097564</v>
      </c>
    </row>
    <row r="20">
      <c r="B20">
        <f>'Req. Diario'!D19</f>
        <v>3.1713003924273107</v>
      </c>
      <c r="C20">
        <f>(B20-((E20*(Main!$E$31/100))+(G20*(Main!$E$36/100))+(I20*(Main!$E$46/100))+(K20*(Main!$E$51/100))))/$C$6</f>
        <v>3.996094907189284</v>
      </c>
      <c r="D20">
        <f>'Req. Diario'!E19</f>
        <v>0.8949828053402238</v>
      </c>
      <c r="E20">
        <f>(D20-((C20*(Main!$F$41/100))+(G20*(Main!$F$36/100))+(I20*(Main!$F$46/100))+(K20*(Main!$F$51/100))))/$E$6</f>
        <v>1.467184926787252</v>
      </c>
      <c r="F20">
        <f>'Req. Diario'!F19</f>
        <v>4.84707894579375</v>
      </c>
      <c r="G20">
        <f>(F20-((C20*(Main!$G$41/100))+(E20*(Main!$G$31/100))+(I20*(Main!$G$46/100))+(K20*(Main!$G$51/100))))/$G$6</f>
        <v>8.07846490965625</v>
      </c>
      <c r="H20">
        <f>'Req. Diario'!G19</f>
        <v>0.8295819075178944</v>
      </c>
      <c r="I20">
        <f>H20/$I$6</f>
        <v>5.18488692198684</v>
      </c>
      <c r="J20">
        <f>'Req. Diario'!H19</f>
        <v>2.885596967562556</v>
      </c>
      <c r="K20">
        <f>J20/$K$6</f>
        <v>10.687396176157614</v>
      </c>
      <c r="L20">
        <f>'Req. Diario'!I19</f>
        <v>9.1667</v>
      </c>
      <c r="M20">
        <f>L20/$M$6</f>
        <v>44.715609756097564</v>
      </c>
    </row>
    <row r="21">
      <c r="A21">
        <v>3</v>
      </c>
      <c r="B21">
        <f>'Req. Diario'!D20</f>
        <v>3.1713003924273107</v>
      </c>
      <c r="C21">
        <f>(B21-((E21*(Main!$E$31/100))+(G21*(Main!$E$36/100))+(I21*(Main!$E$46/100))+(K21*(Main!$E$51/100))))/$C$6</f>
        <v>3.996094907189284</v>
      </c>
      <c r="D21">
        <f>'Req. Diario'!E20</f>
        <v>0.8949828053402238</v>
      </c>
      <c r="E21">
        <f>(D21-((C21*(Main!$F$41/100))+(G21*(Main!$F$36/100))+(I21*(Main!$F$46/100))+(K21*(Main!$F$51/100))))/$E$6</f>
        <v>1.467184926787252</v>
      </c>
      <c r="F21">
        <f>'Req. Diario'!F20</f>
        <v>4.84707894579375</v>
      </c>
      <c r="G21">
        <f>(F21-((C21*(Main!$G$41/100))+(E21*(Main!$G$31/100))+(I21*(Main!$G$46/100))+(K21*(Main!$G$51/100))))/$G$6</f>
        <v>8.07846490965625</v>
      </c>
      <c r="H21">
        <f>'Req. Diario'!G20</f>
        <v>0.8295819075178944</v>
      </c>
      <c r="I21">
        <f>H21/$I$6</f>
        <v>5.18488692198684</v>
      </c>
      <c r="J21">
        <f>'Req. Diario'!H20</f>
        <v>2.885596967562556</v>
      </c>
      <c r="K21">
        <f>J21/$K$6</f>
        <v>10.687396176157614</v>
      </c>
      <c r="L21">
        <f>'Req. Diario'!I20</f>
        <v>9.1667</v>
      </c>
      <c r="M21">
        <f>L21/$M$6</f>
        <v>44.715609756097564</v>
      </c>
    </row>
    <row r="22">
      <c r="B22">
        <f>'Req. Diario'!D21</f>
        <v>3.1713003924273107</v>
      </c>
      <c r="C22">
        <f>(B22-((E22*(Main!$E$31/100))+(G22*(Main!$E$36/100))+(I22*(Main!$E$46/100))+(K22*(Main!$E$51/100))))/$C$6</f>
        <v>3.996094907189284</v>
      </c>
      <c r="D22">
        <f>'Req. Diario'!E21</f>
        <v>0.8949828053402238</v>
      </c>
      <c r="E22">
        <f>(D22-((C22*(Main!$F$41/100))+(G22*(Main!$F$36/100))+(I22*(Main!$F$46/100))+(K22*(Main!$F$51/100))))/$E$6</f>
        <v>1.467184926787252</v>
      </c>
      <c r="F22">
        <f>'Req. Diario'!F21</f>
        <v>4.84707894579375</v>
      </c>
      <c r="G22">
        <f>(F22-((C22*(Main!$G$41/100))+(E22*(Main!$G$31/100))+(I22*(Main!$G$46/100))+(K22*(Main!$G$51/100))))/$G$6</f>
        <v>8.07846490965625</v>
      </c>
      <c r="H22">
        <f>'Req. Diario'!G21</f>
        <v>0.8295819075178944</v>
      </c>
      <c r="I22">
        <f>H22/$I$6</f>
        <v>5.18488692198684</v>
      </c>
      <c r="J22">
        <f>'Req. Diario'!H21</f>
        <v>2.885596967562556</v>
      </c>
      <c r="K22">
        <f>J22/$K$6</f>
        <v>10.687396176157614</v>
      </c>
      <c r="L22">
        <f>'Req. Diario'!I21</f>
        <v>9.1667</v>
      </c>
      <c r="M22">
        <f>L22/$M$6</f>
        <v>44.715609756097564</v>
      </c>
    </row>
    <row r="23">
      <c r="B23">
        <f>'Req. Diario'!D22</f>
        <v>3.1713003924273107</v>
      </c>
      <c r="C23">
        <f>(B23-((E23*(Main!$E$31/100))+(G23*(Main!$E$36/100))+(I23*(Main!$E$46/100))+(K23*(Main!$E$51/100))))/$C$6</f>
        <v>3.996094907189284</v>
      </c>
      <c r="D23">
        <f>'Req. Diario'!E22</f>
        <v>0.8949828053402238</v>
      </c>
      <c r="E23">
        <f>(D23-((C23*(Main!$F$41/100))+(G23*(Main!$F$36/100))+(I23*(Main!$F$46/100))+(K23*(Main!$F$51/100))))/$E$6</f>
        <v>1.467184926787252</v>
      </c>
      <c r="F23">
        <f>'Req. Diario'!F22</f>
        <v>4.84707894579375</v>
      </c>
      <c r="G23">
        <f>(F23-((C23*(Main!$G$41/100))+(E23*(Main!$G$31/100))+(I23*(Main!$G$46/100))+(K23*(Main!$G$51/100))))/$G$6</f>
        <v>8.07846490965625</v>
      </c>
      <c r="H23">
        <f>'Req. Diario'!G22</f>
        <v>0.8295819075178944</v>
      </c>
      <c r="I23">
        <f>H23/$I$6</f>
        <v>5.18488692198684</v>
      </c>
      <c r="J23">
        <f>'Req. Diario'!H22</f>
        <v>2.885596967562556</v>
      </c>
      <c r="K23">
        <f>J23/$K$6</f>
        <v>10.687396176157614</v>
      </c>
      <c r="L23">
        <f>'Req. Diario'!I22</f>
        <v>9.1667</v>
      </c>
      <c r="M23">
        <f>L23/$M$6</f>
        <v>44.715609756097564</v>
      </c>
    </row>
    <row r="24">
      <c r="B24">
        <f>'Req. Diario'!D23</f>
        <v>4.530429132039015</v>
      </c>
      <c r="C24">
        <f>(B24-((E24*(Main!$E$31/100))+(G24*(Main!$E$36/100))+(I24*(Main!$E$46/100))+(K24*(Main!$E$51/100))))/$C$6</f>
        <v>5.7087070102704045</v>
      </c>
      <c r="D24">
        <f>'Req. Diario'!E23</f>
        <v>1.2785468647717484</v>
      </c>
      <c r="E24">
        <f>(D24-((C24*(Main!$F$41/100))+(G24*(Main!$F$36/100))+(I24*(Main!$F$46/100))+(K24*(Main!$F$51/100))))/$E$6</f>
        <v>2.0959784668389316</v>
      </c>
      <c r="F24">
        <f>'Req. Diario'!F23</f>
        <v>6.924398493991071</v>
      </c>
      <c r="G24">
        <f>(F24-((C24*(Main!$G$41/100))+(E24*(Main!$G$31/100))+(I24*(Main!$G$46/100))+(K24*(Main!$G$51/100))))/$G$6</f>
        <v>11.540664156651786</v>
      </c>
      <c r="H24">
        <f>'Req. Diario'!G23</f>
        <v>1.1851170107398492</v>
      </c>
      <c r="I24">
        <f>H24/$I$6</f>
        <v>7.406981317124058</v>
      </c>
      <c r="J24">
        <f>'Req. Diario'!H23</f>
        <v>4.122281382232223</v>
      </c>
      <c r="K24">
        <f>J24/$K$6</f>
        <v>15.267708823082305</v>
      </c>
      <c r="L24">
        <f>'Req. Diario'!I23</f>
        <v>12.2222</v>
      </c>
      <c r="M24">
        <f>L24/$M$6</f>
        <v>59.62048780487805</v>
      </c>
    </row>
    <row r="25">
      <c r="B25">
        <f>'Req. Diario'!D24</f>
        <v>4.530429132039015</v>
      </c>
      <c r="C25">
        <f>(B25-((E25*(Main!$E$31/100))+(G25*(Main!$E$36/100))+(I25*(Main!$E$46/100))+(K25*(Main!$E$51/100))))/$C$6</f>
        <v>5.7087070102704045</v>
      </c>
      <c r="D25">
        <f>'Req. Diario'!E24</f>
        <v>1.2785468647717484</v>
      </c>
      <c r="E25">
        <f>(D25-((C25*(Main!$F$41/100))+(G25*(Main!$F$36/100))+(I25*(Main!$F$46/100))+(K25*(Main!$F$51/100))))/$E$6</f>
        <v>2.0959784668389316</v>
      </c>
      <c r="F25">
        <f>'Req. Diario'!F24</f>
        <v>6.924398493991071</v>
      </c>
      <c r="G25">
        <f>(F25-((C25*(Main!$G$41/100))+(E25*(Main!$G$31/100))+(I25*(Main!$G$46/100))+(K25*(Main!$G$51/100))))/$G$6</f>
        <v>11.540664156651786</v>
      </c>
      <c r="H25">
        <f>'Req. Diario'!G24</f>
        <v>1.1851170107398492</v>
      </c>
      <c r="I25">
        <f>H25/$I$6</f>
        <v>7.406981317124058</v>
      </c>
      <c r="J25">
        <f>'Req. Diario'!H24</f>
        <v>4.122281382232223</v>
      </c>
      <c r="K25">
        <f>J25/$K$6</f>
        <v>15.267708823082305</v>
      </c>
      <c r="L25">
        <f>'Req. Diario'!I24</f>
        <v>12.2222</v>
      </c>
      <c r="M25">
        <f>L25/$M$6</f>
        <v>59.62048780487805</v>
      </c>
    </row>
    <row r="26">
      <c r="B26">
        <f>'Req. Diario'!D25</f>
        <v>4.530429132039015</v>
      </c>
      <c r="C26">
        <f>(B26-((E26*(Main!$E$31/100))+(G26*(Main!$E$36/100))+(I26*(Main!$E$46/100))+(K26*(Main!$E$51/100))))/$C$6</f>
        <v>5.7087070102704045</v>
      </c>
      <c r="D26">
        <f>'Req. Diario'!E25</f>
        <v>1.2785468647717484</v>
      </c>
      <c r="E26">
        <f>(D26-((C26*(Main!$F$41/100))+(G26*(Main!$F$36/100))+(I26*(Main!$F$46/100))+(K26*(Main!$F$51/100))))/$E$6</f>
        <v>2.0959784668389316</v>
      </c>
      <c r="F26">
        <f>'Req. Diario'!F25</f>
        <v>6.924398493991071</v>
      </c>
      <c r="G26">
        <f>(F26-((C26*(Main!$G$41/100))+(E26*(Main!$G$31/100))+(I26*(Main!$G$46/100))+(K26*(Main!$G$51/100))))/$G$6</f>
        <v>11.540664156651786</v>
      </c>
      <c r="H26">
        <f>'Req. Diario'!G25</f>
        <v>1.1851170107398492</v>
      </c>
      <c r="I26">
        <f>H26/$I$6</f>
        <v>7.406981317124058</v>
      </c>
      <c r="J26">
        <f>'Req. Diario'!H25</f>
        <v>4.122281382232223</v>
      </c>
      <c r="K26">
        <f>J26/$K$6</f>
        <v>15.267708823082305</v>
      </c>
      <c r="L26">
        <f>'Req. Diario'!I25</f>
        <v>12.2222</v>
      </c>
      <c r="M26">
        <f>L26/$M$6</f>
        <v>59.62048780487805</v>
      </c>
    </row>
    <row r="27">
      <c r="B27">
        <f>'Req. Diario'!D26</f>
        <v>4.530429132039015</v>
      </c>
      <c r="C27">
        <f>(B27-((E27*(Main!$E$31/100))+(G27*(Main!$E$36/100))+(I27*(Main!$E$46/100))+(K27*(Main!$E$51/100))))/$C$6</f>
        <v>5.7087070102704045</v>
      </c>
      <c r="D27">
        <f>'Req. Diario'!E26</f>
        <v>1.2785468647717484</v>
      </c>
      <c r="E27">
        <f>(D27-((C27*(Main!$F$41/100))+(G27*(Main!$F$36/100))+(I27*(Main!$F$46/100))+(K27*(Main!$F$51/100))))/$E$6</f>
        <v>2.0959784668389316</v>
      </c>
      <c r="F27">
        <f>'Req. Diario'!F26</f>
        <v>6.924398493991071</v>
      </c>
      <c r="G27">
        <f>(F27-((C27*(Main!$G$41/100))+(E27*(Main!$G$31/100))+(I27*(Main!$G$46/100))+(K27*(Main!$G$51/100))))/$G$6</f>
        <v>11.540664156651786</v>
      </c>
      <c r="H27">
        <f>'Req. Diario'!G26</f>
        <v>1.1851170107398492</v>
      </c>
      <c r="I27">
        <f>H27/$I$6</f>
        <v>7.406981317124058</v>
      </c>
      <c r="J27">
        <f>'Req. Diario'!H26</f>
        <v>4.122281382232223</v>
      </c>
      <c r="K27">
        <f>J27/$K$6</f>
        <v>15.267708823082305</v>
      </c>
      <c r="L27">
        <f>'Req. Diario'!I26</f>
        <v>12.2222</v>
      </c>
      <c r="M27">
        <f>L27/$M$6</f>
        <v>59.62048780487805</v>
      </c>
    </row>
    <row r="28">
      <c r="A28">
        <v>4</v>
      </c>
      <c r="B28">
        <f>'Req. Diario'!D27</f>
        <v>4.530429132039015</v>
      </c>
      <c r="C28">
        <f>(B28-((E28*(Main!$E$31/100))+(G28*(Main!$E$36/100))+(I28*(Main!$E$46/100))+(K28*(Main!$E$51/100))))/$C$6</f>
        <v>5.166409039745049</v>
      </c>
      <c r="D28">
        <f>'Req. Diario'!E27</f>
        <v>1.2785468647717484</v>
      </c>
      <c r="E28">
        <f>(D28-((C28*(Main!$F$41/100))+(G28*(Main!$F$36/100))+(I28*(Main!$F$46/100))+(K28*(Main!$F$51/100))))/$E$6</f>
        <v>2.0959784668389316</v>
      </c>
      <c r="F28">
        <f>'Req. Diario'!F27</f>
        <v>7.455967037037037</v>
      </c>
      <c r="G28">
        <f>(F28-((C28*(Main!$G$41/100))+(E28*(Main!$G$31/100))+(I28*(Main!$G$46/100))+(K28*(Main!$G$51/100))))/$G$6</f>
        <v>12.426611728395061</v>
      </c>
      <c r="H28">
        <f>'Req. Diario'!G27</f>
        <v>1.276095443492478</v>
      </c>
      <c r="I28">
        <f>H28/$I$6</f>
        <v>7.975596521827987</v>
      </c>
      <c r="J28">
        <f>'Req. Diario'!H27</f>
        <v>4.438738488258148</v>
      </c>
      <c r="K28">
        <f>J28/$K$6</f>
        <v>16.439772178733882</v>
      </c>
      <c r="L28">
        <f>'Req. Diario'!I27</f>
        <v>12.2222</v>
      </c>
      <c r="M28">
        <f>L28/$M$6</f>
        <v>59.62048780487805</v>
      </c>
    </row>
    <row r="29">
      <c r="B29">
        <f>'Req. Diario'!D28</f>
        <v>4.530429132039015</v>
      </c>
      <c r="C29">
        <f>(B29-((E29*(Main!$E$31/100))+(G29*(Main!$E$36/100))+(I29*(Main!$E$46/100))+(K29*(Main!$E$51/100))))/$C$6</f>
        <v>5.166409039745049</v>
      </c>
      <c r="D29">
        <f>'Req. Diario'!E28</f>
        <v>1.2785468647717484</v>
      </c>
      <c r="E29">
        <f>(D29-((C29*(Main!$F$41/100))+(G29*(Main!$F$36/100))+(I29*(Main!$F$46/100))+(K29*(Main!$F$51/100))))/$E$6</f>
        <v>2.0959784668389316</v>
      </c>
      <c r="F29">
        <f>'Req. Diario'!F28</f>
        <v>7.455967037037037</v>
      </c>
      <c r="G29">
        <f>(F29-((C29*(Main!$G$41/100))+(E29*(Main!$G$31/100))+(I29*(Main!$G$46/100))+(K29*(Main!$G$51/100))))/$G$6</f>
        <v>12.426611728395061</v>
      </c>
      <c r="H29">
        <f>'Req. Diario'!G28</f>
        <v>1.276095443492478</v>
      </c>
      <c r="I29">
        <f>H29/$I$6</f>
        <v>7.975596521827987</v>
      </c>
      <c r="J29">
        <f>'Req. Diario'!H28</f>
        <v>4.438738488258148</v>
      </c>
      <c r="K29">
        <f>J29/$K$6</f>
        <v>16.439772178733882</v>
      </c>
      <c r="L29">
        <f>'Req. Diario'!I28</f>
        <v>12.2222</v>
      </c>
      <c r="M29">
        <f>L29/$M$6</f>
        <v>59.62048780487805</v>
      </c>
    </row>
    <row r="30">
      <c r="B30">
        <f>'Req. Diario'!D29</f>
        <v>4.530429132039015</v>
      </c>
      <c r="C30">
        <f>(B30-((E30*(Main!$E$31/100))+(G30*(Main!$E$36/100))+(I30*(Main!$E$46/100))+(K30*(Main!$E$51/100))))/$C$6</f>
        <v>5.166409039745049</v>
      </c>
      <c r="D30">
        <f>'Req. Diario'!E29</f>
        <v>1.2785468647717484</v>
      </c>
      <c r="E30">
        <f>(D30-((C30*(Main!$F$41/100))+(G30*(Main!$F$36/100))+(I30*(Main!$F$46/100))+(K30*(Main!$F$51/100))))/$E$6</f>
        <v>2.0959784668389316</v>
      </c>
      <c r="F30">
        <f>'Req. Diario'!F29</f>
        <v>7.455967037037037</v>
      </c>
      <c r="G30">
        <f>(F30-((C30*(Main!$G$41/100))+(E30*(Main!$G$31/100))+(I30*(Main!$G$46/100))+(K30*(Main!$G$51/100))))/$G$6</f>
        <v>12.426611728395061</v>
      </c>
      <c r="H30">
        <f>'Req. Diario'!G29</f>
        <v>1.276095443492478</v>
      </c>
      <c r="I30">
        <f>H30/$I$6</f>
        <v>7.975596521827987</v>
      </c>
      <c r="J30">
        <f>'Req. Diario'!H29</f>
        <v>4.438738488258148</v>
      </c>
      <c r="K30">
        <f>J30/$K$6</f>
        <v>16.439772178733882</v>
      </c>
      <c r="L30">
        <f>'Req. Diario'!I29</f>
        <v>12.2222</v>
      </c>
      <c r="M30">
        <f>L30/$M$6</f>
        <v>59.62048780487805</v>
      </c>
    </row>
    <row r="31">
      <c r="B31">
        <f>'Req. Diario'!D30</f>
        <v>4.530429132039015</v>
      </c>
      <c r="C31">
        <f>(B31-((E31*(Main!$E$31/100))+(G31*(Main!$E$36/100))+(I31*(Main!$E$46/100))+(K31*(Main!$E$51/100))))/$C$6</f>
        <v>5.166409039745049</v>
      </c>
      <c r="D31">
        <f>'Req. Diario'!E30</f>
        <v>1.2785468647717484</v>
      </c>
      <c r="E31">
        <f>(D31-((C31*(Main!$F$41/100))+(G31*(Main!$F$36/100))+(I31*(Main!$F$46/100))+(K31*(Main!$F$51/100))))/$E$6</f>
        <v>2.0959784668389316</v>
      </c>
      <c r="F31">
        <f>'Req. Diario'!F30</f>
        <v>7.455967037037037</v>
      </c>
      <c r="G31">
        <f>(F31-((C31*(Main!$G$41/100))+(E31*(Main!$G$31/100))+(I31*(Main!$G$46/100))+(K31*(Main!$G$51/100))))/$G$6</f>
        <v>12.426611728395061</v>
      </c>
      <c r="H31">
        <f>'Req. Diario'!G30</f>
        <v>1.276095443492478</v>
      </c>
      <c r="I31">
        <f>H31/$I$6</f>
        <v>7.975596521827987</v>
      </c>
      <c r="J31">
        <f>'Req. Diario'!H30</f>
        <v>4.438738488258148</v>
      </c>
      <c r="K31">
        <f>J31/$K$6</f>
        <v>16.439772178733882</v>
      </c>
      <c r="L31">
        <f>'Req. Diario'!I30</f>
        <v>12.2222</v>
      </c>
      <c r="M31">
        <f>L31/$M$6</f>
        <v>59.62048780487805</v>
      </c>
    </row>
    <row r="32">
      <c r="B32">
        <f>'Req. Diario'!D31</f>
        <v>4.530429132039015</v>
      </c>
      <c r="C32">
        <f>(B32-((E32*(Main!$E$31/100))+(G32*(Main!$E$36/100))+(I32*(Main!$E$46/100))+(K32*(Main!$E$51/100))))/$C$6</f>
        <v>5.166409039745049</v>
      </c>
      <c r="D32">
        <f>'Req. Diario'!E31</f>
        <v>1.2785468647717484</v>
      </c>
      <c r="E32">
        <f>(D32-((C32*(Main!$F$41/100))+(G32*(Main!$F$36/100))+(I32*(Main!$F$46/100))+(K32*(Main!$F$51/100))))/$E$6</f>
        <v>2.0959784668389316</v>
      </c>
      <c r="F32">
        <f>'Req. Diario'!F31</f>
        <v>7.455967037037037</v>
      </c>
      <c r="G32">
        <f>(F32-((C32*(Main!$G$41/100))+(E32*(Main!$G$31/100))+(I32*(Main!$G$46/100))+(K32*(Main!$G$51/100))))/$G$6</f>
        <v>12.426611728395061</v>
      </c>
      <c r="H32">
        <f>'Req. Diario'!G31</f>
        <v>1.276095443492478</v>
      </c>
      <c r="I32">
        <f>H32/$I$6</f>
        <v>7.975596521827987</v>
      </c>
      <c r="J32">
        <f>'Req. Diario'!H31</f>
        <v>4.438738488258148</v>
      </c>
      <c r="K32">
        <f>J32/$K$6</f>
        <v>16.439772178733882</v>
      </c>
      <c r="L32">
        <f>'Req. Diario'!I31</f>
        <v>12.2222</v>
      </c>
      <c r="M32">
        <f>L32/$M$6</f>
        <v>59.62048780487805</v>
      </c>
    </row>
    <row r="33">
      <c r="B33">
        <f>'Req. Diario'!D32</f>
        <v>4.530429132039015</v>
      </c>
      <c r="C33">
        <f>(B33-((E33*(Main!$E$31/100))+(G33*(Main!$E$36/100))+(I33*(Main!$E$46/100))+(K33*(Main!$E$51/100))))/$C$6</f>
        <v>5.166409039745049</v>
      </c>
      <c r="D33">
        <f>'Req. Diario'!E32</f>
        <v>1.2785468647717484</v>
      </c>
      <c r="E33">
        <f>(D33-((C33*(Main!$F$41/100))+(G33*(Main!$F$36/100))+(I33*(Main!$F$46/100))+(K33*(Main!$F$51/100))))/$E$6</f>
        <v>2.0959784668389316</v>
      </c>
      <c r="F33">
        <f>'Req. Diario'!F32</f>
        <v>7.455967037037037</v>
      </c>
      <c r="G33">
        <f>(F33-((C33*(Main!$G$41/100))+(E33*(Main!$G$31/100))+(I33*(Main!$G$46/100))+(K33*(Main!$G$51/100))))/$G$6</f>
        <v>12.426611728395061</v>
      </c>
      <c r="H33">
        <f>'Req. Diario'!G32</f>
        <v>1.276095443492478</v>
      </c>
      <c r="I33">
        <f>H33/$I$6</f>
        <v>7.975596521827987</v>
      </c>
      <c r="J33">
        <f>'Req. Diario'!H32</f>
        <v>4.438738488258148</v>
      </c>
      <c r="K33">
        <f>J33/$K$6</f>
        <v>16.439772178733882</v>
      </c>
      <c r="L33">
        <f>'Req. Diario'!I32</f>
        <v>12.2222</v>
      </c>
      <c r="M33">
        <f>L33/$M$6</f>
        <v>59.62048780487805</v>
      </c>
    </row>
    <row r="34">
      <c r="B34">
        <f>'Req. Diario'!D33</f>
        <v>4.530429132039015</v>
      </c>
      <c r="C34">
        <f>(B34-((E34*(Main!$E$31/100))+(G34*(Main!$E$36/100))+(I34*(Main!$E$46/100))+(K34*(Main!$E$51/100))))/$C$6</f>
        <v>5.166409039745049</v>
      </c>
      <c r="D34">
        <f>'Req. Diario'!E33</f>
        <v>1.2785468647717484</v>
      </c>
      <c r="E34">
        <f>(D34-((C34*(Main!$F$41/100))+(G34*(Main!$F$36/100))+(I34*(Main!$F$46/100))+(K34*(Main!$F$51/100))))/$E$6</f>
        <v>2.0959784668389316</v>
      </c>
      <c r="F34">
        <f>'Req. Diario'!F33</f>
        <v>7.455967037037037</v>
      </c>
      <c r="G34">
        <f>(F34-((C34*(Main!$G$41/100))+(E34*(Main!$G$31/100))+(I34*(Main!$G$46/100))+(K34*(Main!$G$51/100))))/$G$6</f>
        <v>12.426611728395061</v>
      </c>
      <c r="H34">
        <f>'Req. Diario'!G33</f>
        <v>1.276095443492478</v>
      </c>
      <c r="I34">
        <f>H34/$I$6</f>
        <v>7.975596521827987</v>
      </c>
      <c r="J34">
        <f>'Req. Diario'!H33</f>
        <v>4.438738488258148</v>
      </c>
      <c r="K34">
        <f>J34/$K$6</f>
        <v>16.439772178733882</v>
      </c>
      <c r="L34">
        <f>'Req. Diario'!I33</f>
        <v>12.2222</v>
      </c>
      <c r="M34">
        <f>L34/$M$6</f>
        <v>59.62048780487805</v>
      </c>
    </row>
    <row r="35">
      <c r="A35">
        <v>5</v>
      </c>
      <c r="B35">
        <f>'Req. Diario'!D34</f>
        <v>4.530429132039015</v>
      </c>
      <c r="C35">
        <f>(B35-((E35*(Main!$E$31/100))+(G35*(Main!$E$36/100))+(I35*(Main!$E$46/100))+(K35*(Main!$E$51/100))))/$C$6</f>
        <v>5.166409039745049</v>
      </c>
      <c r="D35">
        <f>'Req. Diario'!E34</f>
        <v>1.2785468647717484</v>
      </c>
      <c r="E35">
        <f>(D35-((C35*(Main!$F$41/100))+(G35*(Main!$F$36/100))+(I35*(Main!$F$46/100))+(K35*(Main!$F$51/100))))/$E$6</f>
        <v>2.0959784668389316</v>
      </c>
      <c r="F35">
        <f>'Req. Diario'!F34</f>
        <v>7.455967037037037</v>
      </c>
      <c r="G35">
        <f>(F35-((C35*(Main!$G$41/100))+(E35*(Main!$G$31/100))+(I35*(Main!$G$46/100))+(K35*(Main!$G$51/100))))/$G$6</f>
        <v>12.426611728395061</v>
      </c>
      <c r="H35">
        <f>'Req. Diario'!G34</f>
        <v>1.276095443492478</v>
      </c>
      <c r="I35">
        <f>H35/$I$6</f>
        <v>7.975596521827987</v>
      </c>
      <c r="J35">
        <f>'Req. Diario'!H34</f>
        <v>4.438738488258148</v>
      </c>
      <c r="K35">
        <f>J35/$K$6</f>
        <v>16.439772178733882</v>
      </c>
      <c r="L35">
        <f>'Req. Diario'!I34</f>
        <v>12.2222</v>
      </c>
      <c r="M35">
        <f>L35/$M$6</f>
        <v>59.62048780487805</v>
      </c>
    </row>
    <row r="36">
      <c r="B36">
        <f>'Req. Diario'!D35</f>
        <v>4.530429132039015</v>
      </c>
      <c r="C36">
        <f>(B36-((E36*(Main!$E$31/100))+(G36*(Main!$E$36/100))+(I36*(Main!$E$46/100))+(K36*(Main!$E$51/100))))/$C$6</f>
        <v>5.166409039745049</v>
      </c>
      <c r="D36">
        <f>'Req. Diario'!E35</f>
        <v>1.2785468647717484</v>
      </c>
      <c r="E36">
        <f>(D36-((C36*(Main!$F$41/100))+(G36*(Main!$F$36/100))+(I36*(Main!$F$46/100))+(K36*(Main!$F$51/100))))/$E$6</f>
        <v>2.0959784668389316</v>
      </c>
      <c r="F36">
        <f>'Req. Diario'!F35</f>
        <v>7.455967037037037</v>
      </c>
      <c r="G36">
        <f>(F36-((C36*(Main!$G$41/100))+(E36*(Main!$G$31/100))+(I36*(Main!$G$46/100))+(K36*(Main!$G$51/100))))/$G$6</f>
        <v>12.426611728395061</v>
      </c>
      <c r="H36">
        <f>'Req. Diario'!G35</f>
        <v>1.276095443492478</v>
      </c>
      <c r="I36">
        <f>H36/$I$6</f>
        <v>7.975596521827987</v>
      </c>
      <c r="J36">
        <f>'Req. Diario'!H35</f>
        <v>4.438738488258148</v>
      </c>
      <c r="K36">
        <f>J36/$K$6</f>
        <v>16.439772178733882</v>
      </c>
      <c r="L36">
        <f>'Req. Diario'!I35</f>
        <v>12.2222</v>
      </c>
      <c r="M36">
        <f>L36/$M$6</f>
        <v>59.62048780487805</v>
      </c>
    </row>
    <row r="37">
      <c r="B37">
        <f>'Req. Diario'!D36</f>
        <v>4.530429132039015</v>
      </c>
      <c r="C37">
        <f>(B37-((E37*(Main!$E$31/100))+(G37*(Main!$E$36/100))+(I37*(Main!$E$46/100))+(K37*(Main!$E$51/100))))/$C$6</f>
        <v>5.166409039745049</v>
      </c>
      <c r="D37">
        <f>'Req. Diario'!E36</f>
        <v>1.2785468647717484</v>
      </c>
      <c r="E37">
        <f>(D37-((C37*(Main!$F$41/100))+(G37*(Main!$F$36/100))+(I37*(Main!$F$46/100))+(K37*(Main!$F$51/100))))/$E$6</f>
        <v>2.0959784668389316</v>
      </c>
      <c r="F37">
        <f>'Req. Diario'!F36</f>
        <v>7.455967037037037</v>
      </c>
      <c r="G37">
        <f>(F37-((C37*(Main!$G$41/100))+(E37*(Main!$G$31/100))+(I37*(Main!$G$46/100))+(K37*(Main!$G$51/100))))/$G$6</f>
        <v>12.426611728395061</v>
      </c>
      <c r="H37">
        <f>'Req. Diario'!G36</f>
        <v>1.276095443492478</v>
      </c>
      <c r="I37">
        <f>H37/$I$6</f>
        <v>7.975596521827987</v>
      </c>
      <c r="J37">
        <f>'Req. Diario'!H36</f>
        <v>4.438738488258148</v>
      </c>
      <c r="K37">
        <f>J37/$K$6</f>
        <v>16.439772178733882</v>
      </c>
      <c r="L37">
        <f>'Req. Diario'!I36</f>
        <v>12.2222</v>
      </c>
      <c r="M37">
        <f>L37/$M$6</f>
        <v>59.62048780487805</v>
      </c>
    </row>
    <row r="38">
      <c r="B38">
        <f>'Req. Diario'!D37</f>
        <v>4.530429132039015</v>
      </c>
      <c r="C38">
        <f>(B38-((E38*(Main!$E$31/100))+(G38*(Main!$E$36/100))+(I38*(Main!$E$46/100))+(K38*(Main!$E$51/100))))/$C$6</f>
        <v>5.166409039745049</v>
      </c>
      <c r="D38">
        <f>'Req. Diario'!E37</f>
        <v>1.2785468647717484</v>
      </c>
      <c r="E38">
        <f>(D38-((C38*(Main!$F$41/100))+(G38*(Main!$F$36/100))+(I38*(Main!$F$46/100))+(K38*(Main!$F$51/100))))/$E$6</f>
        <v>2.0959784668389316</v>
      </c>
      <c r="F38">
        <f>'Req. Diario'!F37</f>
        <v>7.455967037037037</v>
      </c>
      <c r="G38">
        <f>(F38-((C38*(Main!$G$41/100))+(E38*(Main!$G$31/100))+(I38*(Main!$G$46/100))+(K38*(Main!$G$51/100))))/$G$6</f>
        <v>12.426611728395061</v>
      </c>
      <c r="H38">
        <f>'Req. Diario'!G37</f>
        <v>1.276095443492478</v>
      </c>
      <c r="I38">
        <f>H38/$I$6</f>
        <v>7.975596521827987</v>
      </c>
      <c r="J38">
        <f>'Req. Diario'!H37</f>
        <v>4.438738488258148</v>
      </c>
      <c r="K38">
        <f>J38/$K$6</f>
        <v>16.439772178733882</v>
      </c>
      <c r="L38">
        <f>'Req. Diario'!I37</f>
        <v>12.2222</v>
      </c>
      <c r="M38">
        <f>L38/$M$6</f>
        <v>59.62048780487805</v>
      </c>
    </row>
    <row r="39">
      <c r="B39">
        <f>'Req. Diario'!D38</f>
        <v>7.248686611262424</v>
      </c>
      <c r="C39">
        <f>(B39-((E39*(Main!$E$31/100))+(G39*(Main!$E$36/100))+(I39*(Main!$E$46/100))+(K39*(Main!$E$51/100))))/$C$6</f>
        <v>8.26625446359208</v>
      </c>
      <c r="D39">
        <f>'Req. Diario'!E38</f>
        <v>2.0456749836347976</v>
      </c>
      <c r="E39">
        <f>(D39-((C39*(Main!$F$41/100))+(G39*(Main!$F$36/100))+(I39*(Main!$F$46/100))+(K39*(Main!$F$51/100))))/$E$6</f>
        <v>3.353565546942291</v>
      </c>
      <c r="F39">
        <f>'Req. Diario'!F38</f>
        <v>11.929547259259259</v>
      </c>
      <c r="G39">
        <f>(F39-((C39*(Main!$G$41/100))+(E39*(Main!$G$31/100))+(I39*(Main!$G$46/100))+(K39*(Main!$G$51/100))))/$G$6</f>
        <v>19.8825787654321</v>
      </c>
      <c r="H39">
        <f>'Req. Diario'!G38</f>
        <v>2.0417527095879646</v>
      </c>
      <c r="I39">
        <f>H39/$I$6</f>
        <v>12.760954434924779</v>
      </c>
      <c r="J39">
        <f>'Req. Diario'!H38</f>
        <v>7.101981581213037</v>
      </c>
      <c r="K39">
        <f>J39/$K$6</f>
        <v>26.30363548597421</v>
      </c>
      <c r="L39">
        <f>'Req. Diario'!I38</f>
        <v>17.3149</v>
      </c>
      <c r="M39">
        <f>L39/$M$6</f>
        <v>84.46292682926831</v>
      </c>
    </row>
    <row r="40">
      <c r="B40">
        <f>'Req. Diario'!D39</f>
        <v>7.248686611262424</v>
      </c>
      <c r="C40">
        <f>(B40-((E40*(Main!$E$31/100))+(G40*(Main!$E$36/100))+(I40*(Main!$E$46/100))+(K40*(Main!$E$51/100))))/$C$6</f>
        <v>8.26625446359208</v>
      </c>
      <c r="D40">
        <f>'Req. Diario'!E39</f>
        <v>2.0456749836347976</v>
      </c>
      <c r="E40">
        <f>(D40-((C40*(Main!$F$41/100))+(G40*(Main!$F$36/100))+(I40*(Main!$F$46/100))+(K40*(Main!$F$51/100))))/$E$6</f>
        <v>3.353565546942291</v>
      </c>
      <c r="F40">
        <f>'Req. Diario'!F39</f>
        <v>11.929547259259259</v>
      </c>
      <c r="G40">
        <f>(F40-((C40*(Main!$G$41/100))+(E40*(Main!$G$31/100))+(I40*(Main!$G$46/100))+(K40*(Main!$G$51/100))))/$G$6</f>
        <v>19.8825787654321</v>
      </c>
      <c r="H40">
        <f>'Req. Diario'!G39</f>
        <v>2.0417527095879646</v>
      </c>
      <c r="I40">
        <f>H40/$I$6</f>
        <v>12.760954434924779</v>
      </c>
      <c r="J40">
        <f>'Req. Diario'!H39</f>
        <v>7.101981581213037</v>
      </c>
      <c r="K40">
        <f>J40/$K$6</f>
        <v>26.30363548597421</v>
      </c>
      <c r="L40">
        <f>'Req. Diario'!I39</f>
        <v>17.3149</v>
      </c>
      <c r="M40">
        <f>L40/$M$6</f>
        <v>84.46292682926831</v>
      </c>
    </row>
    <row r="41">
      <c r="B41">
        <f>'Req. Diario'!D40</f>
        <v>7.248686611262424</v>
      </c>
      <c r="C41">
        <f>(B41-((E41*(Main!$E$31/100))+(G41*(Main!$E$36/100))+(I41*(Main!$E$46/100))+(K41*(Main!$E$51/100))))/$C$6</f>
        <v>8.26625446359208</v>
      </c>
      <c r="D41">
        <f>'Req. Diario'!E40</f>
        <v>2.0456749836347976</v>
      </c>
      <c r="E41">
        <f>(D41-((C41*(Main!$F$41/100))+(G41*(Main!$F$36/100))+(I41*(Main!$F$46/100))+(K41*(Main!$F$51/100))))/$E$6</f>
        <v>3.353565546942291</v>
      </c>
      <c r="F41">
        <f>'Req. Diario'!F40</f>
        <v>11.929547259259259</v>
      </c>
      <c r="G41">
        <f>(F41-((C41*(Main!$G$41/100))+(E41*(Main!$G$31/100))+(I41*(Main!$G$46/100))+(K41*(Main!$G$51/100))))/$G$6</f>
        <v>19.8825787654321</v>
      </c>
      <c r="H41">
        <f>'Req. Diario'!G40</f>
        <v>2.0417527095879646</v>
      </c>
      <c r="I41">
        <f>H41/$I$6</f>
        <v>12.760954434924779</v>
      </c>
      <c r="J41">
        <f>'Req. Diario'!H40</f>
        <v>7.101981581213037</v>
      </c>
      <c r="K41">
        <f>J41/$K$6</f>
        <v>26.30363548597421</v>
      </c>
      <c r="L41">
        <f>'Req. Diario'!I40</f>
        <v>17.3149</v>
      </c>
      <c r="M41">
        <f>L41/$M$6</f>
        <v>84.46292682926831</v>
      </c>
    </row>
    <row r="42">
      <c r="A42">
        <v>6</v>
      </c>
      <c r="B42">
        <f>'Req. Diario'!D41</f>
        <v>7.248686611262424</v>
      </c>
      <c r="C42">
        <f>(B42-((E42*(Main!$E$31/100))+(G42*(Main!$E$36/100))+(I42*(Main!$E$46/100))+(K42*(Main!$E$51/100))))/$C$6</f>
        <v>8.26625446359208</v>
      </c>
      <c r="D42">
        <f>'Req. Diario'!E41</f>
        <v>2.0456749836347976</v>
      </c>
      <c r="E42">
        <f>(D42-((C42*(Main!$F$41/100))+(G42*(Main!$F$36/100))+(I42*(Main!$F$46/100))+(K42*(Main!$F$51/100))))/$E$6</f>
        <v>3.353565546942291</v>
      </c>
      <c r="F42">
        <f>'Req. Diario'!F41</f>
        <v>11.929547259259259</v>
      </c>
      <c r="G42">
        <f>(F42-((C42*(Main!$G$41/100))+(E42*(Main!$G$31/100))+(I42*(Main!$G$46/100))+(K42*(Main!$G$51/100))))/$G$6</f>
        <v>19.8825787654321</v>
      </c>
      <c r="H42">
        <f>'Req. Diario'!G41</f>
        <v>2.0417527095879646</v>
      </c>
      <c r="I42">
        <f>H42/$I$6</f>
        <v>12.760954434924779</v>
      </c>
      <c r="J42">
        <f>'Req. Diario'!H41</f>
        <v>7.101981581213037</v>
      </c>
      <c r="K42">
        <f>J42/$K$6</f>
        <v>26.30363548597421</v>
      </c>
      <c r="L42">
        <f>'Req. Diario'!I41</f>
        <v>17.3149</v>
      </c>
      <c r="M42">
        <f>L42/$M$6</f>
        <v>84.46292682926831</v>
      </c>
    </row>
    <row r="43">
      <c r="B43">
        <f>'Req. Diario'!D42</f>
        <v>7.248686611262424</v>
      </c>
      <c r="C43">
        <f>(B43-((E43*(Main!$E$31/100))+(G43*(Main!$E$36/100))+(I43*(Main!$E$46/100))+(K43*(Main!$E$51/100))))/$C$6</f>
        <v>8.26625446359208</v>
      </c>
      <c r="D43">
        <f>'Req. Diario'!E42</f>
        <v>2.0456749836347976</v>
      </c>
      <c r="E43">
        <f>(D43-((C43*(Main!$F$41/100))+(G43*(Main!$F$36/100))+(I43*(Main!$F$46/100))+(K43*(Main!$F$51/100))))/$E$6</f>
        <v>3.353565546942291</v>
      </c>
      <c r="F43">
        <f>'Req. Diario'!F42</f>
        <v>11.929547259259259</v>
      </c>
      <c r="G43">
        <f>(F43-((C43*(Main!$G$41/100))+(E43*(Main!$G$31/100))+(I43*(Main!$G$46/100))+(K43*(Main!$G$51/100))))/$G$6</f>
        <v>19.8825787654321</v>
      </c>
      <c r="H43">
        <f>'Req. Diario'!G42</f>
        <v>2.0417527095879646</v>
      </c>
      <c r="I43">
        <f>H43/$I$6</f>
        <v>12.760954434924779</v>
      </c>
      <c r="J43">
        <f>'Req. Diario'!H42</f>
        <v>7.101981581213037</v>
      </c>
      <c r="K43">
        <f>J43/$K$6</f>
        <v>26.30363548597421</v>
      </c>
      <c r="L43">
        <f>'Req. Diario'!I42</f>
        <v>17.3149</v>
      </c>
      <c r="M43">
        <f>L43/$M$6</f>
        <v>84.46292682926831</v>
      </c>
    </row>
    <row r="44">
      <c r="B44">
        <f>'Req. Diario'!D43</f>
        <v>7.248686611262424</v>
      </c>
      <c r="C44">
        <f>(B44-((E44*(Main!$E$31/100))+(G44*(Main!$E$36/100))+(I44*(Main!$E$46/100))+(K44*(Main!$E$51/100))))/$C$6</f>
        <v>8.26625446359208</v>
      </c>
      <c r="D44">
        <f>'Req. Diario'!E43</f>
        <v>2.0456749836347976</v>
      </c>
      <c r="E44">
        <f>(D44-((C44*(Main!$F$41/100))+(G44*(Main!$F$36/100))+(I44*(Main!$F$46/100))+(K44*(Main!$F$51/100))))/$E$6</f>
        <v>3.353565546942291</v>
      </c>
      <c r="F44">
        <f>'Req. Diario'!F43</f>
        <v>11.929547259259259</v>
      </c>
      <c r="G44">
        <f>(F44-((C44*(Main!$G$41/100))+(E44*(Main!$G$31/100))+(I44*(Main!$G$46/100))+(K44*(Main!$G$51/100))))/$G$6</f>
        <v>19.8825787654321</v>
      </c>
      <c r="H44">
        <f>'Req. Diario'!G43</f>
        <v>2.0417527095879646</v>
      </c>
      <c r="I44">
        <f>H44/$I$6</f>
        <v>12.760954434924779</v>
      </c>
      <c r="J44">
        <f>'Req. Diario'!H43</f>
        <v>7.101981581213037</v>
      </c>
      <c r="K44">
        <f>J44/$K$6</f>
        <v>26.30363548597421</v>
      </c>
      <c r="L44">
        <f>'Req. Diario'!I43</f>
        <v>17.3149</v>
      </c>
      <c r="M44">
        <f>L44/$M$6</f>
        <v>84.46292682926831</v>
      </c>
    </row>
    <row r="45">
      <c r="B45">
        <f>'Req. Diario'!D44</f>
        <v>7.248686611262424</v>
      </c>
      <c r="C45">
        <f>(B45-((E45*(Main!$E$31/100))+(G45*(Main!$E$36/100))+(I45*(Main!$E$46/100))+(K45*(Main!$E$51/100))))/$C$6</f>
        <v>8.26625446359208</v>
      </c>
      <c r="D45">
        <f>'Req. Diario'!E44</f>
        <v>2.0456749836347976</v>
      </c>
      <c r="E45">
        <f>(D45-((C45*(Main!$F$41/100))+(G45*(Main!$F$36/100))+(I45*(Main!$F$46/100))+(K45*(Main!$F$51/100))))/$E$6</f>
        <v>3.353565546942291</v>
      </c>
      <c r="F45">
        <f>'Req. Diario'!F44</f>
        <v>11.929547259259259</v>
      </c>
      <c r="G45">
        <f>(F45-((C45*(Main!$G$41/100))+(E45*(Main!$G$31/100))+(I45*(Main!$G$46/100))+(K45*(Main!$G$51/100))))/$G$6</f>
        <v>19.8825787654321</v>
      </c>
      <c r="H45">
        <f>'Req. Diario'!G44</f>
        <v>2.0417527095879646</v>
      </c>
      <c r="I45">
        <f>H45/$I$6</f>
        <v>12.760954434924779</v>
      </c>
      <c r="J45">
        <f>'Req. Diario'!H44</f>
        <v>7.101981581213037</v>
      </c>
      <c r="K45">
        <f>J45/$K$6</f>
        <v>26.30363548597421</v>
      </c>
      <c r="L45">
        <f>'Req. Diario'!I44</f>
        <v>17.3149</v>
      </c>
      <c r="M45">
        <f>L45/$M$6</f>
        <v>84.46292682926831</v>
      </c>
    </row>
    <row r="46">
      <c r="B46">
        <f>'Req. Diario'!D45</f>
        <v>7.248686611262424</v>
      </c>
      <c r="C46">
        <f>(B46-((E46*(Main!$E$31/100))+(G46*(Main!$E$36/100))+(I46*(Main!$E$46/100))+(K46*(Main!$E$51/100))))/$C$6</f>
        <v>8.26625446359208</v>
      </c>
      <c r="D46">
        <f>'Req. Diario'!E45</f>
        <v>2.0456749836347976</v>
      </c>
      <c r="E46">
        <f>(D46-((C46*(Main!$F$41/100))+(G46*(Main!$F$36/100))+(I46*(Main!$F$46/100))+(K46*(Main!$F$51/100))))/$E$6</f>
        <v>3.353565546942291</v>
      </c>
      <c r="F46">
        <f>'Req. Diario'!F45</f>
        <v>11.929547259259259</v>
      </c>
      <c r="G46">
        <f>(F46-((C46*(Main!$G$41/100))+(E46*(Main!$G$31/100))+(I46*(Main!$G$46/100))+(K46*(Main!$G$51/100))))/$G$6</f>
        <v>19.8825787654321</v>
      </c>
      <c r="H46">
        <f>'Req. Diario'!G45</f>
        <v>2.0417527095879646</v>
      </c>
      <c r="I46">
        <f>H46/$I$6</f>
        <v>12.760954434924779</v>
      </c>
      <c r="J46">
        <f>'Req. Diario'!H45</f>
        <v>7.101981581213037</v>
      </c>
      <c r="K46">
        <f>J46/$K$6</f>
        <v>26.30363548597421</v>
      </c>
      <c r="L46">
        <f>'Req. Diario'!I45</f>
        <v>17.3149</v>
      </c>
      <c r="M46">
        <f>L46/$M$6</f>
        <v>84.46292682926831</v>
      </c>
    </row>
    <row r="47">
      <c r="B47">
        <f>'Req. Diario'!D46</f>
        <v>7.248686611262424</v>
      </c>
      <c r="C47">
        <f>(B47-((E47*(Main!$E$31/100))+(G47*(Main!$E$36/100))+(I47*(Main!$E$46/100))+(K47*(Main!$E$51/100))))/$C$6</f>
        <v>8.26625446359208</v>
      </c>
      <c r="D47">
        <f>'Req. Diario'!E46</f>
        <v>2.0456749836347976</v>
      </c>
      <c r="E47">
        <f>(D47-((C47*(Main!$F$41/100))+(G47*(Main!$F$36/100))+(I47*(Main!$F$46/100))+(K47*(Main!$F$51/100))))/$E$6</f>
        <v>3.353565546942291</v>
      </c>
      <c r="F47">
        <f>'Req. Diario'!F46</f>
        <v>11.929547259259259</v>
      </c>
      <c r="G47">
        <f>(F47-((C47*(Main!$G$41/100))+(E47*(Main!$G$31/100))+(I47*(Main!$G$46/100))+(K47*(Main!$G$51/100))))/$G$6</f>
        <v>19.8825787654321</v>
      </c>
      <c r="H47">
        <f>'Req. Diario'!G46</f>
        <v>2.0417527095879646</v>
      </c>
      <c r="I47">
        <f>H47/$I$6</f>
        <v>12.760954434924779</v>
      </c>
      <c r="J47">
        <f>'Req. Diario'!H46</f>
        <v>7.101981581213037</v>
      </c>
      <c r="K47">
        <f>J47/$K$6</f>
        <v>26.30363548597421</v>
      </c>
      <c r="L47">
        <f>'Req. Diario'!I46</f>
        <v>17.3149</v>
      </c>
      <c r="M47">
        <f>L47/$M$6</f>
        <v>84.46292682926831</v>
      </c>
    </row>
    <row r="48">
      <c r="B48">
        <f>'Req. Diario'!D47</f>
        <v>7.248686611262424</v>
      </c>
      <c r="C48">
        <f>(B48-((E48*(Main!$E$31/100))+(G48*(Main!$E$36/100))+(I48*(Main!$E$46/100))+(K48*(Main!$E$51/100))))/$C$6</f>
        <v>8.26625446359208</v>
      </c>
      <c r="D48">
        <f>'Req. Diario'!E47</f>
        <v>2.0456749836347976</v>
      </c>
      <c r="E48">
        <f>(D48-((C48*(Main!$F$41/100))+(G48*(Main!$F$36/100))+(I48*(Main!$F$46/100))+(K48*(Main!$F$51/100))))/$E$6</f>
        <v>3.353565546942291</v>
      </c>
      <c r="F48">
        <f>'Req. Diario'!F47</f>
        <v>11.929547259259259</v>
      </c>
      <c r="G48">
        <f>(F48-((C48*(Main!$G$41/100))+(E48*(Main!$G$31/100))+(I48*(Main!$G$46/100))+(K48*(Main!$G$51/100))))/$G$6</f>
        <v>19.8825787654321</v>
      </c>
      <c r="H48">
        <f>'Req. Diario'!G47</f>
        <v>2.0417527095879646</v>
      </c>
      <c r="I48">
        <f>H48/$I$6</f>
        <v>12.760954434924779</v>
      </c>
      <c r="J48">
        <f>'Req. Diario'!H47</f>
        <v>7.101981581213037</v>
      </c>
      <c r="K48">
        <f>J48/$K$6</f>
        <v>26.30363548597421</v>
      </c>
      <c r="L48">
        <f>'Req. Diario'!I47</f>
        <v>17.3149</v>
      </c>
      <c r="M48">
        <f>L48/$M$6</f>
        <v>84.46292682926831</v>
      </c>
    </row>
    <row r="49">
      <c r="A49">
        <v>7</v>
      </c>
      <c r="B49">
        <f>'Req. Diario'!D48</f>
        <v>7.248686611262424</v>
      </c>
      <c r="C49">
        <f>(B49-((E49*(Main!$E$31/100))+(G49*(Main!$E$36/100))+(I49*(Main!$E$46/100))+(K49*(Main!$E$51/100))))/$C$6</f>
        <v>5.83218670220342</v>
      </c>
      <c r="D49">
        <f>'Req. Diario'!E48</f>
        <v>2.0456749836347976</v>
      </c>
      <c r="E49">
        <f>(D49-((C49*(Main!$F$41/100))+(G49*(Main!$F$36/100))+(I49*(Main!$F$46/100))+(K49*(Main!$F$51/100))))/$E$6</f>
        <v>3.353565546942291</v>
      </c>
      <c r="F49">
        <f>'Req. Diario'!F48</f>
        <v>14.31545671111111</v>
      </c>
      <c r="G49">
        <f>(F49-((C49*(Main!$G$41/100))+(E49*(Main!$G$31/100))+(I49*(Main!$G$46/100))+(K49*(Main!$G$51/100))))/$G$6</f>
        <v>23.859094518518518</v>
      </c>
      <c r="H49">
        <f>'Req. Diario'!G48</f>
        <v>2.450103251505558</v>
      </c>
      <c r="I49">
        <f>H49/$I$6</f>
        <v>15.313145321909738</v>
      </c>
      <c r="J49">
        <f>'Req. Diario'!H48</f>
        <v>8.522377897455645</v>
      </c>
      <c r="K49">
        <f>J49/$K$6</f>
        <v>31.564362583169054</v>
      </c>
      <c r="L49">
        <f>'Req. Diario'!I48</f>
        <v>17.3149</v>
      </c>
      <c r="M49">
        <f>L49/$M$6</f>
        <v>84.46292682926831</v>
      </c>
    </row>
    <row r="50">
      <c r="B50">
        <f>'Req. Diario'!D49</f>
        <v>7.248686611262424</v>
      </c>
      <c r="C50">
        <f>(B50-((E50*(Main!$E$31/100))+(G50*(Main!$E$36/100))+(I50*(Main!$E$46/100))+(K50*(Main!$E$51/100))))/$C$6</f>
        <v>5.83218670220342</v>
      </c>
      <c r="D50">
        <f>'Req. Diario'!E49</f>
        <v>2.0456749836347976</v>
      </c>
      <c r="E50">
        <f>(D50-((C50*(Main!$F$41/100))+(G50*(Main!$F$36/100))+(I50*(Main!$F$46/100))+(K50*(Main!$F$51/100))))/$E$6</f>
        <v>3.353565546942291</v>
      </c>
      <c r="F50">
        <f>'Req. Diario'!F49</f>
        <v>14.31545671111111</v>
      </c>
      <c r="G50">
        <f>(F50-((C50*(Main!$G$41/100))+(E50*(Main!$G$31/100))+(I50*(Main!$G$46/100))+(K50*(Main!$G$51/100))))/$G$6</f>
        <v>23.859094518518518</v>
      </c>
      <c r="H50">
        <f>'Req. Diario'!G49</f>
        <v>2.450103251505558</v>
      </c>
      <c r="I50">
        <f>H50/$I$6</f>
        <v>15.313145321909738</v>
      </c>
      <c r="J50">
        <f>'Req. Diario'!H49</f>
        <v>8.522377897455645</v>
      </c>
      <c r="K50">
        <f>J50/$K$6</f>
        <v>31.564362583169054</v>
      </c>
      <c r="L50">
        <f>'Req. Diario'!I49</f>
        <v>17.3149</v>
      </c>
      <c r="M50">
        <f>L50/$M$6</f>
        <v>84.46292682926831</v>
      </c>
    </row>
    <row r="51">
      <c r="B51">
        <f>'Req. Diario'!D50</f>
        <v>7.248686611262424</v>
      </c>
      <c r="C51">
        <f>(B51-((E51*(Main!$E$31/100))+(G51*(Main!$E$36/100))+(I51*(Main!$E$46/100))+(K51*(Main!$E$51/100))))/$C$6</f>
        <v>5.83218670220342</v>
      </c>
      <c r="D51">
        <f>'Req. Diario'!E50</f>
        <v>2.0456749836347976</v>
      </c>
      <c r="E51">
        <f>(D51-((C51*(Main!$F$41/100))+(G51*(Main!$F$36/100))+(I51*(Main!$F$46/100))+(K51*(Main!$F$51/100))))/$E$6</f>
        <v>3.353565546942291</v>
      </c>
      <c r="F51">
        <f>'Req. Diario'!F50</f>
        <v>14.31545671111111</v>
      </c>
      <c r="G51">
        <f>(F51-((C51*(Main!$G$41/100))+(E51*(Main!$G$31/100))+(I51*(Main!$G$46/100))+(K51*(Main!$G$51/100))))/$G$6</f>
        <v>23.859094518518518</v>
      </c>
      <c r="H51">
        <f>'Req. Diario'!G50</f>
        <v>2.450103251505558</v>
      </c>
      <c r="I51">
        <f>H51/$I$6</f>
        <v>15.313145321909738</v>
      </c>
      <c r="J51">
        <f>'Req. Diario'!H50</f>
        <v>8.522377897455645</v>
      </c>
      <c r="K51">
        <f>J51/$K$6</f>
        <v>31.564362583169054</v>
      </c>
      <c r="L51">
        <f>'Req. Diario'!I50</f>
        <v>17.3149</v>
      </c>
      <c r="M51">
        <f>L51/$M$6</f>
        <v>84.46292682926831</v>
      </c>
    </row>
    <row r="52">
      <c r="B52">
        <f>'Req. Diario'!D51</f>
        <v>7.248686611262424</v>
      </c>
      <c r="C52">
        <f>(B52-((E52*(Main!$E$31/100))+(G52*(Main!$E$36/100))+(I52*(Main!$E$46/100))+(K52*(Main!$E$51/100))))/$C$6</f>
        <v>5.83218670220342</v>
      </c>
      <c r="D52">
        <f>'Req. Diario'!E51</f>
        <v>2.0456749836347976</v>
      </c>
      <c r="E52">
        <f>(D52-((C52*(Main!$F$41/100))+(G52*(Main!$F$36/100))+(I52*(Main!$F$46/100))+(K52*(Main!$F$51/100))))/$E$6</f>
        <v>3.353565546942291</v>
      </c>
      <c r="F52">
        <f>'Req. Diario'!F51</f>
        <v>14.31545671111111</v>
      </c>
      <c r="G52">
        <f>(F52-((C52*(Main!$G$41/100))+(E52*(Main!$G$31/100))+(I52*(Main!$G$46/100))+(K52*(Main!$G$51/100))))/$G$6</f>
        <v>23.859094518518518</v>
      </c>
      <c r="H52">
        <f>'Req. Diario'!G51</f>
        <v>2.450103251505558</v>
      </c>
      <c r="I52">
        <f>H52/$I$6</f>
        <v>15.313145321909738</v>
      </c>
      <c r="J52">
        <f>'Req. Diario'!H51</f>
        <v>8.522377897455645</v>
      </c>
      <c r="K52">
        <f>J52/$K$6</f>
        <v>31.564362583169054</v>
      </c>
      <c r="L52">
        <f>'Req. Diario'!I51</f>
        <v>17.3149</v>
      </c>
      <c r="M52">
        <f>L52/$M$6</f>
        <v>84.46292682926831</v>
      </c>
    </row>
    <row r="53">
      <c r="B53">
        <f>'Req. Diario'!D52</f>
        <v>7.248686611262424</v>
      </c>
      <c r="C53">
        <f>(B53-((E53*(Main!$E$31/100))+(G53*(Main!$E$36/100))+(I53*(Main!$E$46/100))+(K53*(Main!$E$51/100))))/$C$6</f>
        <v>5.83218670220342</v>
      </c>
      <c r="D53">
        <f>'Req. Diario'!E52</f>
        <v>2.0456749836347976</v>
      </c>
      <c r="E53">
        <f>(D53-((C53*(Main!$F$41/100))+(G53*(Main!$F$36/100))+(I53*(Main!$F$46/100))+(K53*(Main!$F$51/100))))/$E$6</f>
        <v>3.353565546942291</v>
      </c>
      <c r="F53">
        <f>'Req. Diario'!F52</f>
        <v>14.31545671111111</v>
      </c>
      <c r="G53">
        <f>(F53-((C53*(Main!$G$41/100))+(E53*(Main!$G$31/100))+(I53*(Main!$G$46/100))+(K53*(Main!$G$51/100))))/$G$6</f>
        <v>23.859094518518518</v>
      </c>
      <c r="H53">
        <f>'Req. Diario'!G52</f>
        <v>2.450103251505558</v>
      </c>
      <c r="I53">
        <f>H53/$I$6</f>
        <v>15.313145321909738</v>
      </c>
      <c r="J53">
        <f>'Req. Diario'!H52</f>
        <v>8.522377897455645</v>
      </c>
      <c r="K53">
        <f>J53/$K$6</f>
        <v>31.564362583169054</v>
      </c>
      <c r="L53">
        <f>'Req. Diario'!I52</f>
        <v>17.3149</v>
      </c>
      <c r="M53">
        <f>L53/$M$6</f>
        <v>84.46292682926831</v>
      </c>
    </row>
    <row r="54">
      <c r="B54">
        <f>'Req. Diario'!D53</f>
        <v>9.966944090485832</v>
      </c>
      <c r="C54">
        <f>(B54-((E54*(Main!$E$31/100))+(G54*(Main!$E$36/100))+(I54*(Main!$E$46/100))+(K54*(Main!$E$51/100))))/$C$6</f>
        <v>8.019256715529696</v>
      </c>
      <c r="D54">
        <f>'Req. Diario'!E53</f>
        <v>2.812803102497847</v>
      </c>
      <c r="E54">
        <f>(D54-((C54*(Main!$F$41/100))+(G54*(Main!$F$36/100))+(I54*(Main!$F$46/100))+(K54*(Main!$F$51/100))))/$E$6</f>
        <v>4.611152627045651</v>
      </c>
      <c r="F54">
        <f>'Req. Diario'!F53</f>
        <v>19.68375297777778</v>
      </c>
      <c r="G54">
        <f>(F54-((C54*(Main!$G$41/100))+(E54*(Main!$G$31/100))+(I54*(Main!$G$46/100))+(K54*(Main!$G$51/100))))/$G$6</f>
        <v>32.80625496296297</v>
      </c>
      <c r="H54">
        <f>'Req. Diario'!G53</f>
        <v>3.3688919708201426</v>
      </c>
      <c r="I54">
        <f>H54/$I$6</f>
        <v>21.055574817625892</v>
      </c>
      <c r="J54">
        <f>'Req. Diario'!H53</f>
        <v>11.718269609001513</v>
      </c>
      <c r="K54">
        <f>J54/$K$6</f>
        <v>43.400998551857455</v>
      </c>
      <c r="L54">
        <f>'Req. Diario'!I53</f>
        <v>23.426</v>
      </c>
      <c r="M54">
        <f>L54/$M$6</f>
        <v>114.27317073170731</v>
      </c>
    </row>
    <row r="55">
      <c r="B55">
        <f>'Req. Diario'!D54</f>
        <v>9.966944090485832</v>
      </c>
      <c r="C55">
        <f>(B55-((E55*(Main!$E$31/100))+(G55*(Main!$E$36/100))+(I55*(Main!$E$46/100))+(K55*(Main!$E$51/100))))/$C$6</f>
        <v>8.019256715529696</v>
      </c>
      <c r="D55">
        <f>'Req. Diario'!E54</f>
        <v>2.812803102497847</v>
      </c>
      <c r="E55">
        <f>(D55-((C55*(Main!$F$41/100))+(G55*(Main!$F$36/100))+(I55*(Main!$F$46/100))+(K55*(Main!$F$51/100))))/$E$6</f>
        <v>4.611152627045651</v>
      </c>
      <c r="F55">
        <f>'Req. Diario'!F54</f>
        <v>19.68375297777778</v>
      </c>
      <c r="G55">
        <f>(F55-((C55*(Main!$G$41/100))+(E55*(Main!$G$31/100))+(I55*(Main!$G$46/100))+(K55*(Main!$G$51/100))))/$G$6</f>
        <v>32.80625496296297</v>
      </c>
      <c r="H55">
        <f>'Req. Diario'!G54</f>
        <v>3.3688919708201426</v>
      </c>
      <c r="I55">
        <f>H55/$I$6</f>
        <v>21.055574817625892</v>
      </c>
      <c r="J55">
        <f>'Req. Diario'!H54</f>
        <v>11.718269609001513</v>
      </c>
      <c r="K55">
        <f>J55/$K$6</f>
        <v>43.400998551857455</v>
      </c>
      <c r="L55">
        <f>'Req. Diario'!I54</f>
        <v>23.426</v>
      </c>
      <c r="M55">
        <f>L55/$M$6</f>
        <v>114.27317073170731</v>
      </c>
    </row>
    <row r="56">
      <c r="A56">
        <v>8</v>
      </c>
      <c r="B56">
        <f>'Req. Diario'!D55</f>
        <v>9.966944090485832</v>
      </c>
      <c r="C56">
        <f>(B56-((E56*(Main!$E$31/100))+(G56*(Main!$E$36/100))+(I56*(Main!$E$46/100))+(K56*(Main!$E$51/100))))/$C$6</f>
        <v>8.019256715529696</v>
      </c>
      <c r="D56">
        <f>'Req. Diario'!E55</f>
        <v>2.812803102497847</v>
      </c>
      <c r="E56">
        <f>(D56-((C56*(Main!$F$41/100))+(G56*(Main!$F$36/100))+(I56*(Main!$F$46/100))+(K56*(Main!$F$51/100))))/$E$6</f>
        <v>4.611152627045651</v>
      </c>
      <c r="F56">
        <f>'Req. Diario'!F55</f>
        <v>19.68375297777778</v>
      </c>
      <c r="G56">
        <f>(F56-((C56*(Main!$G$41/100))+(E56*(Main!$G$31/100))+(I56*(Main!$G$46/100))+(K56*(Main!$G$51/100))))/$G$6</f>
        <v>32.80625496296297</v>
      </c>
      <c r="H56">
        <f>'Req. Diario'!G55</f>
        <v>3.3688919708201426</v>
      </c>
      <c r="I56">
        <f>H56/$I$6</f>
        <v>21.055574817625892</v>
      </c>
      <c r="J56">
        <f>'Req. Diario'!H55</f>
        <v>11.718269609001513</v>
      </c>
      <c r="K56">
        <f>J56/$K$6</f>
        <v>43.400998551857455</v>
      </c>
      <c r="L56">
        <f>'Req. Diario'!I55</f>
        <v>23.426</v>
      </c>
      <c r="M56">
        <f>L56/$M$6</f>
        <v>114.27317073170731</v>
      </c>
    </row>
    <row r="57">
      <c r="B57">
        <f>'Req. Diario'!D56</f>
        <v>9.966944090485832</v>
      </c>
      <c r="C57">
        <f>(B57-((E57*(Main!$E$31/100))+(G57*(Main!$E$36/100))+(I57*(Main!$E$46/100))+(K57*(Main!$E$51/100))))/$C$6</f>
        <v>8.019256715529696</v>
      </c>
      <c r="D57">
        <f>'Req. Diario'!E56</f>
        <v>2.812803102497847</v>
      </c>
      <c r="E57">
        <f>(D57-((C57*(Main!$F$41/100))+(G57*(Main!$F$36/100))+(I57*(Main!$F$46/100))+(K57*(Main!$F$51/100))))/$E$6</f>
        <v>4.611152627045651</v>
      </c>
      <c r="F57">
        <f>'Req. Diario'!F56</f>
        <v>19.68375297777778</v>
      </c>
      <c r="G57">
        <f>(F57-((C57*(Main!$G$41/100))+(E57*(Main!$G$31/100))+(I57*(Main!$G$46/100))+(K57*(Main!$G$51/100))))/$G$6</f>
        <v>32.80625496296297</v>
      </c>
      <c r="H57">
        <f>'Req. Diario'!G56</f>
        <v>3.3688919708201426</v>
      </c>
      <c r="I57">
        <f>H57/$I$6</f>
        <v>21.055574817625892</v>
      </c>
      <c r="J57">
        <f>'Req. Diario'!H56</f>
        <v>11.718269609001513</v>
      </c>
      <c r="K57">
        <f>J57/$K$6</f>
        <v>43.400998551857455</v>
      </c>
      <c r="L57">
        <f>'Req. Diario'!I56</f>
        <v>23.426</v>
      </c>
      <c r="M57">
        <f>L57/$M$6</f>
        <v>114.27317073170731</v>
      </c>
    </row>
    <row r="58">
      <c r="B58">
        <f>'Req. Diario'!D57</f>
        <v>9.966944090485832</v>
      </c>
      <c r="C58">
        <f>(B58-((E58*(Main!$E$31/100))+(G58*(Main!$E$36/100))+(I58*(Main!$E$46/100))+(K58*(Main!$E$51/100))))/$C$6</f>
        <v>8.019256715529696</v>
      </c>
      <c r="D58">
        <f>'Req. Diario'!E57</f>
        <v>2.812803102497847</v>
      </c>
      <c r="E58">
        <f>(D58-((C58*(Main!$F$41/100))+(G58*(Main!$F$36/100))+(I58*(Main!$F$46/100))+(K58*(Main!$F$51/100))))/$E$6</f>
        <v>4.611152627045651</v>
      </c>
      <c r="F58">
        <f>'Req. Diario'!F57</f>
        <v>19.68375297777778</v>
      </c>
      <c r="G58">
        <f>(F58-((C58*(Main!$G$41/100))+(E58*(Main!$G$31/100))+(I58*(Main!$G$46/100))+(K58*(Main!$G$51/100))))/$G$6</f>
        <v>32.80625496296297</v>
      </c>
      <c r="H58">
        <f>'Req. Diario'!G57</f>
        <v>3.3688919708201426</v>
      </c>
      <c r="I58">
        <f>H58/$I$6</f>
        <v>21.055574817625892</v>
      </c>
      <c r="J58">
        <f>'Req. Diario'!H57</f>
        <v>11.718269609001513</v>
      </c>
      <c r="K58">
        <f>J58/$K$6</f>
        <v>43.400998551857455</v>
      </c>
      <c r="L58">
        <f>'Req. Diario'!I57</f>
        <v>23.426</v>
      </c>
      <c r="M58">
        <f>L58/$M$6</f>
        <v>114.27317073170731</v>
      </c>
    </row>
    <row r="59">
      <c r="B59">
        <f>'Req. Diario'!D58</f>
        <v>9.966944090485832</v>
      </c>
      <c r="C59">
        <f>(B59-((E59*(Main!$E$31/100))+(G59*(Main!$E$36/100))+(I59*(Main!$E$46/100))+(K59*(Main!$E$51/100))))/$C$6</f>
        <v>8.019256715529696</v>
      </c>
      <c r="D59">
        <f>'Req. Diario'!E58</f>
        <v>2.812803102497847</v>
      </c>
      <c r="E59">
        <f>(D59-((C59*(Main!$F$41/100))+(G59*(Main!$F$36/100))+(I59*(Main!$F$46/100))+(K59*(Main!$F$51/100))))/$E$6</f>
        <v>4.611152627045651</v>
      </c>
      <c r="F59">
        <f>'Req. Diario'!F58</f>
        <v>19.68375297777778</v>
      </c>
      <c r="G59">
        <f>(F59-((C59*(Main!$G$41/100))+(E59*(Main!$G$31/100))+(I59*(Main!$G$46/100))+(K59*(Main!$G$51/100))))/$G$6</f>
        <v>32.80625496296297</v>
      </c>
      <c r="H59">
        <f>'Req. Diario'!G58</f>
        <v>3.3688919708201426</v>
      </c>
      <c r="I59">
        <f>H59/$I$6</f>
        <v>21.055574817625892</v>
      </c>
      <c r="J59">
        <f>'Req. Diario'!H58</f>
        <v>11.718269609001513</v>
      </c>
      <c r="K59">
        <f>J59/$K$6</f>
        <v>43.400998551857455</v>
      </c>
      <c r="L59">
        <f>'Req. Diario'!I58</f>
        <v>23.426</v>
      </c>
      <c r="M59">
        <f>L59/$M$6</f>
        <v>114.27317073170731</v>
      </c>
    </row>
    <row r="60">
      <c r="B60">
        <f>'Req. Diario'!D59</f>
        <v>9.966944090485832</v>
      </c>
      <c r="C60">
        <f>(B60-((E60*(Main!$E$31/100))+(G60*(Main!$E$36/100))+(I60*(Main!$E$46/100))+(K60*(Main!$E$51/100))))/$C$6</f>
        <v>8.019256715529696</v>
      </c>
      <c r="D60">
        <f>'Req. Diario'!E59</f>
        <v>2.812803102497847</v>
      </c>
      <c r="E60">
        <f>(D60-((C60*(Main!$F$41/100))+(G60*(Main!$F$36/100))+(I60*(Main!$F$46/100))+(K60*(Main!$F$51/100))))/$E$6</f>
        <v>4.611152627045651</v>
      </c>
      <c r="F60">
        <f>'Req. Diario'!F59</f>
        <v>19.68375297777778</v>
      </c>
      <c r="G60">
        <f>(F60-((C60*(Main!$G$41/100))+(E60*(Main!$G$31/100))+(I60*(Main!$G$46/100))+(K60*(Main!$G$51/100))))/$G$6</f>
        <v>32.80625496296297</v>
      </c>
      <c r="H60">
        <f>'Req. Diario'!G59</f>
        <v>3.3688919708201426</v>
      </c>
      <c r="I60">
        <f>H60/$I$6</f>
        <v>21.055574817625892</v>
      </c>
      <c r="J60">
        <f>'Req. Diario'!H59</f>
        <v>11.718269609001513</v>
      </c>
      <c r="K60">
        <f>J60/$K$6</f>
        <v>43.400998551857455</v>
      </c>
      <c r="L60">
        <f>'Req. Diario'!I59</f>
        <v>23.426</v>
      </c>
      <c r="M60">
        <f>L60/$M$6</f>
        <v>114.27317073170731</v>
      </c>
    </row>
    <row r="61">
      <c r="B61">
        <f>'Req. Diario'!D60</f>
        <v>9.966944090485832</v>
      </c>
      <c r="C61">
        <f>(B61-((E61*(Main!$E$31/100))+(G61*(Main!$E$36/100))+(I61*(Main!$E$46/100))+(K61*(Main!$E$51/100))))/$C$6</f>
        <v>8.019256715529696</v>
      </c>
      <c r="D61">
        <f>'Req. Diario'!E60</f>
        <v>2.812803102497847</v>
      </c>
      <c r="E61">
        <f>(D61-((C61*(Main!$F$41/100))+(G61*(Main!$F$36/100))+(I61*(Main!$F$46/100))+(K61*(Main!$F$51/100))))/$E$6</f>
        <v>4.611152627045651</v>
      </c>
      <c r="F61">
        <f>'Req. Diario'!F60</f>
        <v>19.68375297777778</v>
      </c>
      <c r="G61">
        <f>(F61-((C61*(Main!$G$41/100))+(E61*(Main!$G$31/100))+(I61*(Main!$G$46/100))+(K61*(Main!$G$51/100))))/$G$6</f>
        <v>32.80625496296297</v>
      </c>
      <c r="H61">
        <f>'Req. Diario'!G60</f>
        <v>3.3688919708201426</v>
      </c>
      <c r="I61">
        <f>H61/$I$6</f>
        <v>21.055574817625892</v>
      </c>
      <c r="J61">
        <f>'Req. Diario'!H60</f>
        <v>11.718269609001513</v>
      </c>
      <c r="K61">
        <f>J61/$K$6</f>
        <v>43.400998551857455</v>
      </c>
      <c r="L61">
        <f>'Req. Diario'!I60</f>
        <v>23.426</v>
      </c>
      <c r="M61">
        <f>L61/$M$6</f>
        <v>114.27317073170731</v>
      </c>
    </row>
    <row r="62">
      <c r="B62">
        <f>'Req. Diario'!D61</f>
        <v>9.966944090485832</v>
      </c>
      <c r="C62">
        <f>(B62-((E62*(Main!$E$31/100))+(G62*(Main!$E$36/100))+(I62*(Main!$E$46/100))+(K62*(Main!$E$51/100))))/$C$6</f>
        <v>8.019256715529696</v>
      </c>
      <c r="D62">
        <f>'Req. Diario'!E61</f>
        <v>2.812803102497847</v>
      </c>
      <c r="E62">
        <f>(D62-((C62*(Main!$F$41/100))+(G62*(Main!$F$36/100))+(I62*(Main!$F$46/100))+(K62*(Main!$F$51/100))))/$E$6</f>
        <v>4.611152627045651</v>
      </c>
      <c r="F62">
        <f>'Req. Diario'!F61</f>
        <v>19.68375297777778</v>
      </c>
      <c r="G62">
        <f>(F62-((C62*(Main!$G$41/100))+(E62*(Main!$G$31/100))+(I62*(Main!$G$46/100))+(K62*(Main!$G$51/100))))/$G$6</f>
        <v>32.80625496296297</v>
      </c>
      <c r="H62">
        <f>'Req. Diario'!G61</f>
        <v>3.3688919708201426</v>
      </c>
      <c r="I62">
        <f>H62/$I$6</f>
        <v>21.055574817625892</v>
      </c>
      <c r="J62">
        <f>'Req. Diario'!H61</f>
        <v>11.718269609001513</v>
      </c>
      <c r="K62">
        <f>J62/$K$6</f>
        <v>43.400998551857455</v>
      </c>
      <c r="L62">
        <f>'Req. Diario'!I61</f>
        <v>23.426</v>
      </c>
      <c r="M62">
        <f>L62/$M$6</f>
        <v>114.27317073170731</v>
      </c>
    </row>
    <row r="63">
      <c r="A63">
        <v>9</v>
      </c>
      <c r="B63">
        <f>'Req. Diario'!D62</f>
        <v>9.966944090485832</v>
      </c>
      <c r="C63">
        <f>(B63-((E63*(Main!$E$31/100))+(G63*(Main!$E$36/100))+(I63*(Main!$E$46/100))+(K63*(Main!$E$51/100))))/$C$6</f>
        <v>8.019256715529696</v>
      </c>
      <c r="D63">
        <f>'Req. Diario'!E62</f>
        <v>2.812803102497847</v>
      </c>
      <c r="E63">
        <f>(D63-((C63*(Main!$F$41/100))+(G63*(Main!$F$36/100))+(I63*(Main!$F$46/100))+(K63*(Main!$F$51/100))))/$E$6</f>
        <v>4.611152627045651</v>
      </c>
      <c r="F63">
        <f>'Req. Diario'!F62</f>
        <v>19.68375297777778</v>
      </c>
      <c r="G63">
        <f>(F63-((C63*(Main!$G$41/100))+(E63*(Main!$G$31/100))+(I63*(Main!$G$46/100))+(K63*(Main!$G$51/100))))/$G$6</f>
        <v>32.80625496296297</v>
      </c>
      <c r="H63">
        <f>'Req. Diario'!G62</f>
        <v>3.3688919708201426</v>
      </c>
      <c r="I63">
        <f>H63/$I$6</f>
        <v>21.055574817625892</v>
      </c>
      <c r="J63">
        <f>'Req. Diario'!H62</f>
        <v>11.718269609001513</v>
      </c>
      <c r="K63">
        <f>J63/$K$6</f>
        <v>43.400998551857455</v>
      </c>
      <c r="L63">
        <f>'Req. Diario'!I62</f>
        <v>23.426</v>
      </c>
      <c r="M63">
        <f>L63/$M$6</f>
        <v>114.27317073170731</v>
      </c>
    </row>
    <row r="64">
      <c r="B64">
        <f>'Req. Diario'!D63</f>
        <v>9.966944090485832</v>
      </c>
      <c r="C64">
        <f>(B64-((E64*(Main!$E$31/100))+(G64*(Main!$E$36/100))+(I64*(Main!$E$46/100))+(K64*(Main!$E$51/100))))/$C$6</f>
        <v>8.019256715529696</v>
      </c>
      <c r="D64">
        <f>'Req. Diario'!E63</f>
        <v>2.812803102497847</v>
      </c>
      <c r="E64">
        <f>(D64-((C64*(Main!$F$41/100))+(G64*(Main!$F$36/100))+(I64*(Main!$F$46/100))+(K64*(Main!$F$51/100))))/$E$6</f>
        <v>4.611152627045651</v>
      </c>
      <c r="F64">
        <f>'Req. Diario'!F63</f>
        <v>19.68375297777778</v>
      </c>
      <c r="G64">
        <f>(F64-((C64*(Main!$G$41/100))+(E64*(Main!$G$31/100))+(I64*(Main!$G$46/100))+(K64*(Main!$G$51/100))))/$G$6</f>
        <v>32.80625496296297</v>
      </c>
      <c r="H64">
        <f>'Req. Diario'!G63</f>
        <v>3.3688919708201426</v>
      </c>
      <c r="I64">
        <f>H64/$I$6</f>
        <v>21.055574817625892</v>
      </c>
      <c r="J64">
        <f>'Req. Diario'!H63</f>
        <v>11.718269609001513</v>
      </c>
      <c r="K64">
        <f>J64/$K$6</f>
        <v>43.400998551857455</v>
      </c>
      <c r="L64">
        <f>'Req. Diario'!I63</f>
        <v>23.426</v>
      </c>
      <c r="M64">
        <f>L64/$M$6</f>
        <v>114.27317073170731</v>
      </c>
    </row>
    <row r="65">
      <c r="B65">
        <f>'Req. Diario'!D64</f>
        <v>9.966944090485832</v>
      </c>
      <c r="C65">
        <f>(B65-((E65*(Main!$E$31/100))+(G65*(Main!$E$36/100))+(I65*(Main!$E$46/100))+(K65*(Main!$E$51/100))))/$C$6</f>
        <v>8.019256715529696</v>
      </c>
      <c r="D65">
        <f>'Req. Diario'!E64</f>
        <v>2.812803102497847</v>
      </c>
      <c r="E65">
        <f>(D65-((C65*(Main!$F$41/100))+(G65*(Main!$F$36/100))+(I65*(Main!$F$46/100))+(K65*(Main!$F$51/100))))/$E$6</f>
        <v>4.611152627045651</v>
      </c>
      <c r="F65">
        <f>'Req. Diario'!F64</f>
        <v>19.68375297777778</v>
      </c>
      <c r="G65">
        <f>(F65-((C65*(Main!$G$41/100))+(E65*(Main!$G$31/100))+(I65*(Main!$G$46/100))+(K65*(Main!$G$51/100))))/$G$6</f>
        <v>32.80625496296297</v>
      </c>
      <c r="H65">
        <f>'Req. Diario'!G64</f>
        <v>3.3688919708201426</v>
      </c>
      <c r="I65">
        <f>H65/$I$6</f>
        <v>21.055574817625892</v>
      </c>
      <c r="J65">
        <f>'Req. Diario'!H64</f>
        <v>11.718269609001513</v>
      </c>
      <c r="K65">
        <f>J65/$K$6</f>
        <v>43.400998551857455</v>
      </c>
      <c r="L65">
        <f>'Req. Diario'!I64</f>
        <v>23.426</v>
      </c>
      <c r="M65">
        <f>L65/$M$6</f>
        <v>114.27317073170731</v>
      </c>
    </row>
    <row r="66">
      <c r="B66">
        <f>'Req. Diario'!D65</f>
        <v>9.966944090485832</v>
      </c>
      <c r="C66">
        <f>(B66-((E66*(Main!$E$31/100))+(G66*(Main!$E$36/100))+(I66*(Main!$E$46/100))+(K66*(Main!$E$51/100))))/$C$6</f>
        <v>8.019256715529696</v>
      </c>
      <c r="D66">
        <f>'Req. Diario'!E65</f>
        <v>2.812803102497847</v>
      </c>
      <c r="E66">
        <f>(D66-((C66*(Main!$F$41/100))+(G66*(Main!$F$36/100))+(I66*(Main!$F$46/100))+(K66*(Main!$F$51/100))))/$E$6</f>
        <v>4.611152627045651</v>
      </c>
      <c r="F66">
        <f>'Req. Diario'!F65</f>
        <v>19.68375297777778</v>
      </c>
      <c r="G66">
        <f>(F66-((C66*(Main!$G$41/100))+(E66*(Main!$G$31/100))+(I66*(Main!$G$46/100))+(K66*(Main!$G$51/100))))/$G$6</f>
        <v>32.80625496296297</v>
      </c>
      <c r="H66">
        <f>'Req. Diario'!G65</f>
        <v>3.3688919708201426</v>
      </c>
      <c r="I66">
        <f>H66/$I$6</f>
        <v>21.055574817625892</v>
      </c>
      <c r="J66">
        <f>'Req. Diario'!H65</f>
        <v>11.718269609001513</v>
      </c>
      <c r="K66">
        <f>J66/$K$6</f>
        <v>43.400998551857455</v>
      </c>
      <c r="L66">
        <f>'Req. Diario'!I65</f>
        <v>23.426</v>
      </c>
      <c r="M66">
        <f>L66/$M$6</f>
        <v>114.27317073170731</v>
      </c>
    </row>
    <row r="67">
      <c r="B67">
        <f>'Req. Diario'!D66</f>
        <v>9.966944090485832</v>
      </c>
      <c r="C67">
        <f>(B67-((E67*(Main!$E$31/100))+(G67*(Main!$E$36/100))+(I67*(Main!$E$46/100))+(K67*(Main!$E$51/100))))/$C$6</f>
        <v>8.019256715529696</v>
      </c>
      <c r="D67">
        <f>'Req. Diario'!E66</f>
        <v>2.812803102497847</v>
      </c>
      <c r="E67">
        <f>(D67-((C67*(Main!$F$41/100))+(G67*(Main!$F$36/100))+(I67*(Main!$F$46/100))+(K67*(Main!$F$51/100))))/$E$6</f>
        <v>4.611152627045651</v>
      </c>
      <c r="F67">
        <f>'Req. Diario'!F66</f>
        <v>19.68375297777778</v>
      </c>
      <c r="G67">
        <f>(F67-((C67*(Main!$G$41/100))+(E67*(Main!$G$31/100))+(I67*(Main!$G$46/100))+(K67*(Main!$G$51/100))))/$G$6</f>
        <v>32.80625496296297</v>
      </c>
      <c r="H67">
        <f>'Req. Diario'!G66</f>
        <v>3.3688919708201426</v>
      </c>
      <c r="I67">
        <f>H67/$I$6</f>
        <v>21.055574817625892</v>
      </c>
      <c r="J67">
        <f>'Req. Diario'!H66</f>
        <v>11.718269609001513</v>
      </c>
      <c r="K67">
        <f>J67/$K$6</f>
        <v>43.400998551857455</v>
      </c>
      <c r="L67">
        <f>'Req. Diario'!I66</f>
        <v>23.426</v>
      </c>
      <c r="M67">
        <f>L67/$M$6</f>
        <v>114.27317073170731</v>
      </c>
    </row>
    <row r="68">
      <c r="B68">
        <f>'Req. Diario'!D67</f>
        <v>9.966944090485832</v>
      </c>
      <c r="C68">
        <f>(B68-((E68*(Main!$E$31/100))+(G68*(Main!$E$36/100))+(I68*(Main!$E$46/100))+(K68*(Main!$E$51/100))))/$C$6</f>
        <v>8.019256715529696</v>
      </c>
      <c r="D68">
        <f>'Req. Diario'!E67</f>
        <v>2.812803102497847</v>
      </c>
      <c r="E68">
        <f>(D68-((C68*(Main!$F$41/100))+(G68*(Main!$F$36/100))+(I68*(Main!$F$46/100))+(K68*(Main!$F$51/100))))/$E$6</f>
        <v>4.611152627045651</v>
      </c>
      <c r="F68">
        <f>'Req. Diario'!F67</f>
        <v>19.68375297777778</v>
      </c>
      <c r="G68">
        <f>(F68-((C68*(Main!$G$41/100))+(E68*(Main!$G$31/100))+(I68*(Main!$G$46/100))+(K68*(Main!$G$51/100))))/$G$6</f>
        <v>32.80625496296297</v>
      </c>
      <c r="H68">
        <f>'Req. Diario'!G67</f>
        <v>3.3688919708201426</v>
      </c>
      <c r="I68">
        <f>H68/$I$6</f>
        <v>21.055574817625892</v>
      </c>
      <c r="J68">
        <f>'Req. Diario'!H67</f>
        <v>11.718269609001513</v>
      </c>
      <c r="K68">
        <f>J68/$K$6</f>
        <v>43.400998551857455</v>
      </c>
      <c r="L68">
        <f>'Req. Diario'!I67</f>
        <v>23.426</v>
      </c>
      <c r="M68">
        <f>L68/$M$6</f>
        <v>114.27317073170731</v>
      </c>
    </row>
    <row r="69">
      <c r="B69">
        <f>'Req. Diario'!D68</f>
        <v>9.966944090485832</v>
      </c>
      <c r="C69">
        <f>(B69-((E69*(Main!$E$31/100))+(G69*(Main!$E$36/100))+(I69*(Main!$E$46/100))+(K69*(Main!$E$51/100))))/$C$6</f>
        <v>8.019256715529696</v>
      </c>
      <c r="D69">
        <f>'Req. Diario'!E68</f>
        <v>2.812803102497847</v>
      </c>
      <c r="E69">
        <f>(D69-((C69*(Main!$F$41/100))+(G69*(Main!$F$36/100))+(I69*(Main!$F$46/100))+(K69*(Main!$F$51/100))))/$E$6</f>
        <v>4.611152627045651</v>
      </c>
      <c r="F69">
        <f>'Req. Diario'!F68</f>
        <v>19.68375297777778</v>
      </c>
      <c r="G69">
        <f>(F69-((C69*(Main!$G$41/100))+(E69*(Main!$G$31/100))+(I69*(Main!$G$46/100))+(K69*(Main!$G$51/100))))/$G$6</f>
        <v>32.80625496296297</v>
      </c>
      <c r="H69">
        <f>'Req. Diario'!G68</f>
        <v>3.3688919708201426</v>
      </c>
      <c r="I69">
        <f>H69/$I$6</f>
        <v>21.055574817625892</v>
      </c>
      <c r="J69">
        <f>'Req. Diario'!H68</f>
        <v>11.718269609001513</v>
      </c>
      <c r="K69">
        <f>J69/$K$6</f>
        <v>43.400998551857455</v>
      </c>
      <c r="L69">
        <f>'Req. Diario'!I68</f>
        <v>29.5372</v>
      </c>
      <c r="M69">
        <f>L69/$M$6</f>
        <v>144.0839024390244</v>
      </c>
    </row>
    <row r="70">
      <c r="A70">
        <v>10</v>
      </c>
      <c r="B70">
        <f>'Req. Diario'!D69</f>
        <v>9.966944090485832</v>
      </c>
      <c r="C70">
        <f>(B70-((E70*(Main!$E$31/100))+(G70*(Main!$E$36/100))+(I70*(Main!$E$46/100))+(K70*(Main!$E$51/100))))/$C$6</f>
        <v>8.019256715529696</v>
      </c>
      <c r="D70">
        <f>'Req. Diario'!E69</f>
        <v>2.812803102497847</v>
      </c>
      <c r="E70">
        <f>(D70-((C70*(Main!$F$41/100))+(G70*(Main!$F$36/100))+(I70*(Main!$F$46/100))+(K70*(Main!$F$51/100))))/$E$6</f>
        <v>4.611152627045651</v>
      </c>
      <c r="F70">
        <f>'Req. Diario'!F69</f>
        <v>19.68375297777778</v>
      </c>
      <c r="G70">
        <f>(F70-((C70*(Main!$G$41/100))+(E70*(Main!$G$31/100))+(I70*(Main!$G$46/100))+(K70*(Main!$G$51/100))))/$G$6</f>
        <v>32.80625496296297</v>
      </c>
      <c r="H70">
        <f>'Req. Diario'!G69</f>
        <v>3.3688919708201426</v>
      </c>
      <c r="I70">
        <f>H70/$I$6</f>
        <v>21.055574817625892</v>
      </c>
      <c r="J70">
        <f>'Req. Diario'!H69</f>
        <v>11.718269609001513</v>
      </c>
      <c r="K70">
        <f>J70/$K$6</f>
        <v>43.400998551857455</v>
      </c>
      <c r="L70">
        <f>'Req. Diario'!I69</f>
        <v>29.5372</v>
      </c>
      <c r="M70">
        <f>L70/$M$6</f>
        <v>144.0839024390244</v>
      </c>
    </row>
    <row r="71">
      <c r="B71">
        <f>'Req. Diario'!D70</f>
        <v>9.966944090485832</v>
      </c>
      <c r="C71">
        <f>(B71-((E71*(Main!$E$31/100))+(G71*(Main!$E$36/100))+(I71*(Main!$E$46/100))+(K71*(Main!$E$51/100))))/$C$6</f>
        <v>8.019256715529696</v>
      </c>
      <c r="D71">
        <f>'Req. Diario'!E70</f>
        <v>2.812803102497847</v>
      </c>
      <c r="E71">
        <f>(D71-((C71*(Main!$F$41/100))+(G71*(Main!$F$36/100))+(I71*(Main!$F$46/100))+(K71*(Main!$F$51/100))))/$E$6</f>
        <v>4.611152627045651</v>
      </c>
      <c r="F71">
        <f>'Req. Diario'!F70</f>
        <v>19.68375297777778</v>
      </c>
      <c r="G71">
        <f>(F71-((C71*(Main!$G$41/100))+(E71*(Main!$G$31/100))+(I71*(Main!$G$46/100))+(K71*(Main!$G$51/100))))/$G$6</f>
        <v>32.80625496296297</v>
      </c>
      <c r="H71">
        <f>'Req. Diario'!G70</f>
        <v>3.3688919708201426</v>
      </c>
      <c r="I71">
        <f>H71/$I$6</f>
        <v>21.055574817625892</v>
      </c>
      <c r="J71">
        <f>'Req. Diario'!H70</f>
        <v>11.718269609001513</v>
      </c>
      <c r="K71">
        <f>J71/$K$6</f>
        <v>43.400998551857455</v>
      </c>
      <c r="L71">
        <f>'Req. Diario'!I70</f>
        <v>29.5372</v>
      </c>
      <c r="M71">
        <f>L71/$M$6</f>
        <v>144.0839024390244</v>
      </c>
    </row>
    <row r="72">
      <c r="B72">
        <f>'Req. Diario'!D71</f>
        <v>9.966944090485832</v>
      </c>
      <c r="C72">
        <f>(B72-((E72*(Main!$E$31/100))+(G72*(Main!$E$36/100))+(I72*(Main!$E$46/100))+(K72*(Main!$E$51/100))))/$C$6</f>
        <v>8.019256715529696</v>
      </c>
      <c r="D72">
        <f>'Req. Diario'!E71</f>
        <v>2.812803102497847</v>
      </c>
      <c r="E72">
        <f>(D72-((C72*(Main!$F$41/100))+(G72*(Main!$F$36/100))+(I72*(Main!$F$46/100))+(K72*(Main!$F$51/100))))/$E$6</f>
        <v>4.611152627045651</v>
      </c>
      <c r="F72">
        <f>'Req. Diario'!F71</f>
        <v>19.68375297777778</v>
      </c>
      <c r="G72">
        <f>(F72-((C72*(Main!$G$41/100))+(E72*(Main!$G$31/100))+(I72*(Main!$G$46/100))+(K72*(Main!$G$51/100))))/$G$6</f>
        <v>32.80625496296297</v>
      </c>
      <c r="H72">
        <f>'Req. Diario'!G71</f>
        <v>3.3688919708201426</v>
      </c>
      <c r="I72">
        <f>H72/$I$6</f>
        <v>21.055574817625892</v>
      </c>
      <c r="J72">
        <f>'Req. Diario'!H71</f>
        <v>11.718269609001513</v>
      </c>
      <c r="K72">
        <f>J72/$K$6</f>
        <v>43.400998551857455</v>
      </c>
      <c r="L72">
        <f>'Req. Diario'!I71</f>
        <v>29.5372</v>
      </c>
      <c r="M72">
        <f>L72/$M$6</f>
        <v>144.0839024390244</v>
      </c>
    </row>
    <row r="73">
      <c r="B73">
        <f>'Req. Diario'!D72</f>
        <v>9.966944090485832</v>
      </c>
      <c r="C73">
        <f>(B73-((E73*(Main!$E$31/100))+(G73*(Main!$E$36/100))+(I73*(Main!$E$46/100))+(K73*(Main!$E$51/100))))/$C$6</f>
        <v>8.019256715529696</v>
      </c>
      <c r="D73">
        <f>'Req. Diario'!E72</f>
        <v>2.812803102497847</v>
      </c>
      <c r="E73">
        <f>(D73-((C73*(Main!$F$41/100))+(G73*(Main!$F$36/100))+(I73*(Main!$F$46/100))+(K73*(Main!$F$51/100))))/$E$6</f>
        <v>4.611152627045651</v>
      </c>
      <c r="F73">
        <f>'Req. Diario'!F72</f>
        <v>19.68375297777778</v>
      </c>
      <c r="G73">
        <f>(F73-((C73*(Main!$G$41/100))+(E73*(Main!$G$31/100))+(I73*(Main!$G$46/100))+(K73*(Main!$G$51/100))))/$G$6</f>
        <v>32.80625496296297</v>
      </c>
      <c r="H73">
        <f>'Req. Diario'!G72</f>
        <v>3.3688919708201426</v>
      </c>
      <c r="I73">
        <f>H73/$I$6</f>
        <v>21.055574817625892</v>
      </c>
      <c r="J73">
        <f>'Req. Diario'!H72</f>
        <v>11.718269609001513</v>
      </c>
      <c r="K73">
        <f>J73/$K$6</f>
        <v>43.400998551857455</v>
      </c>
      <c r="L73">
        <f>'Req. Diario'!I72</f>
        <v>29.5372</v>
      </c>
      <c r="M73">
        <f>L73/$M$6</f>
        <v>144.0839024390244</v>
      </c>
    </row>
    <row r="74">
      <c r="B74">
        <f>'Req. Diario'!D73</f>
        <v>9.966944090485832</v>
      </c>
      <c r="C74">
        <f>(B74-((E74*(Main!$E$31/100))+(G74*(Main!$E$36/100))+(I74*(Main!$E$46/100))+(K74*(Main!$E$51/100))))/$C$6</f>
        <v>8.019256715529696</v>
      </c>
      <c r="D74">
        <f>'Req. Diario'!E73</f>
        <v>2.812803102497847</v>
      </c>
      <c r="E74">
        <f>(D74-((C74*(Main!$F$41/100))+(G74*(Main!$F$36/100))+(I74*(Main!$F$46/100))+(K74*(Main!$F$51/100))))/$E$6</f>
        <v>4.611152627045651</v>
      </c>
      <c r="F74">
        <f>'Req. Diario'!F73</f>
        <v>19.68375297777778</v>
      </c>
      <c r="G74">
        <f>(F74-((C74*(Main!$G$41/100))+(E74*(Main!$G$31/100))+(I74*(Main!$G$46/100))+(K74*(Main!$G$51/100))))/$G$6</f>
        <v>32.80625496296297</v>
      </c>
      <c r="H74">
        <f>'Req. Diario'!G73</f>
        <v>3.3688919708201426</v>
      </c>
      <c r="I74">
        <f>H74/$I$6</f>
        <v>21.055574817625892</v>
      </c>
      <c r="J74">
        <f>'Req. Diario'!H73</f>
        <v>11.718269609001513</v>
      </c>
      <c r="K74">
        <f>J74/$K$6</f>
        <v>43.400998551857455</v>
      </c>
      <c r="L74">
        <f>'Req. Diario'!I73</f>
        <v>29.5372</v>
      </c>
      <c r="M74">
        <f>L74/$M$6</f>
        <v>144.0839024390244</v>
      </c>
    </row>
    <row r="75">
      <c r="B75">
        <f>'Req. Diario'!D74</f>
        <v>9.966944090485832</v>
      </c>
      <c r="C75">
        <f>(B75-((E75*(Main!$E$31/100))+(G75*(Main!$E$36/100))+(I75*(Main!$E$46/100))+(K75*(Main!$E$51/100))))/$C$6</f>
        <v>8.019256715529696</v>
      </c>
      <c r="D75">
        <f>'Req. Diario'!E74</f>
        <v>2.812803102497847</v>
      </c>
      <c r="E75">
        <f>(D75-((C75*(Main!$F$41/100))+(G75*(Main!$F$36/100))+(I75*(Main!$F$46/100))+(K75*(Main!$F$51/100))))/$E$6</f>
        <v>4.611152627045651</v>
      </c>
      <c r="F75">
        <f>'Req. Diario'!F74</f>
        <v>19.68375297777778</v>
      </c>
      <c r="G75">
        <f>(F75-((C75*(Main!$G$41/100))+(E75*(Main!$G$31/100))+(I75*(Main!$G$46/100))+(K75*(Main!$G$51/100))))/$G$6</f>
        <v>32.80625496296297</v>
      </c>
      <c r="H75">
        <f>'Req. Diario'!G74</f>
        <v>3.3688919708201426</v>
      </c>
      <c r="I75">
        <f>H75/$I$6</f>
        <v>21.055574817625892</v>
      </c>
      <c r="J75">
        <f>'Req. Diario'!H74</f>
        <v>11.718269609001513</v>
      </c>
      <c r="K75">
        <f>J75/$K$6</f>
        <v>43.400998551857455</v>
      </c>
      <c r="L75">
        <f>'Req. Diario'!I74</f>
        <v>29.5372</v>
      </c>
      <c r="M75">
        <f>L75/$M$6</f>
        <v>144.0839024390244</v>
      </c>
    </row>
    <row r="76">
      <c r="B76">
        <f>'Req. Diario'!D75</f>
        <v>9.966944090485832</v>
      </c>
      <c r="C76">
        <f>(B76-((E76*(Main!$E$31/100))+(G76*(Main!$E$36/100))+(I76*(Main!$E$46/100))+(K76*(Main!$E$51/100))))/$C$6</f>
        <v>8.019256715529696</v>
      </c>
      <c r="D76">
        <f>'Req. Diario'!E75</f>
        <v>2.812803102497847</v>
      </c>
      <c r="E76">
        <f>(D76-((C76*(Main!$F$41/100))+(G76*(Main!$F$36/100))+(I76*(Main!$F$46/100))+(K76*(Main!$F$51/100))))/$E$6</f>
        <v>4.611152627045651</v>
      </c>
      <c r="F76">
        <f>'Req. Diario'!F75</f>
        <v>19.68375297777778</v>
      </c>
      <c r="G76">
        <f>(F76-((C76*(Main!$G$41/100))+(E76*(Main!$G$31/100))+(I76*(Main!$G$46/100))+(K76*(Main!$G$51/100))))/$G$6</f>
        <v>32.80625496296297</v>
      </c>
      <c r="H76">
        <f>'Req. Diario'!G75</f>
        <v>3.3688919708201426</v>
      </c>
      <c r="I76">
        <f>H76/$I$6</f>
        <v>21.055574817625892</v>
      </c>
      <c r="J76">
        <f>'Req. Diario'!H75</f>
        <v>11.718269609001513</v>
      </c>
      <c r="K76">
        <f>J76/$K$6</f>
        <v>43.400998551857455</v>
      </c>
      <c r="L76">
        <f>'Req. Diario'!I75</f>
        <v>29.5372</v>
      </c>
      <c r="M76">
        <f>L76/$M$6</f>
        <v>144.0839024390244</v>
      </c>
    </row>
    <row r="78">
      <c r="B78">
        <f>SUM(B6:B76)</f>
        <v>446.24726950584267</v>
      </c>
      <c r="C78">
        <f>SUM(C6:C76)</f>
        <v>427.07420247380486</v>
      </c>
      <c r="D78">
        <f>SUM(D6:D76)</f>
        <v>125.93686618001733</v>
      </c>
      <c r="E78">
        <f>SUM(E6:E76)</f>
        <v>207.06387898363465</v>
      </c>
      <c r="F78">
        <f>SUM(F6:F76)</f>
        <v>814.9394526169291</v>
      </c>
      <c r="G78">
        <f>SUM(G6:G76)</f>
        <v>1358.8324210282162</v>
      </c>
      <c r="H78">
        <f>SUM(H6:H76)</f>
        <v>139.47761799923205</v>
      </c>
      <c r="I78">
        <f>SUM(I6:I76)</f>
        <v>871.8951124952009</v>
      </c>
      <c r="J78">
        <f>SUM(J6:J76)</f>
        <v>485.1554595080792</v>
      </c>
      <c r="K78">
        <f>SUM(K6:K76)</f>
        <v>1797.1420722521418</v>
      </c>
      <c r="L78">
        <f>SUM(L6:L76)</f>
        <v>1145.8370000000007</v>
      </c>
      <c r="M78">
        <f>SUM(M6:M76)</f>
        <v>5589.653780487806</v>
      </c>
    </row>
  </sheetData>
  <sheetProtection sheet="1"/>
  <mergeCells count="1">
    <mergeCell ref="E1:J1"/>
  </mergeCells>
  <pageMargins left="0.42" right="0.75" top="0.44" bottom="0.39" header="0.25" footer="0.25"/>
  <ignoredErrors>
    <ignoredError numberStoredAsText="1" sqref="A1:Q78"/>
  </ignoredErrors>
</worksheet>
</file>

<file path=xl/worksheets/sheet10.xml><?xml version="1.0" encoding="utf-8"?>
<worksheet xmlns="http://schemas.openxmlformats.org/spreadsheetml/2006/main" xmlns:r="http://schemas.openxmlformats.org/officeDocument/2006/relationships">
  <dimension ref="A1:T76"/>
  <sheetViews>
    <sheetView workbookViewId="0" rightToLeft="0"/>
  </sheetViews>
  <sheetData>
    <row r="1">
      <c r="A1" t="str">
        <v>Requerimientos Diarios para:</v>
      </c>
      <c r="H1" t="str">
        <f>Main!E21</f>
        <v>Lechuga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1.812171652815606</v>
      </c>
      <c r="E6">
        <v>0.5114187459086994</v>
      </c>
      <c r="F6">
        <v>2.7697593975964283</v>
      </c>
      <c r="G6">
        <f>(H6/1.39135)*$K$5</f>
        <v>0.4740468042959396</v>
      </c>
      <c r="H6">
        <f>(F6*1.190654)*$L$5</f>
        <v>1.648912552892889</v>
      </c>
      <c r="I6">
        <v>5.0926</v>
      </c>
      <c r="J6">
        <f>D6/(F6/3.362524)</f>
        <v>2.2</v>
      </c>
      <c r="K6">
        <f>G6/(H6/1.39135)</f>
        <v>0.4</v>
      </c>
      <c r="L6">
        <f>(H6/1.190654)/F6</f>
        <v>0.5</v>
      </c>
    </row>
    <row r="7">
      <c r="B7">
        <v>2</v>
      </c>
      <c r="C7">
        <v>1</v>
      </c>
      <c r="D7">
        <v>1.812171652815606</v>
      </c>
      <c r="E7">
        <v>0.5114187459086994</v>
      </c>
      <c r="F7">
        <v>2.7697593975964283</v>
      </c>
      <c r="G7">
        <f>(H7/1.39135)*$K$5</f>
        <v>0.4740468042959396</v>
      </c>
      <c r="H7">
        <f>(F7*1.190654)*$L$5</f>
        <v>1.648912552892889</v>
      </c>
      <c r="I7">
        <v>5.0926</v>
      </c>
      <c r="J7">
        <f>D7/(F7/3.362524)</f>
        <v>2.2</v>
      </c>
      <c r="K7">
        <f>G7/(H7/1.39135)</f>
        <v>0.4</v>
      </c>
      <c r="L7">
        <f>(H7/1.190654)/F7</f>
        <v>0.5</v>
      </c>
    </row>
    <row r="8">
      <c r="B8">
        <v>3</v>
      </c>
      <c r="C8">
        <v>1</v>
      </c>
      <c r="D8">
        <v>1.812171652815606</v>
      </c>
      <c r="E8">
        <v>0.5114187459086994</v>
      </c>
      <c r="F8">
        <v>2.7697593975964283</v>
      </c>
      <c r="G8">
        <f>(H8/1.39135)*$K$5</f>
        <v>0.4740468042959396</v>
      </c>
      <c r="H8">
        <f>(F8*1.190654)*$L$5</f>
        <v>1.648912552892889</v>
      </c>
      <c r="I8">
        <v>5.0926</v>
      </c>
      <c r="J8">
        <f>D8/(F8/3.362524)</f>
        <v>2.2</v>
      </c>
      <c r="K8">
        <f>G8/(H8/1.39135)</f>
        <v>0.4</v>
      </c>
      <c r="L8">
        <f>(H8/1.190654)/F8</f>
        <v>0.5</v>
      </c>
    </row>
    <row r="9">
      <c r="B9">
        <v>4</v>
      </c>
      <c r="C9">
        <v>1</v>
      </c>
      <c r="D9">
        <v>1.812171652815606</v>
      </c>
      <c r="E9">
        <v>0.5114187459086994</v>
      </c>
      <c r="F9">
        <v>2.7697593975964283</v>
      </c>
      <c r="G9">
        <f>(H9/1.39135)*$K$5</f>
        <v>0.4740468042959396</v>
      </c>
      <c r="H9">
        <f>(F9*1.190654)*$L$5</f>
        <v>1.648912552892889</v>
      </c>
      <c r="I9">
        <v>5.0926</v>
      </c>
      <c r="J9">
        <f>D9/(F9/3.362524)</f>
        <v>2.2</v>
      </c>
      <c r="K9">
        <f>G9/(H9/1.39135)</f>
        <v>0.4</v>
      </c>
      <c r="L9">
        <f>(H9/1.190654)/F9</f>
        <v>0.5</v>
      </c>
    </row>
    <row r="10">
      <c r="B10">
        <v>5</v>
      </c>
      <c r="C10">
        <v>1</v>
      </c>
      <c r="D10">
        <v>1.812171652815606</v>
      </c>
      <c r="E10">
        <v>0.5114187459086994</v>
      </c>
      <c r="F10">
        <v>2.7697593975964283</v>
      </c>
      <c r="G10">
        <f>(H10/1.39135)*$K$5</f>
        <v>0.4740468042959396</v>
      </c>
      <c r="H10">
        <f>(F10*1.190654)*$L$5</f>
        <v>1.648912552892889</v>
      </c>
      <c r="I10">
        <v>5.0926</v>
      </c>
      <c r="J10">
        <f>D10/(F10/3.362524)</f>
        <v>2.2</v>
      </c>
      <c r="K10">
        <f>G10/(H10/1.39135)</f>
        <v>0.4</v>
      </c>
      <c r="L10">
        <f>(H10/1.190654)/F10</f>
        <v>0.5</v>
      </c>
    </row>
    <row r="11">
      <c r="B11">
        <v>6</v>
      </c>
      <c r="C11">
        <v>1</v>
      </c>
      <c r="D11">
        <v>1.812171652815606</v>
      </c>
      <c r="E11">
        <v>0.5114187459086994</v>
      </c>
      <c r="F11">
        <v>2.7697593975964283</v>
      </c>
      <c r="G11">
        <f>(H11/1.39135)*$K$5</f>
        <v>0.4740468042959396</v>
      </c>
      <c r="H11">
        <f>(F11*1.190654)*$L$5</f>
        <v>1.648912552892889</v>
      </c>
      <c r="I11">
        <v>5.0926</v>
      </c>
      <c r="J11">
        <f>D11/(F11/3.362524)</f>
        <v>2.2</v>
      </c>
      <c r="K11">
        <f>G11/(H11/1.39135)</f>
        <v>0.4</v>
      </c>
      <c r="L11">
        <f>(H11/1.190654)/F11</f>
        <v>0.5</v>
      </c>
    </row>
    <row r="12">
      <c r="B12">
        <v>7</v>
      </c>
      <c r="C12">
        <v>1</v>
      </c>
      <c r="D12">
        <v>1.812171652815606</v>
      </c>
      <c r="E12">
        <v>0.5114187459086994</v>
      </c>
      <c r="F12">
        <v>2.7697593975964283</v>
      </c>
      <c r="G12">
        <f>(H12/1.39135)*$K$5</f>
        <v>0.4740468042959396</v>
      </c>
      <c r="H12">
        <f>(F12*1.190654)*$L$5</f>
        <v>1.648912552892889</v>
      </c>
      <c r="I12">
        <v>5.0926</v>
      </c>
      <c r="J12">
        <f>D12/(F12/3.362524)</f>
        <v>2.2</v>
      </c>
      <c r="K12">
        <f>G12/(H12/1.39135)</f>
        <v>0.4</v>
      </c>
      <c r="L12">
        <f>(H12/1.190654)/F12</f>
        <v>0.5</v>
      </c>
    </row>
    <row r="13">
      <c r="B13">
        <v>8</v>
      </c>
      <c r="C13">
        <v>2</v>
      </c>
      <c r="D13">
        <v>1.812171652815606</v>
      </c>
      <c r="E13">
        <v>0.5114187459086994</v>
      </c>
      <c r="F13">
        <v>2.7697593975964283</v>
      </c>
      <c r="G13">
        <f>(H13/1.39135)*$K$5</f>
        <v>0.4740468042959396</v>
      </c>
      <c r="H13">
        <f>(F13*1.190654)*$L$5</f>
        <v>1.648912552892889</v>
      </c>
      <c r="I13">
        <v>5.0926</v>
      </c>
      <c r="J13">
        <f>D13/(F13/3.362524)</f>
        <v>2.2</v>
      </c>
      <c r="K13">
        <f>G13/(H13/1.39135)</f>
        <v>0.4</v>
      </c>
      <c r="L13">
        <f>(H13/1.190654)/F13</f>
        <v>0.5</v>
      </c>
    </row>
    <row r="14">
      <c r="B14">
        <v>9</v>
      </c>
      <c r="C14">
        <v>2</v>
      </c>
      <c r="D14">
        <v>1.812171652815606</v>
      </c>
      <c r="E14">
        <v>0.5114187459086994</v>
      </c>
      <c r="F14">
        <v>2.7697593975964283</v>
      </c>
      <c r="G14">
        <f>(H14/1.39135)*$K$5</f>
        <v>0.4740468042959396</v>
      </c>
      <c r="H14">
        <f>(F14*1.190654)*$L$5</f>
        <v>1.648912552892889</v>
      </c>
      <c r="I14">
        <v>5.0926</v>
      </c>
      <c r="J14">
        <f>D14/(F14/3.362524)</f>
        <v>2.2</v>
      </c>
      <c r="K14">
        <f>G14/(H14/1.39135)</f>
        <v>0.4</v>
      </c>
      <c r="L14">
        <f>(H14/1.190654)/F14</f>
        <v>0.5</v>
      </c>
    </row>
    <row r="15">
      <c r="B15">
        <v>10</v>
      </c>
      <c r="C15">
        <v>2</v>
      </c>
      <c r="D15">
        <v>1.812171652815606</v>
      </c>
      <c r="E15">
        <v>0.5114187459086994</v>
      </c>
      <c r="F15">
        <v>2.7697593975964283</v>
      </c>
      <c r="G15">
        <f>(H15/1.39135)*$K$5</f>
        <v>0.4740468042959396</v>
      </c>
      <c r="H15">
        <f>(F15*1.190654)*$L$5</f>
        <v>1.648912552892889</v>
      </c>
      <c r="I15">
        <v>5.0926</v>
      </c>
      <c r="J15">
        <f>D15/(F15/3.362524)</f>
        <v>2.2</v>
      </c>
      <c r="K15">
        <f>G15/(H15/1.39135)</f>
        <v>0.4</v>
      </c>
      <c r="L15">
        <f>(H15/1.190654)/F15</f>
        <v>0.5</v>
      </c>
    </row>
    <row r="16">
      <c r="B16">
        <v>11</v>
      </c>
      <c r="C16">
        <v>2</v>
      </c>
      <c r="D16">
        <v>3.1713003924273107</v>
      </c>
      <c r="E16">
        <v>0.8949828053402238</v>
      </c>
      <c r="F16">
        <v>4.84707894579375</v>
      </c>
      <c r="G16">
        <f>(H16/1.39135)*$K$5</f>
        <v>0.8295819075178944</v>
      </c>
      <c r="H16">
        <f>(F16*1.190654)*$L$5</f>
        <v>2.885596967562556</v>
      </c>
      <c r="I16">
        <v>9.1667</v>
      </c>
      <c r="J16">
        <f>D16/(F16/3.362524)</f>
        <v>2.2</v>
      </c>
      <c r="K16">
        <f>G16/(H16/1.39135)</f>
        <v>0.4</v>
      </c>
      <c r="L16">
        <f>(H16/1.190654)/F16</f>
        <v>0.5</v>
      </c>
    </row>
    <row r="17">
      <c r="B17">
        <v>12</v>
      </c>
      <c r="C17">
        <v>2</v>
      </c>
      <c r="D17">
        <v>3.1713003924273107</v>
      </c>
      <c r="E17">
        <v>0.8949828053402238</v>
      </c>
      <c r="F17">
        <v>4.84707894579375</v>
      </c>
      <c r="G17">
        <f>(H17/1.39135)*$K$5</f>
        <v>0.8295819075178944</v>
      </c>
      <c r="H17">
        <f>(F17*1.190654)*$L$5</f>
        <v>2.885596967562556</v>
      </c>
      <c r="I17">
        <v>9.1667</v>
      </c>
      <c r="J17">
        <f>D17/(F17/3.362524)</f>
        <v>2.2</v>
      </c>
      <c r="K17">
        <f>G17/(H17/1.39135)</f>
        <v>0.4</v>
      </c>
      <c r="L17">
        <f>(H17/1.190654)/F17</f>
        <v>0.5</v>
      </c>
    </row>
    <row r="18">
      <c r="B18">
        <v>13</v>
      </c>
      <c r="C18">
        <v>2</v>
      </c>
      <c r="D18">
        <v>3.1713003924273107</v>
      </c>
      <c r="E18">
        <v>0.8949828053402238</v>
      </c>
      <c r="F18">
        <v>4.84707894579375</v>
      </c>
      <c r="G18">
        <f>(H18/1.39135)*$K$5</f>
        <v>0.8295819075178944</v>
      </c>
      <c r="H18">
        <f>(F18*1.190654)*$L$5</f>
        <v>2.885596967562556</v>
      </c>
      <c r="I18">
        <v>9.1667</v>
      </c>
      <c r="J18">
        <f>D18/(F18/3.362524)</f>
        <v>2.2</v>
      </c>
      <c r="K18">
        <f>G18/(H18/1.39135)</f>
        <v>0.4</v>
      </c>
      <c r="L18">
        <f>(H18/1.190654)/F18</f>
        <v>0.5</v>
      </c>
    </row>
    <row r="19">
      <c r="B19">
        <v>14</v>
      </c>
      <c r="C19">
        <v>2</v>
      </c>
      <c r="D19">
        <v>3.1713003924273107</v>
      </c>
      <c r="E19">
        <v>0.8949828053402238</v>
      </c>
      <c r="F19">
        <v>4.84707894579375</v>
      </c>
      <c r="G19">
        <f>(H19/1.39135)*$K$5</f>
        <v>0.8295819075178944</v>
      </c>
      <c r="H19">
        <f>(F19*1.190654)*$L$5</f>
        <v>2.885596967562556</v>
      </c>
      <c r="I19">
        <v>9.1667</v>
      </c>
      <c r="J19">
        <f>D19/(F19/3.362524)</f>
        <v>2.2</v>
      </c>
      <c r="K19">
        <f>G19/(H19/1.39135)</f>
        <v>0.4</v>
      </c>
      <c r="L19">
        <f>(H19/1.190654)/F19</f>
        <v>0.5</v>
      </c>
    </row>
    <row r="20">
      <c r="B20">
        <v>15</v>
      </c>
      <c r="C20">
        <v>3</v>
      </c>
      <c r="D20">
        <v>3.1713003924273107</v>
      </c>
      <c r="E20">
        <v>0.8949828053402238</v>
      </c>
      <c r="F20">
        <v>4.84707894579375</v>
      </c>
      <c r="G20">
        <f>(H20/1.39135)*$K$5</f>
        <v>0.8295819075178944</v>
      </c>
      <c r="H20">
        <f>(F20*1.190654)*$L$5</f>
        <v>2.885596967562556</v>
      </c>
      <c r="I20">
        <v>9.1667</v>
      </c>
      <c r="J20">
        <f>D20/(F20/3.362524)</f>
        <v>2.2</v>
      </c>
      <c r="K20">
        <f>G20/(H20/1.39135)</f>
        <v>0.4</v>
      </c>
      <c r="L20">
        <f>(H20/1.190654)/F20</f>
        <v>0.5</v>
      </c>
    </row>
    <row r="21">
      <c r="B21">
        <v>16</v>
      </c>
      <c r="C21">
        <v>3</v>
      </c>
      <c r="D21">
        <v>3.1713003924273107</v>
      </c>
      <c r="E21">
        <v>0.8949828053402238</v>
      </c>
      <c r="F21">
        <v>4.84707894579375</v>
      </c>
      <c r="G21">
        <f>(H21/1.39135)*$K$5</f>
        <v>0.8295819075178944</v>
      </c>
      <c r="H21">
        <f>(F21*1.190654)*$L$5</f>
        <v>2.885596967562556</v>
      </c>
      <c r="I21">
        <v>9.1667</v>
      </c>
      <c r="J21">
        <f>D21/(F21/3.362524)</f>
        <v>2.2</v>
      </c>
      <c r="K21">
        <f>G21/(H21/1.39135)</f>
        <v>0.4</v>
      </c>
      <c r="L21">
        <f>(H21/1.190654)/F21</f>
        <v>0.5</v>
      </c>
    </row>
    <row r="22">
      <c r="B22">
        <v>17</v>
      </c>
      <c r="C22">
        <v>3</v>
      </c>
      <c r="D22">
        <v>3.1713003924273107</v>
      </c>
      <c r="E22">
        <v>0.8949828053402238</v>
      </c>
      <c r="F22">
        <v>4.84707894579375</v>
      </c>
      <c r="G22">
        <f>(H22/1.39135)*$K$5</f>
        <v>0.8295819075178944</v>
      </c>
      <c r="H22">
        <f>(F22*1.190654)*$L$5</f>
        <v>2.885596967562556</v>
      </c>
      <c r="I22">
        <v>9.1667</v>
      </c>
      <c r="J22">
        <f>D22/(F22/3.362524)</f>
        <v>2.2</v>
      </c>
      <c r="K22">
        <f>G22/(H22/1.39135)</f>
        <v>0.4</v>
      </c>
      <c r="L22">
        <f>(H22/1.190654)/F22</f>
        <v>0.5</v>
      </c>
    </row>
    <row r="23">
      <c r="B23">
        <v>18</v>
      </c>
      <c r="C23">
        <v>3</v>
      </c>
      <c r="D23">
        <v>4.530429132039015</v>
      </c>
      <c r="E23">
        <v>1.2785468647717484</v>
      </c>
      <c r="F23">
        <v>6.924398493991071</v>
      </c>
      <c r="G23">
        <f>(H23/1.39135)*$K$5</f>
        <v>1.1851170107398492</v>
      </c>
      <c r="H23">
        <f>(F23*1.190654)*$L$5</f>
        <v>4.122281382232223</v>
      </c>
      <c r="I23">
        <v>12.2222</v>
      </c>
      <c r="J23">
        <f>D23/(F23/3.362524)</f>
        <v>2.2</v>
      </c>
      <c r="K23">
        <f>G23/(H23/1.39135)</f>
        <v>0.4</v>
      </c>
      <c r="L23">
        <f>(H23/1.190654)/F23</f>
        <v>0.5</v>
      </c>
    </row>
    <row r="24">
      <c r="B24">
        <v>19</v>
      </c>
      <c r="C24">
        <v>3</v>
      </c>
      <c r="D24">
        <v>4.530429132039015</v>
      </c>
      <c r="E24">
        <v>1.2785468647717484</v>
      </c>
      <c r="F24">
        <v>6.924398493991071</v>
      </c>
      <c r="G24">
        <f>(H24/1.39135)*$K$5</f>
        <v>1.1851170107398492</v>
      </c>
      <c r="H24">
        <f>(F24*1.190654)*$L$5</f>
        <v>4.122281382232223</v>
      </c>
      <c r="I24">
        <v>12.2222</v>
      </c>
      <c r="J24">
        <f>D24/(F24/3.362524)</f>
        <v>2.2</v>
      </c>
      <c r="K24">
        <f>G24/(H24/1.39135)</f>
        <v>0.4</v>
      </c>
      <c r="L24">
        <f>(H24/1.190654)/F24</f>
        <v>0.5</v>
      </c>
    </row>
    <row r="25">
      <c r="B25">
        <v>20</v>
      </c>
      <c r="C25">
        <v>3</v>
      </c>
      <c r="D25">
        <v>4.530429132039015</v>
      </c>
      <c r="E25">
        <v>1.2785468647717484</v>
      </c>
      <c r="F25">
        <v>6.924398493991071</v>
      </c>
      <c r="G25">
        <f>(H25/1.39135)*$K$5</f>
        <v>1.1851170107398492</v>
      </c>
      <c r="H25">
        <f>(F25*1.190654)*$L$5</f>
        <v>4.122281382232223</v>
      </c>
      <c r="I25">
        <v>12.2222</v>
      </c>
      <c r="J25">
        <f>D25/(F25/3.362524)</f>
        <v>2.2</v>
      </c>
      <c r="K25">
        <f>G25/(H25/1.39135)</f>
        <v>0.4</v>
      </c>
      <c r="L25">
        <f>(H25/1.190654)/F25</f>
        <v>0.5</v>
      </c>
    </row>
    <row r="26">
      <c r="B26">
        <v>21</v>
      </c>
      <c r="C26">
        <v>3</v>
      </c>
      <c r="D26">
        <v>4.530429132039015</v>
      </c>
      <c r="E26">
        <v>1.2785468647717484</v>
      </c>
      <c r="F26">
        <v>6.924398493991071</v>
      </c>
      <c r="G26">
        <f>(H26/1.39135)*$K$5</f>
        <v>1.1851170107398492</v>
      </c>
      <c r="H26">
        <f>(F26*1.190654)*$L$5</f>
        <v>4.122281382232223</v>
      </c>
      <c r="I26">
        <v>12.2222</v>
      </c>
      <c r="J26">
        <f>D26/(F26/3.362524)</f>
        <v>2.2</v>
      </c>
      <c r="K26">
        <f>G26/(H26/1.39135)</f>
        <v>0.4</v>
      </c>
      <c r="L26">
        <f>(H26/1.190654)/F26</f>
        <v>0.5</v>
      </c>
    </row>
    <row r="27">
      <c r="B27">
        <v>22</v>
      </c>
      <c r="C27">
        <v>4</v>
      </c>
      <c r="D27">
        <v>4.530429132039015</v>
      </c>
      <c r="E27">
        <v>1.2785468647717484</v>
      </c>
      <c r="F27">
        <v>7.455967037037037</v>
      </c>
      <c r="G27">
        <f>(H27/1.39135)*$K$5</f>
        <v>1.276095443492478</v>
      </c>
      <c r="H27">
        <f>(F27*1.190654)*$L$5</f>
        <v>4.438738488258148</v>
      </c>
      <c r="I27">
        <v>12.2222</v>
      </c>
      <c r="J27">
        <f>D27/(F27/3.362524)</f>
        <v>2.0431523652274812</v>
      </c>
      <c r="K27">
        <f>G27/(H27/1.39135)</f>
        <v>0.4</v>
      </c>
      <c r="L27">
        <f>(H27/1.190654)/F27</f>
        <v>0.5</v>
      </c>
    </row>
    <row r="28">
      <c r="B28">
        <v>23</v>
      </c>
      <c r="C28">
        <v>4</v>
      </c>
      <c r="D28">
        <v>4.530429132039015</v>
      </c>
      <c r="E28">
        <v>1.2785468647717484</v>
      </c>
      <c r="F28">
        <v>7.455967037037037</v>
      </c>
      <c r="G28">
        <f>(H28/1.39135)*$K$5</f>
        <v>1.276095443492478</v>
      </c>
      <c r="H28">
        <f>(F28*1.190654)*$L$5</f>
        <v>4.438738488258148</v>
      </c>
      <c r="I28">
        <v>12.2222</v>
      </c>
      <c r="J28">
        <f>D28/(F28/3.362524)</f>
        <v>2.0431523652274812</v>
      </c>
      <c r="K28">
        <f>G28/(H28/1.39135)</f>
        <v>0.4</v>
      </c>
      <c r="L28">
        <f>(H28/1.190654)/F28</f>
        <v>0.5</v>
      </c>
    </row>
    <row r="29">
      <c r="B29">
        <v>24</v>
      </c>
      <c r="C29">
        <v>4</v>
      </c>
      <c r="D29">
        <v>4.530429132039015</v>
      </c>
      <c r="E29">
        <v>1.2785468647717484</v>
      </c>
      <c r="F29">
        <v>7.455967037037037</v>
      </c>
      <c r="G29">
        <f>(H29/1.39135)*$K$5</f>
        <v>1.276095443492478</v>
      </c>
      <c r="H29">
        <f>(F29*1.190654)*$L$5</f>
        <v>4.438738488258148</v>
      </c>
      <c r="I29">
        <v>12.2222</v>
      </c>
      <c r="J29">
        <f>D29/(F29/3.362524)</f>
        <v>2.0431523652274812</v>
      </c>
      <c r="K29">
        <f>G29/(H29/1.39135)</f>
        <v>0.4</v>
      </c>
      <c r="L29">
        <f>(H29/1.190654)/F29</f>
        <v>0.5</v>
      </c>
    </row>
    <row r="30">
      <c r="B30">
        <v>25</v>
      </c>
      <c r="C30">
        <v>4</v>
      </c>
      <c r="D30">
        <v>4.530429132039015</v>
      </c>
      <c r="E30">
        <v>1.2785468647717484</v>
      </c>
      <c r="F30">
        <v>7.455967037037037</v>
      </c>
      <c r="G30">
        <f>(H30/1.39135)*$K$5</f>
        <v>1.276095443492478</v>
      </c>
      <c r="H30">
        <f>(F30*1.190654)*$L$5</f>
        <v>4.438738488258148</v>
      </c>
      <c r="I30">
        <v>12.2222</v>
      </c>
      <c r="J30">
        <f>D30/(F30/3.362524)</f>
        <v>2.0431523652274812</v>
      </c>
      <c r="K30">
        <f>G30/(H30/1.39135)</f>
        <v>0.4</v>
      </c>
      <c r="L30">
        <f>(H30/1.190654)/F30</f>
        <v>0.5</v>
      </c>
    </row>
    <row r="31">
      <c r="B31">
        <v>26</v>
      </c>
      <c r="C31">
        <v>4</v>
      </c>
      <c r="D31">
        <v>4.530429132039015</v>
      </c>
      <c r="E31">
        <v>1.2785468647717484</v>
      </c>
      <c r="F31">
        <v>7.455967037037037</v>
      </c>
      <c r="G31">
        <f>(H31/1.39135)*$K$5</f>
        <v>1.276095443492478</v>
      </c>
      <c r="H31">
        <f>(F31*1.190654)*$L$5</f>
        <v>4.438738488258148</v>
      </c>
      <c r="I31">
        <v>12.2222</v>
      </c>
      <c r="J31">
        <f>D31/(F31/3.362524)</f>
        <v>2.0431523652274812</v>
      </c>
      <c r="K31">
        <f>G31/(H31/1.39135)</f>
        <v>0.4</v>
      </c>
      <c r="L31">
        <f>(H31/1.190654)/F31</f>
        <v>0.5</v>
      </c>
    </row>
    <row r="32">
      <c r="B32">
        <v>27</v>
      </c>
      <c r="C32">
        <v>4</v>
      </c>
      <c r="D32">
        <v>4.530429132039015</v>
      </c>
      <c r="E32">
        <v>1.2785468647717484</v>
      </c>
      <c r="F32">
        <v>7.455967037037037</v>
      </c>
      <c r="G32">
        <f>(H32/1.39135)*$K$5</f>
        <v>1.276095443492478</v>
      </c>
      <c r="H32">
        <f>(F32*1.190654)*$L$5</f>
        <v>4.438738488258148</v>
      </c>
      <c r="I32">
        <v>12.2222</v>
      </c>
      <c r="J32">
        <f>D32/(F32/3.362524)</f>
        <v>2.0431523652274812</v>
      </c>
      <c r="K32">
        <f>G32/(H32/1.39135)</f>
        <v>0.4</v>
      </c>
      <c r="L32">
        <f>(H32/1.190654)/F32</f>
        <v>0.5</v>
      </c>
    </row>
    <row r="33">
      <c r="B33">
        <v>28</v>
      </c>
      <c r="C33">
        <v>4</v>
      </c>
      <c r="D33">
        <v>4.530429132039015</v>
      </c>
      <c r="E33">
        <v>1.2785468647717484</v>
      </c>
      <c r="F33">
        <v>7.455967037037037</v>
      </c>
      <c r="G33">
        <f>(H33/1.39135)*$K$5</f>
        <v>1.276095443492478</v>
      </c>
      <c r="H33">
        <f>(F33*1.190654)*$L$5</f>
        <v>4.438738488258148</v>
      </c>
      <c r="I33">
        <v>12.2222</v>
      </c>
      <c r="J33">
        <f>D33/(F33/3.362524)</f>
        <v>2.0431523652274812</v>
      </c>
      <c r="K33">
        <f>G33/(H33/1.39135)</f>
        <v>0.4</v>
      </c>
      <c r="L33">
        <f>(H33/1.190654)/F33</f>
        <v>0.5</v>
      </c>
    </row>
    <row r="34">
      <c r="B34">
        <v>29</v>
      </c>
      <c r="C34">
        <v>5</v>
      </c>
      <c r="D34">
        <v>4.530429132039015</v>
      </c>
      <c r="E34">
        <v>1.2785468647717484</v>
      </c>
      <c r="F34">
        <v>7.455967037037037</v>
      </c>
      <c r="G34">
        <f>(H34/1.39135)*$K$5</f>
        <v>1.276095443492478</v>
      </c>
      <c r="H34">
        <f>(F34*1.190654)*$L$5</f>
        <v>4.438738488258148</v>
      </c>
      <c r="I34">
        <v>12.2222</v>
      </c>
      <c r="J34">
        <f>D34/(F34/3.362524)</f>
        <v>2.0431523652274812</v>
      </c>
      <c r="K34">
        <f>G34/(H34/1.39135)</f>
        <v>0.4</v>
      </c>
      <c r="L34">
        <f>(H34/1.190654)/F34</f>
        <v>0.5</v>
      </c>
    </row>
    <row r="35">
      <c r="B35">
        <v>30</v>
      </c>
      <c r="C35">
        <v>5</v>
      </c>
      <c r="D35">
        <v>4.530429132039015</v>
      </c>
      <c r="E35">
        <v>1.2785468647717484</v>
      </c>
      <c r="F35">
        <v>7.455967037037037</v>
      </c>
      <c r="G35">
        <f>(H35/1.39135)*$K$5</f>
        <v>1.276095443492478</v>
      </c>
      <c r="H35">
        <f>(F35*1.190654)*$L$5</f>
        <v>4.438738488258148</v>
      </c>
      <c r="I35">
        <v>12.2222</v>
      </c>
      <c r="J35">
        <f>D35/(F35/3.362524)</f>
        <v>2.0431523652274812</v>
      </c>
      <c r="K35">
        <f>G35/(H35/1.39135)</f>
        <v>0.4</v>
      </c>
      <c r="L35">
        <f>(H35/1.190654)/F35</f>
        <v>0.5</v>
      </c>
    </row>
    <row r="36">
      <c r="B36">
        <v>31</v>
      </c>
      <c r="C36">
        <v>5</v>
      </c>
      <c r="D36">
        <v>4.530429132039015</v>
      </c>
      <c r="E36">
        <v>1.2785468647717484</v>
      </c>
      <c r="F36">
        <v>7.455967037037037</v>
      </c>
      <c r="G36">
        <f>(H36/1.39135)*$K$5</f>
        <v>1.276095443492478</v>
      </c>
      <c r="H36">
        <f>(F36*1.190654)*$L$5</f>
        <v>4.438738488258148</v>
      </c>
      <c r="I36">
        <v>12.2222</v>
      </c>
      <c r="J36">
        <f>D36/(F36/3.362524)</f>
        <v>2.0431523652274812</v>
      </c>
      <c r="K36">
        <f>G36/(H36/1.39135)</f>
        <v>0.4</v>
      </c>
      <c r="L36">
        <f>(H36/1.190654)/F36</f>
        <v>0.5</v>
      </c>
    </row>
    <row r="37">
      <c r="B37">
        <v>32</v>
      </c>
      <c r="C37">
        <v>5</v>
      </c>
      <c r="D37">
        <v>4.530429132039015</v>
      </c>
      <c r="E37">
        <v>1.2785468647717484</v>
      </c>
      <c r="F37">
        <v>7.455967037037037</v>
      </c>
      <c r="G37">
        <f>(H37/1.39135)*$K$5</f>
        <v>1.276095443492478</v>
      </c>
      <c r="H37">
        <f>(F37*1.190654)*$L$5</f>
        <v>4.438738488258148</v>
      </c>
      <c r="I37">
        <v>12.2222</v>
      </c>
      <c r="J37">
        <f>D37/(F37/3.362524)</f>
        <v>2.0431523652274812</v>
      </c>
      <c r="K37">
        <f>G37/(H37/1.39135)</f>
        <v>0.4</v>
      </c>
      <c r="L37">
        <f>(H37/1.190654)/F37</f>
        <v>0.5</v>
      </c>
    </row>
    <row r="38">
      <c r="B38">
        <v>33</v>
      </c>
      <c r="C38">
        <v>5</v>
      </c>
      <c r="D38">
        <v>7.248686611262424</v>
      </c>
      <c r="E38">
        <v>2.0456749836347976</v>
      </c>
      <c r="F38">
        <v>11.929547259259259</v>
      </c>
      <c r="G38">
        <f>(H38/1.39135)*$K$5</f>
        <v>2.0417527095879646</v>
      </c>
      <c r="H38">
        <f>(F38*1.190654)*$L$5</f>
        <v>7.101981581213037</v>
      </c>
      <c r="I38">
        <v>17.3149</v>
      </c>
      <c r="J38">
        <f>D38/(F38/3.362524)</f>
        <v>2.0431523652274812</v>
      </c>
      <c r="K38">
        <f>G38/(H38/1.39135)</f>
        <v>0.4</v>
      </c>
      <c r="L38">
        <f>(H38/1.190654)/F38</f>
        <v>0.5</v>
      </c>
    </row>
    <row r="39">
      <c r="B39">
        <v>34</v>
      </c>
      <c r="C39">
        <v>5</v>
      </c>
      <c r="D39">
        <v>7.248686611262424</v>
      </c>
      <c r="E39">
        <v>2.0456749836347976</v>
      </c>
      <c r="F39">
        <v>11.929547259259259</v>
      </c>
      <c r="G39">
        <f>(H39/1.39135)*$K$5</f>
        <v>2.0417527095879646</v>
      </c>
      <c r="H39">
        <f>(F39*1.190654)*$L$5</f>
        <v>7.101981581213037</v>
      </c>
      <c r="I39">
        <v>17.3149</v>
      </c>
      <c r="J39">
        <f>D39/(F39/3.362524)</f>
        <v>2.0431523652274812</v>
      </c>
      <c r="K39">
        <f>G39/(H39/1.39135)</f>
        <v>0.4</v>
      </c>
      <c r="L39">
        <f>(H39/1.190654)/F39</f>
        <v>0.5</v>
      </c>
    </row>
    <row r="40">
      <c r="B40">
        <v>35</v>
      </c>
      <c r="C40">
        <v>5</v>
      </c>
      <c r="D40">
        <v>7.248686611262424</v>
      </c>
      <c r="E40">
        <v>2.0456749836347976</v>
      </c>
      <c r="F40">
        <v>11.929547259259259</v>
      </c>
      <c r="G40">
        <f>(H40/1.39135)*$K$5</f>
        <v>2.0417527095879646</v>
      </c>
      <c r="H40">
        <f>(F40*1.190654)*$L$5</f>
        <v>7.101981581213037</v>
      </c>
      <c r="I40">
        <v>17.3149</v>
      </c>
      <c r="J40">
        <f>D40/(F40/3.362524)</f>
        <v>2.0431523652274812</v>
      </c>
      <c r="K40">
        <f>G40/(H40/1.39135)</f>
        <v>0.4</v>
      </c>
      <c r="L40">
        <f>(H40/1.190654)/F40</f>
        <v>0.5</v>
      </c>
    </row>
    <row r="41">
      <c r="B41">
        <v>36</v>
      </c>
      <c r="C41">
        <v>6</v>
      </c>
      <c r="D41">
        <v>7.248686611262424</v>
      </c>
      <c r="E41">
        <v>2.0456749836347976</v>
      </c>
      <c r="F41">
        <v>11.929547259259259</v>
      </c>
      <c r="G41">
        <f>(H41/1.39135)*$K$5</f>
        <v>2.0417527095879646</v>
      </c>
      <c r="H41">
        <f>(F41*1.190654)*$L$5</f>
        <v>7.101981581213037</v>
      </c>
      <c r="I41">
        <v>17.3149</v>
      </c>
      <c r="J41">
        <f>D41/(F41/3.362524)</f>
        <v>2.0431523652274812</v>
      </c>
      <c r="K41">
        <f>G41/(H41/1.39135)</f>
        <v>0.4</v>
      </c>
      <c r="L41">
        <f>(H41/1.190654)/F41</f>
        <v>0.5</v>
      </c>
    </row>
    <row r="42">
      <c r="B42">
        <v>37</v>
      </c>
      <c r="C42">
        <v>6</v>
      </c>
      <c r="D42">
        <v>7.248686611262424</v>
      </c>
      <c r="E42">
        <v>2.0456749836347976</v>
      </c>
      <c r="F42">
        <v>11.929547259259259</v>
      </c>
      <c r="G42">
        <f>(H42/1.39135)*$K$5</f>
        <v>2.0417527095879646</v>
      </c>
      <c r="H42">
        <f>(F42*1.190654)*$L$5</f>
        <v>7.101981581213037</v>
      </c>
      <c r="I42">
        <v>17.3149</v>
      </c>
      <c r="J42">
        <f>D42/(F42/3.362524)</f>
        <v>2.0431523652274812</v>
      </c>
      <c r="K42">
        <f>G42/(H42/1.39135)</f>
        <v>0.4</v>
      </c>
      <c r="L42">
        <f>(H42/1.190654)/F42</f>
        <v>0.5</v>
      </c>
    </row>
    <row r="43">
      <c r="B43">
        <v>38</v>
      </c>
      <c r="C43">
        <v>6</v>
      </c>
      <c r="D43">
        <v>7.248686611262424</v>
      </c>
      <c r="E43">
        <v>2.0456749836347976</v>
      </c>
      <c r="F43">
        <v>11.929547259259259</v>
      </c>
      <c r="G43">
        <f>(H43/1.39135)*$K$5</f>
        <v>2.0417527095879646</v>
      </c>
      <c r="H43">
        <f>(F43*1.190654)*$L$5</f>
        <v>7.101981581213037</v>
      </c>
      <c r="I43">
        <v>17.3149</v>
      </c>
      <c r="J43">
        <f>D43/(F43/3.362524)</f>
        <v>2.0431523652274812</v>
      </c>
      <c r="K43">
        <f>G43/(H43/1.39135)</f>
        <v>0.4</v>
      </c>
      <c r="L43">
        <f>(H43/1.190654)/F43</f>
        <v>0.5</v>
      </c>
    </row>
    <row r="44">
      <c r="B44">
        <v>39</v>
      </c>
      <c r="C44">
        <v>6</v>
      </c>
      <c r="D44">
        <v>7.248686611262424</v>
      </c>
      <c r="E44">
        <v>2.0456749836347976</v>
      </c>
      <c r="F44">
        <v>11.929547259259259</v>
      </c>
      <c r="G44">
        <f>(H44/1.39135)*$K$5</f>
        <v>2.0417527095879646</v>
      </c>
      <c r="H44">
        <f>(F44*1.190654)*$L$5</f>
        <v>7.101981581213037</v>
      </c>
      <c r="I44">
        <v>17.3149</v>
      </c>
      <c r="J44">
        <f>D44/(F44/3.362524)</f>
        <v>2.0431523652274812</v>
      </c>
      <c r="K44">
        <f>G44/(H44/1.39135)</f>
        <v>0.4</v>
      </c>
      <c r="L44">
        <f>(H44/1.190654)/F44</f>
        <v>0.5</v>
      </c>
    </row>
    <row r="45">
      <c r="B45">
        <v>40</v>
      </c>
      <c r="C45">
        <v>6</v>
      </c>
      <c r="D45">
        <v>7.248686611262424</v>
      </c>
      <c r="E45">
        <v>2.0456749836347976</v>
      </c>
      <c r="F45">
        <v>11.929547259259259</v>
      </c>
      <c r="G45">
        <f>(H45/1.39135)*$K$5</f>
        <v>2.0417527095879646</v>
      </c>
      <c r="H45">
        <f>(F45*1.190654)*$L$5</f>
        <v>7.101981581213037</v>
      </c>
      <c r="I45">
        <v>17.3149</v>
      </c>
      <c r="J45">
        <f>D45/(F45/3.362524)</f>
        <v>2.0431523652274812</v>
      </c>
      <c r="K45">
        <f>G45/(H45/1.39135)</f>
        <v>0.4</v>
      </c>
      <c r="L45">
        <f>(H45/1.190654)/F45</f>
        <v>0.5</v>
      </c>
    </row>
    <row r="46">
      <c r="B46">
        <v>41</v>
      </c>
      <c r="C46">
        <v>6</v>
      </c>
      <c r="D46">
        <v>7.248686611262424</v>
      </c>
      <c r="E46">
        <v>2.0456749836347976</v>
      </c>
      <c r="F46">
        <v>11.929547259259259</v>
      </c>
      <c r="G46">
        <f>(H46/1.39135)*$K$5</f>
        <v>2.0417527095879646</v>
      </c>
      <c r="H46">
        <f>(F46*1.190654)*$L$5</f>
        <v>7.101981581213037</v>
      </c>
      <c r="I46">
        <v>17.3149</v>
      </c>
      <c r="J46">
        <f>D46/(F46/3.362524)</f>
        <v>2.0431523652274812</v>
      </c>
      <c r="K46">
        <f>G46/(H46/1.39135)</f>
        <v>0.4</v>
      </c>
      <c r="L46">
        <f>(H46/1.190654)/F46</f>
        <v>0.5</v>
      </c>
    </row>
    <row r="47">
      <c r="B47">
        <v>42</v>
      </c>
      <c r="C47">
        <v>6</v>
      </c>
      <c r="D47">
        <v>7.248686611262424</v>
      </c>
      <c r="E47">
        <v>2.0456749836347976</v>
      </c>
      <c r="F47">
        <v>11.929547259259259</v>
      </c>
      <c r="G47">
        <f>(H47/1.39135)*$K$5</f>
        <v>2.0417527095879646</v>
      </c>
      <c r="H47">
        <f>(F47*1.190654)*$L$5</f>
        <v>7.101981581213037</v>
      </c>
      <c r="I47">
        <v>17.3149</v>
      </c>
      <c r="J47">
        <f>D47/(F47/3.362524)</f>
        <v>2.0431523652274812</v>
      </c>
      <c r="K47">
        <f>G47/(H47/1.39135)</f>
        <v>0.4</v>
      </c>
      <c r="L47">
        <f>(H47/1.190654)/F47</f>
        <v>0.5</v>
      </c>
    </row>
    <row r="48">
      <c r="B48">
        <v>43</v>
      </c>
      <c r="C48">
        <v>7</v>
      </c>
      <c r="D48">
        <v>7.248686611262424</v>
      </c>
      <c r="E48">
        <v>2.0456749836347976</v>
      </c>
      <c r="F48">
        <v>14.31545671111111</v>
      </c>
      <c r="G48">
        <f>(H48/1.39135)*$K$5</f>
        <v>2.450103251505558</v>
      </c>
      <c r="H48">
        <f>(F48*1.190654)*$L$5</f>
        <v>8.522377897455645</v>
      </c>
      <c r="I48">
        <v>17.3149</v>
      </c>
      <c r="J48">
        <f>D48/(F48/3.362524)</f>
        <v>1.7026269710229012</v>
      </c>
      <c r="K48">
        <f>G48/(H48/1.39135)</f>
        <v>0.4000000000000001</v>
      </c>
      <c r="L48">
        <f>(H48/1.190654)/F48</f>
        <v>0.5</v>
      </c>
    </row>
    <row r="49">
      <c r="B49">
        <v>44</v>
      </c>
      <c r="C49">
        <v>7</v>
      </c>
      <c r="D49">
        <v>7.248686611262424</v>
      </c>
      <c r="E49">
        <v>2.0456749836347976</v>
      </c>
      <c r="F49">
        <v>14.31545671111111</v>
      </c>
      <c r="G49">
        <f>(H49/1.39135)*$K$5</f>
        <v>2.450103251505558</v>
      </c>
      <c r="H49">
        <f>(F49*1.190654)*$L$5</f>
        <v>8.522377897455645</v>
      </c>
      <c r="I49">
        <v>17.3149</v>
      </c>
      <c r="J49">
        <f>D49/(F49/3.362524)</f>
        <v>1.7026269710229012</v>
      </c>
      <c r="K49">
        <f>G49/(H49/1.39135)</f>
        <v>0.4000000000000001</v>
      </c>
      <c r="L49">
        <f>(H49/1.190654)/F49</f>
        <v>0.5</v>
      </c>
    </row>
    <row r="50">
      <c r="B50">
        <v>45</v>
      </c>
      <c r="C50">
        <v>7</v>
      </c>
      <c r="D50">
        <v>7.248686611262424</v>
      </c>
      <c r="E50">
        <v>2.0456749836347976</v>
      </c>
      <c r="F50">
        <v>14.31545671111111</v>
      </c>
      <c r="G50">
        <f>(H50/1.39135)*$K$5</f>
        <v>2.450103251505558</v>
      </c>
      <c r="H50">
        <f>(F50*1.190654)*$L$5</f>
        <v>8.522377897455645</v>
      </c>
      <c r="I50">
        <v>17.3149</v>
      </c>
      <c r="J50">
        <f>D50/(F50/3.362524)</f>
        <v>1.7026269710229012</v>
      </c>
      <c r="K50">
        <f>G50/(H50/1.39135)</f>
        <v>0.4000000000000001</v>
      </c>
      <c r="L50">
        <f>(H50/1.190654)/F50</f>
        <v>0.5</v>
      </c>
    </row>
    <row r="51">
      <c r="B51">
        <v>46</v>
      </c>
      <c r="C51">
        <v>7</v>
      </c>
      <c r="D51">
        <v>7.248686611262424</v>
      </c>
      <c r="E51">
        <v>2.0456749836347976</v>
      </c>
      <c r="F51">
        <v>14.31545671111111</v>
      </c>
      <c r="G51">
        <f>(H51/1.39135)*$K$5</f>
        <v>2.450103251505558</v>
      </c>
      <c r="H51">
        <f>(F51*1.190654)*$L$5</f>
        <v>8.522377897455645</v>
      </c>
      <c r="I51">
        <v>17.3149</v>
      </c>
      <c r="J51">
        <f>D51/(F51/3.362524)</f>
        <v>1.7026269710229012</v>
      </c>
      <c r="K51">
        <f>G51/(H51/1.39135)</f>
        <v>0.4000000000000001</v>
      </c>
      <c r="L51">
        <f>(H51/1.190654)/F51</f>
        <v>0.5</v>
      </c>
    </row>
    <row r="52">
      <c r="B52">
        <v>47</v>
      </c>
      <c r="C52">
        <v>7</v>
      </c>
      <c r="D52">
        <v>7.248686611262424</v>
      </c>
      <c r="E52">
        <v>2.0456749836347976</v>
      </c>
      <c r="F52">
        <v>14.31545671111111</v>
      </c>
      <c r="G52">
        <f>(H52/1.39135)*$K$5</f>
        <v>2.450103251505558</v>
      </c>
      <c r="H52">
        <f>(F52*1.190654)*$L$5</f>
        <v>8.522377897455645</v>
      </c>
      <c r="I52">
        <v>17.3149</v>
      </c>
      <c r="J52">
        <f>D52/(F52/3.362524)</f>
        <v>1.7026269710229012</v>
      </c>
      <c r="K52">
        <f>G52/(H52/1.39135)</f>
        <v>0.4000000000000001</v>
      </c>
      <c r="L52">
        <f>(H52/1.190654)/F52</f>
        <v>0.5</v>
      </c>
    </row>
    <row r="53">
      <c r="B53">
        <v>48</v>
      </c>
      <c r="C53">
        <v>7</v>
      </c>
      <c r="D53">
        <v>9.966944090485832</v>
      </c>
      <c r="E53">
        <v>2.812803102497847</v>
      </c>
      <c r="F53">
        <v>19.68375297777778</v>
      </c>
      <c r="G53">
        <f>(H53/1.39135)*$K$5</f>
        <v>3.3688919708201426</v>
      </c>
      <c r="H53">
        <f>(F53*1.190654)*$L$5</f>
        <v>11.718269609001513</v>
      </c>
      <c r="I53">
        <v>23.426</v>
      </c>
      <c r="J53">
        <f>D53/(F53/3.362524)</f>
        <v>1.7026269710229007</v>
      </c>
      <c r="K53">
        <f>G53/(H53/1.39135)</f>
        <v>0.4</v>
      </c>
      <c r="L53">
        <f>(H53/1.190654)/F53</f>
        <v>0.5</v>
      </c>
    </row>
    <row r="54">
      <c r="B54">
        <v>49</v>
      </c>
      <c r="C54">
        <v>7</v>
      </c>
      <c r="D54">
        <v>9.966944090485832</v>
      </c>
      <c r="E54">
        <v>2.812803102497847</v>
      </c>
      <c r="F54">
        <v>19.68375297777778</v>
      </c>
      <c r="G54">
        <f>(H54/1.39135)*$K$5</f>
        <v>3.3688919708201426</v>
      </c>
      <c r="H54">
        <f>(F54*1.190654)*$L$5</f>
        <v>11.718269609001513</v>
      </c>
      <c r="I54">
        <v>23.426</v>
      </c>
      <c r="J54">
        <f>D54/(F54/3.362524)</f>
        <v>1.7026269710229007</v>
      </c>
      <c r="K54">
        <f>G54/(H54/1.39135)</f>
        <v>0.4</v>
      </c>
      <c r="L54">
        <f>(H54/1.190654)/F54</f>
        <v>0.5</v>
      </c>
    </row>
    <row r="55">
      <c r="B55">
        <v>50</v>
      </c>
      <c r="C55">
        <v>8</v>
      </c>
      <c r="D55">
        <v>9.966944090485832</v>
      </c>
      <c r="E55">
        <v>2.812803102497847</v>
      </c>
      <c r="F55">
        <v>19.68375297777778</v>
      </c>
      <c r="G55">
        <f>(H55/1.39135)*$K$5</f>
        <v>3.3688919708201426</v>
      </c>
      <c r="H55">
        <f>(F55*1.190654)*$L$5</f>
        <v>11.718269609001513</v>
      </c>
      <c r="I55">
        <v>23.426</v>
      </c>
      <c r="J55">
        <f>D55/(F55/3.362524)</f>
        <v>1.7026269710229007</v>
      </c>
      <c r="K55">
        <f>G55/(H55/1.39135)</f>
        <v>0.4</v>
      </c>
      <c r="L55">
        <f>(H55/1.190654)/F55</f>
        <v>0.5</v>
      </c>
    </row>
    <row r="56">
      <c r="B56">
        <v>51</v>
      </c>
      <c r="C56">
        <v>8</v>
      </c>
      <c r="D56">
        <v>9.966944090485832</v>
      </c>
      <c r="E56">
        <v>2.812803102497847</v>
      </c>
      <c r="F56">
        <v>19.68375297777778</v>
      </c>
      <c r="G56">
        <f>(H56/1.39135)*$K$5</f>
        <v>3.3688919708201426</v>
      </c>
      <c r="H56">
        <f>(F56*1.190654)*$L$5</f>
        <v>11.718269609001513</v>
      </c>
      <c r="I56">
        <v>23.426</v>
      </c>
      <c r="J56">
        <f>D56/(F56/3.362524)</f>
        <v>1.7026269710229007</v>
      </c>
      <c r="K56">
        <f>G56/(H56/1.39135)</f>
        <v>0.4</v>
      </c>
      <c r="L56">
        <f>(H56/1.190654)/F56</f>
        <v>0.5</v>
      </c>
    </row>
    <row r="57">
      <c r="B57">
        <v>52</v>
      </c>
      <c r="C57">
        <v>8</v>
      </c>
      <c r="D57">
        <v>9.966944090485832</v>
      </c>
      <c r="E57">
        <v>2.812803102497847</v>
      </c>
      <c r="F57">
        <v>19.68375297777778</v>
      </c>
      <c r="G57">
        <f>(H57/1.39135)*$K$5</f>
        <v>3.3688919708201426</v>
      </c>
      <c r="H57">
        <f>(F57*1.190654)*$L$5</f>
        <v>11.718269609001513</v>
      </c>
      <c r="I57">
        <v>23.426</v>
      </c>
      <c r="J57">
        <f>D57/(F57/3.362524)</f>
        <v>1.7026269710229007</v>
      </c>
      <c r="K57">
        <f>G57/(H57/1.39135)</f>
        <v>0.4</v>
      </c>
      <c r="L57">
        <f>(H57/1.190654)/F57</f>
        <v>0.5</v>
      </c>
    </row>
    <row r="58">
      <c r="B58">
        <v>53</v>
      </c>
      <c r="C58">
        <v>8</v>
      </c>
      <c r="D58">
        <v>9.966944090485832</v>
      </c>
      <c r="E58">
        <v>2.812803102497847</v>
      </c>
      <c r="F58">
        <v>19.68375297777778</v>
      </c>
      <c r="G58">
        <f>(H58/1.39135)*$K$5</f>
        <v>3.3688919708201426</v>
      </c>
      <c r="H58">
        <f>(F58*1.190654)*$L$5</f>
        <v>11.718269609001513</v>
      </c>
      <c r="I58">
        <v>23.426</v>
      </c>
      <c r="J58">
        <f>D58/(F58/3.362524)</f>
        <v>1.7026269710229007</v>
      </c>
      <c r="K58">
        <f>G58/(H58/1.39135)</f>
        <v>0.4</v>
      </c>
      <c r="L58">
        <f>(H58/1.190654)/F58</f>
        <v>0.5</v>
      </c>
    </row>
    <row r="59">
      <c r="B59">
        <v>54</v>
      </c>
      <c r="C59">
        <v>8</v>
      </c>
      <c r="D59">
        <v>9.966944090485832</v>
      </c>
      <c r="E59">
        <v>2.812803102497847</v>
      </c>
      <c r="F59">
        <v>19.68375297777778</v>
      </c>
      <c r="G59">
        <f>(H59/1.39135)*$K$5</f>
        <v>3.3688919708201426</v>
      </c>
      <c r="H59">
        <f>(F59*1.190654)*$L$5</f>
        <v>11.718269609001513</v>
      </c>
      <c r="I59">
        <v>23.426</v>
      </c>
      <c r="J59">
        <f>D59/(F59/3.362524)</f>
        <v>1.7026269710229007</v>
      </c>
      <c r="K59">
        <f>G59/(H59/1.39135)</f>
        <v>0.4</v>
      </c>
      <c r="L59">
        <f>(H59/1.190654)/F59</f>
        <v>0.5</v>
      </c>
    </row>
    <row r="60">
      <c r="B60">
        <v>55</v>
      </c>
      <c r="C60">
        <v>8</v>
      </c>
      <c r="D60">
        <v>9.966944090485832</v>
      </c>
      <c r="E60">
        <v>2.812803102497847</v>
      </c>
      <c r="F60">
        <v>19.68375297777778</v>
      </c>
      <c r="G60">
        <f>(H60/1.39135)*$K$5</f>
        <v>3.3688919708201426</v>
      </c>
      <c r="H60">
        <f>(F60*1.190654)*$L$5</f>
        <v>11.718269609001513</v>
      </c>
      <c r="I60">
        <v>23.426</v>
      </c>
      <c r="J60">
        <f>D60/(F60/3.362524)</f>
        <v>1.7026269710229007</v>
      </c>
      <c r="K60">
        <f>G60/(H60/1.39135)</f>
        <v>0.4</v>
      </c>
      <c r="L60">
        <f>(H60/1.190654)/F60</f>
        <v>0.5</v>
      </c>
    </row>
    <row r="61">
      <c r="B61">
        <v>56</v>
      </c>
      <c r="C61">
        <v>8</v>
      </c>
      <c r="D61">
        <v>9.966944090485832</v>
      </c>
      <c r="E61">
        <v>2.812803102497847</v>
      </c>
      <c r="F61">
        <v>19.68375297777778</v>
      </c>
      <c r="G61">
        <f>(H61/1.39135)*$K$5</f>
        <v>3.3688919708201426</v>
      </c>
      <c r="H61">
        <f>(F61*1.190654)*$L$5</f>
        <v>11.718269609001513</v>
      </c>
      <c r="I61">
        <v>23.426</v>
      </c>
      <c r="J61">
        <f>D61/(F61/3.362524)</f>
        <v>1.7026269710229007</v>
      </c>
      <c r="K61">
        <f>G61/(H61/1.39135)</f>
        <v>0.4</v>
      </c>
      <c r="L61">
        <f>(H61/1.190654)/F61</f>
        <v>0.5</v>
      </c>
    </row>
    <row r="62">
      <c r="B62">
        <v>57</v>
      </c>
      <c r="C62">
        <v>9</v>
      </c>
      <c r="D62">
        <v>9.966944090485832</v>
      </c>
      <c r="E62">
        <v>2.812803102497847</v>
      </c>
      <c r="F62">
        <v>19.68375297777778</v>
      </c>
      <c r="G62">
        <f>(H62/1.39135)*$K$5</f>
        <v>3.3688919708201426</v>
      </c>
      <c r="H62">
        <f>(F62*1.190654)*$L$5</f>
        <v>11.718269609001513</v>
      </c>
      <c r="I62">
        <v>23.426</v>
      </c>
      <c r="J62">
        <f>D62/(F62/3.362524)</f>
        <v>1.7026269710229007</v>
      </c>
      <c r="K62">
        <f>G62/(H62/1.39135)</f>
        <v>0.4</v>
      </c>
      <c r="L62">
        <f>(H62/1.190654)/F62</f>
        <v>0.5</v>
      </c>
    </row>
    <row r="63">
      <c r="B63">
        <v>58</v>
      </c>
      <c r="C63">
        <v>9</v>
      </c>
      <c r="D63">
        <v>9.966944090485832</v>
      </c>
      <c r="E63">
        <v>2.812803102497847</v>
      </c>
      <c r="F63">
        <v>19.68375297777778</v>
      </c>
      <c r="G63">
        <f>(H63/1.39135)*$K$5</f>
        <v>3.3688919708201426</v>
      </c>
      <c r="H63">
        <f>(F63*1.190654)*$L$5</f>
        <v>11.718269609001513</v>
      </c>
      <c r="I63">
        <v>23.426</v>
      </c>
      <c r="J63">
        <f>D63/(F63/3.362524)</f>
        <v>1.7026269710229007</v>
      </c>
      <c r="K63">
        <f>G63/(H63/1.39135)</f>
        <v>0.4</v>
      </c>
      <c r="L63">
        <f>(H63/1.190654)/F63</f>
        <v>0.5</v>
      </c>
    </row>
    <row r="64">
      <c r="B64">
        <v>59</v>
      </c>
      <c r="C64">
        <v>9</v>
      </c>
      <c r="D64">
        <v>9.966944090485832</v>
      </c>
      <c r="E64">
        <v>2.812803102497847</v>
      </c>
      <c r="F64">
        <v>19.68375297777778</v>
      </c>
      <c r="G64">
        <f>(H64/1.39135)*$K$5</f>
        <v>3.3688919708201426</v>
      </c>
      <c r="H64">
        <f>(F64*1.190654)*$L$5</f>
        <v>11.718269609001513</v>
      </c>
      <c r="I64">
        <v>23.426</v>
      </c>
      <c r="J64">
        <f>D64/(F64/3.362524)</f>
        <v>1.7026269710229007</v>
      </c>
      <c r="K64">
        <f>G64/(H64/1.39135)</f>
        <v>0.4</v>
      </c>
      <c r="L64">
        <f>(H64/1.190654)/F64</f>
        <v>0.5</v>
      </c>
    </row>
    <row r="65">
      <c r="B65">
        <v>60</v>
      </c>
      <c r="C65">
        <v>9</v>
      </c>
      <c r="D65">
        <v>9.966944090485832</v>
      </c>
      <c r="E65">
        <v>2.812803102497847</v>
      </c>
      <c r="F65">
        <v>19.68375297777778</v>
      </c>
      <c r="G65">
        <f>(H65/1.39135)*$K$5</f>
        <v>3.3688919708201426</v>
      </c>
      <c r="H65">
        <f>(F65*1.190654)*$L$5</f>
        <v>11.718269609001513</v>
      </c>
      <c r="I65">
        <v>23.426</v>
      </c>
      <c r="J65">
        <f>D65/(F65/3.362524)</f>
        <v>1.7026269710229007</v>
      </c>
      <c r="K65">
        <f>G65/(H65/1.39135)</f>
        <v>0.4</v>
      </c>
      <c r="L65">
        <f>(H65/1.190654)/F65</f>
        <v>0.5</v>
      </c>
    </row>
    <row r="66">
      <c r="B66">
        <v>61</v>
      </c>
      <c r="C66">
        <v>9</v>
      </c>
      <c r="D66">
        <v>9.966944090485832</v>
      </c>
      <c r="E66">
        <v>2.812803102497847</v>
      </c>
      <c r="F66">
        <v>19.68375297777778</v>
      </c>
      <c r="G66">
        <f>(H66/1.39135)*$K$5</f>
        <v>3.3688919708201426</v>
      </c>
      <c r="H66">
        <f>(F66*1.190654)*$L$5</f>
        <v>11.718269609001513</v>
      </c>
      <c r="I66">
        <v>23.426</v>
      </c>
      <c r="J66">
        <f>D66/(F66/3.362524)</f>
        <v>1.7026269710229007</v>
      </c>
      <c r="K66">
        <f>G66/(H66/1.39135)</f>
        <v>0.4</v>
      </c>
      <c r="L66">
        <f>(H66/1.190654)/F66</f>
        <v>0.5</v>
      </c>
    </row>
    <row r="67">
      <c r="B67">
        <v>62</v>
      </c>
      <c r="C67">
        <v>9</v>
      </c>
      <c r="D67">
        <v>9.966944090485832</v>
      </c>
      <c r="E67">
        <v>2.812803102497847</v>
      </c>
      <c r="F67">
        <v>19.68375297777778</v>
      </c>
      <c r="G67">
        <f>(H67/1.39135)*$K$5</f>
        <v>3.3688919708201426</v>
      </c>
      <c r="H67">
        <f>(F67*1.190654)*$L$5</f>
        <v>11.718269609001513</v>
      </c>
      <c r="I67">
        <v>23.426</v>
      </c>
      <c r="J67">
        <f>D67/(F67/3.362524)</f>
        <v>1.7026269710229007</v>
      </c>
      <c r="K67">
        <f>G67/(H67/1.39135)</f>
        <v>0.4</v>
      </c>
      <c r="L67">
        <f>(H67/1.190654)/F67</f>
        <v>0.5</v>
      </c>
    </row>
    <row r="68">
      <c r="B68">
        <v>63</v>
      </c>
      <c r="C68">
        <v>9</v>
      </c>
      <c r="D68">
        <v>9.966944090485832</v>
      </c>
      <c r="E68">
        <v>2.812803102497847</v>
      </c>
      <c r="F68">
        <v>19.68375297777778</v>
      </c>
      <c r="G68">
        <f>(H68/1.39135)*$K$5</f>
        <v>3.3688919708201426</v>
      </c>
      <c r="H68">
        <f>(F68*1.190654)*$L$5</f>
        <v>11.718269609001513</v>
      </c>
      <c r="I68">
        <v>29.5372</v>
      </c>
      <c r="J68">
        <f>D68/(F68/3.362524)</f>
        <v>1.7026269710229007</v>
      </c>
      <c r="K68">
        <f>G68/(H68/1.39135)</f>
        <v>0.4</v>
      </c>
      <c r="L68">
        <f>(H68/1.190654)/F68</f>
        <v>0.5</v>
      </c>
    </row>
    <row r="69">
      <c r="B69">
        <v>64</v>
      </c>
      <c r="C69">
        <v>10</v>
      </c>
      <c r="D69">
        <v>9.966944090485832</v>
      </c>
      <c r="E69">
        <v>2.812803102497847</v>
      </c>
      <c r="F69">
        <v>19.68375297777778</v>
      </c>
      <c r="G69">
        <f>(H69/1.39135)*$K$5</f>
        <v>3.3688919708201426</v>
      </c>
      <c r="H69">
        <f>(F69*1.190654)*$L$5</f>
        <v>11.718269609001513</v>
      </c>
      <c r="I69">
        <v>29.5372</v>
      </c>
      <c r="J69">
        <f>D69/(F69/3.362524)</f>
        <v>1.7026269710229007</v>
      </c>
      <c r="K69">
        <f>G69/(H69/1.39135)</f>
        <v>0.4</v>
      </c>
      <c r="L69">
        <f>(H69/1.190654)/F69</f>
        <v>0.5</v>
      </c>
    </row>
    <row r="70">
      <c r="B70">
        <v>65</v>
      </c>
      <c r="C70">
        <v>10</v>
      </c>
      <c r="D70">
        <v>9.966944090485832</v>
      </c>
      <c r="E70">
        <v>2.812803102497847</v>
      </c>
      <c r="F70">
        <v>19.68375297777778</v>
      </c>
      <c r="G70">
        <f>(H70/1.39135)*$K$5</f>
        <v>3.3688919708201426</v>
      </c>
      <c r="H70">
        <f>(F70*1.190654)*$L$5</f>
        <v>11.718269609001513</v>
      </c>
      <c r="I70">
        <v>29.5372</v>
      </c>
      <c r="J70">
        <f>D70/(F70/3.362524)</f>
        <v>1.7026269710229007</v>
      </c>
      <c r="K70">
        <f>G70/(H70/1.39135)</f>
        <v>0.4</v>
      </c>
      <c r="L70">
        <f>(H70/1.190654)/F70</f>
        <v>0.5</v>
      </c>
    </row>
    <row r="71">
      <c r="B71">
        <v>66</v>
      </c>
      <c r="C71">
        <v>10</v>
      </c>
      <c r="D71">
        <v>9.966944090485832</v>
      </c>
      <c r="E71">
        <v>2.812803102497847</v>
      </c>
      <c r="F71">
        <v>19.68375297777778</v>
      </c>
      <c r="G71">
        <f>(H71/1.39135)*$K$5</f>
        <v>3.3688919708201426</v>
      </c>
      <c r="H71">
        <f>(F71*1.190654)*$L$5</f>
        <v>11.718269609001513</v>
      </c>
      <c r="I71">
        <v>29.5372</v>
      </c>
      <c r="J71">
        <f>D71/(F71/3.362524)</f>
        <v>1.7026269710229007</v>
      </c>
      <c r="K71">
        <f>G71/(H71/1.39135)</f>
        <v>0.4</v>
      </c>
      <c r="L71">
        <f>(H71/1.190654)/F71</f>
        <v>0.5</v>
      </c>
    </row>
    <row r="72">
      <c r="B72">
        <v>67</v>
      </c>
      <c r="C72">
        <v>10</v>
      </c>
      <c r="D72">
        <v>9.966944090485832</v>
      </c>
      <c r="E72">
        <v>2.812803102497847</v>
      </c>
      <c r="F72">
        <v>19.68375297777778</v>
      </c>
      <c r="G72">
        <f>(H72/1.39135)*$K$5</f>
        <v>3.3688919708201426</v>
      </c>
      <c r="H72">
        <f>(F72*1.190654)*$L$5</f>
        <v>11.718269609001513</v>
      </c>
      <c r="I72">
        <v>29.5372</v>
      </c>
      <c r="J72">
        <f>D72/(F72/3.362524)</f>
        <v>1.7026269710229007</v>
      </c>
      <c r="K72">
        <f>G72/(H72/1.39135)</f>
        <v>0.4</v>
      </c>
      <c r="L72">
        <f>(H72/1.190654)/F72</f>
        <v>0.5</v>
      </c>
    </row>
    <row r="73">
      <c r="B73">
        <v>68</v>
      </c>
      <c r="C73">
        <v>10</v>
      </c>
      <c r="D73">
        <v>9.966944090485832</v>
      </c>
      <c r="E73">
        <v>2.812803102497847</v>
      </c>
      <c r="F73">
        <v>19.68375297777778</v>
      </c>
      <c r="G73">
        <f>(H73/1.39135)*$K$5</f>
        <v>3.3688919708201426</v>
      </c>
      <c r="H73">
        <f>(F73*1.190654)*$L$5</f>
        <v>11.718269609001513</v>
      </c>
      <c r="I73">
        <v>29.5372</v>
      </c>
      <c r="J73">
        <f>D73/(F73/3.362524)</f>
        <v>1.7026269710229007</v>
      </c>
      <c r="K73">
        <f>G73/(H73/1.39135)</f>
        <v>0.4</v>
      </c>
      <c r="L73">
        <f>(H73/1.190654)/F73</f>
        <v>0.5</v>
      </c>
    </row>
    <row r="74">
      <c r="B74">
        <v>69</v>
      </c>
      <c r="C74">
        <v>10</v>
      </c>
      <c r="D74">
        <v>9.966944090485832</v>
      </c>
      <c r="E74">
        <v>2.812803102497847</v>
      </c>
      <c r="F74">
        <v>19.68375297777778</v>
      </c>
      <c r="G74">
        <f>(H74/1.39135)*$K$5</f>
        <v>3.3688919708201426</v>
      </c>
      <c r="H74">
        <f>(F74*1.190654)*$L$5</f>
        <v>11.718269609001513</v>
      </c>
      <c r="I74">
        <v>29.5372</v>
      </c>
      <c r="J74">
        <f>D74/(F74/3.362524)</f>
        <v>1.7026269710229007</v>
      </c>
      <c r="K74">
        <f>G74/(H74/1.39135)</f>
        <v>0.4</v>
      </c>
      <c r="L74">
        <f>(H74/1.190654)/F74</f>
        <v>0.5</v>
      </c>
    </row>
    <row r="75">
      <c r="B75">
        <v>70</v>
      </c>
      <c r="C75">
        <v>10</v>
      </c>
      <c r="D75">
        <v>9.966944090485832</v>
      </c>
      <c r="E75">
        <v>2.812803102497847</v>
      </c>
      <c r="F75">
        <v>19.68375297777778</v>
      </c>
      <c r="G75">
        <f>(H75/1.39135)*$K$5</f>
        <v>3.3688919708201426</v>
      </c>
      <c r="H75">
        <f>(F75*1.190654)*$L$5</f>
        <v>11.718269609001513</v>
      </c>
      <c r="I75">
        <v>29.5372</v>
      </c>
      <c r="J75">
        <f>D75/(F75/3.362524)</f>
        <v>1.7026269710229007</v>
      </c>
      <c r="K75">
        <f>G75/(H75/1.39135)</f>
        <v>0.4</v>
      </c>
      <c r="L75">
        <f>(H75/1.190654)/F75</f>
        <v>0.5</v>
      </c>
    </row>
    <row r="76">
      <c r="D76">
        <f>SUM(D6:D75)</f>
        <v>446.24726950584267</v>
      </c>
      <c r="E76">
        <f>SUM(E6:E75)</f>
        <v>125.93686618001733</v>
      </c>
      <c r="F76">
        <f>SUM(F6:F75)</f>
        <v>814.9394526169291</v>
      </c>
      <c r="G76">
        <f>SUM(G6:G75)</f>
        <v>139.47761799923205</v>
      </c>
      <c r="H76">
        <f>SUM(H6:H75)</f>
        <v>485.1554595080792</v>
      </c>
      <c r="I76">
        <f>SUM(I6:I75)</f>
        <v>1145.8370000000007</v>
      </c>
    </row>
  </sheetData>
  <sheetProtection sheet="1"/>
  <mergeCells count="4">
    <mergeCell ref="A2:M2"/>
    <mergeCell ref="A3:M3"/>
    <mergeCell ref="H1:M1"/>
    <mergeCell ref="A5:C5"/>
  </mergeCells>
  <pageMargins left="0.75" right="0.75" top="1" bottom="1" header="0.5" footer="0.5"/>
  <ignoredErrors>
    <ignoredError numberStoredAsText="1" sqref="A1:T76"/>
  </ignoredErrors>
  <legacyDrawing r:id="rId1"/>
</worksheet>
</file>

<file path=xl/worksheets/sheet11.xml><?xml version="1.0" encoding="utf-8"?>
<worksheet xmlns="http://schemas.openxmlformats.org/spreadsheetml/2006/main" xmlns:r="http://schemas.openxmlformats.org/officeDocument/2006/relationships">
  <dimension ref="A1:O120"/>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6">
      <c r="A66" t="str">
        <v>INSECTICIDA AL SUELO</v>
      </c>
      <c r="B66" t="str">
        <v>Dosis por Hectarea</v>
      </c>
      <c r="C66" t="str">
        <v>Precio</v>
      </c>
      <c r="D66" t="str">
        <v>Unidades</v>
      </c>
    </row>
    <row r="67">
      <c r="A67" t="str">
        <v>Jade 35 SG</v>
      </c>
      <c r="B67">
        <v>1</v>
      </c>
      <c r="C67">
        <v>550</v>
      </c>
      <c r="D67" t="str">
        <v>Lts</v>
      </c>
    </row>
    <row r="68">
      <c r="A68" t="str">
        <v>Regente</v>
      </c>
      <c r="B68">
        <v>0.5</v>
      </c>
      <c r="C68">
        <v>1800</v>
      </c>
      <c r="D68" t="str">
        <v>Lts</v>
      </c>
    </row>
    <row r="75">
      <c r="A75" t="str">
        <v>PREVENCION DE VIRUS</v>
      </c>
      <c r="B75" t="str">
        <v>Dosis por Hectárea</v>
      </c>
      <c r="C75" t="str">
        <v>Precio</v>
      </c>
      <c r="D75" t="str">
        <v>Unidades</v>
      </c>
    </row>
    <row r="76">
      <c r="A76" t="str">
        <v>Actara 25 WG</v>
      </c>
      <c r="B76">
        <v>400</v>
      </c>
      <c r="C76">
        <v>3.25</v>
      </c>
      <c r="D76" t="str">
        <v>g</v>
      </c>
    </row>
    <row r="77">
      <c r="A77" t="str">
        <v>Confidor 70 WG</v>
      </c>
      <c r="B77">
        <v>700</v>
      </c>
      <c r="C77">
        <v>1.75</v>
      </c>
      <c r="D77" t="str">
        <v>g</v>
      </c>
    </row>
    <row r="78">
      <c r="A78" t="str">
        <v>Rescate</v>
      </c>
      <c r="B78">
        <v>400</v>
      </c>
      <c r="C78">
        <v>2</v>
      </c>
      <c r="D78" t="str">
        <v>g</v>
      </c>
    </row>
    <row r="84">
      <c r="A84" t="str">
        <v>ACTIVADOR RESIS GENERAL</v>
      </c>
      <c r="B84" t="str">
        <v>Dosis por Hectárea</v>
      </c>
      <c r="C84" t="str">
        <v>Precio</v>
      </c>
      <c r="D84" t="str">
        <v>Unidades</v>
      </c>
    </row>
    <row r="85">
      <c r="A85" t="str">
        <v>Acido Salicílico</v>
      </c>
      <c r="B85">
        <v>250</v>
      </c>
      <c r="C85">
        <v>0.17</v>
      </c>
      <c r="D85" t="str">
        <v>g</v>
      </c>
    </row>
    <row r="87">
      <c r="A87">
        <v>0</v>
      </c>
    </row>
    <row r="89">
      <c r="A89" t="str">
        <v>ACTIVADOR RESIST OOMICETOS</v>
      </c>
      <c r="B89" t="str">
        <v>Dosis por Hectárea</v>
      </c>
      <c r="C89" t="str">
        <v>Precio</v>
      </c>
      <c r="D89" t="str">
        <v>Unidades</v>
      </c>
    </row>
    <row r="90">
      <c r="A90" t="str">
        <v>Acido Fosforoso</v>
      </c>
      <c r="B90">
        <v>5</v>
      </c>
      <c r="C90">
        <v>80</v>
      </c>
      <c r="D90" t="str">
        <v>Lts</v>
      </c>
    </row>
    <row r="91">
      <c r="A91" t="str">
        <v>Aliette 80 WP</v>
      </c>
      <c r="D91" t="str">
        <v>Kg</v>
      </c>
    </row>
    <row r="92">
      <c r="A92" t="str">
        <v>Atlante Plus</v>
      </c>
      <c r="D92" t="str">
        <v>Lts</v>
      </c>
    </row>
    <row r="93">
      <c r="A93" t="str">
        <v>Best K</v>
      </c>
      <c r="B93">
        <v>5</v>
      </c>
      <c r="C93">
        <v>180</v>
      </c>
      <c r="D93" t="str">
        <v>Lts</v>
      </c>
    </row>
    <row r="94">
      <c r="A94" t="str">
        <v>Phytos K</v>
      </c>
      <c r="B94">
        <v>5</v>
      </c>
      <c r="D94" t="str">
        <v>Lts</v>
      </c>
    </row>
    <row r="95">
      <c r="A95" t="str">
        <v>Protector K</v>
      </c>
      <c r="B95">
        <v>5</v>
      </c>
      <c r="C95">
        <v>80</v>
      </c>
      <c r="D95" t="str">
        <v>Lts</v>
      </c>
    </row>
    <row r="101">
      <c r="A101" t="str">
        <v>FUNGICIDAS AL SUELO</v>
      </c>
      <c r="B101" t="str">
        <v>Dosis por Hectárea</v>
      </c>
      <c r="C101" t="str">
        <v>Precio</v>
      </c>
      <c r="D101" t="str">
        <v>Unidades</v>
      </c>
    </row>
    <row r="102">
      <c r="A102" t="str">
        <v>Silvacur</v>
      </c>
      <c r="B102">
        <v>5</v>
      </c>
      <c r="D102" t="str">
        <v>Lts</v>
      </c>
    </row>
    <row r="108">
      <c r="A108" t="str">
        <v>PROTECTANTE ENFERM. SUELO</v>
      </c>
      <c r="B108" t="str">
        <v>Dosis por Hectárea</v>
      </c>
      <c r="C108" t="str">
        <v>Precio</v>
      </c>
      <c r="D108" t="str">
        <v>Unidades</v>
      </c>
    </row>
    <row r="109">
      <c r="A109" t="str">
        <v>Mycobac</v>
      </c>
      <c r="B109">
        <v>1</v>
      </c>
      <c r="C109">
        <v>380</v>
      </c>
      <c r="D109" t="str">
        <v>g</v>
      </c>
    </row>
    <row r="110">
      <c r="A110" t="str">
        <v>TricoZam</v>
      </c>
      <c r="B110">
        <v>1</v>
      </c>
      <c r="C110">
        <v>380</v>
      </c>
      <c r="D110" t="str">
        <v>g</v>
      </c>
    </row>
    <row r="115">
      <c r="A115" t="str">
        <v>PROTECTANTE INSECTOS SUELO</v>
      </c>
      <c r="B115" t="str">
        <v>Dosis por Hectárea</v>
      </c>
      <c r="C115" t="str">
        <v>Precio</v>
      </c>
      <c r="D115" t="str">
        <v>Unidades</v>
      </c>
    </row>
    <row r="116">
      <c r="A116" t="str">
        <v>BaZam</v>
      </c>
      <c r="B116">
        <v>1</v>
      </c>
      <c r="C116">
        <v>380</v>
      </c>
      <c r="D116" t="str">
        <v>g</v>
      </c>
    </row>
    <row r="117">
      <c r="A117" t="str">
        <v>MetaZam</v>
      </c>
      <c r="B117">
        <v>1</v>
      </c>
      <c r="C117">
        <v>380</v>
      </c>
      <c r="D117" t="str">
        <v>g</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2009-01-21T16:11:48Z</dcterms:modified>
  <cp:lastModifiedBy>Ricardo Lardizabal</cp:lastModifiedBy>
  <cp:lastPrinted>2009-01-21T16:11:29Z</cp:lastPrinted>
  <dc:creator>Ricardo Lardizabal</dc:creator>
  <dc:subject>Chile Jalapeno</dc:subject>
  <dc:title>Fertilization Programs</dc:title>
</cp:coreProperties>
</file>