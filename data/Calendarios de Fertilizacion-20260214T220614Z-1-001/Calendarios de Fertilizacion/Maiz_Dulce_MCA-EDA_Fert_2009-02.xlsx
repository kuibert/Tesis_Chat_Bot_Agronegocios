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Preventivos'!R16:S37</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Sem'!$A$1:$S$41</definedName>
    <definedName name="_xlnm.Print_Area" localSheetId="7">'14 Dias'!$A$1:$T$37</definedName>
    <definedName name="_xlnm.Print_Area" localSheetId="5">'2 Por Sem'!$A$1:$S$53</definedName>
    <definedName name="_xlnm.Print_Area" localSheetId="4">'2 Por Sem con Preventivos'!$A$1:$S$53</definedName>
    <definedName name="_xlnm.Print_Area" localSheetId="3">'3 Por Sem'!$A$1:$S$64</definedName>
    <definedName name="_xlnm.Print_Area" localSheetId="2">'Cal-Diario'!$A$1:$S$109</definedName>
    <definedName name="_xlnm.Print_Area" localSheetId="1">'Cal-Diario con Preventivos'!$A$1:$S$109</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Hacienda Las Flores</v>
      </c>
    </row>
    <row r="18" ht="18" customHeight="1">
      <c r="C18" t="str">
        <v>Zona:</v>
      </c>
      <c r="E18" t="str">
        <v>Cantarranas</v>
      </c>
    </row>
    <row r="19" ht="18" customHeight="1">
      <c r="C19" t="str">
        <v>Parcela #:</v>
      </c>
      <c r="E19" t="str">
        <v>Lote VI-B (f)</v>
      </c>
    </row>
    <row r="20" ht="18" customHeight="1">
      <c r="C20" t="str">
        <v>Nombre del Técnico:</v>
      </c>
      <c r="E20" t="str">
        <v>Jose de la Cruz Lainez</v>
      </c>
    </row>
    <row r="21" ht="33" customHeight="1">
      <c r="C21" t="str">
        <v xml:space="preserve">Nombre del Cultivo / Variedad </v>
      </c>
      <c r="E21" t="str">
        <v>Maíz Dulce</v>
      </c>
      <c r="G21" t="str">
        <v>Golden Sweeter 93</v>
      </c>
    </row>
    <row r="22" ht="18" customHeight="1">
      <c r="C22" t="str">
        <v>Área en Manzanas</v>
      </c>
      <c r="E22">
        <v>2.12</v>
      </c>
      <c r="F22" t="str">
        <v>Área en Hectáreas</v>
      </c>
      <c r="I22">
        <f>E22*0.7</f>
        <v>1.484</v>
      </c>
    </row>
    <row r="23" ht="18" customHeight="1">
      <c r="C23" t="str">
        <v>Fecha de Siembra:</v>
      </c>
      <c r="E23">
        <v>39959</v>
      </c>
    </row>
    <row r="24">
      <c r="C24" t="str">
        <v>Cosecha - Días DDT:</v>
      </c>
      <c r="E24">
        <v>73</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06:I106"/>
    <mergeCell ref="C85:G85"/>
    <mergeCell ref="C86:G86"/>
    <mergeCell ref="C87:G87"/>
    <mergeCell ref="C100:I100"/>
    <mergeCell ref="C94:M94"/>
    <mergeCell ref="C97:I97"/>
    <mergeCell ref="K88:L88"/>
    <mergeCell ref="H88:I88"/>
    <mergeCell ref="C80:G80"/>
    <mergeCell ref="C82:G82"/>
    <mergeCell ref="C81:G81"/>
    <mergeCell ref="C84:G84"/>
    <mergeCell ref="I50:M51"/>
    <mergeCell ref="C60:D60"/>
    <mergeCell ref="C50:D50"/>
    <mergeCell ref="C55:D55"/>
    <mergeCell ref="C78:M78"/>
    <mergeCell ref="C68:M68"/>
    <mergeCell ref="F74:G74"/>
    <mergeCell ref="F75:G75"/>
    <mergeCell ref="F72:G72"/>
    <mergeCell ref="F73:G73"/>
    <mergeCell ref="F71:G71"/>
    <mergeCell ref="E24:I24"/>
    <mergeCell ref="H30:M31"/>
    <mergeCell ref="H35:M36"/>
    <mergeCell ref="C35:D35"/>
    <mergeCell ref="C30:D30"/>
    <mergeCell ref="C25:D25"/>
    <mergeCell ref="E25:I25"/>
    <mergeCell ref="C45:D45"/>
    <mergeCell ref="C21:D21"/>
    <mergeCell ref="G21:I21"/>
    <mergeCell ref="C23:D23"/>
    <mergeCell ref="C115:I115"/>
    <mergeCell ref="C24:D24"/>
    <mergeCell ref="C28:M28"/>
    <mergeCell ref="C40:D40"/>
    <mergeCell ref="H40:M41"/>
    <mergeCell ref="J45:M46"/>
    <mergeCell ref="C103:I103"/>
    <mergeCell ref="C109:I109"/>
    <mergeCell ref="C112:I112"/>
    <mergeCell ref="C83:G83"/>
    <mergeCell ref="E19:I19"/>
    <mergeCell ref="C18:D18"/>
    <mergeCell ref="E23:I23"/>
    <mergeCell ref="F22:H22"/>
    <mergeCell ref="C19:D19"/>
    <mergeCell ref="C22:D22"/>
    <mergeCell ref="E20:I20"/>
    <mergeCell ref="C20:D20"/>
    <mergeCell ref="E21:F21"/>
    <mergeCell ref="C13:J13"/>
    <mergeCell ref="C15:M15"/>
    <mergeCell ref="E17:I17"/>
    <mergeCell ref="E18:I18"/>
    <mergeCell ref="C17:D17"/>
    <mergeCell ref="C14:J14"/>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10"/>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Maíz Dulce</v>
      </c>
    </row>
    <row r="6" ht="26.25" customHeight="1"/>
    <row r="7" ht="26.25" customHeight="1"/>
    <row r="8" ht="8.4" customHeight="1"/>
    <row r="9" ht="26.25" customHeight="1">
      <c r="A9" t="str">
        <f>Main!$C$13</f>
        <v>"Sin Fertilización Base"</v>
      </c>
      <c r="P9" t="str">
        <f>Main!$G$21</f>
        <v>Golden Sweeter 93</v>
      </c>
    </row>
    <row r="10" ht="4.2" customHeight="1"/>
    <row r="11" ht="20.1" customHeight="1">
      <c r="A11" t="str">
        <v>Productor</v>
      </c>
      <c r="C11" t="str">
        <f>Main!E17</f>
        <v>Hacienda Las Flores</v>
      </c>
      <c r="F11" t="str">
        <v>Parcela</v>
      </c>
      <c r="I11" t="str">
        <f>Main!E19</f>
        <v>Lote VI-B (f)</v>
      </c>
    </row>
    <row r="12" ht="20.1" customHeight="1">
      <c r="A12" t="str">
        <v>Zona</v>
      </c>
      <c r="C12" t="str">
        <f>Main!E18</f>
        <v>Cantarranas</v>
      </c>
      <c r="F12" t="str">
        <v>Técnico</v>
      </c>
      <c r="I12" t="str">
        <f>Main!E20</f>
        <v>Jose de la Cruz Lainez</v>
      </c>
    </row>
    <row r="13" ht="20.1" customHeight="1">
      <c r="A13" t="str">
        <v>Área Mz.</v>
      </c>
      <c r="C13">
        <f>Main!E22</f>
        <v>2.12</v>
      </c>
      <c r="F13" t="str">
        <v>Fecha:</v>
      </c>
      <c r="I13">
        <f>Main!E23</f>
        <v>39959</v>
      </c>
    </row>
    <row r="14" ht="20.1" customHeight="1">
      <c r="A14" t="str">
        <v>Área Ha.</v>
      </c>
      <c r="C14">
        <f>Main!I22</f>
        <v>1.484</v>
      </c>
      <c r="F14" t="str">
        <v>Fecha de Cosecha:</v>
      </c>
      <c r="I14">
        <f>I13+Main!E24</f>
        <v>40032</v>
      </c>
    </row>
    <row r="15" ht="19.5" customHeight="1"/>
    <row r="16" ht="28.5" customHeight="1">
      <c r="A16" t="str">
        <v>Semana</v>
      </c>
      <c r="B16" t="str">
        <v>DDT</v>
      </c>
      <c r="C16" t="str">
        <v>FECHA</v>
      </c>
      <c r="D16" t="str">
        <v>Seleccioné su opción</v>
      </c>
      <c r="E16" t="str">
        <v>Preventivos</v>
      </c>
      <c r="G16" t="str">
        <f>Main!$D$42</f>
        <v>Urea</v>
      </c>
      <c r="I16" t="str">
        <f>Main!$D$32</f>
        <v>DAP 18-46-0</v>
      </c>
      <c r="K16" t="str">
        <f>Main!$D$37</f>
        <v>Kcl Soluble</v>
      </c>
      <c r="M16" t="str">
        <f>Main!$D$47</f>
        <v>Sulfato de Magnesio</v>
      </c>
      <c r="O16" t="str">
        <f>Main!$D$52</f>
        <v>Nitrato de Calcio</v>
      </c>
      <c r="Q16" t="str">
        <f>Main!$D$57</f>
        <v>Sin Boro</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f>Main!E57</f>
        <v>0</v>
      </c>
      <c r="R17" t="str">
        <v>Cambios</v>
      </c>
      <c r="S17" t="str">
        <f>Main!$E$61</f>
        <v>Lts</v>
      </c>
    </row>
    <row r="18" ht="18.75" customHeight="1">
      <c r="A18">
        <v>1</v>
      </c>
      <c r="B18">
        <v>1</v>
      </c>
      <c r="C18">
        <f>$I$13+B18</f>
        <v>39960</v>
      </c>
      <c r="E18">
        <f>VLOOKUP(D18,Fertilizantes!$A$49:$E$123,2,FALSE)*$C$14</f>
        <v>0</v>
      </c>
      <c r="F18">
        <f>VLOOKUP(D18,Fertilizantes!$A$49:$E$123,4,FALSE)</f>
        <v>0</v>
      </c>
      <c r="G18">
        <f>IF($C$14*ReDiarioFert!C7&lt;=0,"0",$C$14*ReDiarioFert!C7)</f>
        <v>7.309740222350474</v>
      </c>
      <c r="I18">
        <f>$C$14*ReDiarioFert!E7</f>
        <v>3.445391573217391</v>
      </c>
      <c r="K18">
        <f>$C$14*ReDiarioFert!G7</f>
        <v>8.749977977299999</v>
      </c>
      <c r="M18">
        <f>$C$14*ReDiarioFert!I7</f>
        <v>5.615874660536972</v>
      </c>
      <c r="O18">
        <f>$C$14*ReDiarioFert!K7</f>
        <v>11.57577364287128</v>
      </c>
      <c r="Q18">
        <f>$C$14*ReDiarioFert!M7</f>
        <v>0.0075574184</v>
      </c>
      <c r="S18">
        <f>$C$14*Main!$D$63</f>
        <v>29.68</v>
      </c>
      <c r="T18">
        <f>((G18/100)*$G$99+(I18/100)*$G$100+(K18/100)*$G$101+(M18/100)*$G$102+(O18/100)*$G$103+(Q18)*$G$104+(S18*$G$105)+(E18*(VLOOKUP(D18,Fertilizantes!$A$49:$E$123,3,FALSE))))</f>
        <v>420.95231664011743</v>
      </c>
    </row>
    <row r="19" ht="18.75" customHeight="1">
      <c r="B19">
        <v>2</v>
      </c>
      <c r="C19">
        <f>$I$13+B19</f>
        <v>39961</v>
      </c>
      <c r="D19" t="str">
        <v>Furadan 48 SC</v>
      </c>
      <c r="E19">
        <f>VLOOKUP(D19,Fertilizantes!$A$49:$E$123,2,FALSE)*$C$14</f>
        <v>5.6169400000000005</v>
      </c>
      <c r="F19" t="str">
        <f>VLOOKUP(D19,Fertilizantes!$A$49:$E$123,4,FALSE)</f>
        <v>Lts</v>
      </c>
      <c r="G19">
        <f>IF($C$14*ReDiarioFert!C8&lt;=0,"0",$C$14*ReDiarioFert!C8)</f>
        <v>7.309740222350474</v>
      </c>
      <c r="I19">
        <f>$C$14*ReDiarioFert!E8</f>
        <v>3.445391573217391</v>
      </c>
      <c r="K19">
        <f>$C$14*ReDiarioFert!G8</f>
        <v>8.749977977299999</v>
      </c>
      <c r="M19">
        <f>$C$14*ReDiarioFert!I8</f>
        <v>5.615874660536972</v>
      </c>
      <c r="O19">
        <f>$C$14*ReDiarioFert!K8</f>
        <v>11.57577364287128</v>
      </c>
      <c r="Q19">
        <f>$C$14*ReDiarioFert!M8</f>
        <v>0.0075574184</v>
      </c>
      <c r="S19">
        <f>Main!$H$81</f>
        <v>0</v>
      </c>
      <c r="T19">
        <f>((G19/100)*$G$99+(I19/100)*$G$100+(K19/100)*$G$101+(M19/100)*$G$102+(O19/100)*$G$103+(Q19)*$G$104+(S19*$G$105)+(E19*(VLOOKUP(D19,Fertilizantes!$A$49:$E$123,3,FALSE))))</f>
        <v>2489.1363366401174</v>
      </c>
    </row>
    <row r="20" ht="18.75" customHeight="1">
      <c r="B20">
        <v>3</v>
      </c>
      <c r="C20">
        <f>$I$13+B20</f>
        <v>39962</v>
      </c>
      <c r="E20">
        <f>VLOOKUP(D20,Fertilizantes!$A$49:$E$123,2,FALSE)*$C$14</f>
        <v>0</v>
      </c>
      <c r="F20">
        <f>VLOOKUP(D20,Fertilizantes!$A$49:$E$123,4,FALSE)</f>
        <v>0</v>
      </c>
      <c r="G20">
        <f>IF($C$14*ReDiarioFert!C9&lt;=0,"0",$C$14*ReDiarioFert!C9)</f>
        <v>7.309740222350474</v>
      </c>
      <c r="I20">
        <f>$C$14*ReDiarioFert!E9</f>
        <v>3.445391573217391</v>
      </c>
      <c r="K20">
        <f>$C$14*ReDiarioFert!G9</f>
        <v>8.749977977299999</v>
      </c>
      <c r="M20">
        <f>$C$14*ReDiarioFert!I9</f>
        <v>5.615874660536972</v>
      </c>
      <c r="O20">
        <f>$C$14*ReDiarioFert!K9</f>
        <v>11.57577364287128</v>
      </c>
      <c r="Q20">
        <f>$C$14*ReDiarioFert!M9</f>
        <v>0.0075574184</v>
      </c>
      <c r="T20">
        <f>((G20/100)*$G$99+(I20/100)*$G$100+(K20/100)*$G$101+(M20/100)*$G$102+(O20/100)*$G$103+(Q20)*$G$104+(S20*$G$105)+(E20*(VLOOKUP(D20,Fertilizantes!$A$49:$E$123,3,FALSE))))</f>
        <v>337.84831664011745</v>
      </c>
    </row>
    <row r="21" ht="18.75" customHeight="1">
      <c r="B21">
        <v>4</v>
      </c>
      <c r="C21">
        <f>$I$13+B21</f>
        <v>39963</v>
      </c>
      <c r="E21">
        <f>VLOOKUP(D21,Fertilizantes!$A$49:$E$123,2,FALSE)*$C$14</f>
        <v>0</v>
      </c>
      <c r="F21">
        <f>VLOOKUP(D21,Fertilizantes!$A$49:$E$123,4,FALSE)</f>
        <v>0</v>
      </c>
      <c r="G21">
        <f>IF($C$14*ReDiarioFert!C10&lt;=0,"0",$C$14*ReDiarioFert!C10)</f>
        <v>7.309740222350474</v>
      </c>
      <c r="I21">
        <f>$C$14*ReDiarioFert!E10</f>
        <v>3.445391573217391</v>
      </c>
      <c r="K21">
        <f>$C$14*ReDiarioFert!G10</f>
        <v>8.749977977299999</v>
      </c>
      <c r="M21">
        <f>$C$14*ReDiarioFert!I10</f>
        <v>5.615874660536972</v>
      </c>
      <c r="O21">
        <f>$C$14*ReDiarioFert!K10</f>
        <v>11.57577364287128</v>
      </c>
      <c r="Q21">
        <f>$C$14*ReDiarioFert!M10</f>
        <v>0.0075574184</v>
      </c>
      <c r="T21">
        <f>((G21/100)*$G$99+(I21/100)*$G$100+(K21/100)*$G$101+(M21/100)*$G$102+(O21/100)*$G$103+(Q21)*$G$104+(S21*$G$105)+(E21*(VLOOKUP(D21,Fertilizantes!$A$49:$E$123,3,FALSE))))</f>
        <v>337.84831664011745</v>
      </c>
    </row>
    <row r="22" ht="18.75" customHeight="1">
      <c r="B22">
        <v>5</v>
      </c>
      <c r="C22">
        <f>$I$13+B22</f>
        <v>39964</v>
      </c>
      <c r="E22">
        <f>VLOOKUP(D22,Fertilizantes!$A$49:$E$123,2,FALSE)*$C$14</f>
        <v>0</v>
      </c>
      <c r="F22">
        <f>VLOOKUP(D22,Fertilizantes!$A$49:$E$123,4,FALSE)</f>
        <v>0</v>
      </c>
      <c r="G22">
        <f>IF($C$14*ReDiarioFert!C11&lt;=0,"0",$C$14*ReDiarioFert!C11)</f>
        <v>7.309740222350474</v>
      </c>
      <c r="I22">
        <f>$C$14*ReDiarioFert!E11</f>
        <v>3.445391573217391</v>
      </c>
      <c r="K22">
        <f>$C$14*ReDiarioFert!G11</f>
        <v>8.749977977299999</v>
      </c>
      <c r="M22">
        <f>$C$14*ReDiarioFert!I11</f>
        <v>5.615874660536972</v>
      </c>
      <c r="O22">
        <f>$C$14*ReDiarioFert!K11</f>
        <v>11.57577364287128</v>
      </c>
      <c r="Q22">
        <f>$C$14*ReDiarioFert!M11</f>
        <v>0.0075574184</v>
      </c>
      <c r="T22">
        <f>((G22/100)*$G$99+(I22/100)*$G$100+(K22/100)*$G$101+(M22/100)*$G$102+(O22/100)*$G$103+(Q22)*$G$104+(S22*$G$105)+(E22*(VLOOKUP(D22,Fertilizantes!$A$49:$E$123,3,FALSE))))</f>
        <v>337.84831664011745</v>
      </c>
    </row>
    <row r="23" ht="18.75" customHeight="1">
      <c r="B23">
        <v>6</v>
      </c>
      <c r="C23">
        <f>$I$13+B23</f>
        <v>39965</v>
      </c>
      <c r="E23">
        <f>VLOOKUP(D23,Fertilizantes!$A$49:$E$123,2,FALSE)*$C$14</f>
        <v>0</v>
      </c>
      <c r="F23">
        <f>VLOOKUP(D23,Fertilizantes!$A$49:$E$123,4,FALSE)</f>
        <v>0</v>
      </c>
      <c r="G23">
        <f>IF($C$14*ReDiarioFert!C12&lt;=0,"0",$C$14*ReDiarioFert!C12)</f>
        <v>7.309740222350474</v>
      </c>
      <c r="I23">
        <f>$C$14*ReDiarioFert!E12</f>
        <v>3.445391573217391</v>
      </c>
      <c r="K23">
        <f>$C$14*ReDiarioFert!G12</f>
        <v>8.749977977299999</v>
      </c>
      <c r="M23">
        <f>$C$14*ReDiarioFert!I12</f>
        <v>5.615874660536972</v>
      </c>
      <c r="O23">
        <f>$C$14*ReDiarioFert!K12</f>
        <v>11.57577364287128</v>
      </c>
      <c r="Q23">
        <f>$C$14*ReDiarioFert!M12</f>
        <v>0.0075574184</v>
      </c>
      <c r="T23">
        <f>((G23/100)*$G$99+(I23/100)*$G$100+(K23/100)*$G$101+(M23/100)*$G$102+(O23/100)*$G$103+(Q23)*$G$104+(S23*$G$105)+(E23*(VLOOKUP(D23,Fertilizantes!$A$49:$E$123,3,FALSE))))</f>
        <v>337.84831664011745</v>
      </c>
    </row>
    <row r="24" ht="18.75" customHeight="1">
      <c r="B24">
        <v>7</v>
      </c>
      <c r="C24">
        <f>$I$13+B24</f>
        <v>39966</v>
      </c>
      <c r="D24" t="str">
        <v>Primer riego depues de estres</v>
      </c>
      <c r="G24">
        <f>IF($C$14*ReDiarioFert!C13&lt;=0,"0",$C$14*ReDiarioFert!C13)</f>
        <v>7.309740222350474</v>
      </c>
      <c r="I24">
        <f>$C$14*ReDiarioFert!E13</f>
        <v>3.445391573217391</v>
      </c>
      <c r="K24">
        <f>$C$14*ReDiarioFert!G13</f>
        <v>8.749977977299999</v>
      </c>
      <c r="M24">
        <f>$C$14*ReDiarioFert!I13</f>
        <v>5.615874660536972</v>
      </c>
      <c r="O24">
        <f>$C$14*ReDiarioFert!K13</f>
        <v>11.57577364287128</v>
      </c>
      <c r="Q24">
        <f>$C$14*ReDiarioFert!M13</f>
        <v>0.0075574184</v>
      </c>
      <c r="T24">
        <f>((G24/100)*$G$99+(I24/100)*$G$100+(K24/100)*$G$101+(M24/100)*$G$102+(O24/100)*$G$103+(Q24)*$G$104+(S24*$G$105))</f>
        <v>337.84831664011745</v>
      </c>
    </row>
    <row r="25">
      <c r="A25">
        <v>2</v>
      </c>
      <c r="B25">
        <v>8</v>
      </c>
      <c r="C25">
        <f>$I$13+B25</f>
        <v>39967</v>
      </c>
      <c r="D25" t="str">
        <v>TricoZam</v>
      </c>
      <c r="E25">
        <f>VLOOKUP(D25,Fertilizantes!$A$49:$E$123,2,FALSE)*$C$14</f>
        <v>356.15999999999997</v>
      </c>
      <c r="F25" t="str">
        <f>VLOOKUP(D25,Fertilizantes!$A$49:$E$123,4,FALSE)</f>
        <v>g</v>
      </c>
      <c r="G25">
        <f>IF($C$14*ReDiarioFert!C14&lt;=0,"0",$C$14*ReDiarioFert!C14)</f>
        <v>12.728386878235062</v>
      </c>
      <c r="I25">
        <f>$C$14*ReDiarioFert!E14</f>
        <v>4.14546344373913</v>
      </c>
      <c r="K25">
        <f>$C$14*ReDiarioFert!G14</f>
        <v>14.503082731200001</v>
      </c>
      <c r="M25">
        <f>$C$14*ReDiarioFert!I14</f>
        <v>9.308308549017612</v>
      </c>
      <c r="O25">
        <f>$C$14*ReDiarioFert!K14</f>
        <v>19.18683718470467</v>
      </c>
      <c r="Q25">
        <f>$C$14*ReDiarioFert!M14</f>
        <v>0.0075574184</v>
      </c>
      <c r="S25">
        <f>$C$14*Main!$D$63</f>
        <v>29.68</v>
      </c>
      <c r="T25">
        <f>((G25/100)*$G$99+(I25/100)*$G$100+(K25/100)*$G$101+(M25/100)*$G$102+(O25/100)*$G$103+(Q25)*$G$104+(S25*$G$105)+(E25*(VLOOKUP(D25,Fertilizantes!$A$49:$E$123,3,FALSE))))</f>
        <v>1192.2041574696664</v>
      </c>
    </row>
    <row r="26">
      <c r="B26">
        <v>9</v>
      </c>
      <c r="C26">
        <f>$I$13+B26</f>
        <v>39968</v>
      </c>
      <c r="E26">
        <f>VLOOKUP(D26,Fertilizantes!$A$49:$E$123,2,FALSE)*$C$14</f>
        <v>0</v>
      </c>
      <c r="F26">
        <f>VLOOKUP(D26,Fertilizantes!$A$49:$E$123,4,FALSE)</f>
        <v>0</v>
      </c>
      <c r="G26">
        <f>IF($C$14*ReDiarioFert!C15&lt;=0,"0",$C$14*ReDiarioFert!C15)</f>
        <v>12.728386878235062</v>
      </c>
      <c r="I26">
        <f>$C$14*ReDiarioFert!E15</f>
        <v>4.14546344373913</v>
      </c>
      <c r="K26">
        <f>$C$14*ReDiarioFert!G15</f>
        <v>14.503082731200001</v>
      </c>
      <c r="M26">
        <f>$C$14*ReDiarioFert!I15</f>
        <v>9.308308549017612</v>
      </c>
      <c r="O26">
        <f>$C$14*ReDiarioFert!K15</f>
        <v>19.18683718470467</v>
      </c>
      <c r="Q26">
        <f>$C$14*ReDiarioFert!M15</f>
        <v>0.0075574184</v>
      </c>
      <c r="T26">
        <f>((G26/100)*$G$99+(I26/100)*$G$100+(K26/100)*$G$101+(M26/100)*$G$102+(O26/100)*$G$103+(Q26)*$G$104+(S26*$G$105)+(E26*(VLOOKUP(D26,Fertilizantes!$A$49:$E$123,3,FALSE))))</f>
        <v>545.1813446696664</v>
      </c>
    </row>
    <row r="27">
      <c r="B27">
        <v>10</v>
      </c>
      <c r="C27">
        <f>$I$13+B27</f>
        <v>39969</v>
      </c>
      <c r="E27">
        <f>VLOOKUP(D27,Fertilizantes!$A$49:$E$123,2,FALSE)*$C$14</f>
        <v>0</v>
      </c>
      <c r="F27">
        <f>VLOOKUP(D27,Fertilizantes!$A$49:$E$123,4,FALSE)</f>
        <v>0</v>
      </c>
      <c r="G27">
        <f>IF($C$14*ReDiarioFert!C16&lt;=0,"0",$C$14*ReDiarioFert!C16)</f>
        <v>12.728386878235062</v>
      </c>
      <c r="I27">
        <f>$C$14*ReDiarioFert!E16</f>
        <v>4.14546344373913</v>
      </c>
      <c r="K27">
        <f>$C$14*ReDiarioFert!G16</f>
        <v>14.503082731200001</v>
      </c>
      <c r="M27">
        <f>$C$14*ReDiarioFert!I16</f>
        <v>9.308308549017612</v>
      </c>
      <c r="O27">
        <f>$C$14*ReDiarioFert!K16</f>
        <v>19.18683718470467</v>
      </c>
      <c r="Q27">
        <f>$C$14*ReDiarioFert!M16</f>
        <v>0.0075574184</v>
      </c>
      <c r="S27">
        <f>Main!$H$82</f>
        <v>0</v>
      </c>
      <c r="T27">
        <f>((G27/100)*$G$99+(I27/100)*$G$100+(K27/100)*$G$101+(M27/100)*$G$102+(O27/100)*$G$103+(Q27)*$G$104+(S27*$G$105)+(E27*(VLOOKUP(D27,Fertilizantes!$A$49:$E$123,3,FALSE))))</f>
        <v>545.1813446696664</v>
      </c>
    </row>
    <row r="28">
      <c r="B28">
        <v>11</v>
      </c>
      <c r="C28">
        <f>$I$13+B28</f>
        <v>39970</v>
      </c>
      <c r="E28">
        <f>VLOOKUP(D28,Fertilizantes!$A$49:$E$123,2,FALSE)*$C$14</f>
        <v>0</v>
      </c>
      <c r="F28">
        <f>VLOOKUP(D28,Fertilizantes!$A$49:$E$123,4,FALSE)</f>
        <v>0</v>
      </c>
      <c r="G28">
        <f>IF($C$14*ReDiarioFert!C17&lt;=0,"0",$C$14*ReDiarioFert!C17)</f>
        <v>12.728386878235062</v>
      </c>
      <c r="I28">
        <f>$C$14*ReDiarioFert!E17</f>
        <v>4.14546344373913</v>
      </c>
      <c r="K28">
        <f>$C$14*ReDiarioFert!G17</f>
        <v>14.503082731200001</v>
      </c>
      <c r="M28">
        <f>$C$14*ReDiarioFert!I17</f>
        <v>9.308308549017612</v>
      </c>
      <c r="O28">
        <f>$C$14*ReDiarioFert!K17</f>
        <v>19.18683718470467</v>
      </c>
      <c r="Q28">
        <f>$C$14*ReDiarioFert!M17</f>
        <v>0.0136033828</v>
      </c>
      <c r="T28">
        <f>((G28/100)*$G$99+(I28/100)*$G$100+(K28/100)*$G$101+(M28/100)*$G$102+(O28/100)*$G$103+(Q28)*$G$104+(S28*$G$105)+(E28*(VLOOKUP(D28,Fertilizantes!$A$49:$E$123,3,FALSE))))</f>
        <v>545.1813446696664</v>
      </c>
    </row>
    <row r="29">
      <c r="B29">
        <v>12</v>
      </c>
      <c r="C29">
        <f>$I$13+B29</f>
        <v>39971</v>
      </c>
      <c r="E29">
        <f>VLOOKUP(D29,Fertilizantes!$A$49:$E$123,2,FALSE)*$C$14</f>
        <v>0</v>
      </c>
      <c r="F29">
        <f>VLOOKUP(D29,Fertilizantes!$A$49:$E$123,4,FALSE)</f>
        <v>0</v>
      </c>
      <c r="G29">
        <f>IF($C$14*ReDiarioFert!C18&lt;=0,"0",$C$14*ReDiarioFert!C18)</f>
        <v>12.728386878235062</v>
      </c>
      <c r="I29">
        <f>$C$14*ReDiarioFert!E18</f>
        <v>4.14546344373913</v>
      </c>
      <c r="K29">
        <f>$C$14*ReDiarioFert!G18</f>
        <v>14.503082731200001</v>
      </c>
      <c r="M29">
        <f>$C$14*ReDiarioFert!I18</f>
        <v>9.308308549017612</v>
      </c>
      <c r="O29">
        <f>$C$14*ReDiarioFert!K18</f>
        <v>19.18683718470467</v>
      </c>
      <c r="Q29">
        <f>$C$14*ReDiarioFert!M18</f>
        <v>0.0136033828</v>
      </c>
      <c r="T29">
        <f>((G29/100)*$G$99+(I29/100)*$G$100+(K29/100)*$G$101+(M29/100)*$G$102+(O29/100)*$G$103+(Q29)*$G$104+(S29*$G$105)+(E29*(VLOOKUP(D29,Fertilizantes!$A$49:$E$123,3,FALSE))))</f>
        <v>545.1813446696664</v>
      </c>
    </row>
    <row r="30">
      <c r="B30">
        <v>13</v>
      </c>
      <c r="C30">
        <f>$I$13+B30</f>
        <v>39972</v>
      </c>
      <c r="E30">
        <f>VLOOKUP(D30,Fertilizantes!$A$49:$E$123,2,FALSE)*$C$14</f>
        <v>0</v>
      </c>
      <c r="F30">
        <f>VLOOKUP(D30,Fertilizantes!$A$49:$E$123,4,FALSE)</f>
        <v>0</v>
      </c>
      <c r="G30">
        <f>IF($C$14*ReDiarioFert!C19&lt;=0,"0",$C$14*ReDiarioFert!C19)</f>
        <v>12.728386878235062</v>
      </c>
      <c r="I30">
        <f>$C$14*ReDiarioFert!E19</f>
        <v>4.14546344373913</v>
      </c>
      <c r="K30">
        <f>$C$14*ReDiarioFert!G19</f>
        <v>14.503082731200001</v>
      </c>
      <c r="M30">
        <f>$C$14*ReDiarioFert!I19</f>
        <v>9.308308549017612</v>
      </c>
      <c r="O30">
        <f>$C$14*ReDiarioFert!K19</f>
        <v>19.18683718470467</v>
      </c>
      <c r="Q30">
        <f>$C$14*ReDiarioFert!M19</f>
        <v>0.0136033828</v>
      </c>
      <c r="T30">
        <f>((G30/100)*$G$99+(I30/100)*$G$100+(K30/100)*$G$101+(M30/100)*$G$102+(O30/100)*$G$103+(Q30)*$G$104+(S30*$G$105)+(E30*(VLOOKUP(D30,Fertilizantes!$A$49:$E$123,3,FALSE))))</f>
        <v>545.1813446696664</v>
      </c>
    </row>
    <row r="31">
      <c r="B31">
        <v>14</v>
      </c>
      <c r="C31">
        <f>$I$13+B31</f>
        <v>39973</v>
      </c>
      <c r="D31" t="str">
        <v>Acido Salicílico</v>
      </c>
      <c r="E31">
        <f>VLOOKUP(D31,Fertilizantes!$A$49:$E$123,2,FALSE)*$C$14</f>
        <v>371</v>
      </c>
      <c r="F31" t="str">
        <f>VLOOKUP(D31,Fertilizantes!$A$49:$E$123,4,FALSE)</f>
        <v>g</v>
      </c>
      <c r="G31">
        <f>IF($C$14*ReDiarioFert!C20&lt;=0,"0",$C$14*ReDiarioFert!C20)</f>
        <v>12.728386878235062</v>
      </c>
      <c r="I31">
        <f>$C$14*ReDiarioFert!E20</f>
        <v>4.14546344373913</v>
      </c>
      <c r="K31">
        <f>$C$14*ReDiarioFert!G20</f>
        <v>14.503082731200001</v>
      </c>
      <c r="M31">
        <f>$C$14*ReDiarioFert!I20</f>
        <v>9.308308549017612</v>
      </c>
      <c r="O31">
        <f>$C$14*ReDiarioFert!K20</f>
        <v>19.18683718470467</v>
      </c>
      <c r="Q31">
        <f>$C$14*ReDiarioFert!M20</f>
        <v>0.0136033828</v>
      </c>
      <c r="T31">
        <f>((G31/100)*$G$99+(I31/100)*$G$100+(K31/100)*$G$101+(M31/100)*$G$102+(O31/100)*$G$103+(Q31)*$G$104+(S31*$G$105)+(E31*(VLOOKUP(D31,Fertilizantes!$A$49:$E$123,3,FALSE))))</f>
        <v>608.2513446696664</v>
      </c>
    </row>
    <row r="32">
      <c r="A32">
        <v>3</v>
      </c>
      <c r="B32">
        <v>15</v>
      </c>
      <c r="C32">
        <f>$I$13+B32</f>
        <v>39974</v>
      </c>
      <c r="E32">
        <f>VLOOKUP(D32,Fertilizantes!$A$49:$E$123,2,FALSE)*$C$14</f>
        <v>0</v>
      </c>
      <c r="F32">
        <f>VLOOKUP(D32,Fertilizantes!$A$49:$E$123,4,FALSE)</f>
        <v>0</v>
      </c>
      <c r="G32">
        <f>IF($C$14*ReDiarioFert!C21&lt;=0,"0",$C$14*ReDiarioFert!C21)</f>
        <v>12.907118596008905</v>
      </c>
      <c r="I32">
        <f>$C$14*ReDiarioFert!E21</f>
        <v>8.057104556869566</v>
      </c>
      <c r="K32">
        <f>$C$14*ReDiarioFert!G21</f>
        <v>16.230628686299998</v>
      </c>
      <c r="M32">
        <f>$C$14*ReDiarioFert!I21</f>
        <v>10.417074945839206</v>
      </c>
      <c r="O32">
        <f>$C$14*ReDiarioFert!K21</f>
        <v>21.47229218650871</v>
      </c>
      <c r="Q32">
        <f>$C$14*ReDiarioFert!M21</f>
        <v>0.0136033828</v>
      </c>
      <c r="S32">
        <f>$C$14*Main!$D$63</f>
        <v>29.68</v>
      </c>
      <c r="T32">
        <f>((G32/100)*$G$99+(I32/100)*$G$100+(K32/100)*$G$101+(M32/100)*$G$102+(O32/100)*$G$103+(Q32)*$G$104+(S32*$G$105)+(E32*(VLOOKUP(D32,Fertilizantes!$A$49:$E$123,3,FALSE))))</f>
        <v>725.5460260961594</v>
      </c>
    </row>
    <row r="33">
      <c r="B33">
        <v>16</v>
      </c>
      <c r="C33">
        <f>$I$13+B33</f>
        <v>39975</v>
      </c>
      <c r="E33">
        <f>VLOOKUP(D33,Fertilizantes!$A$49:$E$123,2,FALSE)*$C$14</f>
        <v>0</v>
      </c>
      <c r="F33">
        <f>VLOOKUP(D33,Fertilizantes!$A$49:$E$123,4,FALSE)</f>
        <v>0</v>
      </c>
      <c r="G33">
        <f>IF($C$14*ReDiarioFert!C22&lt;=0,"0",$C$14*ReDiarioFert!C22)</f>
        <v>12.907118596008905</v>
      </c>
      <c r="I33">
        <f>$C$14*ReDiarioFert!E22</f>
        <v>8.057104556869566</v>
      </c>
      <c r="K33">
        <f>$C$14*ReDiarioFert!G22</f>
        <v>16.230628686299998</v>
      </c>
      <c r="M33">
        <f>$C$14*ReDiarioFert!I22</f>
        <v>10.417074945839206</v>
      </c>
      <c r="O33">
        <f>$C$14*ReDiarioFert!K22</f>
        <v>21.47229218650871</v>
      </c>
      <c r="Q33">
        <f>$C$14*ReDiarioFert!M22</f>
        <v>0.0136033828</v>
      </c>
      <c r="T33">
        <f>((G33/100)*$G$99+(I33/100)*$G$100+(K33/100)*$G$101+(M33/100)*$G$102+(O33/100)*$G$103+(Q33)*$G$104+(S33*$G$105)+(E33*(VLOOKUP(D33,Fertilizantes!$A$49:$E$123,3,FALSE))))</f>
        <v>642.4420260961593</v>
      </c>
    </row>
    <row r="34">
      <c r="B34">
        <v>17</v>
      </c>
      <c r="C34">
        <f>$I$13+B34</f>
        <v>39976</v>
      </c>
      <c r="E34">
        <f>VLOOKUP(D34,Fertilizantes!$A$49:$E$123,2,FALSE)*$C$14</f>
        <v>0</v>
      </c>
      <c r="F34">
        <f>VLOOKUP(D34,Fertilizantes!$A$49:$E$123,4,FALSE)</f>
        <v>0</v>
      </c>
      <c r="G34">
        <f>IF($C$14*ReDiarioFert!C23&lt;=0,"0",$C$14*ReDiarioFert!C23)</f>
        <v>12.907118596008905</v>
      </c>
      <c r="I34">
        <f>$C$14*ReDiarioFert!E23</f>
        <v>8.057104556869566</v>
      </c>
      <c r="K34">
        <f>$C$14*ReDiarioFert!G23</f>
        <v>16.230628686299998</v>
      </c>
      <c r="M34">
        <f>$C$14*ReDiarioFert!I23</f>
        <v>10.417074945839206</v>
      </c>
      <c r="O34">
        <f>$C$14*ReDiarioFert!K23</f>
        <v>21.47229218650871</v>
      </c>
      <c r="Q34">
        <f>$C$14*ReDiarioFert!M23</f>
        <v>0.0136033828</v>
      </c>
      <c r="T34">
        <f>((G34/100)*$G$99+(I34/100)*$G$100+(K34/100)*$G$101+(M34/100)*$G$102+(O34/100)*$G$103+(Q34)*$G$104+(S34*$G$105)+(E34*(VLOOKUP(D34,Fertilizantes!$A$49:$E$123,3,FALSE))))</f>
        <v>642.4420260961593</v>
      </c>
    </row>
    <row r="35">
      <c r="B35">
        <v>18</v>
      </c>
      <c r="C35">
        <f>$I$13+B35</f>
        <v>39977</v>
      </c>
      <c r="E35">
        <f>VLOOKUP(D35,Fertilizantes!$A$49:$E$123,2,FALSE)*$C$14</f>
        <v>0</v>
      </c>
      <c r="F35">
        <f>VLOOKUP(D35,Fertilizantes!$A$49:$E$123,4,FALSE)</f>
        <v>0</v>
      </c>
      <c r="G35">
        <f>IF($C$14*ReDiarioFert!C24&lt;=0,"0",$C$14*ReDiarioFert!C24)</f>
        <v>12.907118596008905</v>
      </c>
      <c r="I35">
        <f>$C$14*ReDiarioFert!E24</f>
        <v>8.057104556869566</v>
      </c>
      <c r="K35">
        <f>$C$14*ReDiarioFert!G24</f>
        <v>16.230628686299998</v>
      </c>
      <c r="M35">
        <f>$C$14*ReDiarioFert!I24</f>
        <v>10.417074945839206</v>
      </c>
      <c r="O35">
        <f>$C$14*ReDiarioFert!K24</f>
        <v>21.47229218650871</v>
      </c>
      <c r="Q35">
        <f>$C$14*ReDiarioFert!M24</f>
        <v>0.0181377448</v>
      </c>
      <c r="T35">
        <f>((G35/100)*$G$99+(I35/100)*$G$100+(K35/100)*$G$101+(M35/100)*$G$102+(O35/100)*$G$103+(Q35)*$G$104+(S35*$G$105)+(E35*(VLOOKUP(D35,Fertilizantes!$A$49:$E$123,3,FALSE))))</f>
        <v>642.4420260961593</v>
      </c>
    </row>
    <row r="36">
      <c r="B36">
        <v>19</v>
      </c>
      <c r="C36">
        <f>$I$13+B36</f>
        <v>39978</v>
      </c>
      <c r="E36">
        <f>VLOOKUP(D36,Fertilizantes!$A$49:$E$123,2,FALSE)*$C$14</f>
        <v>0</v>
      </c>
      <c r="F36">
        <f>VLOOKUP(D36,Fertilizantes!$A$49:$E$123,4,FALSE)</f>
        <v>0</v>
      </c>
      <c r="G36">
        <f>IF($C$14*ReDiarioFert!C25&lt;=0,"0",$C$14*ReDiarioFert!C25)</f>
        <v>12.907118596008905</v>
      </c>
      <c r="I36">
        <f>$C$14*ReDiarioFert!E25</f>
        <v>8.057104556869566</v>
      </c>
      <c r="K36">
        <f>$C$14*ReDiarioFert!G25</f>
        <v>16.230628686299998</v>
      </c>
      <c r="M36">
        <f>$C$14*ReDiarioFert!I25</f>
        <v>10.417074945839206</v>
      </c>
      <c r="O36">
        <f>$C$14*ReDiarioFert!K25</f>
        <v>21.47229218650871</v>
      </c>
      <c r="Q36">
        <f>$C$14*ReDiarioFert!M25</f>
        <v>0.0181377448</v>
      </c>
      <c r="T36">
        <f>((G36/100)*$G$99+(I36/100)*$G$100+(K36/100)*$G$101+(M36/100)*$G$102+(O36/100)*$G$103+(Q36)*$G$104+(S36*$G$105)+(E36*(VLOOKUP(D36,Fertilizantes!$A$49:$E$123,3,FALSE))))</f>
        <v>642.4420260961593</v>
      </c>
    </row>
    <row r="37">
      <c r="B37">
        <v>20</v>
      </c>
      <c r="C37">
        <f>$I$13+B37</f>
        <v>39979</v>
      </c>
      <c r="E37">
        <f>VLOOKUP(D37,Fertilizantes!$A$49:$E$123,2,FALSE)*$C$14</f>
        <v>0</v>
      </c>
      <c r="F37">
        <f>VLOOKUP(D37,Fertilizantes!$A$49:$E$123,4,FALSE)</f>
        <v>0</v>
      </c>
      <c r="G37">
        <f>IF($C$14*ReDiarioFert!C26&lt;=0,"0",$C$14*ReDiarioFert!C26)</f>
        <v>12.907118596008905</v>
      </c>
      <c r="I37">
        <f>$C$14*ReDiarioFert!E26</f>
        <v>8.057104556869566</v>
      </c>
      <c r="K37">
        <f>$C$14*ReDiarioFert!G26</f>
        <v>16.230628686299998</v>
      </c>
      <c r="M37">
        <f>$C$14*ReDiarioFert!I26</f>
        <v>10.417074945839206</v>
      </c>
      <c r="O37">
        <f>$C$14*ReDiarioFert!K26</f>
        <v>21.47229218650871</v>
      </c>
      <c r="Q37">
        <f>$C$14*ReDiarioFert!M26</f>
        <v>0.0181377448</v>
      </c>
      <c r="T37">
        <f>((G37/100)*$G$99+(I37/100)*$G$100+(K37/100)*$G$101+(M37/100)*$G$102+(O37/100)*$G$103+(Q37)*$G$104+(S37*$G$105)+(E37*(VLOOKUP(D37,Fertilizantes!$A$49:$E$123,3,FALSE))))</f>
        <v>642.4420260961593</v>
      </c>
    </row>
    <row r="38">
      <c r="B38">
        <v>21</v>
      </c>
      <c r="C38">
        <f>$I$13+B38</f>
        <v>39980</v>
      </c>
      <c r="E38">
        <f>VLOOKUP(D38,Fertilizantes!$A$49:$E$123,2,FALSE)*$C$14</f>
        <v>0</v>
      </c>
      <c r="F38">
        <f>VLOOKUP(D38,Fertilizantes!$A$49:$E$123,4,FALSE)</f>
        <v>0</v>
      </c>
      <c r="G38">
        <f>IF($C$14*ReDiarioFert!C27&lt;=0,"0",$C$14*ReDiarioFert!C27)</f>
        <v>12.907118596008905</v>
      </c>
      <c r="I38">
        <f>$C$14*ReDiarioFert!E27</f>
        <v>8.057104556869566</v>
      </c>
      <c r="K38">
        <f>$C$14*ReDiarioFert!G27</f>
        <v>16.230628686299998</v>
      </c>
      <c r="M38">
        <f>$C$14*ReDiarioFert!I27</f>
        <v>10.417074945839206</v>
      </c>
      <c r="O38">
        <f>$C$14*ReDiarioFert!K27</f>
        <v>21.47229218650871</v>
      </c>
      <c r="Q38">
        <f>$C$14*ReDiarioFert!M27</f>
        <v>0.0181377448</v>
      </c>
      <c r="T38">
        <f>((G38/100)*$G$99+(I38/100)*$G$100+(K38/100)*$G$101+(M38/100)*$G$102+(O38/100)*$G$103+(Q38)*$G$104+(S38*$G$105)+(E38*(VLOOKUP(D38,Fertilizantes!$A$49:$E$123,3,FALSE))))</f>
        <v>642.4420260961593</v>
      </c>
    </row>
    <row r="39">
      <c r="A39">
        <v>4</v>
      </c>
      <c r="B39">
        <v>22</v>
      </c>
      <c r="C39">
        <f>$I$13+B39</f>
        <v>39981</v>
      </c>
      <c r="D39" t="str">
        <v>BaZam</v>
      </c>
      <c r="E39">
        <f>VLOOKUP(D39,Fertilizantes!$A$49:$E$123,2,FALSE)*$C$14</f>
        <v>356.15999999999997</v>
      </c>
      <c r="F39" t="str">
        <f>VLOOKUP(D39,Fertilizantes!$A$49:$E$123,4,FALSE)</f>
        <v>g</v>
      </c>
      <c r="G39">
        <f>IF($C$14*ReDiarioFert!C28&lt;=0,"0",$C$14*ReDiarioFert!C28)</f>
        <v>12.907118596008905</v>
      </c>
      <c r="I39">
        <f>$C$14*ReDiarioFert!E28</f>
        <v>8.057104556869566</v>
      </c>
      <c r="K39">
        <f>$C$14*ReDiarioFert!G28</f>
        <v>16.230628686299998</v>
      </c>
      <c r="M39">
        <f>$C$14*ReDiarioFert!I28</f>
        <v>10.417074945839206</v>
      </c>
      <c r="O39">
        <f>$C$14*ReDiarioFert!K28</f>
        <v>21.47229218650871</v>
      </c>
      <c r="Q39">
        <f>$C$14*ReDiarioFert!M28</f>
        <v>0.0181377448</v>
      </c>
      <c r="S39">
        <f>$C$14*Main!$D$63</f>
        <v>29.68</v>
      </c>
      <c r="T39">
        <f>((G39/100)*$G$99+(I39/100)*$G$100+(K39/100)*$G$101+(M39/100)*$G$102+(O39/100)*$G$103+(Q39)*$G$104+(S39*$G$105)+(E39*(VLOOKUP(D39,Fertilizantes!$A$49:$E$123,3,FALSE))))</f>
        <v>1289.4659073761595</v>
      </c>
    </row>
    <row r="40">
      <c r="B40">
        <v>23</v>
      </c>
      <c r="C40">
        <f>$I$13+B40</f>
        <v>39982</v>
      </c>
      <c r="E40">
        <f>VLOOKUP(D40,Fertilizantes!$A$49:$E$123,2,FALSE)*$C$14</f>
        <v>0</v>
      </c>
      <c r="F40">
        <f>VLOOKUP(D40,Fertilizantes!$A$49:$E$123,4,FALSE)</f>
        <v>0</v>
      </c>
      <c r="G40">
        <f>IF($C$14*ReDiarioFert!C29&lt;=0,"0",$C$14*ReDiarioFert!C29)</f>
        <v>12.907118596008905</v>
      </c>
      <c r="I40">
        <f>$C$14*ReDiarioFert!E29</f>
        <v>8.057104556869566</v>
      </c>
      <c r="K40">
        <f>$C$14*ReDiarioFert!G29</f>
        <v>16.230628686299998</v>
      </c>
      <c r="M40">
        <f>$C$14*ReDiarioFert!I29</f>
        <v>10.417074945839206</v>
      </c>
      <c r="O40">
        <f>$C$14*ReDiarioFert!K29</f>
        <v>21.47229218650871</v>
      </c>
      <c r="Q40">
        <f>$C$14*ReDiarioFert!M29</f>
        <v>0.0181377448</v>
      </c>
      <c r="T40">
        <f>((G40/100)*$G$99+(I40/100)*$G$100+(K40/100)*$G$101+(M40/100)*$G$102+(O40/100)*$G$103+(Q40)*$G$104+(S40*$G$105)+(E40*(VLOOKUP(D40,Fertilizantes!$A$49:$E$123,3,FALSE))))</f>
        <v>642.4420260961593</v>
      </c>
    </row>
    <row r="41">
      <c r="B41">
        <v>24</v>
      </c>
      <c r="C41">
        <f>$I$13+B41</f>
        <v>39983</v>
      </c>
      <c r="E41">
        <f>VLOOKUP(D41,Fertilizantes!$A$49:$E$123,2,FALSE)*$C$14</f>
        <v>0</v>
      </c>
      <c r="F41">
        <f>VLOOKUP(D41,Fertilizantes!$A$49:$E$123,4,FALSE)</f>
        <v>0</v>
      </c>
      <c r="G41">
        <f>IF($C$14*ReDiarioFert!C30&lt;=0,"0",$C$14*ReDiarioFert!C30)</f>
        <v>12.907118596008905</v>
      </c>
      <c r="I41">
        <f>$C$14*ReDiarioFert!E30</f>
        <v>8.057104556869566</v>
      </c>
      <c r="K41">
        <f>$C$14*ReDiarioFert!G30</f>
        <v>16.230628686299998</v>
      </c>
      <c r="M41">
        <f>$C$14*ReDiarioFert!I30</f>
        <v>10.417074945839206</v>
      </c>
      <c r="O41">
        <f>$C$14*ReDiarioFert!K30</f>
        <v>21.47229218650871</v>
      </c>
      <c r="Q41">
        <f>$C$14*ReDiarioFert!M30</f>
        <v>0.0181377448</v>
      </c>
      <c r="S41">
        <f>Main!$H$82</f>
        <v>0</v>
      </c>
      <c r="T41">
        <f>((G41/100)*$G$99+(I41/100)*$G$100+(K41/100)*$G$101+(M41/100)*$G$102+(O41/100)*$G$103+(Q41)*$G$104+(S41*$G$105)+(E41*(VLOOKUP(D41,Fertilizantes!$A$49:$E$123,3,FALSE))))</f>
        <v>642.4420260961593</v>
      </c>
    </row>
    <row r="42">
      <c r="B42">
        <v>25</v>
      </c>
      <c r="C42">
        <f>$I$13+B42</f>
        <v>39984</v>
      </c>
      <c r="E42">
        <f>VLOOKUP(D42,Fertilizantes!$A$49:$E$123,2,FALSE)*$C$14</f>
        <v>0</v>
      </c>
      <c r="F42">
        <f>VLOOKUP(D42,Fertilizantes!$A$49:$E$123,4,FALSE)</f>
        <v>0</v>
      </c>
      <c r="G42">
        <f>IF($C$14*ReDiarioFert!C31&lt;=0,"0",$C$14*ReDiarioFert!C31)</f>
        <v>12.907118596008905</v>
      </c>
      <c r="I42">
        <f>$C$14*ReDiarioFert!E31</f>
        <v>8.057104556869566</v>
      </c>
      <c r="K42">
        <f>$C$14*ReDiarioFert!G31</f>
        <v>16.230628686299998</v>
      </c>
      <c r="M42">
        <f>$C$14*ReDiarioFert!I31</f>
        <v>10.417074945839206</v>
      </c>
      <c r="O42">
        <f>$C$14*ReDiarioFert!K31</f>
        <v>21.47229218650871</v>
      </c>
      <c r="Q42">
        <f>$C$14*ReDiarioFert!M31</f>
        <v>0.0181377448</v>
      </c>
      <c r="T42">
        <f>((G42/100)*$G$99+(I42/100)*$G$100+(K42/100)*$G$101+(M42/100)*$G$102+(O42/100)*$G$103+(Q42)*$G$104+(S42*$G$105)+(E42*(VLOOKUP(D42,Fertilizantes!$A$49:$E$123,3,FALSE))))</f>
        <v>642.4420260961593</v>
      </c>
    </row>
    <row r="43">
      <c r="B43">
        <v>26</v>
      </c>
      <c r="C43">
        <f>$I$13+B43</f>
        <v>39985</v>
      </c>
      <c r="E43">
        <f>VLOOKUP(D43,Fertilizantes!$A$49:$E$123,2,FALSE)*$C$14</f>
        <v>0</v>
      </c>
      <c r="F43">
        <f>VLOOKUP(D43,Fertilizantes!$A$49:$E$123,4,FALSE)</f>
        <v>0</v>
      </c>
      <c r="G43">
        <f>IF($C$14*ReDiarioFert!C32&lt;=0,"0",$C$14*ReDiarioFert!C32)</f>
        <v>12.907118596008905</v>
      </c>
      <c r="I43">
        <f>$C$14*ReDiarioFert!E32</f>
        <v>8.057104556869566</v>
      </c>
      <c r="K43">
        <f>$C$14*ReDiarioFert!G32</f>
        <v>16.230628686299998</v>
      </c>
      <c r="M43">
        <f>$C$14*ReDiarioFert!I32</f>
        <v>10.417074945839206</v>
      </c>
      <c r="O43">
        <f>$C$14*ReDiarioFert!K32</f>
        <v>21.47229218650871</v>
      </c>
      <c r="Q43">
        <f>$C$14*ReDiarioFert!M32</f>
        <v>0.0181377448</v>
      </c>
      <c r="T43">
        <f>((G43/100)*$G$99+(I43/100)*$G$100+(K43/100)*$G$101+(M43/100)*$G$102+(O43/100)*$G$103+(Q43)*$G$104+(S43*$G$105)+(E43*(VLOOKUP(D43,Fertilizantes!$A$49:$E$123,3,FALSE))))</f>
        <v>642.4420260961593</v>
      </c>
    </row>
    <row r="44">
      <c r="B44">
        <v>27</v>
      </c>
      <c r="C44">
        <f>$I$13+B44</f>
        <v>39986</v>
      </c>
      <c r="E44">
        <f>VLOOKUP(D44,Fertilizantes!$A$49:$E$123,2,FALSE)*$C$14</f>
        <v>0</v>
      </c>
      <c r="F44">
        <f>VLOOKUP(D44,Fertilizantes!$A$49:$E$123,4,FALSE)</f>
        <v>0</v>
      </c>
      <c r="G44">
        <f>IF($C$14*ReDiarioFert!C33&lt;=0,"0",$C$14*ReDiarioFert!C33)</f>
        <v>12.907118596008905</v>
      </c>
      <c r="I44">
        <f>$C$14*ReDiarioFert!E33</f>
        <v>8.057104556869566</v>
      </c>
      <c r="K44">
        <f>$C$14*ReDiarioFert!G33</f>
        <v>16.230628686299998</v>
      </c>
      <c r="M44">
        <f>$C$14*ReDiarioFert!I33</f>
        <v>10.417074945839206</v>
      </c>
      <c r="O44">
        <f>$C$14*ReDiarioFert!K33</f>
        <v>21.47229218650871</v>
      </c>
      <c r="Q44">
        <f>$C$14*ReDiarioFert!M33</f>
        <v>0.0181377448</v>
      </c>
      <c r="T44">
        <f>((G44/100)*$G$99+(I44/100)*$G$100+(K44/100)*$G$101+(M44/100)*$G$102+(O44/100)*$G$103+(Q44)*$G$104+(S44*$G$105)+(E44*(VLOOKUP(D44,Fertilizantes!$A$49:$E$123,3,FALSE))))</f>
        <v>642.4420260961593</v>
      </c>
    </row>
    <row r="45">
      <c r="B45">
        <v>28</v>
      </c>
      <c r="C45">
        <f>$I$13+B45</f>
        <v>39987</v>
      </c>
      <c r="D45" t="str">
        <v>Acido Salicílico</v>
      </c>
      <c r="E45">
        <f>VLOOKUP(D45,Fertilizantes!$A$49:$E$123,2,FALSE)*$C$14</f>
        <v>371</v>
      </c>
      <c r="F45" t="str">
        <f>VLOOKUP(D45,Fertilizantes!$A$49:$E$123,4,FALSE)</f>
        <v>g</v>
      </c>
      <c r="G45">
        <f>IF($C$14*ReDiarioFert!C34&lt;=0,"0",$C$14*ReDiarioFert!C34)</f>
        <v>12.907118596008905</v>
      </c>
      <c r="I45">
        <f>$C$14*ReDiarioFert!E34</f>
        <v>8.057104556869566</v>
      </c>
      <c r="K45">
        <f>$C$14*ReDiarioFert!G34</f>
        <v>16.230628686299998</v>
      </c>
      <c r="M45">
        <f>$C$14*ReDiarioFert!I34</f>
        <v>10.417074945839206</v>
      </c>
      <c r="O45">
        <f>$C$14*ReDiarioFert!K34</f>
        <v>21.47229218650871</v>
      </c>
      <c r="Q45">
        <f>$C$14*ReDiarioFert!M34</f>
        <v>0.0181377448</v>
      </c>
      <c r="S45">
        <f>Main!$H$84</f>
        <v>0</v>
      </c>
      <c r="T45">
        <f>((G45/100)*$G$99+(I45/100)*$G$100+(K45/100)*$G$101+(M45/100)*$G$102+(O45/100)*$G$103+(Q45)*$G$104+(S45*$G$105)+(E45*(VLOOKUP(D45,Fertilizantes!$A$49:$E$123,3,FALSE))))</f>
        <v>705.5120260961594</v>
      </c>
    </row>
    <row r="46">
      <c r="A46">
        <v>5</v>
      </c>
      <c r="B46">
        <v>29</v>
      </c>
      <c r="C46">
        <f>$I$13+B46</f>
        <v>39988</v>
      </c>
      <c r="D46">
        <f>Main!$H$87</f>
        <v>0</v>
      </c>
      <c r="E46">
        <f>VLOOKUP(D46,Fertilizantes!$A$49:$E$123,2,FALSE)*$C$14</f>
        <v>0</v>
      </c>
      <c r="F46">
        <f>VLOOKUP(D46,Fertilizantes!$A$49:$E$123,4,FALSE)</f>
        <v>0</v>
      </c>
      <c r="G46">
        <f>IF($C$14*ReDiarioFert!C35&lt;=0,"0",$C$14*ReDiarioFert!C35)</f>
        <v>18.453185743015894</v>
      </c>
      <c r="I46">
        <f>$C$14*ReDiarioFert!E35</f>
        <v>9.765849130434782</v>
      </c>
      <c r="K46">
        <f>$C$14*ReDiarioFert!G35</f>
        <v>22.51140249843333</v>
      </c>
      <c r="M46">
        <f>$C$14*ReDiarioFert!I35</f>
        <v>14.448175205934692</v>
      </c>
      <c r="O46">
        <f>$C$14*ReDiarioFert!K35</f>
        <v>29.781434922632936</v>
      </c>
      <c r="Q46">
        <f>$C$14*ReDiarioFert!M35</f>
        <v>0.0181377448</v>
      </c>
      <c r="S46">
        <f>$C$14*Main!$D$63</f>
        <v>29.68</v>
      </c>
      <c r="T46">
        <f>((G46/100)*$G$99+(I46/100)*$G$100+(K46/100)*$G$101+(M46/100)*$G$102+(O46/100)*$G$103+(Q46)*$G$104+(S46*$G$105)+(E46*(VLOOKUP(D46,Fertilizantes!$A$49:$E$123,3,FALSE))))</f>
        <v>960.8267667400019</v>
      </c>
    </row>
    <row r="47">
      <c r="B47">
        <v>30</v>
      </c>
      <c r="C47">
        <f>$I$13+B47</f>
        <v>39989</v>
      </c>
      <c r="E47">
        <f>VLOOKUP(D47,Fertilizantes!$A$49:$E$123,2,FALSE)*$C$14</f>
        <v>0</v>
      </c>
      <c r="F47">
        <f>VLOOKUP(D47,Fertilizantes!$A$49:$E$123,4,FALSE)</f>
        <v>0</v>
      </c>
      <c r="G47">
        <f>IF($C$14*ReDiarioFert!C36&lt;=0,"0",$C$14*ReDiarioFert!C36)</f>
        <v>18.453185743015894</v>
      </c>
      <c r="I47">
        <f>$C$14*ReDiarioFert!E36</f>
        <v>9.765849130434782</v>
      </c>
      <c r="K47">
        <f>$C$14*ReDiarioFert!G36</f>
        <v>22.51140249843333</v>
      </c>
      <c r="M47">
        <f>$C$14*ReDiarioFert!I36</f>
        <v>14.448175205934692</v>
      </c>
      <c r="O47">
        <f>$C$14*ReDiarioFert!K36</f>
        <v>29.781434922632936</v>
      </c>
      <c r="Q47">
        <f>$C$14*ReDiarioFert!M36</f>
        <v>0.0181377448</v>
      </c>
      <c r="T47">
        <f>((G47/100)*$G$99+(I47/100)*$G$100+(K47/100)*$G$101+(M47/100)*$G$102+(O47/100)*$G$103+(Q47)*$G$104+(S47*$G$105)+(E47*(VLOOKUP(D47,Fertilizantes!$A$49:$E$123,3,FALSE))))</f>
        <v>877.7227667400018</v>
      </c>
    </row>
    <row r="48">
      <c r="B48">
        <v>31</v>
      </c>
      <c r="C48">
        <f>$I$13+B48</f>
        <v>39990</v>
      </c>
      <c r="E48">
        <f>VLOOKUP(D48,Fertilizantes!$A$49:$E$123,2,FALSE)*$C$14</f>
        <v>0</v>
      </c>
      <c r="F48">
        <f>VLOOKUP(D48,Fertilizantes!$A$49:$E$123,4,FALSE)</f>
        <v>0</v>
      </c>
      <c r="G48">
        <f>IF($C$14*ReDiarioFert!C37&lt;=0,"0",$C$14*ReDiarioFert!C37)</f>
        <v>18.453185743015894</v>
      </c>
      <c r="I48">
        <f>$C$14*ReDiarioFert!E37</f>
        <v>9.765849130434782</v>
      </c>
      <c r="K48">
        <f>$C$14*ReDiarioFert!G37</f>
        <v>22.51140249843333</v>
      </c>
      <c r="M48">
        <f>$C$14*ReDiarioFert!I37</f>
        <v>14.448175205934692</v>
      </c>
      <c r="O48">
        <f>$C$14*ReDiarioFert!K37</f>
        <v>29.781434922632936</v>
      </c>
      <c r="Q48">
        <f>$C$14*ReDiarioFert!M37</f>
        <v>0.0181377448</v>
      </c>
      <c r="T48">
        <f>((G48/100)*$G$99+(I48/100)*$G$100+(K48/100)*$G$101+(M48/100)*$G$102+(O48/100)*$G$103+(Q48)*$G$104+(S48*$G$105)+(E48*(VLOOKUP(D48,Fertilizantes!$A$49:$E$123,3,FALSE))))</f>
        <v>877.7227667400018</v>
      </c>
    </row>
    <row r="49">
      <c r="B49">
        <v>32</v>
      </c>
      <c r="C49">
        <f>$I$13+B49</f>
        <v>39991</v>
      </c>
      <c r="E49">
        <f>VLOOKUP(D49,Fertilizantes!$A$49:$E$123,2,FALSE)*$C$14</f>
        <v>0</v>
      </c>
      <c r="F49">
        <f>VLOOKUP(D49,Fertilizantes!$A$49:$E$123,4,FALSE)</f>
        <v>0</v>
      </c>
      <c r="G49">
        <f>IF($C$14*ReDiarioFert!C38&lt;=0,"0",$C$14*ReDiarioFert!C38)</f>
        <v>18.453185743015894</v>
      </c>
      <c r="I49">
        <f>$C$14*ReDiarioFert!E38</f>
        <v>9.765849130434782</v>
      </c>
      <c r="K49">
        <f>$C$14*ReDiarioFert!G38</f>
        <v>22.51140249843333</v>
      </c>
      <c r="M49">
        <f>$C$14*ReDiarioFert!I38</f>
        <v>14.448175205934692</v>
      </c>
      <c r="O49">
        <f>$C$14*ReDiarioFert!K38</f>
        <v>29.781434922632936</v>
      </c>
      <c r="Q49">
        <f>$C$14*ReDiarioFert!M38</f>
        <v>0.0181377448</v>
      </c>
      <c r="T49">
        <f>((G49/100)*$G$99+(I49/100)*$G$100+(K49/100)*$G$101+(M49/100)*$G$102+(O49/100)*$G$103+(Q49)*$G$104+(S49*$G$105)+(E49*(VLOOKUP(D49,Fertilizantes!$A$49:$E$123,3,FALSE))))</f>
        <v>877.7227667400018</v>
      </c>
    </row>
    <row r="50">
      <c r="B50">
        <v>33</v>
      </c>
      <c r="C50">
        <f>$I$13+B50</f>
        <v>39992</v>
      </c>
      <c r="E50">
        <f>VLOOKUP(D50,Fertilizantes!$A$49:$E$123,2,FALSE)*$C$14</f>
        <v>0</v>
      </c>
      <c r="F50">
        <f>VLOOKUP(D50,Fertilizantes!$A$49:$E$123,4,FALSE)</f>
        <v>0</v>
      </c>
      <c r="G50">
        <f>IF($C$14*ReDiarioFert!C39&lt;=0,"0",$C$14*ReDiarioFert!C39)</f>
        <v>18.453185743015894</v>
      </c>
      <c r="I50">
        <f>$C$14*ReDiarioFert!E39</f>
        <v>9.765849130434782</v>
      </c>
      <c r="K50">
        <f>$C$14*ReDiarioFert!G39</f>
        <v>22.51140249843333</v>
      </c>
      <c r="M50">
        <f>$C$14*ReDiarioFert!I39</f>
        <v>14.448175205934692</v>
      </c>
      <c r="O50">
        <f>$C$14*ReDiarioFert!K39</f>
        <v>29.781434922632936</v>
      </c>
      <c r="Q50">
        <f>$C$14*ReDiarioFert!M39</f>
        <v>0.025695311600000003</v>
      </c>
      <c r="T50">
        <f>((G50/100)*$G$99+(I50/100)*$G$100+(K50/100)*$G$101+(M50/100)*$G$102+(O50/100)*$G$103+(Q50)*$G$104+(S50*$G$105)+(E50*(VLOOKUP(D50,Fertilizantes!$A$49:$E$123,3,FALSE))))</f>
        <v>877.7227667400018</v>
      </c>
    </row>
    <row r="51">
      <c r="B51">
        <v>34</v>
      </c>
      <c r="C51">
        <f>$I$13+B51</f>
        <v>39993</v>
      </c>
      <c r="E51">
        <f>VLOOKUP(D51,Fertilizantes!$A$49:$E$123,2,FALSE)*$C$14</f>
        <v>0</v>
      </c>
      <c r="F51">
        <f>VLOOKUP(D51,Fertilizantes!$A$49:$E$123,4,FALSE)</f>
        <v>0</v>
      </c>
      <c r="G51">
        <f>IF($C$14*ReDiarioFert!C40&lt;=0,"0",$C$14*ReDiarioFert!C40)</f>
        <v>18.453185743015894</v>
      </c>
      <c r="I51">
        <f>$C$14*ReDiarioFert!E40</f>
        <v>9.765849130434782</v>
      </c>
      <c r="K51">
        <f>$C$14*ReDiarioFert!G40</f>
        <v>22.51140249843333</v>
      </c>
      <c r="M51">
        <f>$C$14*ReDiarioFert!I40</f>
        <v>14.448175205934692</v>
      </c>
      <c r="O51">
        <f>$C$14*ReDiarioFert!K40</f>
        <v>29.781434922632936</v>
      </c>
      <c r="Q51">
        <f>$C$14*ReDiarioFert!M40</f>
        <v>0.025695311600000003</v>
      </c>
      <c r="T51">
        <f>((G51/100)*$G$99+(I51/100)*$G$100+(K51/100)*$G$101+(M51/100)*$G$102+(O51/100)*$G$103+(Q51)*$G$104+(S51*$G$105)+(E51*(VLOOKUP(D51,Fertilizantes!$A$49:$E$123,3,FALSE))))</f>
        <v>877.7227667400018</v>
      </c>
    </row>
    <row r="52">
      <c r="B52">
        <v>35</v>
      </c>
      <c r="C52">
        <f>$I$13+B52</f>
        <v>39994</v>
      </c>
      <c r="D52" t="str">
        <v>PaZam</v>
      </c>
      <c r="E52">
        <f>VLOOKUP(D52,Fertilizantes!$A$49:$E$123,2,FALSE)*$C$14</f>
        <v>356.15999999999997</v>
      </c>
      <c r="F52" t="str">
        <f>VLOOKUP(D52,Fertilizantes!$A$49:$E$123,4,FALSE)</f>
        <v>g</v>
      </c>
      <c r="G52">
        <f>IF($C$14*ReDiarioFert!C41&lt;=0,"0",$C$14*ReDiarioFert!C41)</f>
        <v>18.453185743015894</v>
      </c>
      <c r="I52">
        <f>$C$14*ReDiarioFert!E41</f>
        <v>9.765849130434782</v>
      </c>
      <c r="K52">
        <f>$C$14*ReDiarioFert!G41</f>
        <v>22.51140249843333</v>
      </c>
      <c r="M52">
        <f>$C$14*ReDiarioFert!I41</f>
        <v>14.448175205934692</v>
      </c>
      <c r="O52">
        <f>$C$14*ReDiarioFert!K41</f>
        <v>29.781434922632936</v>
      </c>
      <c r="Q52">
        <f>$C$14*ReDiarioFert!M41</f>
        <v>0.025695311600000003</v>
      </c>
      <c r="S52">
        <f>Main!$H$85</f>
        <v>0</v>
      </c>
      <c r="T52">
        <f>((G52/100)*$G$99+(I52/100)*$G$100+(K52/100)*$G$101+(M52/100)*$G$102+(O52/100)*$G$103+(Q52)*$G$104+(S52*$G$105)+(E52*(VLOOKUP(D52,Fertilizantes!$A$49:$E$123,3,FALSE))))</f>
        <v>1441.6426480200018</v>
      </c>
    </row>
    <row r="53">
      <c r="A53">
        <v>6</v>
      </c>
      <c r="B53">
        <v>36</v>
      </c>
      <c r="C53">
        <f>$I$13+B53</f>
        <v>39995</v>
      </c>
      <c r="E53">
        <f>VLOOKUP(D53,Fertilizantes!$A$49:$E$123,2,FALSE)*$C$14</f>
        <v>0</v>
      </c>
      <c r="F53">
        <f>VLOOKUP(D53,Fertilizantes!$A$49:$E$123,4,FALSE)</f>
        <v>0</v>
      </c>
      <c r="G53">
        <f>IF($C$14*ReDiarioFert!C42&lt;=0,"0",$C$14*ReDiarioFert!C42)</f>
        <v>14.844041679606196</v>
      </c>
      <c r="I53">
        <f>$C$14*ReDiarioFert!E42</f>
        <v>9.765849130434782</v>
      </c>
      <c r="K53">
        <f>$C$14*ReDiarioFert!G42</f>
        <v>19.134692123668334</v>
      </c>
      <c r="M53">
        <f>$C$14*ReDiarioFert!I42</f>
        <v>12.280948925044486</v>
      </c>
      <c r="O53">
        <f>$C$14*ReDiarioFert!K42</f>
        <v>25.314219684237994</v>
      </c>
      <c r="Q53">
        <f>$C$14*ReDiarioFert!M42</f>
        <v>0.025695311600000003</v>
      </c>
      <c r="S53">
        <f>$C$14*Main!$D$63</f>
        <v>29.68</v>
      </c>
      <c r="T53">
        <f>((G53/100)*$G$99+(I53/100)*$G$100+(K53/100)*$G$101+(M53/100)*$G$102+(O53/100)*$G$103+(Q53)*$G$104+(S53*$G$105)+(E53*(VLOOKUP(D53,Fertilizantes!$A$49:$E$123,3,FALSE))))</f>
        <v>841.2792998510618</v>
      </c>
    </row>
    <row r="54">
      <c r="B54">
        <v>37</v>
      </c>
      <c r="C54">
        <f>$I$13+B54</f>
        <v>39996</v>
      </c>
      <c r="E54">
        <f>VLOOKUP(D54,Fertilizantes!$A$49:$E$123,2,FALSE)*$C$14</f>
        <v>0</v>
      </c>
      <c r="F54">
        <f>VLOOKUP(D54,Fertilizantes!$A$49:$E$123,4,FALSE)</f>
        <v>0</v>
      </c>
      <c r="G54">
        <f>IF($C$14*ReDiarioFert!C43&lt;=0,"0",$C$14*ReDiarioFert!C43)</f>
        <v>14.844041679606196</v>
      </c>
      <c r="I54">
        <f>$C$14*ReDiarioFert!E43</f>
        <v>9.765849130434782</v>
      </c>
      <c r="K54">
        <f>$C$14*ReDiarioFert!G43</f>
        <v>19.134692123668334</v>
      </c>
      <c r="M54">
        <f>$C$14*ReDiarioFert!I43</f>
        <v>12.280948925044486</v>
      </c>
      <c r="O54">
        <f>$C$14*ReDiarioFert!K43</f>
        <v>25.314219684237994</v>
      </c>
      <c r="Q54">
        <f>$C$14*ReDiarioFert!M43</f>
        <v>0.025695311600000003</v>
      </c>
      <c r="T54">
        <f>((G54/100)*$G$99+(I54/100)*$G$100+(K54/100)*$G$101+(M54/100)*$G$102+(O54/100)*$G$103+(Q54)*$G$104+(S54*$G$105)+(E54*(VLOOKUP(D54,Fertilizantes!$A$49:$E$123,3,FALSE))))</f>
        <v>758.1752998510617</v>
      </c>
    </row>
    <row r="55">
      <c r="B55">
        <v>38</v>
      </c>
      <c r="C55">
        <f>$I$13+B55</f>
        <v>39997</v>
      </c>
      <c r="E55">
        <f>VLOOKUP(D55,Fertilizantes!$A$49:$E$123,2,FALSE)*$C$14</f>
        <v>0</v>
      </c>
      <c r="F55">
        <f>VLOOKUP(D55,Fertilizantes!$A$49:$E$123,4,FALSE)</f>
        <v>0</v>
      </c>
      <c r="G55">
        <f>IF($C$14*ReDiarioFert!C44&lt;=0,"0",$C$14*ReDiarioFert!C44)</f>
        <v>14.844041679606196</v>
      </c>
      <c r="I55">
        <f>$C$14*ReDiarioFert!E44</f>
        <v>9.765849130434782</v>
      </c>
      <c r="K55">
        <f>$C$14*ReDiarioFert!G44</f>
        <v>19.134692123668334</v>
      </c>
      <c r="M55">
        <f>$C$14*ReDiarioFert!I44</f>
        <v>12.280948925044486</v>
      </c>
      <c r="O55">
        <f>$C$14*ReDiarioFert!K44</f>
        <v>25.314219684237994</v>
      </c>
      <c r="Q55">
        <f>$C$14*ReDiarioFert!M44</f>
        <v>0.025695311600000003</v>
      </c>
      <c r="S55">
        <f>Main!$H$82</f>
        <v>0</v>
      </c>
      <c r="T55">
        <f>((G55/100)*$G$99+(I55/100)*$G$100+(K55/100)*$G$101+(M55/100)*$G$102+(O55/100)*$G$103+(Q55)*$G$104+(S55*$G$105)+(E55*(VLOOKUP(D55,Fertilizantes!$A$49:$E$123,3,FALSE))))</f>
        <v>758.1752998510617</v>
      </c>
    </row>
    <row r="56">
      <c r="B56">
        <v>39</v>
      </c>
      <c r="C56">
        <f>$I$13+B56</f>
        <v>39998</v>
      </c>
      <c r="E56">
        <f>VLOOKUP(D56,Fertilizantes!$A$49:$E$123,2,FALSE)*$C$14</f>
        <v>0</v>
      </c>
      <c r="F56">
        <f>VLOOKUP(D56,Fertilizantes!$A$49:$E$123,4,FALSE)</f>
        <v>0</v>
      </c>
      <c r="G56">
        <f>IF($C$14*ReDiarioFert!C45&lt;=0,"0",$C$14*ReDiarioFert!C45)</f>
        <v>14.844041679606196</v>
      </c>
      <c r="I56">
        <f>$C$14*ReDiarioFert!E45</f>
        <v>9.765849130434782</v>
      </c>
      <c r="K56">
        <f>$C$14*ReDiarioFert!G45</f>
        <v>19.134692123668334</v>
      </c>
      <c r="M56">
        <f>$C$14*ReDiarioFert!I45</f>
        <v>12.280948925044486</v>
      </c>
      <c r="O56">
        <f>$C$14*ReDiarioFert!K45</f>
        <v>25.314219684237994</v>
      </c>
      <c r="Q56">
        <f>$C$14*ReDiarioFert!M45</f>
        <v>0.025695311600000003</v>
      </c>
      <c r="T56">
        <f>((G56/100)*$G$99+(I56/100)*$G$100+(K56/100)*$G$101+(M56/100)*$G$102+(O56/100)*$G$103+(Q56)*$G$104+(S56*$G$105)+(E56*(VLOOKUP(D56,Fertilizantes!$A$49:$E$123,3,FALSE))))</f>
        <v>758.1752998510617</v>
      </c>
    </row>
    <row r="57">
      <c r="B57">
        <v>40</v>
      </c>
      <c r="C57">
        <f>$I$13+B57</f>
        <v>39999</v>
      </c>
      <c r="E57">
        <f>VLOOKUP(D57,Fertilizantes!$A$49:$E$123,2,FALSE)*$C$14</f>
        <v>0</v>
      </c>
      <c r="F57">
        <f>VLOOKUP(D57,Fertilizantes!$A$49:$E$123,4,FALSE)</f>
        <v>0</v>
      </c>
      <c r="G57">
        <f>IF($C$14*ReDiarioFert!C46&lt;=0,"0",$C$14*ReDiarioFert!C46)</f>
        <v>14.844041679606196</v>
      </c>
      <c r="I57">
        <f>$C$14*ReDiarioFert!E46</f>
        <v>9.765849130434782</v>
      </c>
      <c r="K57">
        <f>$C$14*ReDiarioFert!G46</f>
        <v>19.134692123668334</v>
      </c>
      <c r="M57">
        <f>$C$14*ReDiarioFert!I46</f>
        <v>12.280948925044486</v>
      </c>
      <c r="O57">
        <f>$C$14*ReDiarioFert!K46</f>
        <v>25.314219684237994</v>
      </c>
      <c r="Q57">
        <f>$C$14*ReDiarioFert!M46</f>
        <v>0.025695311600000003</v>
      </c>
      <c r="T57">
        <f>((G57/100)*$G$99+(I57/100)*$G$100+(K57/100)*$G$101+(M57/100)*$G$102+(O57/100)*$G$103+(Q57)*$G$104+(S57*$G$105)+(E57*(VLOOKUP(D57,Fertilizantes!$A$49:$E$123,3,FALSE))))</f>
        <v>758.1752998510617</v>
      </c>
    </row>
    <row r="58">
      <c r="B58">
        <v>41</v>
      </c>
      <c r="C58">
        <f>$I$13+B58</f>
        <v>40000</v>
      </c>
      <c r="E58">
        <f>VLOOKUP(D58,Fertilizantes!$A$49:$E$123,2,FALSE)*$C$14</f>
        <v>0</v>
      </c>
      <c r="F58">
        <f>VLOOKUP(D58,Fertilizantes!$A$49:$E$123,4,FALSE)</f>
        <v>0</v>
      </c>
      <c r="G58">
        <f>IF($C$14*ReDiarioFert!C47&lt;=0,"0",$C$14*ReDiarioFert!C47)</f>
        <v>14.844041679606196</v>
      </c>
      <c r="I58">
        <f>$C$14*ReDiarioFert!E47</f>
        <v>9.765849130434782</v>
      </c>
      <c r="K58">
        <f>$C$14*ReDiarioFert!G47</f>
        <v>19.134692123668334</v>
      </c>
      <c r="M58">
        <f>$C$14*ReDiarioFert!I47</f>
        <v>12.280948925044486</v>
      </c>
      <c r="O58">
        <f>$C$14*ReDiarioFert!K47</f>
        <v>25.314219684237994</v>
      </c>
      <c r="Q58">
        <f>$C$14*ReDiarioFert!M47</f>
        <v>0.025695311600000003</v>
      </c>
      <c r="T58">
        <f>((G58/100)*$G$99+(I58/100)*$G$100+(K58/100)*$G$101+(M58/100)*$G$102+(O58/100)*$G$103+(Q58)*$G$104+(S58*$G$105)+(E58*(VLOOKUP(D58,Fertilizantes!$A$49:$E$123,3,FALSE))))</f>
        <v>758.1752998510617</v>
      </c>
    </row>
    <row r="59">
      <c r="B59">
        <v>42</v>
      </c>
      <c r="C59">
        <f>$I$13+B59</f>
        <v>40001</v>
      </c>
      <c r="D59" t="str">
        <v>Acido Salicílico</v>
      </c>
      <c r="E59">
        <f>VLOOKUP(D59,Fertilizantes!$A$49:$E$123,2,FALSE)*$C$14</f>
        <v>371</v>
      </c>
      <c r="F59" t="str">
        <f>VLOOKUP(D59,Fertilizantes!$A$49:$E$123,4,FALSE)</f>
        <v>g</v>
      </c>
      <c r="G59">
        <f>IF($C$14*ReDiarioFert!C48&lt;=0,"0",$C$14*ReDiarioFert!C48)</f>
        <v>14.844041679606196</v>
      </c>
      <c r="I59">
        <f>$C$14*ReDiarioFert!E48</f>
        <v>9.765849130434782</v>
      </c>
      <c r="K59">
        <f>$C$14*ReDiarioFert!G48</f>
        <v>19.134692123668334</v>
      </c>
      <c r="M59">
        <f>$C$14*ReDiarioFert!I48</f>
        <v>12.280948925044486</v>
      </c>
      <c r="O59">
        <f>$C$14*ReDiarioFert!K48</f>
        <v>25.314219684237994</v>
      </c>
      <c r="Q59">
        <f>$C$14*ReDiarioFert!M48</f>
        <v>0.025695311600000003</v>
      </c>
      <c r="T59">
        <f>((G59/100)*$G$99+(I59/100)*$G$100+(K59/100)*$G$101+(M59/100)*$G$102+(O59/100)*$G$103+(Q59)*$G$104+(S59*$G$105)+(E59*(VLOOKUP(D59,Fertilizantes!$A$49:$E$123,3,FALSE))))</f>
        <v>821.2452998510618</v>
      </c>
    </row>
    <row r="60">
      <c r="A60">
        <v>7</v>
      </c>
      <c r="B60">
        <v>43</v>
      </c>
      <c r="C60">
        <f>$I$13+B60</f>
        <v>40002</v>
      </c>
      <c r="E60">
        <f>VLOOKUP(D60,Fertilizantes!$A$49:$E$123,2,FALSE)*$C$14</f>
        <v>0</v>
      </c>
      <c r="F60">
        <f>VLOOKUP(D60,Fertilizantes!$A$49:$E$123,4,FALSE)</f>
        <v>0</v>
      </c>
      <c r="G60">
        <f>IF($C$14*ReDiarioFert!C49&lt;=0,"0",$C$14*ReDiarioFert!C49)</f>
        <v>12.861242589881927</v>
      </c>
      <c r="I60">
        <f>$C$14*ReDiarioFert!E49</f>
        <v>9.765849130434782</v>
      </c>
      <c r="K60">
        <f>$C$14*ReDiarioFert!G49</f>
        <v>17.208828198333332</v>
      </c>
      <c r="M60">
        <f>$C$14*ReDiarioFert!I49</f>
        <v>11.044898909148511</v>
      </c>
      <c r="O60">
        <f>$C$14*ReDiarioFert!K49</f>
        <v>22.766400144064857</v>
      </c>
      <c r="Q60">
        <f>$C$14*ReDiarioFert!M49</f>
        <v>0.025695311600000003</v>
      </c>
      <c r="S60">
        <f>$C$14*Main!$D$63</f>
        <v>29.68</v>
      </c>
      <c r="T60">
        <f>((G60/100)*$G$99+(I60/100)*$G$100+(K60/100)*$G$101+(M60/100)*$G$102+(O60/100)*$G$103+(Q60)*$G$104+(S60*$G$105)+(E60*(VLOOKUP(D60,Fertilizantes!$A$49:$E$123,3,FALSE))))</f>
        <v>773.5885165571657</v>
      </c>
    </row>
    <row r="61">
      <c r="B61">
        <v>44</v>
      </c>
      <c r="C61">
        <f>$I$13+B61</f>
        <v>40003</v>
      </c>
      <c r="E61">
        <f>VLOOKUP(D61,Fertilizantes!$A$49:$E$123,2,FALSE)*$C$14</f>
        <v>0</v>
      </c>
      <c r="F61">
        <f>VLOOKUP(D61,Fertilizantes!$A$49:$E$123,4,FALSE)</f>
        <v>0</v>
      </c>
      <c r="G61">
        <f>IF($C$14*ReDiarioFert!C50&lt;=0,"0",$C$14*ReDiarioFert!C50)</f>
        <v>12.861242589881927</v>
      </c>
      <c r="I61">
        <f>$C$14*ReDiarioFert!E50</f>
        <v>9.765849130434782</v>
      </c>
      <c r="K61">
        <f>$C$14*ReDiarioFert!G50</f>
        <v>17.208828198333332</v>
      </c>
      <c r="M61">
        <f>$C$14*ReDiarioFert!I50</f>
        <v>11.044898909148511</v>
      </c>
      <c r="O61">
        <f>$C$14*ReDiarioFert!K50</f>
        <v>22.766400144064857</v>
      </c>
      <c r="Q61">
        <f>$C$14*ReDiarioFert!M50</f>
        <v>0.025695311600000003</v>
      </c>
      <c r="T61">
        <f>((G61/100)*$G$99+(I61/100)*$G$100+(K61/100)*$G$101+(M61/100)*$G$102+(O61/100)*$G$103+(Q61)*$G$104+(S61*$G$105)+(E61*(VLOOKUP(D61,Fertilizantes!$A$49:$E$123,3,FALSE))))</f>
        <v>690.4845165571656</v>
      </c>
    </row>
    <row r="62">
      <c r="B62">
        <v>45</v>
      </c>
      <c r="C62">
        <f>$I$13+B62</f>
        <v>40004</v>
      </c>
      <c r="E62">
        <f>VLOOKUP(D62,Fertilizantes!$A$49:$E$123,2,FALSE)*$C$14</f>
        <v>0</v>
      </c>
      <c r="F62">
        <f>VLOOKUP(D62,Fertilizantes!$A$49:$E$123,4,FALSE)</f>
        <v>0</v>
      </c>
      <c r="G62">
        <f>IF($C$14*ReDiarioFert!C51&lt;=0,"0",$C$14*ReDiarioFert!C51)</f>
        <v>12.861242589881927</v>
      </c>
      <c r="I62">
        <f>$C$14*ReDiarioFert!E51</f>
        <v>9.765849130434782</v>
      </c>
      <c r="K62">
        <f>$C$14*ReDiarioFert!G51</f>
        <v>17.208828198333332</v>
      </c>
      <c r="M62">
        <f>$C$14*ReDiarioFert!I51</f>
        <v>11.044898909148511</v>
      </c>
      <c r="O62">
        <f>$C$14*ReDiarioFert!K51</f>
        <v>22.766400144064857</v>
      </c>
      <c r="Q62">
        <f>$C$14*ReDiarioFert!M51</f>
        <v>0.025695311600000003</v>
      </c>
      <c r="T62">
        <f>((G62/100)*$G$99+(I62/100)*$G$100+(K62/100)*$G$101+(M62/100)*$G$102+(O62/100)*$G$103+(Q62)*$G$104+(S62*$G$105)+(E62*(VLOOKUP(D62,Fertilizantes!$A$49:$E$123,3,FALSE))))</f>
        <v>690.4845165571656</v>
      </c>
    </row>
    <row r="63">
      <c r="B63">
        <v>46</v>
      </c>
      <c r="C63">
        <f>$I$13+B63</f>
        <v>40005</v>
      </c>
      <c r="E63">
        <f>VLOOKUP(D63,Fertilizantes!$A$49:$E$123,2,FALSE)*$C$14</f>
        <v>0</v>
      </c>
      <c r="F63">
        <f>VLOOKUP(D63,Fertilizantes!$A$49:$E$123,4,FALSE)</f>
        <v>0</v>
      </c>
      <c r="G63">
        <f>IF($C$14*ReDiarioFert!C52&lt;=0,"0",$C$14*ReDiarioFert!C52)</f>
        <v>12.861242589881927</v>
      </c>
      <c r="I63">
        <f>$C$14*ReDiarioFert!E52</f>
        <v>9.765849130434782</v>
      </c>
      <c r="K63">
        <f>$C$14*ReDiarioFert!G52</f>
        <v>17.208828198333332</v>
      </c>
      <c r="M63">
        <f>$C$14*ReDiarioFert!I52</f>
        <v>11.044898909148511</v>
      </c>
      <c r="O63">
        <f>$C$14*ReDiarioFert!K52</f>
        <v>22.766400144064857</v>
      </c>
      <c r="Q63">
        <f>$C$14*ReDiarioFert!M52</f>
        <v>0.025695311600000003</v>
      </c>
      <c r="T63">
        <f>((G63/100)*$G$99+(I63/100)*$G$100+(K63/100)*$G$101+(M63/100)*$G$102+(O63/100)*$G$103+(Q63)*$G$104+(S63*$G$105)+(E63*(VLOOKUP(D63,Fertilizantes!$A$49:$E$123,3,FALSE))))</f>
        <v>690.4845165571656</v>
      </c>
    </row>
    <row r="64">
      <c r="B64">
        <v>47</v>
      </c>
      <c r="C64">
        <f>$I$13+B64</f>
        <v>40006</v>
      </c>
      <c r="E64">
        <f>VLOOKUP(D64,Fertilizantes!$A$49:$E$123,2,FALSE)*$C$14</f>
        <v>0</v>
      </c>
      <c r="F64">
        <f>VLOOKUP(D64,Fertilizantes!$A$49:$E$123,4,FALSE)</f>
        <v>0</v>
      </c>
      <c r="G64">
        <f>IF($C$14*ReDiarioFert!C53&lt;=0,"0",$C$14*ReDiarioFert!C53)</f>
        <v>12.861242589881927</v>
      </c>
      <c r="I64">
        <f>$C$14*ReDiarioFert!E53</f>
        <v>9.765849130434782</v>
      </c>
      <c r="K64">
        <f>$C$14*ReDiarioFert!G53</f>
        <v>17.208828198333332</v>
      </c>
      <c r="M64">
        <f>$C$14*ReDiarioFert!I53</f>
        <v>11.044898909148511</v>
      </c>
      <c r="O64">
        <f>$C$14*ReDiarioFert!K53</f>
        <v>22.766400144064857</v>
      </c>
      <c r="Q64">
        <f>$C$14*ReDiarioFert!M53</f>
        <v>0.025695311600000003</v>
      </c>
      <c r="T64">
        <f>((G64/100)*$G$99+(I64/100)*$G$100+(K64/100)*$G$101+(M64/100)*$G$102+(O64/100)*$G$103+(Q64)*$G$104+(S64*$G$105)+(E64*(VLOOKUP(D64,Fertilizantes!$A$49:$E$123,3,FALSE))))</f>
        <v>690.4845165571656</v>
      </c>
    </row>
    <row r="65">
      <c r="B65">
        <v>48</v>
      </c>
      <c r="C65">
        <f>$I$13+B65</f>
        <v>40007</v>
      </c>
      <c r="E65">
        <f>VLOOKUP(D65,Fertilizantes!$A$49:$E$123,2,FALSE)*$C$14</f>
        <v>0</v>
      </c>
      <c r="F65">
        <f>VLOOKUP(D65,Fertilizantes!$A$49:$E$123,4,FALSE)</f>
        <v>0</v>
      </c>
      <c r="G65">
        <f>IF($C$14*ReDiarioFert!C54&lt;=0,"0",$C$14*ReDiarioFert!C54)</f>
        <v>12.861242589881927</v>
      </c>
      <c r="I65">
        <f>$C$14*ReDiarioFert!E54</f>
        <v>9.765849130434782</v>
      </c>
      <c r="K65">
        <f>$C$14*ReDiarioFert!G54</f>
        <v>17.208828198333332</v>
      </c>
      <c r="M65">
        <f>$C$14*ReDiarioFert!I54</f>
        <v>11.044898909148511</v>
      </c>
      <c r="O65">
        <f>$C$14*ReDiarioFert!K54</f>
        <v>22.766400144064857</v>
      </c>
      <c r="Q65">
        <f>$C$14*ReDiarioFert!M54</f>
        <v>0.034764184</v>
      </c>
      <c r="T65">
        <f>((G65/100)*$G$99+(I65/100)*$G$100+(K65/100)*$G$101+(M65/100)*$G$102+(O65/100)*$G$103+(Q65)*$G$104+(S65*$G$105)+(E65*(VLOOKUP(D65,Fertilizantes!$A$49:$E$123,3,FALSE))))</f>
        <v>690.4845165571656</v>
      </c>
    </row>
    <row r="66">
      <c r="B66">
        <v>49</v>
      </c>
      <c r="C66">
        <f>$I$13+B66</f>
        <v>40008</v>
      </c>
      <c r="E66">
        <f>VLOOKUP(D66,Fertilizantes!$A$49:$E$123,2,FALSE)*$C$14</f>
        <v>0</v>
      </c>
      <c r="F66">
        <f>VLOOKUP(D66,Fertilizantes!$A$49:$E$123,4,FALSE)</f>
        <v>0</v>
      </c>
      <c r="G66">
        <f>IF($C$14*ReDiarioFert!C55&lt;=0,"0",$C$14*ReDiarioFert!C55)</f>
        <v>12.861242589881927</v>
      </c>
      <c r="I66">
        <f>$C$14*ReDiarioFert!E55</f>
        <v>9.765849130434782</v>
      </c>
      <c r="K66">
        <f>$C$14*ReDiarioFert!G55</f>
        <v>17.208828198333332</v>
      </c>
      <c r="M66">
        <f>$C$14*ReDiarioFert!I55</f>
        <v>11.044898909148511</v>
      </c>
      <c r="O66">
        <f>$C$14*ReDiarioFert!K55</f>
        <v>22.766400144064857</v>
      </c>
      <c r="Q66">
        <f>$C$14*ReDiarioFert!M55</f>
        <v>0.034764184</v>
      </c>
      <c r="S66">
        <f>Main!$H$84</f>
        <v>0</v>
      </c>
      <c r="T66">
        <f>((G66/100)*$G$99+(I66/100)*$G$100+(K66/100)*$G$101+(M66/100)*$G$102+(O66/100)*$G$103+(Q66)*$G$104+(S66*$G$105)+(E66*(VLOOKUP(D66,Fertilizantes!$A$49:$E$123,3,FALSE))))</f>
        <v>690.4845165571656</v>
      </c>
    </row>
    <row r="67">
      <c r="A67">
        <v>8</v>
      </c>
      <c r="B67">
        <v>50</v>
      </c>
      <c r="C67">
        <f>$I$13+B67</f>
        <v>40009</v>
      </c>
      <c r="D67" t="str">
        <v>TricoZam</v>
      </c>
      <c r="E67">
        <f>VLOOKUP(D67,Fertilizantes!$A$49:$E$123,2,FALSE)*$C$14</f>
        <v>356.15999999999997</v>
      </c>
      <c r="F67" t="str">
        <f>VLOOKUP(D67,Fertilizantes!$A$49:$E$123,4,FALSE)</f>
        <v>g</v>
      </c>
      <c r="G67">
        <f>IF($C$14*ReDiarioFert!C56&lt;=0,"0",$C$14*ReDiarioFert!C56)</f>
        <v>12.861242589881927</v>
      </c>
      <c r="I67">
        <f>$C$14*ReDiarioFert!E56</f>
        <v>9.765849130434782</v>
      </c>
      <c r="K67">
        <f>$C$14*ReDiarioFert!G56</f>
        <v>17.208828198333332</v>
      </c>
      <c r="M67">
        <f>$C$14*ReDiarioFert!I56</f>
        <v>11.044898909148511</v>
      </c>
      <c r="O67">
        <f>$C$14*ReDiarioFert!K56</f>
        <v>22.766400144064857</v>
      </c>
      <c r="Q67">
        <f>$C$14*ReDiarioFert!M56</f>
        <v>0.034764184</v>
      </c>
      <c r="S67">
        <f>$C$14*Main!$D$63</f>
        <v>29.68</v>
      </c>
      <c r="T67">
        <f>((G67/100)*$G$99+(I67/100)*$G$100+(K67/100)*$G$101+(M67/100)*$G$102+(O67/100)*$G$103+(Q67)*$G$104+(S67*$G$105)+(E67*(VLOOKUP(D67,Fertilizantes!$A$49:$E$123,3,FALSE))))</f>
        <v>1337.5073293571656</v>
      </c>
    </row>
    <row r="68">
      <c r="B68">
        <v>51</v>
      </c>
      <c r="C68">
        <f>$I$13+B68</f>
        <v>40010</v>
      </c>
      <c r="E68">
        <f>VLOOKUP(D68,Fertilizantes!$A$49:$E$123,2,FALSE)*$C$14</f>
        <v>0</v>
      </c>
      <c r="F68">
        <f>VLOOKUP(D68,Fertilizantes!$A$49:$E$123,4,FALSE)</f>
        <v>0</v>
      </c>
      <c r="G68">
        <f>IF($C$14*ReDiarioFert!C57&lt;=0,"0",$C$14*ReDiarioFert!C57)</f>
        <v>12.861242589881927</v>
      </c>
      <c r="I68">
        <f>$C$14*ReDiarioFert!E57</f>
        <v>9.765849130434782</v>
      </c>
      <c r="K68">
        <f>$C$14*ReDiarioFert!G57</f>
        <v>17.208828198333332</v>
      </c>
      <c r="M68">
        <f>$C$14*ReDiarioFert!I57</f>
        <v>11.044898909148511</v>
      </c>
      <c r="O68">
        <f>$C$14*ReDiarioFert!K57</f>
        <v>22.766400144064857</v>
      </c>
      <c r="Q68">
        <f>$C$14*ReDiarioFert!M57</f>
        <v>0.034764184</v>
      </c>
      <c r="T68">
        <f>((G68/100)*$G$99+(I68/100)*$G$100+(K68/100)*$G$101+(M68/100)*$G$102+(O68/100)*$G$103+(Q68)*$G$104+(S68*$G$105)+(E68*(VLOOKUP(D68,Fertilizantes!$A$49:$E$123,3,FALSE))))</f>
        <v>690.4845165571656</v>
      </c>
    </row>
    <row r="69">
      <c r="B69">
        <v>52</v>
      </c>
      <c r="C69">
        <f>$I$13+B69</f>
        <v>40011</v>
      </c>
      <c r="E69">
        <f>VLOOKUP(D69,Fertilizantes!$A$49:$E$123,2,FALSE)*$C$14</f>
        <v>0</v>
      </c>
      <c r="F69">
        <f>VLOOKUP(D69,Fertilizantes!$A$49:$E$123,4,FALSE)</f>
        <v>0</v>
      </c>
      <c r="G69">
        <f>IF($C$14*ReDiarioFert!C58&lt;=0,"0",$C$14*ReDiarioFert!C58)</f>
        <v>12.861242589881927</v>
      </c>
      <c r="I69">
        <f>$C$14*ReDiarioFert!E58</f>
        <v>9.765849130434782</v>
      </c>
      <c r="K69">
        <f>$C$14*ReDiarioFert!G58</f>
        <v>17.208828198333332</v>
      </c>
      <c r="M69">
        <f>$C$14*ReDiarioFert!I58</f>
        <v>11.044898909148511</v>
      </c>
      <c r="O69">
        <f>$C$14*ReDiarioFert!K58</f>
        <v>22.766400144064857</v>
      </c>
      <c r="Q69">
        <f>$C$14*ReDiarioFert!M58</f>
        <v>0.034764184</v>
      </c>
      <c r="T69">
        <f>((G69/100)*$G$99+(I69/100)*$G$100+(K69/100)*$G$101+(M69/100)*$G$102+(O69/100)*$G$103+(Q69)*$G$104+(S69*$G$105)+(E69*(VLOOKUP(D69,Fertilizantes!$A$49:$E$123,3,FALSE))))</f>
        <v>690.4845165571656</v>
      </c>
    </row>
    <row r="70">
      <c r="B70">
        <v>53</v>
      </c>
      <c r="C70">
        <f>$I$13+B70</f>
        <v>40012</v>
      </c>
      <c r="E70">
        <f>VLOOKUP(D70,Fertilizantes!$A$49:$E$123,2,FALSE)*$C$14</f>
        <v>0</v>
      </c>
      <c r="F70">
        <f>VLOOKUP(D70,Fertilizantes!$A$49:$E$123,4,FALSE)</f>
        <v>0</v>
      </c>
      <c r="G70">
        <f>IF($C$14*ReDiarioFert!C59&lt;=0,"0",$C$14*ReDiarioFert!C59)</f>
        <v>12.861242589881927</v>
      </c>
      <c r="I70">
        <f>$C$14*ReDiarioFert!E59</f>
        <v>9.765849130434782</v>
      </c>
      <c r="K70">
        <f>$C$14*ReDiarioFert!G59</f>
        <v>17.208828198333332</v>
      </c>
      <c r="M70">
        <f>$C$14*ReDiarioFert!I59</f>
        <v>11.044898909148511</v>
      </c>
      <c r="O70">
        <f>$C$14*ReDiarioFert!K59</f>
        <v>22.766400144064857</v>
      </c>
      <c r="Q70">
        <f>$C$14*ReDiarioFert!M59</f>
        <v>0.034764184</v>
      </c>
      <c r="T70">
        <f>((G70/100)*$G$99+(I70/100)*$G$100+(K70/100)*$G$101+(M70/100)*$G$102+(O70/100)*$G$103+(Q70)*$G$104+(S70*$G$105)+(E70*(VLOOKUP(D70,Fertilizantes!$A$49:$E$123,3,FALSE))))</f>
        <v>690.4845165571656</v>
      </c>
    </row>
    <row r="71">
      <c r="B71">
        <v>54</v>
      </c>
      <c r="C71">
        <f>$I$13+B71</f>
        <v>40013</v>
      </c>
      <c r="E71">
        <f>VLOOKUP(D71,Fertilizantes!$A$49:$E$123,2,FALSE)*$C$14</f>
        <v>0</v>
      </c>
      <c r="F71">
        <f>VLOOKUP(D71,Fertilizantes!$A$49:$E$123,4,FALSE)</f>
        <v>0</v>
      </c>
      <c r="G71">
        <f>IF($C$14*ReDiarioFert!C60&lt;=0,"0",$C$14*ReDiarioFert!C60)</f>
        <v>12.861242589881927</v>
      </c>
      <c r="I71">
        <f>$C$14*ReDiarioFert!E60</f>
        <v>9.765849130434782</v>
      </c>
      <c r="K71">
        <f>$C$14*ReDiarioFert!G60</f>
        <v>17.208828198333332</v>
      </c>
      <c r="M71">
        <f>$C$14*ReDiarioFert!I60</f>
        <v>11.044898909148511</v>
      </c>
      <c r="O71">
        <f>$C$14*ReDiarioFert!K60</f>
        <v>22.766400144064857</v>
      </c>
      <c r="Q71">
        <f>$C$14*ReDiarioFert!M60</f>
        <v>0.034764184</v>
      </c>
      <c r="T71">
        <f>((G71/100)*$G$99+(I71/100)*$G$100+(K71/100)*$G$101+(M71/100)*$G$102+(O71/100)*$G$103+(Q71)*$G$104+(S71*$G$105)+(E71*(VLOOKUP(D71,Fertilizantes!$A$49:$E$123,3,FALSE))))</f>
        <v>690.4845165571656</v>
      </c>
    </row>
    <row r="72">
      <c r="B72">
        <v>55</v>
      </c>
      <c r="C72">
        <f>$I$13+B72</f>
        <v>40014</v>
      </c>
      <c r="E72">
        <f>VLOOKUP(D72,Fertilizantes!$A$49:$E$123,2,FALSE)*$C$14</f>
        <v>0</v>
      </c>
      <c r="F72">
        <f>VLOOKUP(D72,Fertilizantes!$A$49:$E$123,4,FALSE)</f>
        <v>0</v>
      </c>
      <c r="G72">
        <f>IF($C$14*ReDiarioFert!C61&lt;=0,"0",$C$14*ReDiarioFert!C61)</f>
        <v>5.8634149129090805</v>
      </c>
      <c r="I72">
        <f>$C$14*ReDiarioFert!E61</f>
        <v>9.765849130434782</v>
      </c>
      <c r="K72">
        <f>$C$14*ReDiarioFert!G61</f>
        <v>17.208828198333332</v>
      </c>
      <c r="M72">
        <f>$C$14*ReDiarioFert!I61</f>
        <v>11.044898909148511</v>
      </c>
      <c r="O72">
        <f>$C$14*ReDiarioFert!K61</f>
        <v>22.766400144064857</v>
      </c>
      <c r="Q72">
        <f>$C$14*ReDiarioFert!M61</f>
        <v>0.034764184</v>
      </c>
      <c r="T72">
        <f>((G72/100)*$G$99+(I72/100)*$G$100+(K72/100)*$G$101+(M72/100)*$G$102+(O72/100)*$G$103+(Q72)*$G$104+(S72*$G$105)+(E72*(VLOOKUP(D72,Fertilizantes!$A$49:$E$123,3,FALSE))))</f>
        <v>644.9986366568421</v>
      </c>
    </row>
    <row r="73">
      <c r="B73">
        <v>56</v>
      </c>
      <c r="C73">
        <f>$I$13+B73</f>
        <v>40015</v>
      </c>
      <c r="D73" t="str">
        <v>Acido Salicílico</v>
      </c>
      <c r="E73">
        <f>VLOOKUP(D73,Fertilizantes!$A$49:$E$123,2,FALSE)*$C$14</f>
        <v>371</v>
      </c>
      <c r="F73" t="str">
        <f>VLOOKUP(D73,Fertilizantes!$A$49:$E$123,4,FALSE)</f>
        <v>g</v>
      </c>
      <c r="G73">
        <f>IF($C$14*ReDiarioFert!C62&lt;=0,"0",$C$14*ReDiarioFert!C62)</f>
        <v>5.8634149129090805</v>
      </c>
      <c r="I73">
        <f>$C$14*ReDiarioFert!E62</f>
        <v>9.765849130434782</v>
      </c>
      <c r="K73">
        <f>$C$14*ReDiarioFert!G62</f>
        <v>17.208828198333332</v>
      </c>
      <c r="M73">
        <f>$C$14*ReDiarioFert!I62</f>
        <v>11.044898909148511</v>
      </c>
      <c r="O73">
        <f>$C$14*ReDiarioFert!K62</f>
        <v>22.766400144064857</v>
      </c>
      <c r="Q73">
        <f>$C$14*ReDiarioFert!M62</f>
        <v>0.034764184</v>
      </c>
      <c r="T73">
        <f>((G73/100)*$G$99+(I73/100)*$G$100+(K73/100)*$G$101+(M73/100)*$G$102+(O73/100)*$G$103+(Q73)*$G$104+(S73*$G$105)+(E73*(VLOOKUP(D73,Fertilizantes!$A$49:$E$123,3,FALSE))))</f>
        <v>708.0686366568422</v>
      </c>
    </row>
    <row r="74">
      <c r="A74">
        <v>9</v>
      </c>
      <c r="B74">
        <v>57</v>
      </c>
      <c r="C74">
        <f>$I$13+B74</f>
        <v>40016</v>
      </c>
      <c r="D74">
        <f>Main!$H$86</f>
        <v>0</v>
      </c>
      <c r="E74">
        <f>VLOOKUP(D74,Fertilizantes!$A$49:$E$123,2,FALSE)*$C$14</f>
        <v>0</v>
      </c>
      <c r="F74">
        <f>VLOOKUP(D74,Fertilizantes!$A$49:$E$123,4,FALSE)</f>
        <v>0</v>
      </c>
      <c r="G74">
        <f>IF($C$14*ReDiarioFert!C63&lt;=0,"0",$C$14*ReDiarioFert!C63)</f>
        <v>5.8634149129090805</v>
      </c>
      <c r="I74">
        <f>$C$14*ReDiarioFert!E63</f>
        <v>9.765849130434782</v>
      </c>
      <c r="K74">
        <f>$C$14*ReDiarioFert!G63</f>
        <v>17.208828198333332</v>
      </c>
      <c r="M74">
        <f>$C$14*ReDiarioFert!I63</f>
        <v>11.044898909148511</v>
      </c>
      <c r="O74">
        <f>$C$14*ReDiarioFert!K63</f>
        <v>22.766400144064857</v>
      </c>
      <c r="Q74">
        <f>$C$14*ReDiarioFert!M63</f>
        <v>0.034764184</v>
      </c>
      <c r="S74">
        <f>$C$14*Main!$D$63</f>
        <v>29.68</v>
      </c>
      <c r="T74">
        <f>((G74/100)*$G$99+(I74/100)*$G$100+(K74/100)*$G$101+(M74/100)*$G$102+(O74/100)*$G$103+(Q74)*$G$104+(S74*$G$105)+(E74*(VLOOKUP(D74,Fertilizantes!$A$49:$E$123,3,FALSE))))</f>
        <v>728.1026366568422</v>
      </c>
    </row>
    <row r="75">
      <c r="B75">
        <v>58</v>
      </c>
      <c r="C75">
        <f>$I$13+B75</f>
        <v>40017</v>
      </c>
      <c r="E75">
        <f>VLOOKUP(D75,Fertilizantes!$A$49:$E$123,2,FALSE)*$C$14</f>
        <v>0</v>
      </c>
      <c r="F75">
        <f>VLOOKUP(D75,Fertilizantes!$A$49:$E$123,4,FALSE)</f>
        <v>0</v>
      </c>
      <c r="G75">
        <f>IF($C$14*ReDiarioFert!C64&lt;=0,"0",$C$14*ReDiarioFert!C64)</f>
        <v>5.8634149129090805</v>
      </c>
      <c r="I75">
        <f>$C$14*ReDiarioFert!E64</f>
        <v>9.765849130434782</v>
      </c>
      <c r="K75">
        <f>$C$14*ReDiarioFert!G64</f>
        <v>17.208828198333332</v>
      </c>
      <c r="M75">
        <f>$C$14*ReDiarioFert!I64</f>
        <v>11.044898909148511</v>
      </c>
      <c r="O75">
        <f>$C$14*ReDiarioFert!K64</f>
        <v>22.766400144064857</v>
      </c>
      <c r="Q75">
        <f>$C$14*ReDiarioFert!M64</f>
        <v>0.034764184</v>
      </c>
      <c r="T75">
        <f>((G75/100)*$G$99+(I75/100)*$G$100+(K75/100)*$G$101+(M75/100)*$G$102+(O75/100)*$G$103+(Q75)*$G$104+(S75*$G$105)+(E75*(VLOOKUP(D75,Fertilizantes!$A$49:$E$123,3,FALSE))))</f>
        <v>644.9986366568421</v>
      </c>
    </row>
    <row r="76">
      <c r="B76">
        <v>59</v>
      </c>
      <c r="C76">
        <f>$I$13+B76</f>
        <v>40018</v>
      </c>
      <c r="E76">
        <f>VLOOKUP(D76,Fertilizantes!$A$49:$E$123,2,FALSE)*$C$14</f>
        <v>0</v>
      </c>
      <c r="F76">
        <f>VLOOKUP(D76,Fertilizantes!$A$49:$E$123,4,FALSE)</f>
        <v>0</v>
      </c>
      <c r="G76">
        <f>IF($C$14*ReDiarioFert!C65&lt;=0,"0",$C$14*ReDiarioFert!C65)</f>
        <v>5.8634149129090805</v>
      </c>
      <c r="I76">
        <f>$C$14*ReDiarioFert!E65</f>
        <v>9.765849130434782</v>
      </c>
      <c r="K76">
        <f>$C$14*ReDiarioFert!G65</f>
        <v>17.208828198333332</v>
      </c>
      <c r="M76">
        <f>$C$14*ReDiarioFert!I65</f>
        <v>11.044898909148511</v>
      </c>
      <c r="O76">
        <f>$C$14*ReDiarioFert!K65</f>
        <v>22.766400144064857</v>
      </c>
      <c r="Q76">
        <f>$C$14*ReDiarioFert!M65</f>
        <v>0.034764184</v>
      </c>
      <c r="T76">
        <f>((G76/100)*$G$99+(I76/100)*$G$100+(K76/100)*$G$101+(M76/100)*$G$102+(O76/100)*$G$103+(Q76)*$G$104+(S76*$G$105)+(E76*(VLOOKUP(D76,Fertilizantes!$A$49:$E$123,3,FALSE))))</f>
        <v>644.9986366568421</v>
      </c>
    </row>
    <row r="77">
      <c r="B77">
        <v>60</v>
      </c>
      <c r="C77">
        <f>$I$13+B77</f>
        <v>40019</v>
      </c>
      <c r="E77">
        <f>VLOOKUP(D77,Fertilizantes!$A$49:$E$123,2,FALSE)*$C$14</f>
        <v>0</v>
      </c>
      <c r="F77">
        <f>VLOOKUP(D77,Fertilizantes!$A$49:$E$123,4,FALSE)</f>
        <v>0</v>
      </c>
      <c r="G77">
        <f>IF($C$14*ReDiarioFert!C66&lt;=0,"0",$C$14*ReDiarioFert!C66)</f>
        <v>5.8634149129090805</v>
      </c>
      <c r="I77">
        <f>$C$14*ReDiarioFert!E66</f>
        <v>9.765849130434782</v>
      </c>
      <c r="K77">
        <f>$C$14*ReDiarioFert!G66</f>
        <v>17.208828198333332</v>
      </c>
      <c r="M77">
        <f>$C$14*ReDiarioFert!I66</f>
        <v>11.044898909148511</v>
      </c>
      <c r="O77">
        <f>$C$14*ReDiarioFert!K66</f>
        <v>22.766400144064857</v>
      </c>
      <c r="Q77">
        <f>$C$14*ReDiarioFert!M66</f>
        <v>0.034764184</v>
      </c>
      <c r="T77">
        <f>((G77/100)*$G$99+(I77/100)*$G$100+(K77/100)*$G$101+(M77/100)*$G$102+(O77/100)*$G$103+(Q77)*$G$104+(S77*$G$105)+(E77*(VLOOKUP(D77,Fertilizantes!$A$49:$E$123,3,FALSE))))</f>
        <v>644.9986366568421</v>
      </c>
    </row>
    <row r="78">
      <c r="B78">
        <v>61</v>
      </c>
      <c r="C78">
        <f>$I$13+B78</f>
        <v>40020</v>
      </c>
      <c r="E78">
        <f>VLOOKUP(D78,Fertilizantes!$A$49:$E$123,2,FALSE)*$C$14</f>
        <v>0</v>
      </c>
      <c r="F78">
        <f>VLOOKUP(D78,Fertilizantes!$A$49:$E$123,4,FALSE)</f>
        <v>0</v>
      </c>
      <c r="G78">
        <f>IF($C$14*ReDiarioFert!C67&lt;=0,"0",$C$14*ReDiarioFert!C67)</f>
        <v>5.8634149129090805</v>
      </c>
      <c r="I78">
        <f>$C$14*ReDiarioFert!E67</f>
        <v>9.765849130434782</v>
      </c>
      <c r="K78">
        <f>$C$14*ReDiarioFert!G67</f>
        <v>17.208828198333332</v>
      </c>
      <c r="M78">
        <f>$C$14*ReDiarioFert!I67</f>
        <v>11.044898909148511</v>
      </c>
      <c r="O78">
        <f>$C$14*ReDiarioFert!K67</f>
        <v>22.766400144064857</v>
      </c>
      <c r="Q78">
        <f>$C$14*ReDiarioFert!M67</f>
        <v>0.034764184</v>
      </c>
      <c r="T78">
        <f>((G78/100)*$G$99+(I78/100)*$G$100+(K78/100)*$G$101+(M78/100)*$G$102+(O78/100)*$G$103+(Q78)*$G$104+(S78*$G$105)+(E78*(VLOOKUP(D78,Fertilizantes!$A$49:$E$123,3,FALSE))))</f>
        <v>644.9986366568421</v>
      </c>
    </row>
    <row r="79">
      <c r="B79">
        <v>62</v>
      </c>
      <c r="C79">
        <f>$I$13+B79</f>
        <v>40021</v>
      </c>
      <c r="E79">
        <f>VLOOKUP(D79,Fertilizantes!$A$49:$E$123,2,FALSE)*$C$14</f>
        <v>0</v>
      </c>
      <c r="F79">
        <f>VLOOKUP(D79,Fertilizantes!$A$49:$E$123,4,FALSE)</f>
        <v>0</v>
      </c>
      <c r="G79">
        <f>IF($C$14*ReDiarioFert!C68&lt;=0,"0",$C$14*ReDiarioFert!C68)</f>
        <v>5.8634149129090805</v>
      </c>
      <c r="I79">
        <f>$C$14*ReDiarioFert!E68</f>
        <v>9.765849130434782</v>
      </c>
      <c r="K79">
        <f>$C$14*ReDiarioFert!G68</f>
        <v>17.208828198333332</v>
      </c>
      <c r="M79">
        <f>$C$14*ReDiarioFert!I68</f>
        <v>11.044898909148511</v>
      </c>
      <c r="O79">
        <f>$C$14*ReDiarioFert!K68</f>
        <v>22.766400144064857</v>
      </c>
      <c r="Q79">
        <f>$C$14*ReDiarioFert!M68</f>
        <v>0.034764184</v>
      </c>
      <c r="T79">
        <f>((G79/100)*$G$99+(I79/100)*$G$100+(K79/100)*$G$101+(M79/100)*$G$102+(O79/100)*$G$103+(Q79)*$G$104+(S79*$G$105)+(E79*(VLOOKUP(D79,Fertilizantes!$A$49:$E$123,3,FALSE))))</f>
        <v>644.9986366568421</v>
      </c>
    </row>
    <row r="80">
      <c r="B80">
        <v>63</v>
      </c>
      <c r="C80">
        <f>$I$13+B80</f>
        <v>40022</v>
      </c>
      <c r="E80">
        <f>VLOOKUP(D80,Fertilizantes!$A$49:$E$123,2,FALSE)*$C$14</f>
        <v>0</v>
      </c>
      <c r="F80">
        <f>VLOOKUP(D80,Fertilizantes!$A$49:$E$123,4,FALSE)</f>
        <v>0</v>
      </c>
      <c r="G80">
        <f>IF($C$14*ReDiarioFert!C69&lt;=0,"0",$C$14*ReDiarioFert!C69)</f>
        <v>5.8634149129090805</v>
      </c>
      <c r="I80">
        <f>$C$14*ReDiarioFert!E69</f>
        <v>9.765849130434782</v>
      </c>
      <c r="K80">
        <f>$C$14*ReDiarioFert!G69</f>
        <v>17.208828198333332</v>
      </c>
      <c r="M80">
        <f>$C$14*ReDiarioFert!I69</f>
        <v>11.044898909148511</v>
      </c>
      <c r="O80">
        <f>$C$14*ReDiarioFert!K69</f>
        <v>22.766400144064857</v>
      </c>
      <c r="Q80">
        <f>$C$14*ReDiarioFert!M69</f>
        <v>0.0438332048</v>
      </c>
      <c r="S80">
        <f>Main!$H$85</f>
        <v>0</v>
      </c>
      <c r="T80">
        <f>((G80/100)*$G$99+(I80/100)*$G$100+(K80/100)*$G$101+(M80/100)*$G$102+(O80/100)*$G$103+(Q80)*$G$104+(S80*$G$105)+(E80*(VLOOKUP(D80,Fertilizantes!$A$49:$E$123,3,FALSE))))</f>
        <v>644.9986366568421</v>
      </c>
    </row>
    <row r="81">
      <c r="A81">
        <v>10</v>
      </c>
      <c r="B81">
        <v>64</v>
      </c>
      <c r="C81">
        <f>$I$13+B81</f>
        <v>40023</v>
      </c>
      <c r="E81">
        <f>VLOOKUP(D81,Fertilizantes!$A$49:$E$123,2,FALSE)*$C$14</f>
        <v>0</v>
      </c>
      <c r="F81">
        <f>VLOOKUP(D81,Fertilizantes!$A$49:$E$123,4,FALSE)</f>
        <v>0</v>
      </c>
      <c r="G81">
        <f>IF($C$14*ReDiarioFert!C70&lt;=0,"0",$C$14*ReDiarioFert!C70)</f>
        <v>2.5256993085000143</v>
      </c>
      <c r="I81">
        <f>$C$14*ReDiarioFert!E70</f>
        <v>9.765849130434782</v>
      </c>
      <c r="K81">
        <f>$C$14*ReDiarioFert!G70</f>
        <v>17.208828198333332</v>
      </c>
      <c r="M81">
        <f>$C$14*ReDiarioFert!I70</f>
        <v>11.044898909148511</v>
      </c>
      <c r="O81">
        <f>$C$14*ReDiarioFert!K70</f>
        <v>22.766400144064857</v>
      </c>
      <c r="Q81">
        <f>$C$14*ReDiarioFert!M70</f>
        <v>0.0438332048</v>
      </c>
      <c r="S81">
        <f>$C$14*Main!$D$63</f>
        <v>29.68</v>
      </c>
      <c r="T81">
        <f>((G81/100)*$G$99+(I81/100)*$G$100+(K81/100)*$G$101+(M81/100)*$G$102+(O81/100)*$G$103+(Q81)*$G$104+(S81*$G$105)+(E81*(VLOOKUP(D81,Fertilizantes!$A$49:$E$123,3,FALSE))))</f>
        <v>706.4074852281833</v>
      </c>
    </row>
    <row r="82">
      <c r="B82">
        <v>65</v>
      </c>
      <c r="C82">
        <f>$I$13+B82</f>
        <v>40024</v>
      </c>
      <c r="E82">
        <f>VLOOKUP(D82,Fertilizantes!$A$49:$E$123,2,FALSE)*$C$14</f>
        <v>0</v>
      </c>
      <c r="F82">
        <f>VLOOKUP(D82,Fertilizantes!$A$49:$E$123,4,FALSE)</f>
        <v>0</v>
      </c>
      <c r="G82">
        <f>IF($C$14*ReDiarioFert!C71&lt;=0,"0",$C$14*ReDiarioFert!C71)</f>
        <v>2.5256993085000143</v>
      </c>
      <c r="I82">
        <f>$C$14*ReDiarioFert!E71</f>
        <v>9.765849130434782</v>
      </c>
      <c r="K82">
        <f>$C$14*ReDiarioFert!G71</f>
        <v>17.208828198333332</v>
      </c>
      <c r="M82">
        <f>$C$14*ReDiarioFert!I71</f>
        <v>11.044898909148511</v>
      </c>
      <c r="O82">
        <f>$C$14*ReDiarioFert!K71</f>
        <v>22.766400144064857</v>
      </c>
      <c r="Q82">
        <f>$C$14*ReDiarioFert!M71</f>
        <v>0.0438332048</v>
      </c>
      <c r="T82">
        <f>((G82/100)*$G$99+(I82/100)*$G$100+(K82/100)*$G$101+(M82/100)*$G$102+(O82/100)*$G$103+(Q82)*$G$104+(S82*$G$105)+(E82*(VLOOKUP(D82,Fertilizantes!$A$49:$E$123,3,FALSE))))</f>
        <v>623.3034852281833</v>
      </c>
    </row>
    <row r="83">
      <c r="B83">
        <v>66</v>
      </c>
      <c r="C83">
        <f>$I$13+B83</f>
        <v>40025</v>
      </c>
      <c r="E83">
        <f>VLOOKUP(D83,Fertilizantes!$A$49:$E$123,2,FALSE)*$C$14</f>
        <v>0</v>
      </c>
      <c r="F83">
        <f>VLOOKUP(D83,Fertilizantes!$A$49:$E$123,4,FALSE)</f>
        <v>0</v>
      </c>
      <c r="G83">
        <f>IF($C$14*ReDiarioFert!C72&lt;=0,"0",$C$14*ReDiarioFert!C72)</f>
        <v>2.5256993085000143</v>
      </c>
      <c r="I83">
        <f>$C$14*ReDiarioFert!E72</f>
        <v>9.765849130434782</v>
      </c>
      <c r="K83">
        <f>$C$14*ReDiarioFert!G72</f>
        <v>17.208828198333332</v>
      </c>
      <c r="M83">
        <f>$C$14*ReDiarioFert!I72</f>
        <v>11.044898909148511</v>
      </c>
      <c r="O83">
        <f>$C$14*ReDiarioFert!K72</f>
        <v>22.766400144064857</v>
      </c>
      <c r="Q83">
        <f>$C$14*ReDiarioFert!M72</f>
        <v>0.0438332048</v>
      </c>
      <c r="T83">
        <f>((G83/100)*$G$99+(I83/100)*$G$100+(K83/100)*$G$101+(M83/100)*$G$102+(O83/100)*$G$103+(Q83)*$G$104+(S83*$G$105)+(E83*(VLOOKUP(D83,Fertilizantes!$A$49:$E$123,3,FALSE))))</f>
        <v>623.3034852281833</v>
      </c>
    </row>
    <row r="84">
      <c r="B84">
        <v>67</v>
      </c>
      <c r="C84">
        <f>$I$13+B84</f>
        <v>40026</v>
      </c>
      <c r="E84">
        <f>VLOOKUP(D84,Fertilizantes!$A$49:$E$123,2,FALSE)*$C$14</f>
        <v>0</v>
      </c>
      <c r="F84">
        <f>VLOOKUP(D84,Fertilizantes!$A$49:$E$123,4,FALSE)</f>
        <v>0</v>
      </c>
      <c r="G84">
        <f>IF($C$14*ReDiarioFert!C73&lt;=0,"0",$C$14*ReDiarioFert!C73)</f>
        <v>2.5256993085000143</v>
      </c>
      <c r="I84">
        <f>$C$14*ReDiarioFert!E73</f>
        <v>9.765849130434782</v>
      </c>
      <c r="K84">
        <f>$C$14*ReDiarioFert!G73</f>
        <v>17.208828198333332</v>
      </c>
      <c r="M84">
        <f>$C$14*ReDiarioFert!I73</f>
        <v>11.044898909148511</v>
      </c>
      <c r="O84">
        <f>$C$14*ReDiarioFert!K73</f>
        <v>22.766400144064857</v>
      </c>
      <c r="Q84">
        <f>$C$14*ReDiarioFert!M73</f>
        <v>0.0438332048</v>
      </c>
      <c r="T84">
        <f>((G84/100)*$G$99+(I84/100)*$G$100+(K84/100)*$G$101+(M84/100)*$G$102+(O84/100)*$G$103+(Q84)*$G$104+(S84*$G$105)+(E84*(VLOOKUP(D84,Fertilizantes!$A$49:$E$123,3,FALSE))))</f>
        <v>623.3034852281833</v>
      </c>
    </row>
    <row r="85">
      <c r="B85">
        <v>68</v>
      </c>
      <c r="C85">
        <f>$I$13+B85</f>
        <v>40027</v>
      </c>
      <c r="E85">
        <f>VLOOKUP(D85,Fertilizantes!$A$49:$E$123,2,FALSE)*$C$14</f>
        <v>0</v>
      </c>
      <c r="F85">
        <f>VLOOKUP(D85,Fertilizantes!$A$49:$E$123,4,FALSE)</f>
        <v>0</v>
      </c>
      <c r="G85">
        <f>IF($C$14*ReDiarioFert!C74&lt;=0,"0",$C$14*ReDiarioFert!C74)</f>
        <v>2.5256993085000143</v>
      </c>
      <c r="I85">
        <f>$C$14*ReDiarioFert!E74</f>
        <v>9.765849130434782</v>
      </c>
      <c r="K85">
        <f>$C$14*ReDiarioFert!G74</f>
        <v>17.208828198333332</v>
      </c>
      <c r="M85">
        <f>$C$14*ReDiarioFert!I74</f>
        <v>11.044898909148511</v>
      </c>
      <c r="O85">
        <f>$C$14*ReDiarioFert!K74</f>
        <v>22.766400144064857</v>
      </c>
      <c r="Q85">
        <f>$C$14*ReDiarioFert!M74</f>
        <v>0.0438332048</v>
      </c>
      <c r="T85">
        <f>((G85/100)*$G$99+(I85/100)*$G$100+(K85/100)*$G$101+(M85/100)*$G$102+(O85/100)*$G$103+(Q85)*$G$104+(S85*$G$105)+(E85*(VLOOKUP(D85,Fertilizantes!$A$49:$E$123,3,FALSE))))</f>
        <v>623.3034852281833</v>
      </c>
    </row>
    <row r="86">
      <c r="B86">
        <v>69</v>
      </c>
      <c r="C86">
        <f>$I$13+B86</f>
        <v>40028</v>
      </c>
      <c r="E86">
        <f>VLOOKUP(D86,Fertilizantes!$A$49:$E$123,2,FALSE)*$C$14</f>
        <v>0</v>
      </c>
      <c r="F86">
        <f>VLOOKUP(D86,Fertilizantes!$A$49:$E$123,4,FALSE)</f>
        <v>0</v>
      </c>
      <c r="G86">
        <f>IF($C$14*ReDiarioFert!C75&lt;=0,"0",$C$14*ReDiarioFert!C75)</f>
        <v>2.5256993085000143</v>
      </c>
      <c r="I86">
        <f>$C$14*ReDiarioFert!E75</f>
        <v>9.765849130434782</v>
      </c>
      <c r="K86">
        <f>$C$14*ReDiarioFert!G75</f>
        <v>17.208828198333332</v>
      </c>
      <c r="M86">
        <f>$C$14*ReDiarioFert!I75</f>
        <v>11.044898909148511</v>
      </c>
      <c r="O86">
        <f>$C$14*ReDiarioFert!K75</f>
        <v>22.766400144064857</v>
      </c>
      <c r="Q86">
        <f>$C$14*ReDiarioFert!M75</f>
        <v>0.0438332048</v>
      </c>
      <c r="T86">
        <f>((G86/100)*$G$99+(I86/100)*$G$100+(K86/100)*$G$101+(M86/100)*$G$102+(O86/100)*$G$103+(Q86)*$G$104+(S86*$G$105)+(E86*(VLOOKUP(D86,Fertilizantes!$A$49:$E$123,3,FALSE))))</f>
        <v>623.3034852281833</v>
      </c>
    </row>
    <row r="87">
      <c r="B87">
        <v>70</v>
      </c>
      <c r="C87">
        <f>$I$13+B87</f>
        <v>40029</v>
      </c>
      <c r="E87">
        <f>VLOOKUP(D87,Fertilizantes!$A$49:$E$123,2,FALSE)*$C$14</f>
        <v>0</v>
      </c>
      <c r="F87">
        <f>VLOOKUP(D87,Fertilizantes!$A$49:$E$123,4,FALSE)</f>
        <v>0</v>
      </c>
      <c r="G87">
        <f>IF($C$14*ReDiarioFert!C76&lt;=0,"0",$C$14*ReDiarioFert!C76)</f>
        <v>2.5256993085000143</v>
      </c>
      <c r="I87">
        <f>$C$14*ReDiarioFert!E76</f>
        <v>9.765849130434782</v>
      </c>
      <c r="K87">
        <f>$C$14*ReDiarioFert!G76</f>
        <v>17.208828198333332</v>
      </c>
      <c r="M87">
        <f>$C$14*ReDiarioFert!I76</f>
        <v>11.044898909148511</v>
      </c>
      <c r="O87">
        <f>$C$14*ReDiarioFert!K76</f>
        <v>22.766400144064857</v>
      </c>
      <c r="Q87">
        <f>$C$14*ReDiarioFert!M76</f>
        <v>0.0438332048</v>
      </c>
      <c r="S87">
        <f>Main!$H$84</f>
        <v>0</v>
      </c>
      <c r="T87">
        <f>((G87/100)*$G$99+(I87/100)*$G$100+(K87/100)*$G$101+(M87/100)*$G$102+(O87/100)*$G$103+(Q87)*$G$104+(S87*$G$105)+(E87*(VLOOKUP(D87,Fertilizantes!$A$49:$E$123,3,FALSE))))</f>
        <v>623.3034852281833</v>
      </c>
    </row>
    <row r="88">
      <c r="A88">
        <v>11</v>
      </c>
      <c r="B88">
        <v>71</v>
      </c>
      <c r="C88">
        <f>$I$13+B88</f>
        <v>40030</v>
      </c>
      <c r="E88">
        <f>VLOOKUP(D88,Fertilizantes!$A$49:$E$123,2,FALSE)*$C$14</f>
        <v>0</v>
      </c>
      <c r="F88">
        <f>VLOOKUP(D88,Fertilizantes!$A$49:$E$123,4,FALSE)</f>
        <v>0</v>
      </c>
      <c r="G88">
        <f>IF($C$14*ReDiarioFert!C77&lt;=0,"0",$C$14*ReDiarioFert!C77)</f>
        <v>2.5256993085000143</v>
      </c>
      <c r="I88">
        <f>$C$14*ReDiarioFert!E77</f>
        <v>9.765849130434782</v>
      </c>
      <c r="K88">
        <f>$C$14*ReDiarioFert!G77</f>
        <v>17.208828198333332</v>
      </c>
      <c r="M88">
        <f>$C$14*ReDiarioFert!I77</f>
        <v>11.044898909148511</v>
      </c>
      <c r="O88">
        <f>$C$14*ReDiarioFert!K77</f>
        <v>22.766400144064857</v>
      </c>
      <c r="Q88">
        <f>$C$14*ReDiarioFert!M77</f>
        <v>0.0438332048</v>
      </c>
      <c r="S88">
        <f>$C$14*Main!$D$63</f>
        <v>29.68</v>
      </c>
      <c r="T88">
        <f>((G88/100)*$G$99+(I88/100)*$G$100+(K88/100)*$G$101+(M88/100)*$G$102+(O88/100)*$G$103+(Q88)*$G$104+(S88*$G$105)+(E88*(VLOOKUP(D88,Fertilizantes!$A$49:$E$123,3,FALSE))))</f>
        <v>706.4074852281833</v>
      </c>
    </row>
    <row r="89">
      <c r="B89">
        <v>72</v>
      </c>
      <c r="C89">
        <f>$I$13+B89</f>
        <v>40031</v>
      </c>
      <c r="E89">
        <f>VLOOKUP(D89,Fertilizantes!$A$49:$E$123,2,FALSE)*$C$14</f>
        <v>0</v>
      </c>
      <c r="F89">
        <f>VLOOKUP(D89,Fertilizantes!$A$49:$E$123,4,FALSE)</f>
        <v>0</v>
      </c>
      <c r="G89">
        <f>IF($C$14*ReDiarioFert!C78&lt;=0,"0",$C$14*ReDiarioFert!C78)</f>
        <v>2.5256993085000143</v>
      </c>
      <c r="I89">
        <f>$C$14*ReDiarioFert!E78</f>
        <v>9.765849130434782</v>
      </c>
      <c r="K89">
        <f>$C$14*ReDiarioFert!G78</f>
        <v>17.208828198333332</v>
      </c>
      <c r="M89">
        <f>$C$14*ReDiarioFert!I78</f>
        <v>11.044898909148511</v>
      </c>
      <c r="O89">
        <f>$C$14*ReDiarioFert!K78</f>
        <v>22.766400144064857</v>
      </c>
      <c r="Q89">
        <f>$C$14*ReDiarioFert!M78</f>
        <v>0.0438332048</v>
      </c>
      <c r="T89">
        <f>((G89/100)*$G$99+(I89/100)*$G$100+(K89/100)*$G$101+(M89/100)*$G$102+(O89/100)*$G$103+(Q89)*$G$104+(S89*$G$105)+(E89*(VLOOKUP(D89,Fertilizantes!$A$49:$E$123,3,FALSE))))</f>
        <v>623.3034852281833</v>
      </c>
    </row>
    <row r="90">
      <c r="B90">
        <v>73</v>
      </c>
      <c r="C90">
        <f>$I$13+B90</f>
        <v>40032</v>
      </c>
      <c r="E90">
        <f>VLOOKUP(D90,Fertilizantes!$A$49:$E$123,2,FALSE)*$C$14</f>
        <v>0</v>
      </c>
      <c r="F90">
        <f>VLOOKUP(D90,Fertilizantes!$A$49:$E$123,4,FALSE)</f>
        <v>0</v>
      </c>
      <c r="G90">
        <f>IF($C$14*ReDiarioFert!C79&lt;=0,"0",$C$14*ReDiarioFert!C79)</f>
        <v>2.5256993085000143</v>
      </c>
      <c r="I90">
        <f>$C$14*ReDiarioFert!E79</f>
        <v>9.765849130434782</v>
      </c>
      <c r="K90">
        <f>$C$14*ReDiarioFert!G79</f>
        <v>17.208828198333332</v>
      </c>
      <c r="M90">
        <f>$C$14*ReDiarioFert!I79</f>
        <v>11.044898909148511</v>
      </c>
      <c r="O90">
        <f>$C$14*ReDiarioFert!K79</f>
        <v>22.766400144064857</v>
      </c>
      <c r="Q90">
        <f>$C$14*ReDiarioFert!M79</f>
        <v>0.0438332048</v>
      </c>
      <c r="T90">
        <f>((G90/100)*$G$99+(I90/100)*$G$100+(K90/100)*$G$101+(M90/100)*$G$102+(O90/100)*$G$103+(Q90)*$G$104+(S90*$G$105)+(E90*(VLOOKUP(D90,Fertilizantes!$A$49:$E$123,3,FALSE))))</f>
        <v>623.3034852281833</v>
      </c>
    </row>
    <row r="91">
      <c r="B91">
        <v>74</v>
      </c>
      <c r="C91">
        <f>$I$13+B91</f>
        <v>40033</v>
      </c>
      <c r="E91">
        <f>VLOOKUP(D91,Fertilizantes!$A$49:$E$123,2,FALSE)*$C$14</f>
        <v>0</v>
      </c>
      <c r="F91">
        <f>VLOOKUP(D91,Fertilizantes!$A$49:$E$123,4,FALSE)</f>
        <v>0</v>
      </c>
      <c r="G91">
        <f>IF($C$14*ReDiarioFert!C80&lt;=0,"0",$C$14*ReDiarioFert!C80)</f>
        <v>2.5256993085000143</v>
      </c>
      <c r="I91">
        <f>$C$14*ReDiarioFert!E80</f>
        <v>9.765849130434782</v>
      </c>
      <c r="K91">
        <f>$C$14*ReDiarioFert!G80</f>
        <v>17.208828198333332</v>
      </c>
      <c r="M91">
        <f>$C$14*ReDiarioFert!I80</f>
        <v>11.044898909148511</v>
      </c>
      <c r="O91">
        <f>$C$14*ReDiarioFert!K80</f>
        <v>22.766400144064857</v>
      </c>
      <c r="Q91">
        <f>$C$14*ReDiarioFert!M80</f>
        <v>0.0438332048</v>
      </c>
      <c r="T91">
        <f>((G91/100)*$G$99+(I91/100)*$G$100+(K91/100)*$G$101+(M91/100)*$G$102+(O91/100)*$G$103+(Q91)*$G$104+(S91*$G$105)+(E91*(VLOOKUP(D91,Fertilizantes!$A$49:$E$123,3,FALSE))))</f>
        <v>623.3034852281833</v>
      </c>
    </row>
    <row r="92">
      <c r="B92">
        <v>75</v>
      </c>
      <c r="C92">
        <f>$I$13+B92</f>
        <v>40034</v>
      </c>
      <c r="E92">
        <f>VLOOKUP(D92,Fertilizantes!$A$49:$E$123,2,FALSE)*$C$14</f>
        <v>0</v>
      </c>
      <c r="F92">
        <f>VLOOKUP(D92,Fertilizantes!$A$49:$E$123,4,FALSE)</f>
        <v>0</v>
      </c>
      <c r="G92">
        <f>IF($C$14*ReDiarioFert!C81&lt;=0,"0",$C$14*ReDiarioFert!C81)</f>
        <v>2.5256993085000143</v>
      </c>
      <c r="I92">
        <f>$C$14*ReDiarioFert!E81</f>
        <v>9.765849130434782</v>
      </c>
      <c r="K92">
        <f>$C$14*ReDiarioFert!G81</f>
        <v>17.208828198333332</v>
      </c>
      <c r="M92">
        <f>$C$14*ReDiarioFert!I81</f>
        <v>11.044898909148511</v>
      </c>
      <c r="O92">
        <f>$C$14*ReDiarioFert!K81</f>
        <v>22.766400144064857</v>
      </c>
      <c r="Q92">
        <f>$C$14*ReDiarioFert!M81</f>
        <v>0.0438332048</v>
      </c>
      <c r="T92">
        <f>((G92/100)*$G$99+(I92/100)*$G$100+(K92/100)*$G$101+(M92/100)*$G$102+(O92/100)*$G$103+(Q92)*$G$104+(S92*$G$105)+(E92*(VLOOKUP(D92,Fertilizantes!$A$49:$E$123,3,FALSE))))</f>
        <v>623.3034852281833</v>
      </c>
    </row>
    <row r="93">
      <c r="B93">
        <v>76</v>
      </c>
      <c r="C93">
        <f>$I$13+B93</f>
        <v>40035</v>
      </c>
      <c r="E93">
        <f>VLOOKUP(D93,Fertilizantes!$A$49:$E$123,2,FALSE)*$C$14</f>
        <v>0</v>
      </c>
      <c r="F93">
        <f>VLOOKUP(D93,Fertilizantes!$A$49:$E$123,4,FALSE)</f>
        <v>0</v>
      </c>
      <c r="G93">
        <f>IF($C$14*ReDiarioFert!C82&lt;=0,"0",$C$14*ReDiarioFert!C82)</f>
        <v>2.5256993085000143</v>
      </c>
      <c r="I93">
        <f>$C$14*ReDiarioFert!E82</f>
        <v>9.765849130434782</v>
      </c>
      <c r="K93">
        <f>$C$14*ReDiarioFert!G82</f>
        <v>17.208828198333332</v>
      </c>
      <c r="M93">
        <f>$C$14*ReDiarioFert!I82</f>
        <v>11.044898909148511</v>
      </c>
      <c r="O93">
        <f>$C$14*ReDiarioFert!K82</f>
        <v>22.766400144064857</v>
      </c>
      <c r="Q93">
        <f>$C$14*ReDiarioFert!M82</f>
        <v>0.0438332048</v>
      </c>
      <c r="T93">
        <f>((G93/100)*$G$99+(I93/100)*$G$100+(K93/100)*$G$101+(M93/100)*$G$102+(O93/100)*$G$103+(Q93)*$G$104+(S93*$G$105)+(E93*(VLOOKUP(D93,Fertilizantes!$A$49:$E$123,3,FALSE))))</f>
        <v>623.3034852281833</v>
      </c>
    </row>
    <row r="94">
      <c r="B94">
        <v>77</v>
      </c>
      <c r="C94">
        <f>$I$13+B94</f>
        <v>40036</v>
      </c>
      <c r="E94">
        <f>VLOOKUP(D94,Fertilizantes!$A$49:$E$123,2,FALSE)*$C$14</f>
        <v>0</v>
      </c>
      <c r="F94">
        <f>VLOOKUP(D94,Fertilizantes!$A$49:$E$123,4,FALSE)</f>
        <v>0</v>
      </c>
      <c r="G94">
        <f>IF($C$14*ReDiarioFert!C83&lt;=0,"0",$C$14*ReDiarioFert!C83)</f>
        <v>2.5256993085000143</v>
      </c>
      <c r="I94">
        <f>$C$14*ReDiarioFert!E83</f>
        <v>9.765849130434782</v>
      </c>
      <c r="K94">
        <f>$C$14*ReDiarioFert!G83</f>
        <v>17.208828198333332</v>
      </c>
      <c r="M94">
        <f>$C$14*ReDiarioFert!I83</f>
        <v>11.044898909148511</v>
      </c>
      <c r="O94">
        <f>$C$14*ReDiarioFert!K83</f>
        <v>22.766400144064857</v>
      </c>
      <c r="Q94">
        <f>$C$14*ReDiarioFert!M83</f>
        <v>0.0438332048</v>
      </c>
      <c r="T94">
        <f>((G94/100)*$G$99+(I94/100)*$G$100+(K94/100)*$G$101+(M94/100)*$G$102+(O94/100)*$G$103+(Q94)*$G$104+(S94*$G$105)+(E94*(VLOOKUP(D94,Fertilizantes!$A$49:$E$123,3,FALSE))))</f>
        <v>623.3034852281833</v>
      </c>
    </row>
    <row r="95">
      <c r="C95" t="str">
        <v>Total</v>
      </c>
      <c r="G95">
        <f>SUM(G18:G94)</f>
        <v>796.5125776203441</v>
      </c>
      <c r="I95">
        <f>SUM(I18:I94)</f>
        <v>644.4620563061734</v>
      </c>
      <c r="K95">
        <f>SUM(K18:K94)</f>
        <v>1283.8318758640776</v>
      </c>
      <c r="M95">
        <f>SUM(M18:M94)</f>
        <v>823.9836624456832</v>
      </c>
      <c r="O95">
        <f>SUM(O18:O94)</f>
        <v>1698.4439536945192</v>
      </c>
      <c r="Q95">
        <f>SUM(Q18:Q94)</f>
        <v>2.0072545416000014</v>
      </c>
      <c r="S95">
        <f>SUM(S18:S94)</f>
        <v>326.48</v>
      </c>
      <c r="T95">
        <f>SUM(T18:T94)</f>
        <v>55017.12259060432</v>
      </c>
    </row>
    <row r="96">
      <c r="D96" t="str">
        <v>OJO cualquier cultivo que no se termine la cosecha en el ultimo día del calendario solo seguir repitiendo la ultima aplicación de fertilizante.</v>
      </c>
    </row>
    <row r="97" ht="39.75" customHeight="1">
      <c r="B97" t="str">
        <v>Producto</v>
      </c>
      <c r="F97" t="str">
        <v>Lbs/Ha</v>
      </c>
      <c r="G97" t="str">
        <v>Costo por qq</v>
      </c>
    </row>
    <row r="98" ht="24" customHeight="1">
      <c r="G98" t="str">
        <f>Main!$E$25</f>
        <v>Lempiras</v>
      </c>
    </row>
    <row r="99">
      <c r="B99" t="str">
        <f>Main!D42</f>
        <v>Urea</v>
      </c>
      <c r="F99">
        <f>G95/C14</f>
        <v>536.7335428708518</v>
      </c>
      <c r="G99">
        <f>Main!D43</f>
        <v>650</v>
      </c>
    </row>
    <row r="100">
      <c r="B100" t="str">
        <f>Main!D32</f>
        <v>DAP 18-46-0</v>
      </c>
      <c r="F100">
        <f>I95/C14</f>
        <v>434.2736228478257</v>
      </c>
      <c r="G100">
        <f>Main!D33</f>
        <v>1200</v>
      </c>
    </row>
    <row r="101">
      <c r="B101" t="str">
        <f>Main!D37</f>
        <v>Kcl Soluble</v>
      </c>
      <c r="F101">
        <f>K95/C14</f>
        <v>865.1158193154162</v>
      </c>
      <c r="G101">
        <f>Main!D38</f>
        <v>780</v>
      </c>
    </row>
    <row r="102">
      <c r="B102" t="str">
        <f>Main!D47</f>
        <v>Sulfato de Magnesio</v>
      </c>
      <c r="F102">
        <f>M95/C14</f>
        <v>555.2450555563903</v>
      </c>
      <c r="G102">
        <f>Main!D48</f>
        <v>951</v>
      </c>
    </row>
    <row r="103">
      <c r="B103" t="str">
        <f>Main!D52</f>
        <v>Nitrato de Calcio</v>
      </c>
      <c r="F103">
        <f>O95/C14</f>
        <v>1144.5040119235305</v>
      </c>
      <c r="G103">
        <f>Main!D53</f>
        <v>1100</v>
      </c>
    </row>
    <row r="104">
      <c r="B104" t="str">
        <f>Main!D57</f>
        <v>Sin Boro</v>
      </c>
      <c r="F104">
        <f>Q95/C14</f>
        <v>1.352597400000001</v>
      </c>
      <c r="G104">
        <f>Main!D58</f>
        <v>0</v>
      </c>
      <c r="I104" t="str">
        <v xml:space="preserve">Preparado y Autorizado Por </v>
      </c>
    </row>
    <row r="105" ht="18" customHeight="1">
      <c r="B105" t="str">
        <f>Main!D61</f>
        <v>Melaza</v>
      </c>
      <c r="F105">
        <f>S95/C14</f>
        <v>220.00000000000003</v>
      </c>
      <c r="G105">
        <f>Main!D62</f>
        <v>2.8</v>
      </c>
      <c r="I105" t="str">
        <v>MSc Ricardo D. Lardizábal</v>
      </c>
    </row>
    <row r="106">
      <c r="B106" t="str">
        <v>NOTA: El Nitrato de Calcio se debe de diluir en un barril aparte para inyectarse al sistema</v>
      </c>
    </row>
    <row r="108">
      <c r="B108" t="str">
        <v>Abreviaciones usadas</v>
      </c>
    </row>
    <row r="109">
      <c r="B109" t="str">
        <v>Mz.-Manzanas, Ha-Hectáreas, Lbs-Libras, Lts-Litros y DDT-Días después de Trasplante</v>
      </c>
    </row>
  </sheetData>
  <sheetProtection sheet="1"/>
  <mergeCells count="52">
    <mergeCell ref="P5:S7"/>
    <mergeCell ref="I11:M11"/>
    <mergeCell ref="I12:M12"/>
    <mergeCell ref="F11:H11"/>
    <mergeCell ref="C11:E11"/>
    <mergeCell ref="A11:B11"/>
    <mergeCell ref="A12:B12"/>
    <mergeCell ref="C12:E12"/>
    <mergeCell ref="F12:H12"/>
    <mergeCell ref="P9:S12"/>
    <mergeCell ref="P1:S4"/>
    <mergeCell ref="B102:E102"/>
    <mergeCell ref="F13:H13"/>
    <mergeCell ref="F14:H14"/>
    <mergeCell ref="G16:H16"/>
    <mergeCell ref="I16:J16"/>
    <mergeCell ref="G101:H101"/>
    <mergeCell ref="G102:H102"/>
    <mergeCell ref="G97:H97"/>
    <mergeCell ref="A9:K9"/>
    <mergeCell ref="B106:I107"/>
    <mergeCell ref="I105:Q105"/>
    <mergeCell ref="B108:D108"/>
    <mergeCell ref="G100:H100"/>
    <mergeCell ref="G98:H98"/>
    <mergeCell ref="G99:H99"/>
    <mergeCell ref="B101:E101"/>
    <mergeCell ref="B100:E100"/>
    <mergeCell ref="B99:E99"/>
    <mergeCell ref="B104:E104"/>
    <mergeCell ref="G105:H105"/>
    <mergeCell ref="B103:E103"/>
    <mergeCell ref="B105:E105"/>
    <mergeCell ref="G103:H103"/>
    <mergeCell ref="G104:H104"/>
    <mergeCell ref="B97:E97"/>
    <mergeCell ref="C13:E13"/>
    <mergeCell ref="T16:T17"/>
    <mergeCell ref="M16:N16"/>
    <mergeCell ref="Q16:R16"/>
    <mergeCell ref="O16:P16"/>
    <mergeCell ref="E16:F16"/>
    <mergeCell ref="B109:S109"/>
    <mergeCell ref="A13:B13"/>
    <mergeCell ref="A14:B14"/>
    <mergeCell ref="I13:M13"/>
    <mergeCell ref="I14:M14"/>
    <mergeCell ref="K16:L16"/>
    <mergeCell ref="I104:Q104"/>
    <mergeCell ref="C14:E14"/>
    <mergeCell ref="A16:A17"/>
    <mergeCell ref="B16:B17"/>
  </mergeCells>
  <pageMargins left="0" right="0" top="0.2" bottom="0.48" header="0" footer="0.25"/>
  <ignoredErrors>
    <ignoredError numberStoredAsText="1" sqref="A1:Z110"/>
  </ignoredErrors>
  <legacyDrawing r:id="rId1"/>
</worksheet>
</file>

<file path=xl/worksheets/sheet3.xml><?xml version="1.0" encoding="utf-8"?>
<worksheet xmlns="http://schemas.openxmlformats.org/spreadsheetml/2006/main" xmlns:r="http://schemas.openxmlformats.org/officeDocument/2006/relationships">
  <dimension ref="A1:Z110"/>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Maíz Dulce</v>
      </c>
    </row>
    <row r="6" ht="26.25" customHeight="1"/>
    <row r="7" ht="26.25" customHeight="1"/>
    <row r="8" ht="8.4" customHeight="1"/>
    <row r="9" ht="26.25" customHeight="1">
      <c r="A9" t="str">
        <f>Main!$C$13</f>
        <v>"Sin Fertilización Base"</v>
      </c>
      <c r="P9" t="str">
        <f>Main!$G$21</f>
        <v>Golden Sweeter 93</v>
      </c>
    </row>
    <row r="10" ht="4.2" customHeight="1"/>
    <row r="11" ht="20.1" customHeight="1">
      <c r="A11" t="str">
        <v>Productor</v>
      </c>
      <c r="C11" t="str">
        <f>Main!E17</f>
        <v>Hacienda Las Flores</v>
      </c>
      <c r="F11" t="str">
        <v>Parcela</v>
      </c>
      <c r="I11" t="str">
        <f>Main!E19</f>
        <v>Lote VI-B (f)</v>
      </c>
    </row>
    <row r="12" ht="20.1" customHeight="1">
      <c r="A12" t="str">
        <v>Zona</v>
      </c>
      <c r="C12" t="str">
        <f>Main!E18</f>
        <v>Cantarranas</v>
      </c>
      <c r="F12" t="str">
        <v>Técnico</v>
      </c>
      <c r="I12" t="str">
        <f>Main!E20</f>
        <v>Jose de la Cruz Lainez</v>
      </c>
    </row>
    <row r="13" ht="20.1" customHeight="1">
      <c r="A13" t="str">
        <v>Área Mz.</v>
      </c>
      <c r="C13">
        <f>Main!E22</f>
        <v>2.12</v>
      </c>
      <c r="F13" t="str">
        <v>Fecha:</v>
      </c>
      <c r="I13">
        <f>Main!E23</f>
        <v>39959</v>
      </c>
    </row>
    <row r="14" ht="20.1" customHeight="1">
      <c r="A14" t="str">
        <v>Área Ha.</v>
      </c>
      <c r="C14">
        <f>Main!I22</f>
        <v>1.484</v>
      </c>
      <c r="F14" t="str">
        <v>Fecha de Cosecha:</v>
      </c>
      <c r="I14">
        <f>I13+Main!E24</f>
        <v>40032</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Nitrato de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f>Main!E57</f>
        <v>0</v>
      </c>
      <c r="P17" t="str">
        <v>Cambios</v>
      </c>
      <c r="Q17" t="str">
        <f>Main!$E$61</f>
        <v>Lts</v>
      </c>
      <c r="R17" t="str">
        <v>Cambios</v>
      </c>
    </row>
    <row r="18" ht="18.75" customHeight="1">
      <c r="A18">
        <v>1</v>
      </c>
      <c r="B18">
        <v>1</v>
      </c>
      <c r="C18">
        <f>$I$13+B18</f>
        <v>39960</v>
      </c>
      <c r="E18">
        <f>IF($C$14*ReDiarioFert!C7&lt;=0,"0",$C$14*ReDiarioFert!C7)</f>
        <v>7.309740222350474</v>
      </c>
      <c r="G18">
        <f>$C$14*ReDiarioFert!E7</f>
        <v>3.445391573217391</v>
      </c>
      <c r="I18">
        <f>$C$14*ReDiarioFert!G7</f>
        <v>8.749977977299999</v>
      </c>
      <c r="K18">
        <f>$C$14*ReDiarioFert!I7</f>
        <v>5.615874660536972</v>
      </c>
      <c r="M18">
        <f>$C$14*ReDiarioFert!K7</f>
        <v>11.57577364287128</v>
      </c>
      <c r="O18">
        <f>$C$14*ReDiarioFert!M7</f>
        <v>0.0075574184</v>
      </c>
      <c r="Q18">
        <f>$C$14*Main!$D$63</f>
        <v>29.68</v>
      </c>
      <c r="S18">
        <f>((E18/100)*$G$99+(G18/100)*$G$100+(I18/100)*$G$101+(K18/100)*$G$102+(M18/100)*$G$103+(O18)*$G$104+(Q18*$G$105))</f>
        <v>420.95231664011743</v>
      </c>
    </row>
    <row r="19" ht="18.75" customHeight="1">
      <c r="B19">
        <v>2</v>
      </c>
      <c r="C19">
        <f>$I$13+B19</f>
        <v>39961</v>
      </c>
      <c r="E19">
        <f>IF($C$14*ReDiarioFert!C8&lt;=0,"0",$C$14*ReDiarioFert!C8)</f>
        <v>7.309740222350474</v>
      </c>
      <c r="G19">
        <f>$C$14*ReDiarioFert!E8</f>
        <v>3.445391573217391</v>
      </c>
      <c r="I19">
        <f>$C$14*ReDiarioFert!G8</f>
        <v>8.749977977299999</v>
      </c>
      <c r="K19">
        <f>$C$14*ReDiarioFert!I8</f>
        <v>5.615874660536972</v>
      </c>
      <c r="M19">
        <f>$C$14*ReDiarioFert!K8</f>
        <v>11.57577364287128</v>
      </c>
      <c r="O19">
        <f>$C$14*ReDiarioFert!M8</f>
        <v>0.0075574184</v>
      </c>
      <c r="S19">
        <f>((E19/100)*$G$99+(G19/100)*$G$100+(I19/100)*$G$101+(K19/100)*$G$102+(M19/100)*$G$103+(O19)*$G$104+(Q19*$G$105))</f>
        <v>337.84831664011745</v>
      </c>
    </row>
    <row r="20" ht="18.75" customHeight="1">
      <c r="B20">
        <v>3</v>
      </c>
      <c r="C20">
        <f>$I$13+B20</f>
        <v>39962</v>
      </c>
      <c r="E20">
        <f>IF($C$14*ReDiarioFert!C9&lt;=0,"0",$C$14*ReDiarioFert!C9)</f>
        <v>7.309740222350474</v>
      </c>
      <c r="G20">
        <f>$C$14*ReDiarioFert!E9</f>
        <v>3.445391573217391</v>
      </c>
      <c r="I20">
        <f>$C$14*ReDiarioFert!G9</f>
        <v>8.749977977299999</v>
      </c>
      <c r="K20">
        <f>$C$14*ReDiarioFert!I9</f>
        <v>5.615874660536972</v>
      </c>
      <c r="M20">
        <f>$C$14*ReDiarioFert!K9</f>
        <v>11.57577364287128</v>
      </c>
      <c r="O20">
        <f>$C$14*ReDiarioFert!M9</f>
        <v>0.0075574184</v>
      </c>
      <c r="S20">
        <f>((E20/100)*$G$99+(G20/100)*$G$100+(I20/100)*$G$101+(K20/100)*$G$102+(M20/100)*$G$103+(O20)*$G$104+(Q20*$G$105))</f>
        <v>337.84831664011745</v>
      </c>
    </row>
    <row r="21" ht="18.75" customHeight="1">
      <c r="B21">
        <v>4</v>
      </c>
      <c r="C21">
        <f>$I$13+B21</f>
        <v>39963</v>
      </c>
      <c r="E21">
        <f>IF($C$14*ReDiarioFert!C10&lt;=0,"0",$C$14*ReDiarioFert!C10)</f>
        <v>7.309740222350474</v>
      </c>
      <c r="G21">
        <f>$C$14*ReDiarioFert!E10</f>
        <v>3.445391573217391</v>
      </c>
      <c r="I21">
        <f>$C$14*ReDiarioFert!G10</f>
        <v>8.749977977299999</v>
      </c>
      <c r="K21">
        <f>$C$14*ReDiarioFert!I10</f>
        <v>5.615874660536972</v>
      </c>
      <c r="M21">
        <f>$C$14*ReDiarioFert!K10</f>
        <v>11.57577364287128</v>
      </c>
      <c r="O21">
        <f>$C$14*ReDiarioFert!M10</f>
        <v>0.0075574184</v>
      </c>
      <c r="S21">
        <f>((E21/100)*$G$99+(G21/100)*$G$100+(I21/100)*$G$101+(K21/100)*$G$102+(M21/100)*$G$103+(O21)*$G$104+(Q21*$G$105))</f>
        <v>337.84831664011745</v>
      </c>
    </row>
    <row r="22" ht="18.75" customHeight="1">
      <c r="B22">
        <v>5</v>
      </c>
      <c r="C22">
        <f>$I$13+B22</f>
        <v>39964</v>
      </c>
      <c r="E22">
        <f>IF($C$14*ReDiarioFert!C11&lt;=0,"0",$C$14*ReDiarioFert!C11)</f>
        <v>7.309740222350474</v>
      </c>
      <c r="G22">
        <f>$C$14*ReDiarioFert!E11</f>
        <v>3.445391573217391</v>
      </c>
      <c r="I22">
        <f>$C$14*ReDiarioFert!G11</f>
        <v>8.749977977299999</v>
      </c>
      <c r="K22">
        <f>$C$14*ReDiarioFert!I11</f>
        <v>5.615874660536972</v>
      </c>
      <c r="M22">
        <f>$C$14*ReDiarioFert!K11</f>
        <v>11.57577364287128</v>
      </c>
      <c r="O22">
        <f>$C$14*ReDiarioFert!M11</f>
        <v>0.0075574184</v>
      </c>
      <c r="S22">
        <f>((E22/100)*$G$99+(G22/100)*$G$100+(I22/100)*$G$101+(K22/100)*$G$102+(M22/100)*$G$103+(O22)*$G$104+(Q22*$G$105))</f>
        <v>337.84831664011745</v>
      </c>
    </row>
    <row r="23" ht="18.75" customHeight="1">
      <c r="B23">
        <v>6</v>
      </c>
      <c r="C23">
        <f>$I$13+B23</f>
        <v>39965</v>
      </c>
      <c r="E23">
        <f>IF($C$14*ReDiarioFert!C12&lt;=0,"0",$C$14*ReDiarioFert!C12)</f>
        <v>7.309740222350474</v>
      </c>
      <c r="G23">
        <f>$C$14*ReDiarioFert!E12</f>
        <v>3.445391573217391</v>
      </c>
      <c r="I23">
        <f>$C$14*ReDiarioFert!G12</f>
        <v>8.749977977299999</v>
      </c>
      <c r="K23">
        <f>$C$14*ReDiarioFert!I12</f>
        <v>5.615874660536972</v>
      </c>
      <c r="M23">
        <f>$C$14*ReDiarioFert!K12</f>
        <v>11.57577364287128</v>
      </c>
      <c r="O23">
        <f>$C$14*ReDiarioFert!M12</f>
        <v>0.0075574184</v>
      </c>
      <c r="S23">
        <f>((E23/100)*$G$99+(G23/100)*$G$100+(I23/100)*$G$101+(K23/100)*$G$102+(M23/100)*$G$103+(O23)*$G$104+(Q23*$G$105))</f>
        <v>337.84831664011745</v>
      </c>
    </row>
    <row r="24" ht="18.75" customHeight="1">
      <c r="B24">
        <v>7</v>
      </c>
      <c r="C24">
        <f>$I$13+B24</f>
        <v>39966</v>
      </c>
      <c r="E24">
        <f>IF($C$14*ReDiarioFert!C13&lt;=0,"0",$C$14*ReDiarioFert!C13)</f>
        <v>7.309740222350474</v>
      </c>
      <c r="G24">
        <f>$C$14*ReDiarioFert!E13</f>
        <v>3.445391573217391</v>
      </c>
      <c r="I24">
        <f>$C$14*ReDiarioFert!G13</f>
        <v>8.749977977299999</v>
      </c>
      <c r="K24">
        <f>$C$14*ReDiarioFert!I13</f>
        <v>5.615874660536972</v>
      </c>
      <c r="M24">
        <f>$C$14*ReDiarioFert!K13</f>
        <v>11.57577364287128</v>
      </c>
      <c r="O24">
        <f>$C$14*ReDiarioFert!M13</f>
        <v>0.0075574184</v>
      </c>
      <c r="S24">
        <f>((E24/100)*$G$99+(G24/100)*$G$100+(I24/100)*$G$101+(K24/100)*$G$102+(M24/100)*$G$103+(O24)*$G$104+(Q24*$G$105))</f>
        <v>337.84831664011745</v>
      </c>
    </row>
    <row r="25">
      <c r="A25">
        <v>2</v>
      </c>
      <c r="B25">
        <v>8</v>
      </c>
      <c r="C25">
        <f>$I$13+B25</f>
        <v>39967</v>
      </c>
      <c r="E25">
        <f>IF($C$14*ReDiarioFert!C14&lt;=0,"0",$C$14*ReDiarioFert!C14)</f>
        <v>12.728386878235062</v>
      </c>
      <c r="G25">
        <f>$C$14*ReDiarioFert!E14</f>
        <v>4.14546344373913</v>
      </c>
      <c r="I25">
        <f>$C$14*ReDiarioFert!G14</f>
        <v>14.503082731200001</v>
      </c>
      <c r="K25">
        <f>$C$14*ReDiarioFert!I14</f>
        <v>9.308308549017612</v>
      </c>
      <c r="M25">
        <f>$C$14*ReDiarioFert!K14</f>
        <v>19.18683718470467</v>
      </c>
      <c r="O25">
        <f>$C$14*ReDiarioFert!M14</f>
        <v>0.0075574184</v>
      </c>
      <c r="Q25">
        <f>$C$14*Main!$D$63</f>
        <v>29.68</v>
      </c>
      <c r="S25">
        <f>((E25/100)*$G$99+(G25/100)*$G$100+(I25/100)*$G$101+(K25/100)*$G$102+(M25/100)*$G$103+(O25)*$G$104+(Q25*$G$105))</f>
        <v>628.2853446696664</v>
      </c>
    </row>
    <row r="26">
      <c r="B26">
        <v>9</v>
      </c>
      <c r="C26">
        <f>$I$13+B26</f>
        <v>39968</v>
      </c>
      <c r="E26">
        <f>IF($C$14*ReDiarioFert!C15&lt;=0,"0",$C$14*ReDiarioFert!C15)</f>
        <v>12.728386878235062</v>
      </c>
      <c r="G26">
        <f>$C$14*ReDiarioFert!E15</f>
        <v>4.14546344373913</v>
      </c>
      <c r="I26">
        <f>$C$14*ReDiarioFert!G15</f>
        <v>14.503082731200001</v>
      </c>
      <c r="K26">
        <f>$C$14*ReDiarioFert!I15</f>
        <v>9.308308549017612</v>
      </c>
      <c r="M26">
        <f>$C$14*ReDiarioFert!K15</f>
        <v>19.18683718470467</v>
      </c>
      <c r="O26">
        <f>$C$14*ReDiarioFert!M15</f>
        <v>0.0075574184</v>
      </c>
      <c r="S26">
        <f>((E26/100)*$G$99+(G26/100)*$G$100+(I26/100)*$G$101+(K26/100)*$G$102+(M26/100)*$G$103+(O26)*$G$104+(Q26*$G$105))</f>
        <v>545.1813446696664</v>
      </c>
    </row>
    <row r="27">
      <c r="B27">
        <v>10</v>
      </c>
      <c r="C27">
        <f>$I$13+B27</f>
        <v>39969</v>
      </c>
      <c r="E27">
        <f>IF($C$14*ReDiarioFert!C16&lt;=0,"0",$C$14*ReDiarioFert!C16)</f>
        <v>12.728386878235062</v>
      </c>
      <c r="G27">
        <f>$C$14*ReDiarioFert!E16</f>
        <v>4.14546344373913</v>
      </c>
      <c r="I27">
        <f>$C$14*ReDiarioFert!G16</f>
        <v>14.503082731200001</v>
      </c>
      <c r="K27">
        <f>$C$14*ReDiarioFert!I16</f>
        <v>9.308308549017612</v>
      </c>
      <c r="M27">
        <f>$C$14*ReDiarioFert!K16</f>
        <v>19.18683718470467</v>
      </c>
      <c r="O27">
        <f>$C$14*ReDiarioFert!M16</f>
        <v>0.0075574184</v>
      </c>
      <c r="S27">
        <f>((E27/100)*$G$99+(G27/100)*$G$100+(I27/100)*$G$101+(K27/100)*$G$102+(M27/100)*$G$103+(O27)*$G$104+(Q27*$G$105))</f>
        <v>545.1813446696664</v>
      </c>
    </row>
    <row r="28">
      <c r="B28">
        <v>11</v>
      </c>
      <c r="C28">
        <f>$I$13+B28</f>
        <v>39970</v>
      </c>
      <c r="E28">
        <f>IF($C$14*ReDiarioFert!C17&lt;=0,"0",$C$14*ReDiarioFert!C17)</f>
        <v>12.728386878235062</v>
      </c>
      <c r="G28">
        <f>$C$14*ReDiarioFert!E17</f>
        <v>4.14546344373913</v>
      </c>
      <c r="I28">
        <f>$C$14*ReDiarioFert!G17</f>
        <v>14.503082731200001</v>
      </c>
      <c r="K28">
        <f>$C$14*ReDiarioFert!I17</f>
        <v>9.308308549017612</v>
      </c>
      <c r="M28">
        <f>$C$14*ReDiarioFert!K17</f>
        <v>19.18683718470467</v>
      </c>
      <c r="O28">
        <f>$C$14*ReDiarioFert!M17</f>
        <v>0.0136033828</v>
      </c>
      <c r="S28">
        <f>((E28/100)*$G$99+(G28/100)*$G$100+(I28/100)*$G$101+(K28/100)*$G$102+(M28/100)*$G$103+(O28)*$G$104+(Q28*$G$105))</f>
        <v>545.1813446696664</v>
      </c>
    </row>
    <row r="29">
      <c r="B29">
        <v>12</v>
      </c>
      <c r="C29">
        <f>$I$13+B29</f>
        <v>39971</v>
      </c>
      <c r="E29">
        <f>IF($C$14*ReDiarioFert!C18&lt;=0,"0",$C$14*ReDiarioFert!C18)</f>
        <v>12.728386878235062</v>
      </c>
      <c r="G29">
        <f>$C$14*ReDiarioFert!E18</f>
        <v>4.14546344373913</v>
      </c>
      <c r="I29">
        <f>$C$14*ReDiarioFert!G18</f>
        <v>14.503082731200001</v>
      </c>
      <c r="K29">
        <f>$C$14*ReDiarioFert!I18</f>
        <v>9.308308549017612</v>
      </c>
      <c r="M29">
        <f>$C$14*ReDiarioFert!K18</f>
        <v>19.18683718470467</v>
      </c>
      <c r="O29">
        <f>$C$14*ReDiarioFert!M18</f>
        <v>0.0136033828</v>
      </c>
      <c r="S29">
        <f>((E29/100)*$G$99+(G29/100)*$G$100+(I29/100)*$G$101+(K29/100)*$G$102+(M29/100)*$G$103+(O29)*$G$104+(Q29*$G$105))</f>
        <v>545.1813446696664</v>
      </c>
    </row>
    <row r="30">
      <c r="B30">
        <v>13</v>
      </c>
      <c r="C30">
        <f>$I$13+B30</f>
        <v>39972</v>
      </c>
      <c r="E30">
        <f>IF($C$14*ReDiarioFert!C19&lt;=0,"0",$C$14*ReDiarioFert!C19)</f>
        <v>12.728386878235062</v>
      </c>
      <c r="G30">
        <f>$C$14*ReDiarioFert!E19</f>
        <v>4.14546344373913</v>
      </c>
      <c r="I30">
        <f>$C$14*ReDiarioFert!G19</f>
        <v>14.503082731200001</v>
      </c>
      <c r="K30">
        <f>$C$14*ReDiarioFert!I19</f>
        <v>9.308308549017612</v>
      </c>
      <c r="M30">
        <f>$C$14*ReDiarioFert!K19</f>
        <v>19.18683718470467</v>
      </c>
      <c r="O30">
        <f>$C$14*ReDiarioFert!M19</f>
        <v>0.0136033828</v>
      </c>
      <c r="S30">
        <f>((E30/100)*$G$99+(G30/100)*$G$100+(I30/100)*$G$101+(K30/100)*$G$102+(M30/100)*$G$103+(O30)*$G$104+(Q30*$G$105))</f>
        <v>545.1813446696664</v>
      </c>
    </row>
    <row r="31">
      <c r="B31">
        <v>14</v>
      </c>
      <c r="C31">
        <f>$I$13+B31</f>
        <v>39973</v>
      </c>
      <c r="E31">
        <f>IF($C$14*ReDiarioFert!C20&lt;=0,"0",$C$14*ReDiarioFert!C20)</f>
        <v>12.728386878235062</v>
      </c>
      <c r="G31">
        <f>$C$14*ReDiarioFert!E20</f>
        <v>4.14546344373913</v>
      </c>
      <c r="I31">
        <f>$C$14*ReDiarioFert!G20</f>
        <v>14.503082731200001</v>
      </c>
      <c r="K31">
        <f>$C$14*ReDiarioFert!I20</f>
        <v>9.308308549017612</v>
      </c>
      <c r="M31">
        <f>$C$14*ReDiarioFert!K20</f>
        <v>19.18683718470467</v>
      </c>
      <c r="O31">
        <f>$C$14*ReDiarioFert!M20</f>
        <v>0.0136033828</v>
      </c>
      <c r="S31">
        <f>((E31/100)*$G$99+(G31/100)*$G$100+(I31/100)*$G$101+(K31/100)*$G$102+(M31/100)*$G$103+(O31)*$G$104+(Q31*$G$105))</f>
        <v>545.1813446696664</v>
      </c>
    </row>
    <row r="32">
      <c r="A32">
        <v>3</v>
      </c>
      <c r="B32">
        <v>15</v>
      </c>
      <c r="C32">
        <f>$I$13+B32</f>
        <v>39974</v>
      </c>
      <c r="E32">
        <f>IF($C$14*ReDiarioFert!C21&lt;=0,"0",$C$14*ReDiarioFert!C21)</f>
        <v>12.907118596008905</v>
      </c>
      <c r="G32">
        <f>$C$14*ReDiarioFert!E21</f>
        <v>8.057104556869566</v>
      </c>
      <c r="I32">
        <f>$C$14*ReDiarioFert!G21</f>
        <v>16.230628686299998</v>
      </c>
      <c r="K32">
        <f>$C$14*ReDiarioFert!I21</f>
        <v>10.417074945839206</v>
      </c>
      <c r="M32">
        <f>$C$14*ReDiarioFert!K21</f>
        <v>21.47229218650871</v>
      </c>
      <c r="O32">
        <f>$C$14*ReDiarioFert!M21</f>
        <v>0.0136033828</v>
      </c>
      <c r="Q32">
        <f>$C$14*Main!$D$63</f>
        <v>29.68</v>
      </c>
      <c r="S32">
        <f>((E32/100)*$G$99+(G32/100)*$G$100+(I32/100)*$G$101+(K32/100)*$G$102+(M32/100)*$G$103+(O32)*$G$104+(Q32*$G$105))</f>
        <v>725.5460260961594</v>
      </c>
    </row>
    <row r="33">
      <c r="B33">
        <v>16</v>
      </c>
      <c r="C33">
        <f>$I$13+B33</f>
        <v>39975</v>
      </c>
      <c r="E33">
        <f>IF($C$14*ReDiarioFert!C22&lt;=0,"0",$C$14*ReDiarioFert!C22)</f>
        <v>12.907118596008905</v>
      </c>
      <c r="G33">
        <f>$C$14*ReDiarioFert!E22</f>
        <v>8.057104556869566</v>
      </c>
      <c r="I33">
        <f>$C$14*ReDiarioFert!G22</f>
        <v>16.230628686299998</v>
      </c>
      <c r="K33">
        <f>$C$14*ReDiarioFert!I22</f>
        <v>10.417074945839206</v>
      </c>
      <c r="M33">
        <f>$C$14*ReDiarioFert!K22</f>
        <v>21.47229218650871</v>
      </c>
      <c r="O33">
        <f>$C$14*ReDiarioFert!M22</f>
        <v>0.0136033828</v>
      </c>
      <c r="S33">
        <f>((E33/100)*$G$99+(G33/100)*$G$100+(I33/100)*$G$101+(K33/100)*$G$102+(M33/100)*$G$103+(O33)*$G$104+(Q33*$G$105))</f>
        <v>642.4420260961593</v>
      </c>
    </row>
    <row r="34">
      <c r="B34">
        <v>17</v>
      </c>
      <c r="C34">
        <f>$I$13+B34</f>
        <v>39976</v>
      </c>
      <c r="E34">
        <f>IF($C$14*ReDiarioFert!C23&lt;=0,"0",$C$14*ReDiarioFert!C23)</f>
        <v>12.907118596008905</v>
      </c>
      <c r="G34">
        <f>$C$14*ReDiarioFert!E23</f>
        <v>8.057104556869566</v>
      </c>
      <c r="I34">
        <f>$C$14*ReDiarioFert!G23</f>
        <v>16.230628686299998</v>
      </c>
      <c r="K34">
        <f>$C$14*ReDiarioFert!I23</f>
        <v>10.417074945839206</v>
      </c>
      <c r="M34">
        <f>$C$14*ReDiarioFert!K23</f>
        <v>21.47229218650871</v>
      </c>
      <c r="O34">
        <f>$C$14*ReDiarioFert!M23</f>
        <v>0.0136033828</v>
      </c>
      <c r="S34">
        <f>((E34/100)*$G$99+(G34/100)*$G$100+(I34/100)*$G$101+(K34/100)*$G$102+(M34/100)*$G$103+(O34)*$G$104+(Q34*$G$105))</f>
        <v>642.4420260961593</v>
      </c>
    </row>
    <row r="35">
      <c r="B35">
        <v>18</v>
      </c>
      <c r="C35">
        <f>$I$13+B35</f>
        <v>39977</v>
      </c>
      <c r="E35">
        <f>IF($C$14*ReDiarioFert!C24&lt;=0,"0",$C$14*ReDiarioFert!C24)</f>
        <v>12.907118596008905</v>
      </c>
      <c r="G35">
        <f>$C$14*ReDiarioFert!E24</f>
        <v>8.057104556869566</v>
      </c>
      <c r="I35">
        <f>$C$14*ReDiarioFert!G24</f>
        <v>16.230628686299998</v>
      </c>
      <c r="K35">
        <f>$C$14*ReDiarioFert!I24</f>
        <v>10.417074945839206</v>
      </c>
      <c r="M35">
        <f>$C$14*ReDiarioFert!K24</f>
        <v>21.47229218650871</v>
      </c>
      <c r="O35">
        <f>$C$14*ReDiarioFert!M24</f>
        <v>0.0181377448</v>
      </c>
      <c r="S35">
        <f>((E35/100)*$G$99+(G35/100)*$G$100+(I35/100)*$G$101+(K35/100)*$G$102+(M35/100)*$G$103+(O35)*$G$104+(Q35*$G$105))</f>
        <v>642.4420260961593</v>
      </c>
    </row>
    <row r="36">
      <c r="B36">
        <v>19</v>
      </c>
      <c r="C36">
        <f>$I$13+B36</f>
        <v>39978</v>
      </c>
      <c r="E36">
        <f>IF($C$14*ReDiarioFert!C25&lt;=0,"0",$C$14*ReDiarioFert!C25)</f>
        <v>12.907118596008905</v>
      </c>
      <c r="G36">
        <f>$C$14*ReDiarioFert!E25</f>
        <v>8.057104556869566</v>
      </c>
      <c r="I36">
        <f>$C$14*ReDiarioFert!G25</f>
        <v>16.230628686299998</v>
      </c>
      <c r="K36">
        <f>$C$14*ReDiarioFert!I25</f>
        <v>10.417074945839206</v>
      </c>
      <c r="M36">
        <f>$C$14*ReDiarioFert!K25</f>
        <v>21.47229218650871</v>
      </c>
      <c r="O36">
        <f>$C$14*ReDiarioFert!M25</f>
        <v>0.0181377448</v>
      </c>
      <c r="S36">
        <f>((E36/100)*$G$99+(G36/100)*$G$100+(I36/100)*$G$101+(K36/100)*$G$102+(M36/100)*$G$103+(O36)*$G$104+(Q36*$G$105))</f>
        <v>642.4420260961593</v>
      </c>
    </row>
    <row r="37">
      <c r="B37">
        <v>20</v>
      </c>
      <c r="C37">
        <f>$I$13+B37</f>
        <v>39979</v>
      </c>
      <c r="E37">
        <f>IF($C$14*ReDiarioFert!C26&lt;=0,"0",$C$14*ReDiarioFert!C26)</f>
        <v>12.907118596008905</v>
      </c>
      <c r="G37">
        <f>$C$14*ReDiarioFert!E26</f>
        <v>8.057104556869566</v>
      </c>
      <c r="I37">
        <f>$C$14*ReDiarioFert!G26</f>
        <v>16.230628686299998</v>
      </c>
      <c r="K37">
        <f>$C$14*ReDiarioFert!I26</f>
        <v>10.417074945839206</v>
      </c>
      <c r="M37">
        <f>$C$14*ReDiarioFert!K26</f>
        <v>21.47229218650871</v>
      </c>
      <c r="O37">
        <f>$C$14*ReDiarioFert!M26</f>
        <v>0.0181377448</v>
      </c>
      <c r="S37">
        <f>((E37/100)*$G$99+(G37/100)*$G$100+(I37/100)*$G$101+(K37/100)*$G$102+(M37/100)*$G$103+(O37)*$G$104+(Q37*$G$105))</f>
        <v>642.4420260961593</v>
      </c>
    </row>
    <row r="38">
      <c r="B38">
        <v>21</v>
      </c>
      <c r="C38">
        <f>$I$13+B38</f>
        <v>39980</v>
      </c>
      <c r="E38">
        <f>IF($C$14*ReDiarioFert!C27&lt;=0,"0",$C$14*ReDiarioFert!C27)</f>
        <v>12.907118596008905</v>
      </c>
      <c r="G38">
        <f>$C$14*ReDiarioFert!E27</f>
        <v>8.057104556869566</v>
      </c>
      <c r="I38">
        <f>$C$14*ReDiarioFert!G27</f>
        <v>16.230628686299998</v>
      </c>
      <c r="K38">
        <f>$C$14*ReDiarioFert!I27</f>
        <v>10.417074945839206</v>
      </c>
      <c r="M38">
        <f>$C$14*ReDiarioFert!K27</f>
        <v>21.47229218650871</v>
      </c>
      <c r="O38">
        <f>$C$14*ReDiarioFert!M27</f>
        <v>0.0181377448</v>
      </c>
      <c r="S38">
        <f>((E38/100)*$G$99+(G38/100)*$G$100+(I38/100)*$G$101+(K38/100)*$G$102+(M38/100)*$G$103+(O38)*$G$104+(Q38*$G$105))</f>
        <v>642.4420260961593</v>
      </c>
    </row>
    <row r="39">
      <c r="A39">
        <v>4</v>
      </c>
      <c r="B39">
        <v>22</v>
      </c>
      <c r="C39">
        <f>$I$13+B39</f>
        <v>39981</v>
      </c>
      <c r="E39">
        <f>IF($C$14*ReDiarioFert!C28&lt;=0,"0",$C$14*ReDiarioFert!C28)</f>
        <v>12.907118596008905</v>
      </c>
      <c r="G39">
        <f>$C$14*ReDiarioFert!E28</f>
        <v>8.057104556869566</v>
      </c>
      <c r="I39">
        <f>$C$14*ReDiarioFert!G28</f>
        <v>16.230628686299998</v>
      </c>
      <c r="K39">
        <f>$C$14*ReDiarioFert!I28</f>
        <v>10.417074945839206</v>
      </c>
      <c r="M39">
        <f>$C$14*ReDiarioFert!K28</f>
        <v>21.47229218650871</v>
      </c>
      <c r="O39">
        <f>$C$14*ReDiarioFert!M28</f>
        <v>0.0181377448</v>
      </c>
      <c r="Q39">
        <f>$C$14*Main!$D$63</f>
        <v>29.68</v>
      </c>
      <c r="S39">
        <f>((E39/100)*$G$99+(G39/100)*$G$100+(I39/100)*$G$101+(K39/100)*$G$102+(M39/100)*$G$103+(O39)*$G$104+(Q39*$G$105))</f>
        <v>725.5460260961594</v>
      </c>
    </row>
    <row r="40">
      <c r="B40">
        <v>23</v>
      </c>
      <c r="C40">
        <f>$I$13+B40</f>
        <v>39982</v>
      </c>
      <c r="E40">
        <f>IF($C$14*ReDiarioFert!C29&lt;=0,"0",$C$14*ReDiarioFert!C29)</f>
        <v>12.907118596008905</v>
      </c>
      <c r="G40">
        <f>$C$14*ReDiarioFert!E29</f>
        <v>8.057104556869566</v>
      </c>
      <c r="I40">
        <f>$C$14*ReDiarioFert!G29</f>
        <v>16.230628686299998</v>
      </c>
      <c r="K40">
        <f>$C$14*ReDiarioFert!I29</f>
        <v>10.417074945839206</v>
      </c>
      <c r="M40">
        <f>$C$14*ReDiarioFert!K29</f>
        <v>21.47229218650871</v>
      </c>
      <c r="O40">
        <f>$C$14*ReDiarioFert!M29</f>
        <v>0.0181377448</v>
      </c>
      <c r="S40">
        <f>((E40/100)*$G$99+(G40/100)*$G$100+(I40/100)*$G$101+(K40/100)*$G$102+(M40/100)*$G$103+(O40)*$G$104+(Q40*$G$105))</f>
        <v>642.4420260961593</v>
      </c>
    </row>
    <row r="41">
      <c r="B41">
        <v>24</v>
      </c>
      <c r="C41">
        <f>$I$13+B41</f>
        <v>39983</v>
      </c>
      <c r="E41">
        <f>IF($C$14*ReDiarioFert!C30&lt;=0,"0",$C$14*ReDiarioFert!C30)</f>
        <v>12.907118596008905</v>
      </c>
      <c r="G41">
        <f>$C$14*ReDiarioFert!E30</f>
        <v>8.057104556869566</v>
      </c>
      <c r="I41">
        <f>$C$14*ReDiarioFert!G30</f>
        <v>16.230628686299998</v>
      </c>
      <c r="K41">
        <f>$C$14*ReDiarioFert!I30</f>
        <v>10.417074945839206</v>
      </c>
      <c r="M41">
        <f>$C$14*ReDiarioFert!K30</f>
        <v>21.47229218650871</v>
      </c>
      <c r="O41">
        <f>$C$14*ReDiarioFert!M30</f>
        <v>0.0181377448</v>
      </c>
      <c r="S41">
        <f>((E41/100)*$G$99+(G41/100)*$G$100+(I41/100)*$G$101+(K41/100)*$G$102+(M41/100)*$G$103+(O41)*$G$104+(Q41*$G$105))</f>
        <v>642.4420260961593</v>
      </c>
    </row>
    <row r="42">
      <c r="B42">
        <v>25</v>
      </c>
      <c r="C42">
        <f>$I$13+B42</f>
        <v>39984</v>
      </c>
      <c r="E42">
        <f>IF($C$14*ReDiarioFert!C31&lt;=0,"0",$C$14*ReDiarioFert!C31)</f>
        <v>12.907118596008905</v>
      </c>
      <c r="G42">
        <f>$C$14*ReDiarioFert!E31</f>
        <v>8.057104556869566</v>
      </c>
      <c r="I42">
        <f>$C$14*ReDiarioFert!G31</f>
        <v>16.230628686299998</v>
      </c>
      <c r="K42">
        <f>$C$14*ReDiarioFert!I31</f>
        <v>10.417074945839206</v>
      </c>
      <c r="M42">
        <f>$C$14*ReDiarioFert!K31</f>
        <v>21.47229218650871</v>
      </c>
      <c r="O42">
        <f>$C$14*ReDiarioFert!M31</f>
        <v>0.0181377448</v>
      </c>
      <c r="S42">
        <f>((E42/100)*$G$99+(G42/100)*$G$100+(I42/100)*$G$101+(K42/100)*$G$102+(M42/100)*$G$103+(O42)*$G$104+(Q42*$G$105))</f>
        <v>642.4420260961593</v>
      </c>
    </row>
    <row r="43">
      <c r="B43">
        <v>26</v>
      </c>
      <c r="C43">
        <f>$I$13+B43</f>
        <v>39985</v>
      </c>
      <c r="E43">
        <f>IF($C$14*ReDiarioFert!C32&lt;=0,"0",$C$14*ReDiarioFert!C32)</f>
        <v>12.907118596008905</v>
      </c>
      <c r="G43">
        <f>$C$14*ReDiarioFert!E32</f>
        <v>8.057104556869566</v>
      </c>
      <c r="I43">
        <f>$C$14*ReDiarioFert!G32</f>
        <v>16.230628686299998</v>
      </c>
      <c r="K43">
        <f>$C$14*ReDiarioFert!I32</f>
        <v>10.417074945839206</v>
      </c>
      <c r="M43">
        <f>$C$14*ReDiarioFert!K32</f>
        <v>21.47229218650871</v>
      </c>
      <c r="O43">
        <f>$C$14*ReDiarioFert!M32</f>
        <v>0.0181377448</v>
      </c>
      <c r="S43">
        <f>((E43/100)*$G$99+(G43/100)*$G$100+(I43/100)*$G$101+(K43/100)*$G$102+(M43/100)*$G$103+(O43)*$G$104+(Q43*$G$105))</f>
        <v>642.4420260961593</v>
      </c>
    </row>
    <row r="44">
      <c r="B44">
        <v>27</v>
      </c>
      <c r="C44">
        <f>$I$13+B44</f>
        <v>39986</v>
      </c>
      <c r="E44">
        <f>IF($C$14*ReDiarioFert!C33&lt;=0,"0",$C$14*ReDiarioFert!C33)</f>
        <v>12.907118596008905</v>
      </c>
      <c r="G44">
        <f>$C$14*ReDiarioFert!E33</f>
        <v>8.057104556869566</v>
      </c>
      <c r="I44">
        <f>$C$14*ReDiarioFert!G33</f>
        <v>16.230628686299998</v>
      </c>
      <c r="K44">
        <f>$C$14*ReDiarioFert!I33</f>
        <v>10.417074945839206</v>
      </c>
      <c r="M44">
        <f>$C$14*ReDiarioFert!K33</f>
        <v>21.47229218650871</v>
      </c>
      <c r="O44">
        <f>$C$14*ReDiarioFert!M33</f>
        <v>0.0181377448</v>
      </c>
      <c r="S44">
        <f>((E44/100)*$G$99+(G44/100)*$G$100+(I44/100)*$G$101+(K44/100)*$G$102+(M44/100)*$G$103+(O44)*$G$104+(Q44*$G$105))</f>
        <v>642.4420260961593</v>
      </c>
    </row>
    <row r="45">
      <c r="B45">
        <v>28</v>
      </c>
      <c r="C45">
        <f>$I$13+B45</f>
        <v>39987</v>
      </c>
      <c r="E45">
        <f>IF($C$14*ReDiarioFert!C34&lt;=0,"0",$C$14*ReDiarioFert!C34)</f>
        <v>12.907118596008905</v>
      </c>
      <c r="G45">
        <f>$C$14*ReDiarioFert!E34</f>
        <v>8.057104556869566</v>
      </c>
      <c r="I45">
        <f>$C$14*ReDiarioFert!G34</f>
        <v>16.230628686299998</v>
      </c>
      <c r="K45">
        <f>$C$14*ReDiarioFert!I34</f>
        <v>10.417074945839206</v>
      </c>
      <c r="M45">
        <f>$C$14*ReDiarioFert!K34</f>
        <v>21.47229218650871</v>
      </c>
      <c r="O45">
        <f>$C$14*ReDiarioFert!M34</f>
        <v>0.0181377448</v>
      </c>
      <c r="S45">
        <f>((E45/100)*$G$99+(G45/100)*$G$100+(I45/100)*$G$101+(K45/100)*$G$102+(M45/100)*$G$103+(O45)*$G$104+(Q45*$G$105))</f>
        <v>642.4420260961593</v>
      </c>
    </row>
    <row r="46">
      <c r="A46">
        <v>5</v>
      </c>
      <c r="B46">
        <v>29</v>
      </c>
      <c r="C46">
        <f>$I$13+B46</f>
        <v>39988</v>
      </c>
      <c r="E46">
        <f>IF($C$14*ReDiarioFert!C35&lt;=0,"0",$C$14*ReDiarioFert!C35)</f>
        <v>18.453185743015894</v>
      </c>
      <c r="G46">
        <f>$C$14*ReDiarioFert!E35</f>
        <v>9.765849130434782</v>
      </c>
      <c r="I46">
        <f>$C$14*ReDiarioFert!G35</f>
        <v>22.51140249843333</v>
      </c>
      <c r="K46">
        <f>$C$14*ReDiarioFert!I35</f>
        <v>14.448175205934692</v>
      </c>
      <c r="M46">
        <f>$C$14*ReDiarioFert!K35</f>
        <v>29.781434922632936</v>
      </c>
      <c r="O46">
        <f>$C$14*ReDiarioFert!M35</f>
        <v>0.0181377448</v>
      </c>
      <c r="Q46">
        <f>$C$14*Main!$D$63</f>
        <v>29.68</v>
      </c>
      <c r="S46">
        <f>((E46/100)*$G$99+(G46/100)*$G$100+(I46/100)*$G$101+(K46/100)*$G$102+(M46/100)*$G$103+(O46)*$G$104+(Q46*$G$105))</f>
        <v>960.8267667400019</v>
      </c>
    </row>
    <row r="47">
      <c r="B47">
        <v>30</v>
      </c>
      <c r="C47">
        <f>$I$13+B47</f>
        <v>39989</v>
      </c>
      <c r="E47">
        <f>IF($C$14*ReDiarioFert!C36&lt;=0,"0",$C$14*ReDiarioFert!C36)</f>
        <v>18.453185743015894</v>
      </c>
      <c r="G47">
        <f>$C$14*ReDiarioFert!E36</f>
        <v>9.765849130434782</v>
      </c>
      <c r="I47">
        <f>$C$14*ReDiarioFert!G36</f>
        <v>22.51140249843333</v>
      </c>
      <c r="K47">
        <f>$C$14*ReDiarioFert!I36</f>
        <v>14.448175205934692</v>
      </c>
      <c r="M47">
        <f>$C$14*ReDiarioFert!K36</f>
        <v>29.781434922632936</v>
      </c>
      <c r="O47">
        <f>$C$14*ReDiarioFert!M36</f>
        <v>0.0181377448</v>
      </c>
      <c r="S47">
        <f>((E47/100)*$G$99+(G47/100)*$G$100+(I47/100)*$G$101+(K47/100)*$G$102+(M47/100)*$G$103+(O47)*$G$104+(Q47*$G$105))</f>
        <v>877.7227667400018</v>
      </c>
    </row>
    <row r="48">
      <c r="B48">
        <v>31</v>
      </c>
      <c r="C48">
        <f>$I$13+B48</f>
        <v>39990</v>
      </c>
      <c r="E48">
        <f>IF($C$14*ReDiarioFert!C37&lt;=0,"0",$C$14*ReDiarioFert!C37)</f>
        <v>18.453185743015894</v>
      </c>
      <c r="G48">
        <f>$C$14*ReDiarioFert!E37</f>
        <v>9.765849130434782</v>
      </c>
      <c r="I48">
        <f>$C$14*ReDiarioFert!G37</f>
        <v>22.51140249843333</v>
      </c>
      <c r="K48">
        <f>$C$14*ReDiarioFert!I37</f>
        <v>14.448175205934692</v>
      </c>
      <c r="M48">
        <f>$C$14*ReDiarioFert!K37</f>
        <v>29.781434922632936</v>
      </c>
      <c r="O48">
        <f>$C$14*ReDiarioFert!M37</f>
        <v>0.0181377448</v>
      </c>
      <c r="S48">
        <f>((E48/100)*$G$99+(G48/100)*$G$100+(I48/100)*$G$101+(K48/100)*$G$102+(M48/100)*$G$103+(O48)*$G$104+(Q48*$G$105))</f>
        <v>877.7227667400018</v>
      </c>
    </row>
    <row r="49">
      <c r="B49">
        <v>32</v>
      </c>
      <c r="C49">
        <f>$I$13+B49</f>
        <v>39991</v>
      </c>
      <c r="E49">
        <f>IF($C$14*ReDiarioFert!C38&lt;=0,"0",$C$14*ReDiarioFert!C38)</f>
        <v>18.453185743015894</v>
      </c>
      <c r="G49">
        <f>$C$14*ReDiarioFert!E38</f>
        <v>9.765849130434782</v>
      </c>
      <c r="I49">
        <f>$C$14*ReDiarioFert!G38</f>
        <v>22.51140249843333</v>
      </c>
      <c r="K49">
        <f>$C$14*ReDiarioFert!I38</f>
        <v>14.448175205934692</v>
      </c>
      <c r="M49">
        <f>$C$14*ReDiarioFert!K38</f>
        <v>29.781434922632936</v>
      </c>
      <c r="O49">
        <f>$C$14*ReDiarioFert!M38</f>
        <v>0.0181377448</v>
      </c>
      <c r="S49">
        <f>((E49/100)*$G$99+(G49/100)*$G$100+(I49/100)*$G$101+(K49/100)*$G$102+(M49/100)*$G$103+(O49)*$G$104+(Q49*$G$105))</f>
        <v>877.7227667400018</v>
      </c>
    </row>
    <row r="50">
      <c r="B50">
        <v>33</v>
      </c>
      <c r="C50">
        <f>$I$13+B50</f>
        <v>39992</v>
      </c>
      <c r="E50">
        <f>IF($C$14*ReDiarioFert!C39&lt;=0,"0",$C$14*ReDiarioFert!C39)</f>
        <v>18.453185743015894</v>
      </c>
      <c r="G50">
        <f>$C$14*ReDiarioFert!E39</f>
        <v>9.765849130434782</v>
      </c>
      <c r="I50">
        <f>$C$14*ReDiarioFert!G39</f>
        <v>22.51140249843333</v>
      </c>
      <c r="K50">
        <f>$C$14*ReDiarioFert!I39</f>
        <v>14.448175205934692</v>
      </c>
      <c r="M50">
        <f>$C$14*ReDiarioFert!K39</f>
        <v>29.781434922632936</v>
      </c>
      <c r="O50">
        <f>$C$14*ReDiarioFert!M39</f>
        <v>0.025695311600000003</v>
      </c>
      <c r="S50">
        <f>((E50/100)*$G$99+(G50/100)*$G$100+(I50/100)*$G$101+(K50/100)*$G$102+(M50/100)*$G$103+(O50)*$G$104+(Q50*$G$105))</f>
        <v>877.7227667400018</v>
      </c>
    </row>
    <row r="51">
      <c r="B51">
        <v>34</v>
      </c>
      <c r="C51">
        <f>$I$13+B51</f>
        <v>39993</v>
      </c>
      <c r="E51">
        <f>IF($C$14*ReDiarioFert!C40&lt;=0,"0",$C$14*ReDiarioFert!C40)</f>
        <v>18.453185743015894</v>
      </c>
      <c r="G51">
        <f>$C$14*ReDiarioFert!E40</f>
        <v>9.765849130434782</v>
      </c>
      <c r="I51">
        <f>$C$14*ReDiarioFert!G40</f>
        <v>22.51140249843333</v>
      </c>
      <c r="K51">
        <f>$C$14*ReDiarioFert!I40</f>
        <v>14.448175205934692</v>
      </c>
      <c r="M51">
        <f>$C$14*ReDiarioFert!K40</f>
        <v>29.781434922632936</v>
      </c>
      <c r="O51">
        <f>$C$14*ReDiarioFert!M40</f>
        <v>0.025695311600000003</v>
      </c>
      <c r="S51">
        <f>((E51/100)*$G$99+(G51/100)*$G$100+(I51/100)*$G$101+(K51/100)*$G$102+(M51/100)*$G$103+(O51)*$G$104+(Q51*$G$105))</f>
        <v>877.7227667400018</v>
      </c>
    </row>
    <row r="52">
      <c r="B52">
        <v>35</v>
      </c>
      <c r="C52">
        <f>$I$13+B52</f>
        <v>39994</v>
      </c>
      <c r="E52">
        <f>IF($C$14*ReDiarioFert!C41&lt;=0,"0",$C$14*ReDiarioFert!C41)</f>
        <v>18.453185743015894</v>
      </c>
      <c r="G52">
        <f>$C$14*ReDiarioFert!E41</f>
        <v>9.765849130434782</v>
      </c>
      <c r="I52">
        <f>$C$14*ReDiarioFert!G41</f>
        <v>22.51140249843333</v>
      </c>
      <c r="K52">
        <f>$C$14*ReDiarioFert!I41</f>
        <v>14.448175205934692</v>
      </c>
      <c r="M52">
        <f>$C$14*ReDiarioFert!K41</f>
        <v>29.781434922632936</v>
      </c>
      <c r="O52">
        <f>$C$14*ReDiarioFert!M41</f>
        <v>0.025695311600000003</v>
      </c>
      <c r="S52">
        <f>((E52/100)*$G$99+(G52/100)*$G$100+(I52/100)*$G$101+(K52/100)*$G$102+(M52/100)*$G$103+(O52)*$G$104+(Q52*$G$105))</f>
        <v>877.7227667400018</v>
      </c>
    </row>
    <row r="53">
      <c r="A53">
        <v>6</v>
      </c>
      <c r="B53">
        <v>36</v>
      </c>
      <c r="C53">
        <f>$I$13+B53</f>
        <v>39995</v>
      </c>
      <c r="E53">
        <f>IF($C$14*ReDiarioFert!C42&lt;=0,"0",$C$14*ReDiarioFert!C42)</f>
        <v>14.844041679606196</v>
      </c>
      <c r="G53">
        <f>$C$14*ReDiarioFert!E42</f>
        <v>9.765849130434782</v>
      </c>
      <c r="I53">
        <f>$C$14*ReDiarioFert!G42</f>
        <v>19.134692123668334</v>
      </c>
      <c r="K53">
        <f>$C$14*ReDiarioFert!I42</f>
        <v>12.280948925044486</v>
      </c>
      <c r="M53">
        <f>$C$14*ReDiarioFert!K42</f>
        <v>25.314219684237994</v>
      </c>
      <c r="O53">
        <f>$C$14*ReDiarioFert!M42</f>
        <v>0.025695311600000003</v>
      </c>
      <c r="Q53">
        <f>$C$14*Main!$D$63</f>
        <v>29.68</v>
      </c>
      <c r="S53">
        <f>((E53/100)*$G$99+(G53/100)*$G$100+(I53/100)*$G$101+(K53/100)*$G$102+(M53/100)*$G$103+(O53)*$G$104+(Q53*$G$105))</f>
        <v>841.2792998510618</v>
      </c>
    </row>
    <row r="54">
      <c r="B54">
        <v>37</v>
      </c>
      <c r="C54">
        <f>$I$13+B54</f>
        <v>39996</v>
      </c>
      <c r="E54">
        <f>IF($C$14*ReDiarioFert!C43&lt;=0,"0",$C$14*ReDiarioFert!C43)</f>
        <v>14.844041679606196</v>
      </c>
      <c r="G54">
        <f>$C$14*ReDiarioFert!E43</f>
        <v>9.765849130434782</v>
      </c>
      <c r="I54">
        <f>$C$14*ReDiarioFert!G43</f>
        <v>19.134692123668334</v>
      </c>
      <c r="K54">
        <f>$C$14*ReDiarioFert!I43</f>
        <v>12.280948925044486</v>
      </c>
      <c r="M54">
        <f>$C$14*ReDiarioFert!K43</f>
        <v>25.314219684237994</v>
      </c>
      <c r="O54">
        <f>$C$14*ReDiarioFert!M43</f>
        <v>0.025695311600000003</v>
      </c>
      <c r="S54">
        <f>((E54/100)*$G$99+(G54/100)*$G$100+(I54/100)*$G$101+(K54/100)*$G$102+(M54/100)*$G$103+(O54)*$G$104+(Q54*$G$105))</f>
        <v>758.1752998510617</v>
      </c>
    </row>
    <row r="55">
      <c r="B55">
        <v>38</v>
      </c>
      <c r="C55">
        <f>$I$13+B55</f>
        <v>39997</v>
      </c>
      <c r="E55">
        <f>IF($C$14*ReDiarioFert!C44&lt;=0,"0",$C$14*ReDiarioFert!C44)</f>
        <v>14.844041679606196</v>
      </c>
      <c r="G55">
        <f>$C$14*ReDiarioFert!E44</f>
        <v>9.765849130434782</v>
      </c>
      <c r="I55">
        <f>$C$14*ReDiarioFert!G44</f>
        <v>19.134692123668334</v>
      </c>
      <c r="K55">
        <f>$C$14*ReDiarioFert!I44</f>
        <v>12.280948925044486</v>
      </c>
      <c r="M55">
        <f>$C$14*ReDiarioFert!K44</f>
        <v>25.314219684237994</v>
      </c>
      <c r="O55">
        <f>$C$14*ReDiarioFert!M44</f>
        <v>0.025695311600000003</v>
      </c>
      <c r="S55">
        <f>((E55/100)*$G$99+(G55/100)*$G$100+(I55/100)*$G$101+(K55/100)*$G$102+(M55/100)*$G$103+(O55)*$G$104+(Q55*$G$105))</f>
        <v>758.1752998510617</v>
      </c>
    </row>
    <row r="56">
      <c r="B56">
        <v>39</v>
      </c>
      <c r="C56">
        <f>$I$13+B56</f>
        <v>39998</v>
      </c>
      <c r="E56">
        <f>IF($C$14*ReDiarioFert!C45&lt;=0,"0",$C$14*ReDiarioFert!C45)</f>
        <v>14.844041679606196</v>
      </c>
      <c r="G56">
        <f>$C$14*ReDiarioFert!E45</f>
        <v>9.765849130434782</v>
      </c>
      <c r="I56">
        <f>$C$14*ReDiarioFert!G45</f>
        <v>19.134692123668334</v>
      </c>
      <c r="K56">
        <f>$C$14*ReDiarioFert!I45</f>
        <v>12.280948925044486</v>
      </c>
      <c r="M56">
        <f>$C$14*ReDiarioFert!K45</f>
        <v>25.314219684237994</v>
      </c>
      <c r="O56">
        <f>$C$14*ReDiarioFert!M45</f>
        <v>0.025695311600000003</v>
      </c>
      <c r="S56">
        <f>((E56/100)*$G$99+(G56/100)*$G$100+(I56/100)*$G$101+(K56/100)*$G$102+(M56/100)*$G$103+(O56)*$G$104+(Q56*$G$105))</f>
        <v>758.1752998510617</v>
      </c>
    </row>
    <row r="57">
      <c r="B57">
        <v>40</v>
      </c>
      <c r="C57">
        <f>$I$13+B57</f>
        <v>39999</v>
      </c>
      <c r="E57">
        <f>IF($C$14*ReDiarioFert!C46&lt;=0,"0",$C$14*ReDiarioFert!C46)</f>
        <v>14.844041679606196</v>
      </c>
      <c r="G57">
        <f>$C$14*ReDiarioFert!E46</f>
        <v>9.765849130434782</v>
      </c>
      <c r="I57">
        <f>$C$14*ReDiarioFert!G46</f>
        <v>19.134692123668334</v>
      </c>
      <c r="K57">
        <f>$C$14*ReDiarioFert!I46</f>
        <v>12.280948925044486</v>
      </c>
      <c r="M57">
        <f>$C$14*ReDiarioFert!K46</f>
        <v>25.314219684237994</v>
      </c>
      <c r="O57">
        <f>$C$14*ReDiarioFert!M46</f>
        <v>0.025695311600000003</v>
      </c>
      <c r="S57">
        <f>((E57/100)*$G$99+(G57/100)*$G$100+(I57/100)*$G$101+(K57/100)*$G$102+(M57/100)*$G$103+(O57)*$G$104+(Q57*$G$105))</f>
        <v>758.1752998510617</v>
      </c>
    </row>
    <row r="58">
      <c r="B58">
        <v>41</v>
      </c>
      <c r="C58">
        <f>$I$13+B58</f>
        <v>40000</v>
      </c>
      <c r="E58">
        <f>IF($C$14*ReDiarioFert!C47&lt;=0,"0",$C$14*ReDiarioFert!C47)</f>
        <v>14.844041679606196</v>
      </c>
      <c r="G58">
        <f>$C$14*ReDiarioFert!E47</f>
        <v>9.765849130434782</v>
      </c>
      <c r="I58">
        <f>$C$14*ReDiarioFert!G47</f>
        <v>19.134692123668334</v>
      </c>
      <c r="K58">
        <f>$C$14*ReDiarioFert!I47</f>
        <v>12.280948925044486</v>
      </c>
      <c r="M58">
        <f>$C$14*ReDiarioFert!K47</f>
        <v>25.314219684237994</v>
      </c>
      <c r="O58">
        <f>$C$14*ReDiarioFert!M47</f>
        <v>0.025695311600000003</v>
      </c>
      <c r="S58">
        <f>((E58/100)*$G$99+(G58/100)*$G$100+(I58/100)*$G$101+(K58/100)*$G$102+(M58/100)*$G$103+(O58)*$G$104+(Q58*$G$105))</f>
        <v>758.1752998510617</v>
      </c>
    </row>
    <row r="59">
      <c r="B59">
        <v>42</v>
      </c>
      <c r="C59">
        <f>$I$13+B59</f>
        <v>40001</v>
      </c>
      <c r="E59">
        <f>IF($C$14*ReDiarioFert!C48&lt;=0,"0",$C$14*ReDiarioFert!C48)</f>
        <v>14.844041679606196</v>
      </c>
      <c r="G59">
        <f>$C$14*ReDiarioFert!E48</f>
        <v>9.765849130434782</v>
      </c>
      <c r="I59">
        <f>$C$14*ReDiarioFert!G48</f>
        <v>19.134692123668334</v>
      </c>
      <c r="K59">
        <f>$C$14*ReDiarioFert!I48</f>
        <v>12.280948925044486</v>
      </c>
      <c r="M59">
        <f>$C$14*ReDiarioFert!K48</f>
        <v>25.314219684237994</v>
      </c>
      <c r="O59">
        <f>$C$14*ReDiarioFert!M48</f>
        <v>0.025695311600000003</v>
      </c>
      <c r="S59">
        <f>((E59/100)*$G$99+(G59/100)*$G$100+(I59/100)*$G$101+(K59/100)*$G$102+(M59/100)*$G$103+(O59)*$G$104+(Q59*$G$105))</f>
        <v>758.1752998510617</v>
      </c>
    </row>
    <row r="60">
      <c r="A60">
        <v>7</v>
      </c>
      <c r="B60">
        <v>43</v>
      </c>
      <c r="C60">
        <f>$I$13+B60</f>
        <v>40002</v>
      </c>
      <c r="E60">
        <f>IF($C$14*ReDiarioFert!C49&lt;=0,"0",$C$14*ReDiarioFert!C49)</f>
        <v>12.861242589881927</v>
      </c>
      <c r="G60">
        <f>$C$14*ReDiarioFert!E49</f>
        <v>9.765849130434782</v>
      </c>
      <c r="I60">
        <f>$C$14*ReDiarioFert!G49</f>
        <v>17.208828198333332</v>
      </c>
      <c r="K60">
        <f>$C$14*ReDiarioFert!I49</f>
        <v>11.044898909148511</v>
      </c>
      <c r="M60">
        <f>$C$14*ReDiarioFert!K49</f>
        <v>22.766400144064857</v>
      </c>
      <c r="O60">
        <f>$C$14*ReDiarioFert!M49</f>
        <v>0.025695311600000003</v>
      </c>
      <c r="Q60">
        <f>$C$14*Main!$D$63</f>
        <v>29.68</v>
      </c>
      <c r="S60">
        <f>((E60/100)*$G$99+(G60/100)*$G$100+(I60/100)*$G$101+(K60/100)*$G$102+(M60/100)*$G$103+(O60)*$G$104+(Q60*$G$105))</f>
        <v>773.5885165571657</v>
      </c>
    </row>
    <row r="61">
      <c r="B61">
        <v>44</v>
      </c>
      <c r="C61">
        <f>$I$13+B61</f>
        <v>40003</v>
      </c>
      <c r="E61">
        <f>IF($C$14*ReDiarioFert!C50&lt;=0,"0",$C$14*ReDiarioFert!C50)</f>
        <v>12.861242589881927</v>
      </c>
      <c r="G61">
        <f>$C$14*ReDiarioFert!E50</f>
        <v>9.765849130434782</v>
      </c>
      <c r="I61">
        <f>$C$14*ReDiarioFert!G50</f>
        <v>17.208828198333332</v>
      </c>
      <c r="K61">
        <f>$C$14*ReDiarioFert!I50</f>
        <v>11.044898909148511</v>
      </c>
      <c r="M61">
        <f>$C$14*ReDiarioFert!K50</f>
        <v>22.766400144064857</v>
      </c>
      <c r="O61">
        <f>$C$14*ReDiarioFert!M50</f>
        <v>0.025695311600000003</v>
      </c>
      <c r="S61">
        <f>((E61/100)*$G$99+(G61/100)*$G$100+(I61/100)*$G$101+(K61/100)*$G$102+(M61/100)*$G$103+(O61)*$G$104+(Q61*$G$105))</f>
        <v>690.4845165571656</v>
      </c>
    </row>
    <row r="62">
      <c r="B62">
        <v>45</v>
      </c>
      <c r="C62">
        <f>$I$13+B62</f>
        <v>40004</v>
      </c>
      <c r="E62">
        <f>IF($C$14*ReDiarioFert!C51&lt;=0,"0",$C$14*ReDiarioFert!C51)</f>
        <v>12.861242589881927</v>
      </c>
      <c r="G62">
        <f>$C$14*ReDiarioFert!E51</f>
        <v>9.765849130434782</v>
      </c>
      <c r="I62">
        <f>$C$14*ReDiarioFert!G51</f>
        <v>17.208828198333332</v>
      </c>
      <c r="K62">
        <f>$C$14*ReDiarioFert!I51</f>
        <v>11.044898909148511</v>
      </c>
      <c r="M62">
        <f>$C$14*ReDiarioFert!K51</f>
        <v>22.766400144064857</v>
      </c>
      <c r="O62">
        <f>$C$14*ReDiarioFert!M51</f>
        <v>0.025695311600000003</v>
      </c>
      <c r="S62">
        <f>((E62/100)*$G$99+(G62/100)*$G$100+(I62/100)*$G$101+(K62/100)*$G$102+(M62/100)*$G$103+(O62)*$G$104+(Q62*$G$105))</f>
        <v>690.4845165571656</v>
      </c>
    </row>
    <row r="63">
      <c r="B63">
        <v>46</v>
      </c>
      <c r="C63">
        <f>$I$13+B63</f>
        <v>40005</v>
      </c>
      <c r="E63">
        <f>IF($C$14*ReDiarioFert!C52&lt;=0,"0",$C$14*ReDiarioFert!C52)</f>
        <v>12.861242589881927</v>
      </c>
      <c r="G63">
        <f>$C$14*ReDiarioFert!E52</f>
        <v>9.765849130434782</v>
      </c>
      <c r="I63">
        <f>$C$14*ReDiarioFert!G52</f>
        <v>17.208828198333332</v>
      </c>
      <c r="K63">
        <f>$C$14*ReDiarioFert!I52</f>
        <v>11.044898909148511</v>
      </c>
      <c r="M63">
        <f>$C$14*ReDiarioFert!K52</f>
        <v>22.766400144064857</v>
      </c>
      <c r="O63">
        <f>$C$14*ReDiarioFert!M52</f>
        <v>0.025695311600000003</v>
      </c>
      <c r="S63">
        <f>((E63/100)*$G$99+(G63/100)*$G$100+(I63/100)*$G$101+(K63/100)*$G$102+(M63/100)*$G$103+(O63)*$G$104+(Q63*$G$105))</f>
        <v>690.4845165571656</v>
      </c>
    </row>
    <row r="64">
      <c r="B64">
        <v>47</v>
      </c>
      <c r="C64">
        <f>$I$13+B64</f>
        <v>40006</v>
      </c>
      <c r="E64">
        <f>IF($C$14*ReDiarioFert!C53&lt;=0,"0",$C$14*ReDiarioFert!C53)</f>
        <v>12.861242589881927</v>
      </c>
      <c r="G64">
        <f>$C$14*ReDiarioFert!E53</f>
        <v>9.765849130434782</v>
      </c>
      <c r="I64">
        <f>$C$14*ReDiarioFert!G53</f>
        <v>17.208828198333332</v>
      </c>
      <c r="K64">
        <f>$C$14*ReDiarioFert!I53</f>
        <v>11.044898909148511</v>
      </c>
      <c r="M64">
        <f>$C$14*ReDiarioFert!K53</f>
        <v>22.766400144064857</v>
      </c>
      <c r="O64">
        <f>$C$14*ReDiarioFert!M53</f>
        <v>0.025695311600000003</v>
      </c>
      <c r="S64">
        <f>((E64/100)*$G$99+(G64/100)*$G$100+(I64/100)*$G$101+(K64/100)*$G$102+(M64/100)*$G$103+(O64)*$G$104+(Q64*$G$105))</f>
        <v>690.4845165571656</v>
      </c>
    </row>
    <row r="65">
      <c r="B65">
        <v>48</v>
      </c>
      <c r="C65">
        <f>$I$13+B65</f>
        <v>40007</v>
      </c>
      <c r="E65">
        <f>IF($C$14*ReDiarioFert!C54&lt;=0,"0",$C$14*ReDiarioFert!C54)</f>
        <v>12.861242589881927</v>
      </c>
      <c r="G65">
        <f>$C$14*ReDiarioFert!E54</f>
        <v>9.765849130434782</v>
      </c>
      <c r="I65">
        <f>$C$14*ReDiarioFert!G54</f>
        <v>17.208828198333332</v>
      </c>
      <c r="K65">
        <f>$C$14*ReDiarioFert!I54</f>
        <v>11.044898909148511</v>
      </c>
      <c r="M65">
        <f>$C$14*ReDiarioFert!K54</f>
        <v>22.766400144064857</v>
      </c>
      <c r="O65">
        <f>$C$14*ReDiarioFert!M54</f>
        <v>0.034764184</v>
      </c>
      <c r="S65">
        <f>((E65/100)*$G$99+(G65/100)*$G$100+(I65/100)*$G$101+(K65/100)*$G$102+(M65/100)*$G$103+(O65)*$G$104+(Q65*$G$105))</f>
        <v>690.4845165571656</v>
      </c>
    </row>
    <row r="66">
      <c r="B66">
        <v>49</v>
      </c>
      <c r="C66">
        <f>$I$13+B66</f>
        <v>40008</v>
      </c>
      <c r="E66">
        <f>IF($C$14*ReDiarioFert!C55&lt;=0,"0",$C$14*ReDiarioFert!C55)</f>
        <v>12.861242589881927</v>
      </c>
      <c r="G66">
        <f>$C$14*ReDiarioFert!E55</f>
        <v>9.765849130434782</v>
      </c>
      <c r="I66">
        <f>$C$14*ReDiarioFert!G55</f>
        <v>17.208828198333332</v>
      </c>
      <c r="K66">
        <f>$C$14*ReDiarioFert!I55</f>
        <v>11.044898909148511</v>
      </c>
      <c r="M66">
        <f>$C$14*ReDiarioFert!K55</f>
        <v>22.766400144064857</v>
      </c>
      <c r="O66">
        <f>$C$14*ReDiarioFert!M55</f>
        <v>0.034764184</v>
      </c>
      <c r="S66">
        <f>((E66/100)*$G$99+(G66/100)*$G$100+(I66/100)*$G$101+(K66/100)*$G$102+(M66/100)*$G$103+(O66)*$G$104+(Q66*$G$105))</f>
        <v>690.4845165571656</v>
      </c>
    </row>
    <row r="67">
      <c r="A67">
        <v>8</v>
      </c>
      <c r="B67">
        <v>50</v>
      </c>
      <c r="C67">
        <f>$I$13+B67</f>
        <v>40009</v>
      </c>
      <c r="E67">
        <f>IF($C$14*ReDiarioFert!C56&lt;=0,"0",$C$14*ReDiarioFert!C56)</f>
        <v>12.861242589881927</v>
      </c>
      <c r="G67">
        <f>$C$14*ReDiarioFert!E56</f>
        <v>9.765849130434782</v>
      </c>
      <c r="I67">
        <f>$C$14*ReDiarioFert!G56</f>
        <v>17.208828198333332</v>
      </c>
      <c r="K67">
        <f>$C$14*ReDiarioFert!I56</f>
        <v>11.044898909148511</v>
      </c>
      <c r="M67">
        <f>$C$14*ReDiarioFert!K56</f>
        <v>22.766400144064857</v>
      </c>
      <c r="O67">
        <f>$C$14*ReDiarioFert!M56</f>
        <v>0.034764184</v>
      </c>
      <c r="Q67">
        <f>$C$14*Main!$D$63</f>
        <v>29.68</v>
      </c>
      <c r="S67">
        <f>((E67/100)*$G$99+(G67/100)*$G$100+(I67/100)*$G$101+(K67/100)*$G$102+(M67/100)*$G$103+(O67)*$G$104+(Q67*$G$105))</f>
        <v>773.5885165571657</v>
      </c>
    </row>
    <row r="68">
      <c r="B68">
        <v>51</v>
      </c>
      <c r="C68">
        <f>$I$13+B68</f>
        <v>40010</v>
      </c>
      <c r="E68">
        <f>IF($C$14*ReDiarioFert!C57&lt;=0,"0",$C$14*ReDiarioFert!C57)</f>
        <v>12.861242589881927</v>
      </c>
      <c r="G68">
        <f>$C$14*ReDiarioFert!E57</f>
        <v>9.765849130434782</v>
      </c>
      <c r="I68">
        <f>$C$14*ReDiarioFert!G57</f>
        <v>17.208828198333332</v>
      </c>
      <c r="K68">
        <f>$C$14*ReDiarioFert!I57</f>
        <v>11.044898909148511</v>
      </c>
      <c r="M68">
        <f>$C$14*ReDiarioFert!K57</f>
        <v>22.766400144064857</v>
      </c>
      <c r="O68">
        <f>$C$14*ReDiarioFert!M57</f>
        <v>0.034764184</v>
      </c>
      <c r="S68">
        <f>((E68/100)*$G$99+(G68/100)*$G$100+(I68/100)*$G$101+(K68/100)*$G$102+(M68/100)*$G$103+(O68)*$G$104+(Q68*$G$105))</f>
        <v>690.4845165571656</v>
      </c>
    </row>
    <row r="69">
      <c r="B69">
        <v>52</v>
      </c>
      <c r="C69">
        <f>$I$13+B69</f>
        <v>40011</v>
      </c>
      <c r="E69">
        <f>IF($C$14*ReDiarioFert!C58&lt;=0,"0",$C$14*ReDiarioFert!C58)</f>
        <v>12.861242589881927</v>
      </c>
      <c r="G69">
        <f>$C$14*ReDiarioFert!E58</f>
        <v>9.765849130434782</v>
      </c>
      <c r="I69">
        <f>$C$14*ReDiarioFert!G58</f>
        <v>17.208828198333332</v>
      </c>
      <c r="K69">
        <f>$C$14*ReDiarioFert!I58</f>
        <v>11.044898909148511</v>
      </c>
      <c r="M69">
        <f>$C$14*ReDiarioFert!K58</f>
        <v>22.766400144064857</v>
      </c>
      <c r="O69">
        <f>$C$14*ReDiarioFert!M58</f>
        <v>0.034764184</v>
      </c>
      <c r="S69">
        <f>((E69/100)*$G$99+(G69/100)*$G$100+(I69/100)*$G$101+(K69/100)*$G$102+(M69/100)*$G$103+(O69)*$G$104+(Q69*$G$105))</f>
        <v>690.4845165571656</v>
      </c>
    </row>
    <row r="70">
      <c r="B70">
        <v>53</v>
      </c>
      <c r="C70">
        <f>$I$13+B70</f>
        <v>40012</v>
      </c>
      <c r="E70">
        <f>IF($C$14*ReDiarioFert!C59&lt;=0,"0",$C$14*ReDiarioFert!C59)</f>
        <v>12.861242589881927</v>
      </c>
      <c r="G70">
        <f>$C$14*ReDiarioFert!E59</f>
        <v>9.765849130434782</v>
      </c>
      <c r="I70">
        <f>$C$14*ReDiarioFert!G59</f>
        <v>17.208828198333332</v>
      </c>
      <c r="K70">
        <f>$C$14*ReDiarioFert!I59</f>
        <v>11.044898909148511</v>
      </c>
      <c r="M70">
        <f>$C$14*ReDiarioFert!K59</f>
        <v>22.766400144064857</v>
      </c>
      <c r="O70">
        <f>$C$14*ReDiarioFert!M59</f>
        <v>0.034764184</v>
      </c>
      <c r="S70">
        <f>((E70/100)*$G$99+(G70/100)*$G$100+(I70/100)*$G$101+(K70/100)*$G$102+(M70/100)*$G$103+(O70)*$G$104+(Q70*$G$105))</f>
        <v>690.4845165571656</v>
      </c>
    </row>
    <row r="71">
      <c r="B71">
        <v>54</v>
      </c>
      <c r="C71">
        <f>$I$13+B71</f>
        <v>40013</v>
      </c>
      <c r="E71">
        <f>IF($C$14*ReDiarioFert!C60&lt;=0,"0",$C$14*ReDiarioFert!C60)</f>
        <v>12.861242589881927</v>
      </c>
      <c r="G71">
        <f>$C$14*ReDiarioFert!E60</f>
        <v>9.765849130434782</v>
      </c>
      <c r="I71">
        <f>$C$14*ReDiarioFert!G60</f>
        <v>17.208828198333332</v>
      </c>
      <c r="K71">
        <f>$C$14*ReDiarioFert!I60</f>
        <v>11.044898909148511</v>
      </c>
      <c r="M71">
        <f>$C$14*ReDiarioFert!K60</f>
        <v>22.766400144064857</v>
      </c>
      <c r="O71">
        <f>$C$14*ReDiarioFert!M60</f>
        <v>0.034764184</v>
      </c>
      <c r="S71">
        <f>((E71/100)*$G$99+(G71/100)*$G$100+(I71/100)*$G$101+(K71/100)*$G$102+(M71/100)*$G$103+(O71)*$G$104+(Q71*$G$105))</f>
        <v>690.4845165571656</v>
      </c>
    </row>
    <row r="72">
      <c r="B72">
        <v>55</v>
      </c>
      <c r="C72">
        <f>$I$13+B72</f>
        <v>40014</v>
      </c>
      <c r="E72">
        <f>IF($C$14*ReDiarioFert!C61&lt;=0,"0",$C$14*ReDiarioFert!C61)</f>
        <v>5.8634149129090805</v>
      </c>
      <c r="G72">
        <f>$C$14*ReDiarioFert!E61</f>
        <v>9.765849130434782</v>
      </c>
      <c r="I72">
        <f>$C$14*ReDiarioFert!G61</f>
        <v>17.208828198333332</v>
      </c>
      <c r="K72">
        <f>$C$14*ReDiarioFert!I61</f>
        <v>11.044898909148511</v>
      </c>
      <c r="M72">
        <f>$C$14*ReDiarioFert!K61</f>
        <v>22.766400144064857</v>
      </c>
      <c r="O72">
        <f>$C$14*ReDiarioFert!M61</f>
        <v>0.034764184</v>
      </c>
      <c r="S72">
        <f>((E72/100)*$G$99+(G72/100)*$G$100+(I72/100)*$G$101+(K72/100)*$G$102+(M72/100)*$G$103+(O72)*$G$104+(Q72*$G$105))</f>
        <v>644.9986366568421</v>
      </c>
    </row>
    <row r="73">
      <c r="B73">
        <v>56</v>
      </c>
      <c r="C73">
        <f>$I$13+B73</f>
        <v>40015</v>
      </c>
      <c r="E73">
        <f>IF($C$14*ReDiarioFert!C62&lt;=0,"0",$C$14*ReDiarioFert!C62)</f>
        <v>5.8634149129090805</v>
      </c>
      <c r="G73">
        <f>$C$14*ReDiarioFert!E62</f>
        <v>9.765849130434782</v>
      </c>
      <c r="I73">
        <f>$C$14*ReDiarioFert!G62</f>
        <v>17.208828198333332</v>
      </c>
      <c r="K73">
        <f>$C$14*ReDiarioFert!I62</f>
        <v>11.044898909148511</v>
      </c>
      <c r="M73">
        <f>$C$14*ReDiarioFert!K62</f>
        <v>22.766400144064857</v>
      </c>
      <c r="O73">
        <f>$C$14*ReDiarioFert!M62</f>
        <v>0.034764184</v>
      </c>
      <c r="S73">
        <f>((E73/100)*$G$99+(G73/100)*$G$100+(I73/100)*$G$101+(K73/100)*$G$102+(M73/100)*$G$103+(O73)*$G$104+(Q73*$G$105))</f>
        <v>644.9986366568421</v>
      </c>
    </row>
    <row r="74">
      <c r="A74">
        <v>9</v>
      </c>
      <c r="B74">
        <v>57</v>
      </c>
      <c r="C74">
        <f>$I$13+B74</f>
        <v>40016</v>
      </c>
      <c r="E74">
        <f>IF($C$14*ReDiarioFert!C63&lt;=0,"0",$C$14*ReDiarioFert!C63)</f>
        <v>5.8634149129090805</v>
      </c>
      <c r="G74">
        <f>$C$14*ReDiarioFert!E63</f>
        <v>9.765849130434782</v>
      </c>
      <c r="I74">
        <f>$C$14*ReDiarioFert!G63</f>
        <v>17.208828198333332</v>
      </c>
      <c r="K74">
        <f>$C$14*ReDiarioFert!I63</f>
        <v>11.044898909148511</v>
      </c>
      <c r="M74">
        <f>$C$14*ReDiarioFert!K63</f>
        <v>22.766400144064857</v>
      </c>
      <c r="O74">
        <f>$C$14*ReDiarioFert!M63</f>
        <v>0.034764184</v>
      </c>
      <c r="Q74">
        <f>$C$14*Main!$D$63</f>
        <v>29.68</v>
      </c>
      <c r="S74">
        <f>((E74/100)*$G$99+(G74/100)*$G$100+(I74/100)*$G$101+(K74/100)*$G$102+(M74/100)*$G$103+(O74)*$G$104+(Q74*$G$105))</f>
        <v>728.1026366568422</v>
      </c>
    </row>
    <row r="75">
      <c r="B75">
        <v>58</v>
      </c>
      <c r="C75">
        <f>$I$13+B75</f>
        <v>40017</v>
      </c>
      <c r="E75">
        <f>IF($C$14*ReDiarioFert!C64&lt;=0,"0",$C$14*ReDiarioFert!C64)</f>
        <v>5.8634149129090805</v>
      </c>
      <c r="G75">
        <f>$C$14*ReDiarioFert!E64</f>
        <v>9.765849130434782</v>
      </c>
      <c r="I75">
        <f>$C$14*ReDiarioFert!G64</f>
        <v>17.208828198333332</v>
      </c>
      <c r="K75">
        <f>$C$14*ReDiarioFert!I64</f>
        <v>11.044898909148511</v>
      </c>
      <c r="M75">
        <f>$C$14*ReDiarioFert!K64</f>
        <v>22.766400144064857</v>
      </c>
      <c r="O75">
        <f>$C$14*ReDiarioFert!M64</f>
        <v>0.034764184</v>
      </c>
      <c r="S75">
        <f>((E75/100)*$G$99+(G75/100)*$G$100+(I75/100)*$G$101+(K75/100)*$G$102+(M75/100)*$G$103+(O75)*$G$104+(Q75*$G$105))</f>
        <v>644.9986366568421</v>
      </c>
    </row>
    <row r="76">
      <c r="B76">
        <v>59</v>
      </c>
      <c r="C76">
        <f>$I$13+B76</f>
        <v>40018</v>
      </c>
      <c r="E76">
        <f>IF($C$14*ReDiarioFert!C65&lt;=0,"0",$C$14*ReDiarioFert!C65)</f>
        <v>5.8634149129090805</v>
      </c>
      <c r="G76">
        <f>$C$14*ReDiarioFert!E65</f>
        <v>9.765849130434782</v>
      </c>
      <c r="I76">
        <f>$C$14*ReDiarioFert!G65</f>
        <v>17.208828198333332</v>
      </c>
      <c r="K76">
        <f>$C$14*ReDiarioFert!I65</f>
        <v>11.044898909148511</v>
      </c>
      <c r="M76">
        <f>$C$14*ReDiarioFert!K65</f>
        <v>22.766400144064857</v>
      </c>
      <c r="O76">
        <f>$C$14*ReDiarioFert!M65</f>
        <v>0.034764184</v>
      </c>
      <c r="S76">
        <f>((E76/100)*$G$99+(G76/100)*$G$100+(I76/100)*$G$101+(K76/100)*$G$102+(M76/100)*$G$103+(O76)*$G$104+(Q76*$G$105))</f>
        <v>644.9986366568421</v>
      </c>
    </row>
    <row r="77">
      <c r="B77">
        <v>60</v>
      </c>
      <c r="C77">
        <f>$I$13+B77</f>
        <v>40019</v>
      </c>
      <c r="E77">
        <f>IF($C$14*ReDiarioFert!C66&lt;=0,"0",$C$14*ReDiarioFert!C66)</f>
        <v>5.8634149129090805</v>
      </c>
      <c r="G77">
        <f>$C$14*ReDiarioFert!E66</f>
        <v>9.765849130434782</v>
      </c>
      <c r="I77">
        <f>$C$14*ReDiarioFert!G66</f>
        <v>17.208828198333332</v>
      </c>
      <c r="K77">
        <f>$C$14*ReDiarioFert!I66</f>
        <v>11.044898909148511</v>
      </c>
      <c r="M77">
        <f>$C$14*ReDiarioFert!K66</f>
        <v>22.766400144064857</v>
      </c>
      <c r="O77">
        <f>$C$14*ReDiarioFert!M66</f>
        <v>0.034764184</v>
      </c>
      <c r="S77">
        <f>((E77/100)*$G$99+(G77/100)*$G$100+(I77/100)*$G$101+(K77/100)*$G$102+(M77/100)*$G$103+(O77)*$G$104+(Q77*$G$105))</f>
        <v>644.9986366568421</v>
      </c>
    </row>
    <row r="78">
      <c r="B78">
        <v>61</v>
      </c>
      <c r="C78">
        <f>$I$13+B78</f>
        <v>40020</v>
      </c>
      <c r="E78">
        <f>IF($C$14*ReDiarioFert!C67&lt;=0,"0",$C$14*ReDiarioFert!C67)</f>
        <v>5.8634149129090805</v>
      </c>
      <c r="G78">
        <f>$C$14*ReDiarioFert!E67</f>
        <v>9.765849130434782</v>
      </c>
      <c r="I78">
        <f>$C$14*ReDiarioFert!G67</f>
        <v>17.208828198333332</v>
      </c>
      <c r="K78">
        <f>$C$14*ReDiarioFert!I67</f>
        <v>11.044898909148511</v>
      </c>
      <c r="M78">
        <f>$C$14*ReDiarioFert!K67</f>
        <v>22.766400144064857</v>
      </c>
      <c r="O78">
        <f>$C$14*ReDiarioFert!M67</f>
        <v>0.034764184</v>
      </c>
      <c r="S78">
        <f>((E78/100)*$G$99+(G78/100)*$G$100+(I78/100)*$G$101+(K78/100)*$G$102+(M78/100)*$G$103+(O78)*$G$104+(Q78*$G$105))</f>
        <v>644.9986366568421</v>
      </c>
    </row>
    <row r="79">
      <c r="B79">
        <v>62</v>
      </c>
      <c r="C79">
        <f>$I$13+B79</f>
        <v>40021</v>
      </c>
      <c r="E79">
        <f>IF($C$14*ReDiarioFert!C68&lt;=0,"0",$C$14*ReDiarioFert!C68)</f>
        <v>5.8634149129090805</v>
      </c>
      <c r="G79">
        <f>$C$14*ReDiarioFert!E68</f>
        <v>9.765849130434782</v>
      </c>
      <c r="I79">
        <f>$C$14*ReDiarioFert!G68</f>
        <v>17.208828198333332</v>
      </c>
      <c r="K79">
        <f>$C$14*ReDiarioFert!I68</f>
        <v>11.044898909148511</v>
      </c>
      <c r="M79">
        <f>$C$14*ReDiarioFert!K68</f>
        <v>22.766400144064857</v>
      </c>
      <c r="O79">
        <f>$C$14*ReDiarioFert!M68</f>
        <v>0.034764184</v>
      </c>
      <c r="S79">
        <f>((E79/100)*$G$99+(G79/100)*$G$100+(I79/100)*$G$101+(K79/100)*$G$102+(M79/100)*$G$103+(O79)*$G$104+(Q79*$G$105))</f>
        <v>644.9986366568421</v>
      </c>
    </row>
    <row r="80">
      <c r="B80">
        <v>63</v>
      </c>
      <c r="C80">
        <f>$I$13+B80</f>
        <v>40022</v>
      </c>
      <c r="E80">
        <f>IF($C$14*ReDiarioFert!C69&lt;=0,"0",$C$14*ReDiarioFert!C69)</f>
        <v>5.8634149129090805</v>
      </c>
      <c r="G80">
        <f>$C$14*ReDiarioFert!E69</f>
        <v>9.765849130434782</v>
      </c>
      <c r="I80">
        <f>$C$14*ReDiarioFert!G69</f>
        <v>17.208828198333332</v>
      </c>
      <c r="K80">
        <f>$C$14*ReDiarioFert!I69</f>
        <v>11.044898909148511</v>
      </c>
      <c r="M80">
        <f>$C$14*ReDiarioFert!K69</f>
        <v>22.766400144064857</v>
      </c>
      <c r="O80">
        <f>$C$14*ReDiarioFert!M69</f>
        <v>0.0438332048</v>
      </c>
      <c r="S80">
        <f>((E80/100)*$G$99+(G80/100)*$G$100+(I80/100)*$G$101+(K80/100)*$G$102+(M80/100)*$G$103+(O80)*$G$104+(Q80*$G$105))</f>
        <v>644.9986366568421</v>
      </c>
    </row>
    <row r="81">
      <c r="A81">
        <v>10</v>
      </c>
      <c r="B81">
        <v>64</v>
      </c>
      <c r="C81">
        <f>$I$13+B81</f>
        <v>40023</v>
      </c>
      <c r="E81">
        <f>IF($C$14*ReDiarioFert!C70&lt;=0,"0",$C$14*ReDiarioFert!C70)</f>
        <v>2.5256993085000143</v>
      </c>
      <c r="G81">
        <f>$C$14*ReDiarioFert!E70</f>
        <v>9.765849130434782</v>
      </c>
      <c r="I81">
        <f>$C$14*ReDiarioFert!G70</f>
        <v>17.208828198333332</v>
      </c>
      <c r="K81">
        <f>$C$14*ReDiarioFert!I70</f>
        <v>11.044898909148511</v>
      </c>
      <c r="M81">
        <f>$C$14*ReDiarioFert!K70</f>
        <v>22.766400144064857</v>
      </c>
      <c r="O81">
        <f>$C$14*ReDiarioFert!M70</f>
        <v>0.0438332048</v>
      </c>
      <c r="Q81">
        <f>$C$14*Main!$D$63</f>
        <v>29.68</v>
      </c>
      <c r="S81">
        <f>((E81/100)*$G$99+(G81/100)*$G$100+(I81/100)*$G$101+(K81/100)*$G$102+(M81/100)*$G$103+(O81)*$G$104+(Q81*$G$105))</f>
        <v>706.4074852281833</v>
      </c>
    </row>
    <row r="82">
      <c r="B82">
        <v>65</v>
      </c>
      <c r="C82">
        <f>$I$13+B82</f>
        <v>40024</v>
      </c>
      <c r="E82">
        <f>IF($C$14*ReDiarioFert!C71&lt;=0,"0",$C$14*ReDiarioFert!C71)</f>
        <v>2.5256993085000143</v>
      </c>
      <c r="G82">
        <f>$C$14*ReDiarioFert!E71</f>
        <v>9.765849130434782</v>
      </c>
      <c r="I82">
        <f>$C$14*ReDiarioFert!G71</f>
        <v>17.208828198333332</v>
      </c>
      <c r="K82">
        <f>$C$14*ReDiarioFert!I71</f>
        <v>11.044898909148511</v>
      </c>
      <c r="M82">
        <f>$C$14*ReDiarioFert!K71</f>
        <v>22.766400144064857</v>
      </c>
      <c r="O82">
        <f>$C$14*ReDiarioFert!M71</f>
        <v>0.0438332048</v>
      </c>
      <c r="S82">
        <f>((E82/100)*$G$99+(G82/100)*$G$100+(I82/100)*$G$101+(K82/100)*$G$102+(M82/100)*$G$103+(O82)*$G$104+(Q82*$G$105))</f>
        <v>623.3034852281833</v>
      </c>
    </row>
    <row r="83">
      <c r="B83">
        <v>66</v>
      </c>
      <c r="C83">
        <f>$I$13+B83</f>
        <v>40025</v>
      </c>
      <c r="E83">
        <f>IF($C$14*ReDiarioFert!C72&lt;=0,"0",$C$14*ReDiarioFert!C72)</f>
        <v>2.5256993085000143</v>
      </c>
      <c r="G83">
        <f>$C$14*ReDiarioFert!E72</f>
        <v>9.765849130434782</v>
      </c>
      <c r="I83">
        <f>$C$14*ReDiarioFert!G72</f>
        <v>17.208828198333332</v>
      </c>
      <c r="K83">
        <f>$C$14*ReDiarioFert!I72</f>
        <v>11.044898909148511</v>
      </c>
      <c r="M83">
        <f>$C$14*ReDiarioFert!K72</f>
        <v>22.766400144064857</v>
      </c>
      <c r="O83">
        <f>$C$14*ReDiarioFert!M72</f>
        <v>0.0438332048</v>
      </c>
      <c r="S83">
        <f>((E83/100)*$G$99+(G83/100)*$G$100+(I83/100)*$G$101+(K83/100)*$G$102+(M83/100)*$G$103+(O83)*$G$104+(Q83*$G$105))</f>
        <v>623.3034852281833</v>
      </c>
    </row>
    <row r="84">
      <c r="B84">
        <v>67</v>
      </c>
      <c r="C84">
        <f>$I$13+B84</f>
        <v>40026</v>
      </c>
      <c r="E84">
        <f>IF($C$14*ReDiarioFert!C73&lt;=0,"0",$C$14*ReDiarioFert!C73)</f>
        <v>2.5256993085000143</v>
      </c>
      <c r="G84">
        <f>$C$14*ReDiarioFert!E73</f>
        <v>9.765849130434782</v>
      </c>
      <c r="I84">
        <f>$C$14*ReDiarioFert!G73</f>
        <v>17.208828198333332</v>
      </c>
      <c r="K84">
        <f>$C$14*ReDiarioFert!I73</f>
        <v>11.044898909148511</v>
      </c>
      <c r="M84">
        <f>$C$14*ReDiarioFert!K73</f>
        <v>22.766400144064857</v>
      </c>
      <c r="O84">
        <f>$C$14*ReDiarioFert!M73</f>
        <v>0.0438332048</v>
      </c>
      <c r="S84">
        <f>((E84/100)*$G$99+(G84/100)*$G$100+(I84/100)*$G$101+(K84/100)*$G$102+(M84/100)*$G$103+(O84)*$G$104+(Q84*$G$105))</f>
        <v>623.3034852281833</v>
      </c>
    </row>
    <row r="85">
      <c r="B85">
        <v>68</v>
      </c>
      <c r="C85">
        <f>$I$13+B85</f>
        <v>40027</v>
      </c>
      <c r="E85">
        <f>IF($C$14*ReDiarioFert!C74&lt;=0,"0",$C$14*ReDiarioFert!C74)</f>
        <v>2.5256993085000143</v>
      </c>
      <c r="G85">
        <f>$C$14*ReDiarioFert!E74</f>
        <v>9.765849130434782</v>
      </c>
      <c r="I85">
        <f>$C$14*ReDiarioFert!G74</f>
        <v>17.208828198333332</v>
      </c>
      <c r="K85">
        <f>$C$14*ReDiarioFert!I74</f>
        <v>11.044898909148511</v>
      </c>
      <c r="M85">
        <f>$C$14*ReDiarioFert!K74</f>
        <v>22.766400144064857</v>
      </c>
      <c r="O85">
        <f>$C$14*ReDiarioFert!M74</f>
        <v>0.0438332048</v>
      </c>
      <c r="S85">
        <f>((E85/100)*$G$99+(G85/100)*$G$100+(I85/100)*$G$101+(K85/100)*$G$102+(M85/100)*$G$103+(O85)*$G$104+(Q85*$G$105))</f>
        <v>623.3034852281833</v>
      </c>
    </row>
    <row r="86">
      <c r="B86">
        <v>69</v>
      </c>
      <c r="C86">
        <f>$I$13+B86</f>
        <v>40028</v>
      </c>
      <c r="E86">
        <f>IF($C$14*ReDiarioFert!C75&lt;=0,"0",$C$14*ReDiarioFert!C75)</f>
        <v>2.5256993085000143</v>
      </c>
      <c r="G86">
        <f>$C$14*ReDiarioFert!E75</f>
        <v>9.765849130434782</v>
      </c>
      <c r="I86">
        <f>$C$14*ReDiarioFert!G75</f>
        <v>17.208828198333332</v>
      </c>
      <c r="K86">
        <f>$C$14*ReDiarioFert!I75</f>
        <v>11.044898909148511</v>
      </c>
      <c r="M86">
        <f>$C$14*ReDiarioFert!K75</f>
        <v>22.766400144064857</v>
      </c>
      <c r="O86">
        <f>$C$14*ReDiarioFert!M75</f>
        <v>0.0438332048</v>
      </c>
      <c r="S86">
        <f>((E86/100)*$G$99+(G86/100)*$G$100+(I86/100)*$G$101+(K86/100)*$G$102+(M86/100)*$G$103+(O86)*$G$104+(Q86*$G$105))</f>
        <v>623.3034852281833</v>
      </c>
    </row>
    <row r="87">
      <c r="B87">
        <v>70</v>
      </c>
      <c r="C87">
        <f>$I$13+B87</f>
        <v>40029</v>
      </c>
      <c r="E87">
        <f>IF($C$14*ReDiarioFert!C76&lt;=0,"0",$C$14*ReDiarioFert!C76)</f>
        <v>2.5256993085000143</v>
      </c>
      <c r="G87">
        <f>$C$14*ReDiarioFert!E76</f>
        <v>9.765849130434782</v>
      </c>
      <c r="I87">
        <f>$C$14*ReDiarioFert!G76</f>
        <v>17.208828198333332</v>
      </c>
      <c r="K87">
        <f>$C$14*ReDiarioFert!I76</f>
        <v>11.044898909148511</v>
      </c>
      <c r="M87">
        <f>$C$14*ReDiarioFert!K76</f>
        <v>22.766400144064857</v>
      </c>
      <c r="O87">
        <f>$C$14*ReDiarioFert!M76</f>
        <v>0.0438332048</v>
      </c>
      <c r="S87">
        <f>((E87/100)*$G$99+(G87/100)*$G$100+(I87/100)*$G$101+(K87/100)*$G$102+(M87/100)*$G$103+(O87)*$G$104+(Q87*$G$105))</f>
        <v>623.3034852281833</v>
      </c>
    </row>
    <row r="88">
      <c r="A88">
        <v>11</v>
      </c>
      <c r="B88">
        <v>71</v>
      </c>
      <c r="C88">
        <f>$I$13+B88</f>
        <v>40030</v>
      </c>
      <c r="E88">
        <f>IF($C$14*ReDiarioFert!C77&lt;=0,"0",$C$14*ReDiarioFert!C77)</f>
        <v>2.5256993085000143</v>
      </c>
      <c r="G88">
        <f>$C$14*ReDiarioFert!E77</f>
        <v>9.765849130434782</v>
      </c>
      <c r="I88">
        <f>$C$14*ReDiarioFert!G77</f>
        <v>17.208828198333332</v>
      </c>
      <c r="K88">
        <f>$C$14*ReDiarioFert!I77</f>
        <v>11.044898909148511</v>
      </c>
      <c r="M88">
        <f>$C$14*ReDiarioFert!K77</f>
        <v>22.766400144064857</v>
      </c>
      <c r="O88">
        <f>$C$14*ReDiarioFert!M77</f>
        <v>0.0438332048</v>
      </c>
      <c r="Q88">
        <f>$C$14*Main!$D$63</f>
        <v>29.68</v>
      </c>
      <c r="S88">
        <f>((E88/100)*$G$99+(G88/100)*$G$100+(I88/100)*$G$101+(K88/100)*$G$102+(M88/100)*$G$103+(O88)*$G$104+(Q88*$G$105))</f>
        <v>706.4074852281833</v>
      </c>
    </row>
    <row r="89">
      <c r="B89">
        <v>72</v>
      </c>
      <c r="C89">
        <f>$I$13+B89</f>
        <v>40031</v>
      </c>
      <c r="E89">
        <f>IF($C$14*ReDiarioFert!C78&lt;=0,"0",$C$14*ReDiarioFert!C78)</f>
        <v>2.5256993085000143</v>
      </c>
      <c r="G89">
        <f>$C$14*ReDiarioFert!E78</f>
        <v>9.765849130434782</v>
      </c>
      <c r="I89">
        <f>$C$14*ReDiarioFert!G78</f>
        <v>17.208828198333332</v>
      </c>
      <c r="K89">
        <f>$C$14*ReDiarioFert!I78</f>
        <v>11.044898909148511</v>
      </c>
      <c r="M89">
        <f>$C$14*ReDiarioFert!K78</f>
        <v>22.766400144064857</v>
      </c>
      <c r="O89">
        <f>$C$14*ReDiarioFert!M78</f>
        <v>0.0438332048</v>
      </c>
      <c r="S89">
        <f>((E89/100)*$G$99+(G89/100)*$G$100+(I89/100)*$G$101+(K89/100)*$G$102+(M89/100)*$G$103+(O89)*$G$104+(Q89*$G$105))</f>
        <v>623.3034852281833</v>
      </c>
    </row>
    <row r="90">
      <c r="B90">
        <v>73</v>
      </c>
      <c r="C90">
        <f>$I$13+B90</f>
        <v>40032</v>
      </c>
      <c r="E90">
        <f>IF($C$14*ReDiarioFert!C79&lt;=0,"0",$C$14*ReDiarioFert!C79)</f>
        <v>2.5256993085000143</v>
      </c>
      <c r="G90">
        <f>$C$14*ReDiarioFert!E79</f>
        <v>9.765849130434782</v>
      </c>
      <c r="I90">
        <f>$C$14*ReDiarioFert!G79</f>
        <v>17.208828198333332</v>
      </c>
      <c r="K90">
        <f>$C$14*ReDiarioFert!I79</f>
        <v>11.044898909148511</v>
      </c>
      <c r="M90">
        <f>$C$14*ReDiarioFert!K79</f>
        <v>22.766400144064857</v>
      </c>
      <c r="O90">
        <f>$C$14*ReDiarioFert!M79</f>
        <v>0.0438332048</v>
      </c>
      <c r="S90">
        <f>((E90/100)*$G$99+(G90/100)*$G$100+(I90/100)*$G$101+(K90/100)*$G$102+(M90/100)*$G$103+(O90)*$G$104+(Q90*$G$105))</f>
        <v>623.3034852281833</v>
      </c>
    </row>
    <row r="91">
      <c r="B91">
        <v>74</v>
      </c>
      <c r="C91">
        <f>$I$13+B91</f>
        <v>40033</v>
      </c>
      <c r="E91">
        <f>IF($C$14*ReDiarioFert!C80&lt;=0,"0",$C$14*ReDiarioFert!C80)</f>
        <v>2.5256993085000143</v>
      </c>
      <c r="G91">
        <f>$C$14*ReDiarioFert!E80</f>
        <v>9.765849130434782</v>
      </c>
      <c r="I91">
        <f>$C$14*ReDiarioFert!G80</f>
        <v>17.208828198333332</v>
      </c>
      <c r="K91">
        <f>$C$14*ReDiarioFert!I80</f>
        <v>11.044898909148511</v>
      </c>
      <c r="M91">
        <f>$C$14*ReDiarioFert!K80</f>
        <v>22.766400144064857</v>
      </c>
      <c r="O91">
        <f>$C$14*ReDiarioFert!M80</f>
        <v>0.0438332048</v>
      </c>
      <c r="S91">
        <f>((E91/100)*$G$99+(G91/100)*$G$100+(I91/100)*$G$101+(K91/100)*$G$102+(M91/100)*$G$103+(O91)*$G$104+(Q91*$G$105))</f>
        <v>623.3034852281833</v>
      </c>
    </row>
    <row r="92">
      <c r="B92">
        <v>75</v>
      </c>
      <c r="C92">
        <f>$I$13+B92</f>
        <v>40034</v>
      </c>
      <c r="E92">
        <f>IF($C$14*ReDiarioFert!C81&lt;=0,"0",$C$14*ReDiarioFert!C81)</f>
        <v>2.5256993085000143</v>
      </c>
      <c r="G92">
        <f>$C$14*ReDiarioFert!E81</f>
        <v>9.765849130434782</v>
      </c>
      <c r="I92">
        <f>$C$14*ReDiarioFert!G81</f>
        <v>17.208828198333332</v>
      </c>
      <c r="K92">
        <f>$C$14*ReDiarioFert!I81</f>
        <v>11.044898909148511</v>
      </c>
      <c r="M92">
        <f>$C$14*ReDiarioFert!K81</f>
        <v>22.766400144064857</v>
      </c>
      <c r="O92">
        <f>$C$14*ReDiarioFert!M81</f>
        <v>0.0438332048</v>
      </c>
      <c r="S92">
        <f>((E92/100)*$G$99+(G92/100)*$G$100+(I92/100)*$G$101+(K92/100)*$G$102+(M92/100)*$G$103+(O92)*$G$104+(Q92*$G$105))</f>
        <v>623.3034852281833</v>
      </c>
    </row>
    <row r="93">
      <c r="B93">
        <v>76</v>
      </c>
      <c r="C93">
        <f>$I$13+B93</f>
        <v>40035</v>
      </c>
      <c r="E93">
        <f>IF($C$14*ReDiarioFert!C82&lt;=0,"0",$C$14*ReDiarioFert!C82)</f>
        <v>2.5256993085000143</v>
      </c>
      <c r="G93">
        <f>$C$14*ReDiarioFert!E82</f>
        <v>9.765849130434782</v>
      </c>
      <c r="I93">
        <f>$C$14*ReDiarioFert!G82</f>
        <v>17.208828198333332</v>
      </c>
      <c r="K93">
        <f>$C$14*ReDiarioFert!I82</f>
        <v>11.044898909148511</v>
      </c>
      <c r="M93">
        <f>$C$14*ReDiarioFert!K82</f>
        <v>22.766400144064857</v>
      </c>
      <c r="O93">
        <f>$C$14*ReDiarioFert!M82</f>
        <v>0.0438332048</v>
      </c>
      <c r="S93">
        <f>((E93/100)*$G$99+(G93/100)*$G$100+(I93/100)*$G$101+(K93/100)*$G$102+(M93/100)*$G$103+(O93)*$G$104+(Q93*$G$105))</f>
        <v>623.3034852281833</v>
      </c>
    </row>
    <row r="94">
      <c r="B94">
        <v>77</v>
      </c>
      <c r="C94">
        <f>$I$13+B94</f>
        <v>40036</v>
      </c>
      <c r="E94">
        <f>IF($C$14*ReDiarioFert!C83&lt;=0,"0",$C$14*ReDiarioFert!C83)</f>
        <v>2.5256993085000143</v>
      </c>
      <c r="G94">
        <f>$C$14*ReDiarioFert!E83</f>
        <v>9.765849130434782</v>
      </c>
      <c r="I94">
        <f>$C$14*ReDiarioFert!G83</f>
        <v>17.208828198333332</v>
      </c>
      <c r="K94">
        <f>$C$14*ReDiarioFert!I83</f>
        <v>11.044898909148511</v>
      </c>
      <c r="M94">
        <f>$C$14*ReDiarioFert!K83</f>
        <v>22.766400144064857</v>
      </c>
      <c r="O94">
        <f>$C$14*ReDiarioFert!M83</f>
        <v>0.0438332048</v>
      </c>
      <c r="S94">
        <f>((E94/100)*$G$99+(G94/100)*$G$100+(I94/100)*$G$101+(K94/100)*$G$102+(M94/100)*$G$103+(O94)*$G$104+(Q94*$G$105))</f>
        <v>623.3034852281833</v>
      </c>
    </row>
    <row r="95">
      <c r="C95" t="str">
        <v>Total</v>
      </c>
      <c r="E95">
        <f>SUM(E18:E94)</f>
        <v>796.5125776203441</v>
      </c>
      <c r="G95">
        <f>SUM(G18:G94)</f>
        <v>644.4620563061734</v>
      </c>
      <c r="I95">
        <f>SUM(I18:I94)</f>
        <v>1283.8318758640776</v>
      </c>
      <c r="K95">
        <f>SUM(K18:K94)</f>
        <v>823.9836624456832</v>
      </c>
      <c r="M95">
        <f>SUM(M18:M94)</f>
        <v>1698.4439536945192</v>
      </c>
      <c r="O95">
        <f>SUM(O18:O94)</f>
        <v>2.0072545416000014</v>
      </c>
      <c r="Q95">
        <f>SUM(Q18:Q94)</f>
        <v>326.48</v>
      </c>
      <c r="S95">
        <f>SUM(S18:S94)</f>
        <v>50357.877182444296</v>
      </c>
    </row>
    <row r="96">
      <c r="D96" t="str">
        <v>OJO cualquier cultivo que no se termine la cosecha en el ultimo día del calendario solo seguir repitiendo la ultima aplicación de fertilizante.</v>
      </c>
    </row>
    <row r="97" ht="39.75" customHeight="1">
      <c r="B97" t="str">
        <v>Producto</v>
      </c>
      <c r="F97" t="str">
        <v>Lbs/Ha</v>
      </c>
      <c r="G97" t="str">
        <v>Costo por qq</v>
      </c>
    </row>
    <row r="98" ht="24" customHeight="1">
      <c r="G98" t="str">
        <f>Main!$E$25</f>
        <v>Lempiras</v>
      </c>
    </row>
    <row r="99">
      <c r="B99" t="str">
        <f>Main!D42</f>
        <v>Urea</v>
      </c>
      <c r="F99">
        <f>E95/C14</f>
        <v>536.7335428708518</v>
      </c>
      <c r="G99">
        <f>Main!D43</f>
        <v>650</v>
      </c>
    </row>
    <row r="100">
      <c r="B100" t="str">
        <f>Main!D32</f>
        <v>DAP 18-46-0</v>
      </c>
      <c r="F100">
        <f>G95/C14</f>
        <v>434.2736228478257</v>
      </c>
      <c r="G100">
        <f>Main!D33</f>
        <v>1200</v>
      </c>
    </row>
    <row r="101">
      <c r="B101" t="str">
        <f>Main!D37</f>
        <v>Kcl Soluble</v>
      </c>
      <c r="F101">
        <f>I95/C14</f>
        <v>865.1158193154162</v>
      </c>
      <c r="G101">
        <f>Main!D38</f>
        <v>780</v>
      </c>
    </row>
    <row r="102">
      <c r="B102" t="str">
        <f>Main!D47</f>
        <v>Sulfato de Magnesio</v>
      </c>
      <c r="F102">
        <f>K95/C14</f>
        <v>555.2450555563903</v>
      </c>
      <c r="G102">
        <f>Main!D48</f>
        <v>951</v>
      </c>
    </row>
    <row r="103">
      <c r="B103" t="str">
        <f>Main!D52</f>
        <v>Nitrato de Calcio</v>
      </c>
      <c r="F103">
        <f>M95/C14</f>
        <v>1144.5040119235305</v>
      </c>
      <c r="G103">
        <f>Main!D53</f>
        <v>1100</v>
      </c>
    </row>
    <row r="104">
      <c r="B104" t="str">
        <f>Main!D57</f>
        <v>Sin Boro</v>
      </c>
      <c r="F104">
        <f>O95/C14</f>
        <v>1.352597400000001</v>
      </c>
      <c r="G104">
        <f>Main!D58</f>
        <v>0</v>
      </c>
      <c r="I104" t="str">
        <v xml:space="preserve">Preparado y Autorizado Por </v>
      </c>
    </row>
    <row r="105" ht="18" customHeight="1">
      <c r="B105" t="str">
        <f>Main!D61</f>
        <v>Melaza</v>
      </c>
      <c r="F105">
        <f>Q95/C14</f>
        <v>220.00000000000003</v>
      </c>
      <c r="G105">
        <f>Main!D62</f>
        <v>2.8</v>
      </c>
      <c r="I105" t="str">
        <v>MSc Ricardo D. Lardizábal</v>
      </c>
    </row>
    <row r="106">
      <c r="B106" t="str">
        <v>NOTA: El Nitrato de Calcio se debe de diluir en un barril aparte para inyectarse al sistema</v>
      </c>
    </row>
    <row r="108">
      <c r="B108" t="str">
        <v>Abreviaciones usadas</v>
      </c>
    </row>
    <row r="109">
      <c r="B109" t="str">
        <v>Mz.-Manzanas, Ha-Hectáreas, Lbs-Libras, Lts-Litros y DDT-Días después de Trasplante</v>
      </c>
    </row>
  </sheetData>
  <sheetProtection sheet="1"/>
  <mergeCells count="53">
    <mergeCell ref="A13:B13"/>
    <mergeCell ref="A14:B14"/>
    <mergeCell ref="I13:M13"/>
    <mergeCell ref="I14:M14"/>
    <mergeCell ref="G100:H100"/>
    <mergeCell ref="G98:H98"/>
    <mergeCell ref="G99:H99"/>
    <mergeCell ref="C16:D16"/>
    <mergeCell ref="E16:F16"/>
    <mergeCell ref="G16:H16"/>
    <mergeCell ref="I104:Q104"/>
    <mergeCell ref="A12:B12"/>
    <mergeCell ref="C12:E12"/>
    <mergeCell ref="F12:H12"/>
    <mergeCell ref="C13:E13"/>
    <mergeCell ref="C14:E14"/>
    <mergeCell ref="A16:A17"/>
    <mergeCell ref="B104:E104"/>
    <mergeCell ref="F13:H13"/>
    <mergeCell ref="F14:H14"/>
    <mergeCell ref="B106:I107"/>
    <mergeCell ref="I105:Q105"/>
    <mergeCell ref="B108:D108"/>
    <mergeCell ref="B101:E101"/>
    <mergeCell ref="S16:S17"/>
    <mergeCell ref="Q16:R16"/>
    <mergeCell ref="K16:L16"/>
    <mergeCell ref="O16:P16"/>
    <mergeCell ref="M16:N16"/>
    <mergeCell ref="I16:J16"/>
    <mergeCell ref="G105:H105"/>
    <mergeCell ref="B103:E103"/>
    <mergeCell ref="B105:E105"/>
    <mergeCell ref="G103:H103"/>
    <mergeCell ref="G104:H104"/>
    <mergeCell ref="B102:E102"/>
    <mergeCell ref="G101:H101"/>
    <mergeCell ref="G102:H102"/>
    <mergeCell ref="G97:H97"/>
    <mergeCell ref="B97:E97"/>
    <mergeCell ref="B16:B17"/>
    <mergeCell ref="B99:E99"/>
    <mergeCell ref="B100:E100"/>
    <mergeCell ref="B109:S109"/>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10"/>
  </ignoredErrors>
  <legacyDrawing r:id="rId1"/>
</worksheet>
</file>

<file path=xl/worksheets/sheet4.xml><?xml version="1.0" encoding="utf-8"?>
<worksheet xmlns="http://schemas.openxmlformats.org/spreadsheetml/2006/main" xmlns:r="http://schemas.openxmlformats.org/officeDocument/2006/relationships">
  <dimension ref="A1:V73"/>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Maíz Dulce</v>
      </c>
    </row>
    <row r="6" ht="29.25" customHeight="1"/>
    <row r="7" ht="16.95" customHeight="1"/>
    <row r="8" ht="21" customHeight="1">
      <c r="A8" t="str">
        <f>Main!$C$13</f>
        <v>"Sin Fertilización Base"</v>
      </c>
    </row>
    <row r="9" ht="20.1" customHeight="1">
      <c r="A9" t="str">
        <v>Productor</v>
      </c>
      <c r="C9" t="str">
        <f>Main!E17</f>
        <v>Hacienda Las Flores</v>
      </c>
      <c r="F9" t="str">
        <v>Parcela</v>
      </c>
      <c r="I9" t="str">
        <f>Main!E19</f>
        <v>Lote VI-B (f)</v>
      </c>
      <c r="P9" t="str">
        <f>Main!$G$21</f>
        <v>Golden Sweeter 93</v>
      </c>
    </row>
    <row r="10" ht="20.1" customHeight="1">
      <c r="A10" t="str">
        <v>Zona</v>
      </c>
      <c r="C10" t="str">
        <f>Main!E18</f>
        <v>Cantarranas</v>
      </c>
      <c r="F10" t="str">
        <v>Técnico</v>
      </c>
      <c r="I10" t="str">
        <f>Main!E20</f>
        <v>Jose de la Cruz Lainez</v>
      </c>
    </row>
    <row r="11" ht="20.1" customHeight="1">
      <c r="A11" t="str">
        <v>Área Mz.</v>
      </c>
      <c r="C11">
        <f>Main!E22</f>
        <v>2.12</v>
      </c>
      <c r="F11" t="str">
        <v>Fecha:</v>
      </c>
      <c r="I11">
        <f>Main!E23</f>
        <v>39959</v>
      </c>
    </row>
    <row r="12" ht="20.1" customHeight="1">
      <c r="A12" t="str">
        <v>Área Ha.</v>
      </c>
      <c r="C12">
        <f>Main!I22</f>
        <v>1.484</v>
      </c>
      <c r="F12" t="str">
        <v>Fecha de Cosecha:</v>
      </c>
      <c r="I12">
        <f>I11+Main!E24</f>
        <v>40032</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$I$11+B16</f>
        <v>39960</v>
      </c>
      <c r="E16">
        <f>IF(($C$12*(ReDiarioFert!C7+ReDiarioFert!C8))&lt;=0,"0",($C$12*(ReDiarioFert!C7+ReDiarioFert!C8)))</f>
        <v>14.619480444700947</v>
      </c>
      <c r="G16">
        <f>$C$12*(ReDiarioFert!E7+ReDiarioFert!E8)</f>
        <v>6.890783146434782</v>
      </c>
      <c r="I16">
        <f>$C$12*(ReDiarioFert!G7+ReDiarioFert!G8)</f>
        <v>17.499955954599997</v>
      </c>
      <c r="K16">
        <f>$C$12*(ReDiarioFert!I7+ReDiarioFert!I8)</f>
        <v>11.231749321073943</v>
      </c>
      <c r="M16">
        <f>$C$12*(ReDiarioFert!K7+ReDiarioFert!K8)</f>
        <v>23.15154728574256</v>
      </c>
      <c r="O16">
        <f>$C$12*(ReDiarioFert!M7+ReDiarioFert!M8)</f>
        <v>0.0151148368</v>
      </c>
      <c r="Q16">
        <f>$C$12*Main!$D$63</f>
        <v>29.68</v>
      </c>
      <c r="S16">
        <f>((E16/100)*$G$53+(G16/100)*$G$54+(I16/100)*$G$55+(K16/100)*$G$56+(M16/100)*$G$57+(O16)*$G$58+(Q16*$G$59))</f>
        <v>758.8006332802349</v>
      </c>
    </row>
    <row r="17" ht="18.75" customHeight="1">
      <c r="B17">
        <v>3</v>
      </c>
      <c r="C17">
        <f>$I$11+B17</f>
        <v>39962</v>
      </c>
      <c r="E17">
        <f>IF(($C$12*(ReDiarioFert!C9+ReDiarioFert!C10))&lt;=0,"0",($C$12*(ReDiarioFert!C9+ReDiarioFert!C10)))</f>
        <v>14.619480444700947</v>
      </c>
      <c r="G17">
        <f>$C$12*(ReDiarioFert!E9+ReDiarioFert!E10)</f>
        <v>6.890783146434782</v>
      </c>
      <c r="I17">
        <f>$C$12*(ReDiarioFert!G9+ReDiarioFert!G10)</f>
        <v>17.499955954599997</v>
      </c>
      <c r="K17">
        <f>$C$12*(ReDiarioFert!I9+ReDiarioFert!I10)</f>
        <v>11.231749321073943</v>
      </c>
      <c r="M17">
        <f>$C$12*(ReDiarioFert!K9+ReDiarioFert!K10)</f>
        <v>23.15154728574256</v>
      </c>
      <c r="O17">
        <f>$C$12*(ReDiarioFert!M9+ReDiarioFert!M10)</f>
        <v>0.0151148368</v>
      </c>
      <c r="S17">
        <f>((E17/100)*$G$53+(G17/100)*$G$54+(I17/100)*$G$55+(K17/100)*$G$56+(M17/100)*$G$57+(O17)*$G$58+(Q17*$G$59))</f>
        <v>675.6966332802349</v>
      </c>
    </row>
    <row r="18" ht="18.75" customHeight="1">
      <c r="B18">
        <v>5</v>
      </c>
      <c r="C18">
        <f>$I$11+B18</f>
        <v>39964</v>
      </c>
      <c r="E18">
        <f>IF(($C$12*(ReDiarioFert!C11+ReDiarioFert!C12+ReDiarioFert!C13))&lt;=0,"0",($C$12*(ReDiarioFert!C11+ReDiarioFert!C12+ReDiarioFert!C13)))</f>
        <v>21.929220667051425</v>
      </c>
      <c r="G18">
        <f>$C$12*(ReDiarioFert!E11+ReDiarioFert!E12+ReDiarioFert!E13)</f>
        <v>10.336174719652174</v>
      </c>
      <c r="I18">
        <f>$C$12*(ReDiarioFert!G11+ReDiarioFert!G12+ReDiarioFert!G13)</f>
        <v>26.2499339319</v>
      </c>
      <c r="K18">
        <f>$C$12*(ReDiarioFert!I11+ReDiarioFert!I12+ReDiarioFert!I13)</f>
        <v>16.847623981610916</v>
      </c>
      <c r="M18">
        <f>$C$12*(ReDiarioFert!K11+ReDiarioFert!K12+ReDiarioFert!K13)</f>
        <v>34.72732092861384</v>
      </c>
      <c r="O18">
        <f>$C$12*(ReDiarioFert!M11+ReDiarioFert!M12+ReDiarioFert!M13)</f>
        <v>0.0226722552</v>
      </c>
      <c r="S18">
        <f>((E18/100)*$G$53+(G18/100)*$G$54+(I18/100)*$G$55+(K18/100)*$G$56+(M18/100)*$G$57+(O18)*$G$58+(Q18*$G$59))</f>
        <v>1013.5449499203523</v>
      </c>
    </row>
    <row r="19">
      <c r="A19">
        <v>2</v>
      </c>
      <c r="B19">
        <f>B18+3</f>
        <v>8</v>
      </c>
      <c r="C19">
        <f>$I$11+B19</f>
        <v>39967</v>
      </c>
      <c r="E19">
        <f>IF(($C$12*(ReDiarioFert!C14+ReDiarioFert!C15))&lt;=0,"0",($C$12*(ReDiarioFert!C14+ReDiarioFert!C15)))</f>
        <v>25.456773756470124</v>
      </c>
      <c r="G19">
        <f>$C$12*(ReDiarioFert!E14+ReDiarioFert!E15)</f>
        <v>8.29092688747826</v>
      </c>
      <c r="I19">
        <f>$C$12*(ReDiarioFert!G14+ReDiarioFert!G15)</f>
        <v>29.006165462400002</v>
      </c>
      <c r="K19">
        <f>$C$12*(ReDiarioFert!I14+ReDiarioFert!I15)</f>
        <v>18.616617098035224</v>
      </c>
      <c r="M19">
        <f>$C$12*(ReDiarioFert!K14+ReDiarioFert!K15)</f>
        <v>38.37367436940934</v>
      </c>
      <c r="O19">
        <f>$C$12*(ReDiarioFert!M14+ReDiarioFert!M15)</f>
        <v>0.0151148368</v>
      </c>
      <c r="Q19">
        <f>$C$12*Main!$D$63</f>
        <v>29.68</v>
      </c>
      <c r="S19">
        <f>((E19/100)*$G$53+(G19/100)*$G$54+(I19/100)*$G$55+(K19/100)*$G$56+(M19/100)*$G$57+(O19)*$G$58+(Q19*$G$59))</f>
        <v>1173.4666893393328</v>
      </c>
    </row>
    <row r="20">
      <c r="B20">
        <f>B19+2</f>
        <v>10</v>
      </c>
      <c r="C20">
        <f>$I$11+B20</f>
        <v>39969</v>
      </c>
      <c r="E20">
        <f>IF(($C$12*(ReDiarioFert!C16+ReDiarioFert!C17))&lt;=0,"0",($C$12*(ReDiarioFert!C16+ReDiarioFert!C17)))</f>
        <v>25.456773756470124</v>
      </c>
      <c r="G20">
        <f>$C$12*(ReDiarioFert!E16+ReDiarioFert!E17)</f>
        <v>8.29092688747826</v>
      </c>
      <c r="I20">
        <f>$C$12*(ReDiarioFert!G16+ReDiarioFert!G17)</f>
        <v>29.006165462400002</v>
      </c>
      <c r="K20">
        <f>$C$12*(ReDiarioFert!I16+ReDiarioFert!I17)</f>
        <v>18.616617098035224</v>
      </c>
      <c r="M20">
        <f>$C$12*(ReDiarioFert!K16+ReDiarioFert!K17)</f>
        <v>38.37367436940934</v>
      </c>
      <c r="O20">
        <f>$C$12*(ReDiarioFert!M16+ReDiarioFert!M17)</f>
        <v>0.0211608012</v>
      </c>
      <c r="S20">
        <f>((E20/100)*$G$53+(G20/100)*$G$54+(I20/100)*$G$55+(K20/100)*$G$56+(M20/100)*$G$57+(O20)*$G$58+(Q20*$G$59))</f>
        <v>1090.3626893393327</v>
      </c>
    </row>
    <row r="21">
      <c r="B21">
        <f>B20+2</f>
        <v>12</v>
      </c>
      <c r="C21">
        <f>$I$11+B21</f>
        <v>39971</v>
      </c>
      <c r="E21">
        <f>IF(($C$12*(ReDiarioFert!C18+ReDiarioFert!C19+ReDiarioFert!C20))&lt;=0,"0",($C$12*(ReDiarioFert!C18+ReDiarioFert!C19+ReDiarioFert!C20)))</f>
        <v>38.18516063470519</v>
      </c>
      <c r="G21">
        <f>$C$12*(ReDiarioFert!E18+ReDiarioFert!E19+ReDiarioFert!E20)</f>
        <v>12.436390331217392</v>
      </c>
      <c r="I21">
        <f>$C$12*(ReDiarioFert!G18+ReDiarioFert!G19+ReDiarioFert!G20)</f>
        <v>43.50924819360001</v>
      </c>
      <c r="K21">
        <f>$C$12*(ReDiarioFert!I18+ReDiarioFert!I19+ReDiarioFert!I20)</f>
        <v>27.92492564705284</v>
      </c>
      <c r="M21">
        <f>$C$12*(ReDiarioFert!K18+ReDiarioFert!K19+ReDiarioFert!K20)</f>
        <v>57.560511554114015</v>
      </c>
      <c r="O21">
        <f>$C$12*(ReDiarioFert!M18+ReDiarioFert!M19+ReDiarioFert!M20)</f>
        <v>0.040810148399999996</v>
      </c>
      <c r="S21">
        <f>((E21/100)*$G$53+(G21/100)*$G$54+(I21/100)*$G$55+(K21/100)*$G$56+(M21/100)*$G$57+(O21)*$G$58+(Q21*$G$59))</f>
        <v>1635.5440340089992</v>
      </c>
    </row>
    <row r="22">
      <c r="A22">
        <v>3</v>
      </c>
      <c r="B22">
        <f>B21+3</f>
        <v>15</v>
      </c>
      <c r="C22">
        <f>$I$11+B22</f>
        <v>39974</v>
      </c>
      <c r="E22">
        <f>IF(($C$12*(ReDiarioFert!C21+ReDiarioFert!C22))&lt;=0,"0",($C$12*(ReDiarioFert!C21+ReDiarioFert!C22)))</f>
        <v>25.81423719201781</v>
      </c>
      <c r="G22">
        <f>$C$12*(ReDiarioFert!E21+ReDiarioFert!E22)</f>
        <v>16.114209113739133</v>
      </c>
      <c r="I22">
        <f>$C$12*(ReDiarioFert!G21+ReDiarioFert!G22)</f>
        <v>32.461257372599995</v>
      </c>
      <c r="K22">
        <f>$C$12*(ReDiarioFert!I21+ReDiarioFert!I22)</f>
        <v>20.83414989167841</v>
      </c>
      <c r="M22">
        <f>$C$12*(ReDiarioFert!K21+ReDiarioFert!K22)</f>
        <v>42.94458437301742</v>
      </c>
      <c r="O22">
        <f>$C$12*(ReDiarioFert!M21+ReDiarioFert!M22)</f>
        <v>0.0272067656</v>
      </c>
      <c r="Q22">
        <f>$C$12*Main!$D$63</f>
        <v>29.68</v>
      </c>
      <c r="S22">
        <f>((E22/100)*$G$53+(G22/100)*$G$54+(I22/100)*$G$55+(K22/100)*$G$56+(M22/100)*$G$57+(O22)*$G$58+(Q22*$G$59))</f>
        <v>1367.9880521923187</v>
      </c>
    </row>
    <row r="23">
      <c r="B23">
        <f>B22+2</f>
        <v>17</v>
      </c>
      <c r="C23">
        <f>$I$11+B23</f>
        <v>39976</v>
      </c>
      <c r="E23">
        <f>IF(($C$12*(ReDiarioFert!C23+ReDiarioFert!C24))&lt;=0,"0",($C$12*(ReDiarioFert!C23+ReDiarioFert!C24)))</f>
        <v>25.81423719201781</v>
      </c>
      <c r="G23">
        <f>$C$12*(ReDiarioFert!E23+ReDiarioFert!E24)</f>
        <v>16.114209113739133</v>
      </c>
      <c r="I23">
        <f>$C$12*(ReDiarioFert!G23+ReDiarioFert!G24)</f>
        <v>32.461257372599995</v>
      </c>
      <c r="K23">
        <f>$C$12*(ReDiarioFert!I23+ReDiarioFert!I24)</f>
        <v>20.83414989167841</v>
      </c>
      <c r="M23">
        <f>$C$12*(ReDiarioFert!K23+ReDiarioFert!K24)</f>
        <v>42.94458437301742</v>
      </c>
      <c r="O23">
        <f>$C$12*(ReDiarioFert!M23+ReDiarioFert!M24)</f>
        <v>0.0317411276</v>
      </c>
      <c r="S23">
        <f>((E23/100)*$G$53+(G23/100)*$G$54+(I23/100)*$G$55+(K23/100)*$G$56+(M23/100)*$G$57+(O23)*$G$58+(Q23*$G$59))</f>
        <v>1284.8840521923187</v>
      </c>
    </row>
    <row r="24">
      <c r="B24">
        <f>B23+2</f>
        <v>19</v>
      </c>
      <c r="C24">
        <f>$I$11+B24</f>
        <v>39978</v>
      </c>
      <c r="E24">
        <f>IF(($C$12*(ReDiarioFert!C25+ReDiarioFert!C26+ReDiarioFert!C27))&lt;=0,"0",($C$12*(ReDiarioFert!C25+ReDiarioFert!C26+ReDiarioFert!C27)))</f>
        <v>38.72135578802671</v>
      </c>
      <c r="G24">
        <f>$C$12*(ReDiarioFert!E25+ReDiarioFert!E26+ReDiarioFert!E27)</f>
        <v>24.171313670608697</v>
      </c>
      <c r="I24">
        <f>$C$12*(ReDiarioFert!G25+ReDiarioFert!G26+ReDiarioFert!G27)</f>
        <v>48.691886058899996</v>
      </c>
      <c r="K24">
        <f>$C$12*(ReDiarioFert!I25+ReDiarioFert!I26+ReDiarioFert!I27)</f>
        <v>31.251224837517615</v>
      </c>
      <c r="M24">
        <f>$C$12*(ReDiarioFert!K25+ReDiarioFert!K26+ReDiarioFert!K27)</f>
        <v>64.41687655952613</v>
      </c>
      <c r="O24">
        <f>$C$12*(ReDiarioFert!M25+ReDiarioFert!M26+ReDiarioFert!M27)</f>
        <v>0.0544132344</v>
      </c>
      <c r="S24">
        <f>((E24/100)*$G$53+(G24/100)*$G$54+(I24/100)*$G$55+(K24/100)*$G$56+(M24/100)*$G$57+(O24)*$G$58+(Q24*$G$59))</f>
        <v>1927.3260782884777</v>
      </c>
    </row>
    <row r="25">
      <c r="A25">
        <v>4</v>
      </c>
      <c r="B25">
        <f>B24+3</f>
        <v>22</v>
      </c>
      <c r="C25">
        <f>$I$11+B25</f>
        <v>39981</v>
      </c>
      <c r="E25">
        <f>IF(($C$12*(ReDiarioFert!C28+ReDiarioFert!C29))&lt;=0,"0",($C$12*(ReDiarioFert!C28+ReDiarioFert!C29)))</f>
        <v>25.81423719201781</v>
      </c>
      <c r="G25">
        <f>$C$12*(ReDiarioFert!E28+ReDiarioFert!E29)</f>
        <v>16.114209113739133</v>
      </c>
      <c r="I25">
        <f>$C$12*(ReDiarioFert!G28+ReDiarioFert!G29)</f>
        <v>32.461257372599995</v>
      </c>
      <c r="K25">
        <f>$C$12*(ReDiarioFert!I28+ReDiarioFert!I29)</f>
        <v>20.83414989167841</v>
      </c>
      <c r="M25">
        <f>$C$12*(ReDiarioFert!K28+ReDiarioFert!K29)</f>
        <v>42.94458437301742</v>
      </c>
      <c r="O25">
        <f>$C$12*(ReDiarioFert!M28+ReDiarioFert!M29)</f>
        <v>0.0362754896</v>
      </c>
      <c r="Q25">
        <f>$C$12*Main!$D$63</f>
        <v>29.68</v>
      </c>
      <c r="S25">
        <f>((E25/100)*$G$53+(G25/100)*$G$54+(I25/100)*$G$55+(K25/100)*$G$56+(M25/100)*$G$57+(O25)*$G$58+(Q25*$G$59))</f>
        <v>1367.9880521923187</v>
      </c>
    </row>
    <row r="26">
      <c r="B26">
        <f>B25+2</f>
        <v>24</v>
      </c>
      <c r="C26">
        <f>$I$11+B26</f>
        <v>39983</v>
      </c>
      <c r="E26">
        <f>IF(($C$12*(ReDiarioFert!C30+ReDiarioFert!C31))&lt;=0,"0",($C$12*(ReDiarioFert!C30+ReDiarioFert!C31)))</f>
        <v>25.81423719201781</v>
      </c>
      <c r="G26">
        <f>$C$12*(ReDiarioFert!E30+ReDiarioFert!E31)</f>
        <v>16.114209113739133</v>
      </c>
      <c r="I26">
        <f>$C$12*(ReDiarioFert!G30+ReDiarioFert!G31)</f>
        <v>32.461257372599995</v>
      </c>
      <c r="K26">
        <f>$C$12*(ReDiarioFert!I30+ReDiarioFert!I31)</f>
        <v>20.83414989167841</v>
      </c>
      <c r="M26">
        <f>$C$12*(ReDiarioFert!K30+ReDiarioFert!K31)</f>
        <v>42.94458437301742</v>
      </c>
      <c r="O26">
        <f>$C$12*(ReDiarioFert!M30+ReDiarioFert!M31)</f>
        <v>0.0362754896</v>
      </c>
      <c r="S26">
        <f>((E26/100)*$G$53+(G26/100)*$G$54+(I26/100)*$G$55+(K26/100)*$G$56+(M26/100)*$G$57+(O26)*$G$58+(Q26*$G$59))</f>
        <v>1284.8840521923187</v>
      </c>
    </row>
    <row r="27">
      <c r="B27">
        <f>B26+2</f>
        <v>26</v>
      </c>
      <c r="C27">
        <f>$I$11+B27</f>
        <v>39985</v>
      </c>
      <c r="E27">
        <f>IF(($C$12*(ReDiarioFert!C32+ReDiarioFert!C33+ReDiarioFert!C34))&lt;=0,"0",($C$12*(ReDiarioFert!C32+ReDiarioFert!C33+ReDiarioFert!C34)))</f>
        <v>38.72135578802671</v>
      </c>
      <c r="G27">
        <f>$C$12*(ReDiarioFert!E32+ReDiarioFert!E33+ReDiarioFert!E34)</f>
        <v>24.171313670608697</v>
      </c>
      <c r="I27">
        <f>$C$12*(ReDiarioFert!G32+ReDiarioFert!G33+ReDiarioFert!G34)</f>
        <v>48.691886058899996</v>
      </c>
      <c r="K27">
        <f>$C$12*(ReDiarioFert!I32+ReDiarioFert!I33+ReDiarioFert!I34)</f>
        <v>31.251224837517615</v>
      </c>
      <c r="M27">
        <f>$C$12*(ReDiarioFert!K32+ReDiarioFert!K33+ReDiarioFert!K34)</f>
        <v>64.41687655952613</v>
      </c>
      <c r="O27">
        <f>$C$12*(ReDiarioFert!M32+ReDiarioFert!M33+ReDiarioFert!M34)</f>
        <v>0.0544132344</v>
      </c>
      <c r="S27">
        <f>((E27/100)*$G$53+(G27/100)*$G$54+(I27/100)*$G$55+(K27/100)*$G$56+(M27/100)*$G$57+(O27)*$G$58+(Q27*$G$59))</f>
        <v>1927.3260782884777</v>
      </c>
    </row>
    <row r="28">
      <c r="A28">
        <v>5</v>
      </c>
      <c r="B28">
        <f>B27+3</f>
        <v>29</v>
      </c>
      <c r="C28">
        <f>$I$11+B28</f>
        <v>39988</v>
      </c>
      <c r="E28">
        <f>IF(($C$12*(ReDiarioFert!C35+ReDiarioFert!C36))&lt;=0,"0",($C$12*(ReDiarioFert!C35+ReDiarioFert!C36)))</f>
        <v>36.90637148603179</v>
      </c>
      <c r="G28">
        <f>$C$12*(ReDiarioFert!E35+ReDiarioFert!E36)</f>
        <v>19.531698260869565</v>
      </c>
      <c r="I28">
        <f>$C$12*(ReDiarioFert!G35+ReDiarioFert!G36)</f>
        <v>45.02280499686666</v>
      </c>
      <c r="K28">
        <f>$C$12*(ReDiarioFert!I35+ReDiarioFert!I36)</f>
        <v>28.896350411869385</v>
      </c>
      <c r="M28">
        <f>$C$12*(ReDiarioFert!K35+ReDiarioFert!K36)</f>
        <v>59.56286984526587</v>
      </c>
      <c r="O28">
        <f>$C$12*(ReDiarioFert!M35+ReDiarioFert!M36)</f>
        <v>0.0362754896</v>
      </c>
      <c r="Q28">
        <f>$C$12*Main!$D$63</f>
        <v>29.68</v>
      </c>
      <c r="S28">
        <f>((E28/100)*$G$53+(G28/100)*$G$54+(I28/100)*$G$55+(K28/100)*$G$56+(M28/100)*$G$57+(O28)*$G$58+(Q28*$G$59))</f>
        <v>1838.5495334800037</v>
      </c>
    </row>
    <row r="29">
      <c r="B29">
        <f>B28+2</f>
        <v>31</v>
      </c>
      <c r="C29">
        <f>$I$11+B29</f>
        <v>39990</v>
      </c>
      <c r="E29">
        <f>IF(($C$12*(ReDiarioFert!C37+ReDiarioFert!C38))&lt;=0,"0",($C$12*(ReDiarioFert!C37+ReDiarioFert!C38)))</f>
        <v>36.90637148603179</v>
      </c>
      <c r="G29">
        <f>$C$12*(ReDiarioFert!E37+ReDiarioFert!E38)</f>
        <v>19.531698260869565</v>
      </c>
      <c r="I29">
        <f>$C$12*(ReDiarioFert!G37+ReDiarioFert!G38)</f>
        <v>45.02280499686666</v>
      </c>
      <c r="K29">
        <f>$C$12*(ReDiarioFert!I37+ReDiarioFert!I38)</f>
        <v>28.896350411869385</v>
      </c>
      <c r="M29">
        <f>$C$12*(ReDiarioFert!K37+ReDiarioFert!K38)</f>
        <v>59.56286984526587</v>
      </c>
      <c r="O29">
        <f>$C$12*(ReDiarioFert!M37+ReDiarioFert!M38)</f>
        <v>0.0362754896</v>
      </c>
      <c r="S29">
        <f>((E29/100)*$G$53+(G29/100)*$G$54+(I29/100)*$G$55+(K29/100)*$G$56+(M29/100)*$G$57+(O29)*$G$58+(Q29*$G$59))</f>
        <v>1755.4455334800036</v>
      </c>
    </row>
    <row r="30">
      <c r="B30">
        <f>B29+2</f>
        <v>33</v>
      </c>
      <c r="C30">
        <f>$I$11+B30</f>
        <v>39992</v>
      </c>
      <c r="E30">
        <f>IF(($C$12*(ReDiarioFert!C39+ReDiarioFert!C40+ReDiarioFert!C41))&lt;=0,"0",($C$12*(ReDiarioFert!C39+ReDiarioFert!C40+ReDiarioFert!C41)))</f>
        <v>55.35955722904769</v>
      </c>
      <c r="G30">
        <f>$C$12*(ReDiarioFert!E39+ReDiarioFert!E40+ReDiarioFert!E41)</f>
        <v>29.29754739130435</v>
      </c>
      <c r="I30">
        <f>$C$12*(ReDiarioFert!G39+ReDiarioFert!G40+ReDiarioFert!G41)</f>
        <v>67.5342074953</v>
      </c>
      <c r="K30">
        <f>$C$12*(ReDiarioFert!I39+ReDiarioFert!I40+ReDiarioFert!I41)</f>
        <v>43.344525617804074</v>
      </c>
      <c r="M30">
        <f>$C$12*(ReDiarioFert!K39+ReDiarioFert!K40+ReDiarioFert!K41)</f>
        <v>89.3443047678988</v>
      </c>
      <c r="O30">
        <f>$C$12*(ReDiarioFert!M39+ReDiarioFert!M40+ReDiarioFert!M41)</f>
        <v>0.0770859348</v>
      </c>
      <c r="S30">
        <f>((E30/100)*$G$53+(G30/100)*$G$54+(I30/100)*$G$55+(K30/100)*$G$56+(M30/100)*$G$57+(O30)*$G$58+(Q30*$G$59))</f>
        <v>2633.1683002200057</v>
      </c>
    </row>
    <row r="31">
      <c r="A31">
        <v>6</v>
      </c>
      <c r="B31">
        <f>B30+3</f>
        <v>36</v>
      </c>
      <c r="C31">
        <f>$I$11+B31</f>
        <v>39995</v>
      </c>
      <c r="E31">
        <f>IF(($C$12*(ReDiarioFert!C42+ReDiarioFert!C43))&lt;=0,"0",($C$12*(ReDiarioFert!C42+ReDiarioFert!C43)))</f>
        <v>29.688083359212392</v>
      </c>
      <c r="G31">
        <f>$C$12*(ReDiarioFert!E42+ReDiarioFert!E43)</f>
        <v>19.531698260869565</v>
      </c>
      <c r="I31">
        <f>$C$12*(ReDiarioFert!G42+ReDiarioFert!G43)</f>
        <v>38.26938424733667</v>
      </c>
      <c r="K31">
        <f>$C$12*(ReDiarioFert!I42+ReDiarioFert!I43)</f>
        <v>24.56189785008897</v>
      </c>
      <c r="M31">
        <f>$C$12*(ReDiarioFert!K42+ReDiarioFert!K43)</f>
        <v>50.62843936847599</v>
      </c>
      <c r="O31">
        <f>$C$12*(ReDiarioFert!M42+ReDiarioFert!M43)</f>
        <v>0.051390623200000006</v>
      </c>
      <c r="Q31">
        <f>$C$12*Main!$D$63</f>
        <v>29.68</v>
      </c>
      <c r="S31">
        <f>((E31/100)*$G$53+(G31/100)*$G$54+(I31/100)*$G$55+(K31/100)*$G$56+(M31/100)*$G$57+(O31)*$G$58+(Q31*$G$59))</f>
        <v>1599.4545997021235</v>
      </c>
    </row>
    <row r="32">
      <c r="B32">
        <f>B31+2</f>
        <v>38</v>
      </c>
      <c r="C32">
        <f>$I$11+B32</f>
        <v>39997</v>
      </c>
      <c r="E32">
        <f>IF(($C$12*(ReDiarioFert!C44+ReDiarioFert!C45))&lt;=0,"0",($C$12*(ReDiarioFert!C44+ReDiarioFert!C45)))</f>
        <v>29.688083359212392</v>
      </c>
      <c r="G32">
        <f>$C$12*(ReDiarioFert!E44+ReDiarioFert!E45)</f>
        <v>19.531698260869565</v>
      </c>
      <c r="I32">
        <f>$C$12*(ReDiarioFert!G44+ReDiarioFert!G45)</f>
        <v>38.26938424733667</v>
      </c>
      <c r="K32">
        <f>$C$12*(ReDiarioFert!I44+ReDiarioFert!I45)</f>
        <v>24.56189785008897</v>
      </c>
      <c r="M32">
        <f>$C$12*(ReDiarioFert!K44+ReDiarioFert!K45)</f>
        <v>50.62843936847599</v>
      </c>
      <c r="O32">
        <f>$C$12*(ReDiarioFert!M44+ReDiarioFert!M45)</f>
        <v>0.051390623200000006</v>
      </c>
      <c r="S32">
        <f>((E32/100)*$G$53+(G32/100)*$G$54+(I32/100)*$G$55+(K32/100)*$G$56+(M32/100)*$G$57+(O32)*$G$58+(Q32*$G$59))</f>
        <v>1516.3505997021234</v>
      </c>
    </row>
    <row r="33">
      <c r="B33">
        <f>B32+2</f>
        <v>40</v>
      </c>
      <c r="C33">
        <f>$I$11+B33</f>
        <v>39999</v>
      </c>
      <c r="E33">
        <f>IF(($C$12*(ReDiarioFert!C46+ReDiarioFert!C47+ReDiarioFert!C48))&lt;=0,"0",($C$12*(ReDiarioFert!C46+ReDiarioFert!C47+ReDiarioFert!C48)))</f>
        <v>44.53212503881859</v>
      </c>
      <c r="G33">
        <f>$C$12*(ReDiarioFert!E46+ReDiarioFert!E47+ReDiarioFert!E48)</f>
        <v>29.29754739130435</v>
      </c>
      <c r="I33">
        <f>$C$12*(ReDiarioFert!G46+ReDiarioFert!G47+ReDiarioFert!G48)</f>
        <v>57.40407637100499</v>
      </c>
      <c r="K33">
        <f>$C$12*(ReDiarioFert!I46+ReDiarioFert!I47+ReDiarioFert!I48)</f>
        <v>36.84284677513346</v>
      </c>
      <c r="M33">
        <f>$C$12*(ReDiarioFert!K46+ReDiarioFert!K47+ReDiarioFert!K48)</f>
        <v>75.94265905271398</v>
      </c>
      <c r="O33">
        <f>$C$12*(ReDiarioFert!M46+ReDiarioFert!M47+ReDiarioFert!M48)</f>
        <v>0.0770859348</v>
      </c>
      <c r="S33">
        <f>((E33/100)*$G$53+(G33/100)*$G$54+(I33/100)*$G$55+(K33/100)*$G$56+(M33/100)*$G$57+(O33)*$G$58+(Q33*$G$59))</f>
        <v>2274.525899553185</v>
      </c>
    </row>
    <row r="34">
      <c r="A34">
        <v>7</v>
      </c>
      <c r="B34">
        <f>B33+3</f>
        <v>43</v>
      </c>
      <c r="C34">
        <f>$I$11+B34</f>
        <v>40002</v>
      </c>
      <c r="E34">
        <f>IF(($C$12*(ReDiarioFert!C49+ReDiarioFert!C50))&lt;=0,"0",($C$12*(ReDiarioFert!C49+ReDiarioFert!C50)))</f>
        <v>25.722485179763854</v>
      </c>
      <c r="G34">
        <f>$C$12*(ReDiarioFert!E49+ReDiarioFert!E50)</f>
        <v>19.531698260869565</v>
      </c>
      <c r="I34">
        <f>$C$12*(ReDiarioFert!G49+ReDiarioFert!G50)</f>
        <v>34.417656396666665</v>
      </c>
      <c r="K34">
        <f>$C$12*(ReDiarioFert!I49+ReDiarioFert!I50)</f>
        <v>22.089797818297022</v>
      </c>
      <c r="M34">
        <f>$C$12*(ReDiarioFert!K49+ReDiarioFert!K50)</f>
        <v>45.532800288129714</v>
      </c>
      <c r="O34">
        <f>$C$12*(ReDiarioFert!M49+ReDiarioFert!M50)</f>
        <v>0.051390623200000006</v>
      </c>
      <c r="Q34">
        <f>$C$12*Main!$D$63</f>
        <v>29.68</v>
      </c>
      <c r="S34">
        <f>((E34/100)*$G$53+(G34/100)*$G$54+(I34/100)*$G$55+(K34/100)*$G$56+(M34/100)*$G$57+(O34)*$G$58+(Q34*$G$59))</f>
        <v>1464.0730331143313</v>
      </c>
    </row>
    <row r="35">
      <c r="B35">
        <f>B34+2</f>
        <v>45</v>
      </c>
      <c r="C35">
        <f>$I$11+B35</f>
        <v>40004</v>
      </c>
      <c r="E35">
        <f>IF(($C$12*(ReDiarioFert!C51+ReDiarioFert!C52))&lt;=0,"0",($C$12*(ReDiarioFert!C51+ReDiarioFert!C52)))</f>
        <v>25.722485179763854</v>
      </c>
      <c r="G35">
        <f>$C$12*(ReDiarioFert!E51+ReDiarioFert!E52)</f>
        <v>19.531698260869565</v>
      </c>
      <c r="I35">
        <f>$C$12*(ReDiarioFert!G51+ReDiarioFert!G52)</f>
        <v>34.417656396666665</v>
      </c>
      <c r="K35">
        <f>$C$12*(ReDiarioFert!I51+ReDiarioFert!I52)</f>
        <v>22.089797818297022</v>
      </c>
      <c r="M35">
        <f>$C$12*(ReDiarioFert!K51+ReDiarioFert!K52)</f>
        <v>45.532800288129714</v>
      </c>
      <c r="O35">
        <f>$C$12*(ReDiarioFert!M51+ReDiarioFert!M52)</f>
        <v>0.051390623200000006</v>
      </c>
      <c r="S35">
        <f>((E35/100)*$G$53+(G35/100)*$G$54+(I35/100)*$G$55+(K35/100)*$G$56+(M35/100)*$G$57+(O35)*$G$58+(Q35*$G$59))</f>
        <v>1380.9690331143313</v>
      </c>
    </row>
    <row r="36">
      <c r="B36">
        <f>B35+2</f>
        <v>47</v>
      </c>
      <c r="C36">
        <f>$I$11+B36</f>
        <v>40006</v>
      </c>
      <c r="E36">
        <f>IF(($C$12*(ReDiarioFert!C53+ReDiarioFert!C54+ReDiarioFert!C55))&lt;=0,"0",($C$12*(ReDiarioFert!C53+ReDiarioFert!C54+ReDiarioFert!C55)))</f>
        <v>38.58372776964578</v>
      </c>
      <c r="G36">
        <f>$C$12*(ReDiarioFert!E53+ReDiarioFert!E54+ReDiarioFert!E55)</f>
        <v>29.29754739130435</v>
      </c>
      <c r="I36">
        <f>$C$12*(ReDiarioFert!G53+ReDiarioFert!G54+ReDiarioFert!G55)</f>
        <v>51.626484595</v>
      </c>
      <c r="K36">
        <f>$C$12*(ReDiarioFert!I53+ReDiarioFert!I54+ReDiarioFert!I55)</f>
        <v>33.13469672744553</v>
      </c>
      <c r="M36">
        <f>$C$12*(ReDiarioFert!K53+ReDiarioFert!K54+ReDiarioFert!K55)</f>
        <v>68.29920043219457</v>
      </c>
      <c r="O36">
        <f>$C$12*(ReDiarioFert!M53+ReDiarioFert!M54+ReDiarioFert!M55)</f>
        <v>0.0952236796</v>
      </c>
      <c r="S36">
        <f>((E36/100)*$G$53+(G36/100)*$G$54+(I36/100)*$G$55+(K36/100)*$G$56+(M36/100)*$G$57+(O36)*$G$58+(Q36*$G$59))</f>
        <v>2071.453549671497</v>
      </c>
    </row>
    <row r="37">
      <c r="A37">
        <v>8</v>
      </c>
      <c r="B37">
        <f>B36+3</f>
        <v>50</v>
      </c>
      <c r="C37">
        <f>$I$11+B37</f>
        <v>40009</v>
      </c>
      <c r="E37">
        <f>IF(($C$12*(ReDiarioFert!C56+ReDiarioFert!C57))&lt;=0,"0",($C$12*(ReDiarioFert!C56+ReDiarioFert!C57)))</f>
        <v>25.722485179763854</v>
      </c>
      <c r="G37">
        <f>$C$12*(ReDiarioFert!E56+ReDiarioFert!E57)</f>
        <v>19.531698260869565</v>
      </c>
      <c r="I37">
        <f>$C$12*(ReDiarioFert!G56+ReDiarioFert!G57)</f>
        <v>34.417656396666665</v>
      </c>
      <c r="K37">
        <f>$C$12*(ReDiarioFert!I56+ReDiarioFert!I57)</f>
        <v>22.089797818297022</v>
      </c>
      <c r="M37">
        <f>$C$12*(ReDiarioFert!K56+ReDiarioFert!K57)</f>
        <v>45.532800288129714</v>
      </c>
      <c r="O37">
        <f>$C$12*(ReDiarioFert!M56+ReDiarioFert!M57)</f>
        <v>0.069528368</v>
      </c>
      <c r="Q37">
        <f>$C$12*Main!$D$63</f>
        <v>29.68</v>
      </c>
      <c r="S37">
        <f>((E37/100)*$G$53+(G37/100)*$G$54+(I37/100)*$G$55+(K37/100)*$G$56+(M37/100)*$G$57+(O37)*$G$58+(Q37*$G$59))</f>
        <v>1464.0730331143313</v>
      </c>
    </row>
    <row r="38">
      <c r="B38">
        <f>B37+2</f>
        <v>52</v>
      </c>
      <c r="C38">
        <f>$I$11+B38</f>
        <v>40011</v>
      </c>
      <c r="E38">
        <f>IF(($C$12*(ReDiarioFert!C58+ReDiarioFert!C59))&lt;=0,"0",($C$12*(ReDiarioFert!C58+ReDiarioFert!C59)))</f>
        <v>25.722485179763854</v>
      </c>
      <c r="G38">
        <f>$C$12*(ReDiarioFert!E58+ReDiarioFert!E59)</f>
        <v>19.531698260869565</v>
      </c>
      <c r="I38">
        <f>$C$12*(ReDiarioFert!G58+ReDiarioFert!G59)</f>
        <v>34.417656396666665</v>
      </c>
      <c r="K38">
        <f>$C$12*(ReDiarioFert!I58+ReDiarioFert!I59)</f>
        <v>22.089797818297022</v>
      </c>
      <c r="M38">
        <f>$C$12*(ReDiarioFert!K58+ReDiarioFert!K59)</f>
        <v>45.532800288129714</v>
      </c>
      <c r="O38">
        <f>$C$12*(ReDiarioFert!M58+ReDiarioFert!M59)</f>
        <v>0.069528368</v>
      </c>
      <c r="S38">
        <f>((E38/100)*$G$53+(G38/100)*$G$54+(I38/100)*$G$55+(K38/100)*$G$56+(M38/100)*$G$57+(O38)*$G$58+(Q38*$G$59))</f>
        <v>1380.9690331143313</v>
      </c>
    </row>
    <row r="39">
      <c r="B39">
        <f>B38+2</f>
        <v>54</v>
      </c>
      <c r="C39">
        <f>$I$11+B39</f>
        <v>40013</v>
      </c>
      <c r="E39">
        <f>IF(($C$12*(ReDiarioFert!C60+ReDiarioFert!C61+ReDiarioFert!C62))&lt;=0,"0",($C$12*(ReDiarioFert!C60+ReDiarioFert!C61+ReDiarioFert!C62)))</f>
        <v>24.588072415700086</v>
      </c>
      <c r="G39">
        <f>$C$12*(ReDiarioFert!E60+ReDiarioFert!E61+ReDiarioFert!E62)</f>
        <v>29.29754739130435</v>
      </c>
      <c r="I39">
        <f>$C$12*(ReDiarioFert!G60+ReDiarioFert!G61+ReDiarioFert!G62)</f>
        <v>51.626484595</v>
      </c>
      <c r="K39">
        <f>$C$12*(ReDiarioFert!I60+ReDiarioFert!I61+ReDiarioFert!I62)</f>
        <v>33.13469672744553</v>
      </c>
      <c r="M39">
        <f>$C$12*(ReDiarioFert!K60+ReDiarioFert!K61+ReDiarioFert!K62)</f>
        <v>68.29920043219457</v>
      </c>
      <c r="O39">
        <f>$C$12*(ReDiarioFert!M60+ReDiarioFert!M61+ReDiarioFert!M62)</f>
        <v>0.10429255199999998</v>
      </c>
      <c r="S39">
        <f>((E39/100)*$G$53+(G39/100)*$G$54+(I39/100)*$G$55+(K39/100)*$G$56+(M39/100)*$G$57+(O39)*$G$58+(Q39*$G$59))</f>
        <v>1980.4817898708498</v>
      </c>
    </row>
    <row r="40">
      <c r="A40">
        <v>9</v>
      </c>
      <c r="B40">
        <f>B39+3</f>
        <v>57</v>
      </c>
      <c r="C40">
        <f>$I$11+B40</f>
        <v>40016</v>
      </c>
      <c r="E40">
        <f>IF(($C$12*(ReDiarioFert!C63+ReDiarioFert!C64))&lt;=0,"0",($C$12*(ReDiarioFert!C63+ReDiarioFert!C64)))</f>
        <v>11.726829825818161</v>
      </c>
      <c r="G40">
        <f>$C$12*(ReDiarioFert!E63+ReDiarioFert!E64)</f>
        <v>19.531698260869565</v>
      </c>
      <c r="I40">
        <f>$C$12*(ReDiarioFert!G63+ReDiarioFert!G64)</f>
        <v>34.417656396666665</v>
      </c>
      <c r="K40">
        <f>$C$12*(ReDiarioFert!I63+ReDiarioFert!I64)</f>
        <v>22.089797818297022</v>
      </c>
      <c r="M40">
        <f>$C$12*(ReDiarioFert!K63+ReDiarioFert!K64)</f>
        <v>45.532800288129714</v>
      </c>
      <c r="O40">
        <f>$C$12*(ReDiarioFert!M63+ReDiarioFert!M64)</f>
        <v>0.069528368</v>
      </c>
      <c r="Q40">
        <f>$C$12*Main!$D$63</f>
        <v>29.68</v>
      </c>
      <c r="S40">
        <f>((E40/100)*$G$53+(G40/100)*$G$54+(I40/100)*$G$55+(K40/100)*$G$56+(M40/100)*$G$57+(O40)*$G$58+(Q40*$G$59))</f>
        <v>1373.1012733136843</v>
      </c>
    </row>
    <row r="41">
      <c r="B41">
        <f>B40+2</f>
        <v>59</v>
      </c>
      <c r="C41">
        <f>$I$11+B41</f>
        <v>40018</v>
      </c>
      <c r="E41">
        <f>IF(($C$12*(ReDiarioFert!C65+ReDiarioFert!C66))&lt;=0,"0",($C$12*(ReDiarioFert!C65+ReDiarioFert!C66)))</f>
        <v>11.726829825818161</v>
      </c>
      <c r="G41">
        <f>$C$12*(ReDiarioFert!E65+ReDiarioFert!E66)</f>
        <v>19.531698260869565</v>
      </c>
      <c r="I41">
        <f>$C$12*(ReDiarioFert!G65+ReDiarioFert!G66)</f>
        <v>34.417656396666665</v>
      </c>
      <c r="K41">
        <f>$C$12*(ReDiarioFert!I65+ReDiarioFert!I66)</f>
        <v>22.089797818297022</v>
      </c>
      <c r="M41">
        <f>$C$12*(ReDiarioFert!K65+ReDiarioFert!K66)</f>
        <v>45.532800288129714</v>
      </c>
      <c r="O41">
        <f>$C$12*(ReDiarioFert!M65+ReDiarioFert!M66)</f>
        <v>0.069528368</v>
      </c>
      <c r="S41">
        <f>((E41/100)*$G$53+(G41/100)*$G$54+(I41/100)*$G$55+(K41/100)*$G$56+(M41/100)*$G$57+(O41)*$G$58+(Q41*$G$59))</f>
        <v>1289.9972733136842</v>
      </c>
    </row>
    <row r="42">
      <c r="B42">
        <f>B41+2</f>
        <v>61</v>
      </c>
      <c r="C42">
        <f>$I$11+B42</f>
        <v>40020</v>
      </c>
      <c r="E42">
        <f>IF(($C$12*(ReDiarioFert!C67+ReDiarioFert!C68+ReDiarioFert!C69))&lt;=0,"0",($C$12*(ReDiarioFert!C67+ReDiarioFert!C68+ReDiarioFert!C69)))</f>
        <v>17.59024473872724</v>
      </c>
      <c r="G42">
        <f>$C$12*(ReDiarioFert!E67+ReDiarioFert!E68+ReDiarioFert!E69)</f>
        <v>29.29754739130435</v>
      </c>
      <c r="I42">
        <f>$C$12*(ReDiarioFert!G67+ReDiarioFert!G68+ReDiarioFert!G69)</f>
        <v>51.626484595</v>
      </c>
      <c r="K42">
        <f>$C$12*(ReDiarioFert!I67+ReDiarioFert!I68+ReDiarioFert!I69)</f>
        <v>33.13469672744553</v>
      </c>
      <c r="M42">
        <f>$C$12*(ReDiarioFert!K67+ReDiarioFert!K68+ReDiarioFert!K69)</f>
        <v>68.29920043219457</v>
      </c>
      <c r="O42">
        <f>$C$12*(ReDiarioFert!M67+ReDiarioFert!M68+ReDiarioFert!M69)</f>
        <v>0.11336157279999999</v>
      </c>
      <c r="S42">
        <f>((E42/100)*$G$53+(G42/100)*$G$54+(I42/100)*$G$55+(K42/100)*$G$56+(M42/100)*$G$57+(O42)*$G$58+(Q42*$G$59))</f>
        <v>1934.9959099705263</v>
      </c>
    </row>
    <row r="43">
      <c r="A43">
        <v>10</v>
      </c>
      <c r="B43">
        <f>B42+3</f>
        <v>64</v>
      </c>
      <c r="C43">
        <f>$I$11+B43</f>
        <v>40023</v>
      </c>
      <c r="E43">
        <f>IF(($C$12*(ReDiarioFert!C70+ReDiarioFert!C71))&lt;=0,"0",($C$12*(ReDiarioFert!C70+ReDiarioFert!C71)))</f>
        <v>5.051398617000029</v>
      </c>
      <c r="G43">
        <f>$C$12*(ReDiarioFert!E70+ReDiarioFert!E71)</f>
        <v>19.531698260869565</v>
      </c>
      <c r="I43">
        <f>$C$12*(ReDiarioFert!G70+ReDiarioFert!G71)</f>
        <v>34.417656396666665</v>
      </c>
      <c r="K43">
        <f>$C$12*(ReDiarioFert!I70+ReDiarioFert!I71)</f>
        <v>22.089797818297022</v>
      </c>
      <c r="M43">
        <f>$C$12*(ReDiarioFert!K70+ReDiarioFert!K71)</f>
        <v>45.532800288129714</v>
      </c>
      <c r="O43">
        <f>$C$12*(ReDiarioFert!M70+ReDiarioFert!M71)</f>
        <v>0.0876664096</v>
      </c>
      <c r="Q43">
        <f>$C$12*Main!$D$63</f>
        <v>29.68</v>
      </c>
      <c r="S43">
        <f>((E43/100)*$G$53+(G43/100)*$G$54+(I43/100)*$G$55+(K43/100)*$G$56+(M43/100)*$G$57+(O43)*$G$58+(Q43*$G$59))</f>
        <v>1329.7109704563666</v>
      </c>
    </row>
    <row r="44">
      <c r="B44">
        <f>B43+2</f>
        <v>66</v>
      </c>
      <c r="C44">
        <f>$I$11+B44</f>
        <v>40025</v>
      </c>
      <c r="E44">
        <f>IF(($C$12*(ReDiarioFert!C72+ReDiarioFert!C73))&lt;=0,"0",($C$12*(ReDiarioFert!C72+ReDiarioFert!C73)))</f>
        <v>5.051398617000029</v>
      </c>
      <c r="G44">
        <f>$C$12*(ReDiarioFert!E72+ReDiarioFert!E73)</f>
        <v>19.531698260869565</v>
      </c>
      <c r="I44">
        <f>$C$12*(ReDiarioFert!G72+ReDiarioFert!G73)</f>
        <v>34.417656396666665</v>
      </c>
      <c r="K44">
        <f>$C$12*(ReDiarioFert!I72+ReDiarioFert!I73)</f>
        <v>22.089797818297022</v>
      </c>
      <c r="M44">
        <f>$C$12*(ReDiarioFert!K72+ReDiarioFert!K73)</f>
        <v>45.532800288129714</v>
      </c>
      <c r="O44">
        <f>$C$12*(ReDiarioFert!M72+ReDiarioFert!M73)</f>
        <v>0.0876664096</v>
      </c>
      <c r="S44">
        <f>((E44/100)*$G$53+(G44/100)*$G$54+(I44/100)*$G$55+(K44/100)*$G$56+(M44/100)*$G$57+(O44)*$G$58+(Q44*$G$59))</f>
        <v>1246.6069704563665</v>
      </c>
    </row>
    <row r="45">
      <c r="B45">
        <f>B44+2</f>
        <v>68</v>
      </c>
      <c r="C45">
        <f>$I$11+B45</f>
        <v>40027</v>
      </c>
      <c r="E45">
        <f>IF(($C$12*(ReDiarioFert!C74+ReDiarioFert!C75+ReDiarioFert!C76))&lt;=0,"0",($C$12*(ReDiarioFert!C74+ReDiarioFert!C75+ReDiarioFert!C76)))</f>
        <v>7.577097925500044</v>
      </c>
      <c r="G45">
        <f>$C$12*(ReDiarioFert!E74+ReDiarioFert!E75+ReDiarioFert!E76)</f>
        <v>29.29754739130435</v>
      </c>
      <c r="I45">
        <f>$C$12*(ReDiarioFert!G74+ReDiarioFert!G75+ReDiarioFert!G76)</f>
        <v>51.626484595</v>
      </c>
      <c r="K45">
        <f>$C$12*(ReDiarioFert!I74+ReDiarioFert!I75+ReDiarioFert!I76)</f>
        <v>33.13469672744553</v>
      </c>
      <c r="M45">
        <f>$C$12*(ReDiarioFert!K74+ReDiarioFert!K75+ReDiarioFert!K76)</f>
        <v>68.29920043219457</v>
      </c>
      <c r="O45">
        <f>$C$12*(ReDiarioFert!M74+ReDiarioFert!M75+ReDiarioFert!M76)</f>
        <v>0.1314996144</v>
      </c>
      <c r="S45">
        <f>((E45/100)*$G$53+(G45/100)*$G$54+(I45/100)*$G$55+(K45/100)*$G$56+(M45/100)*$G$57+(O45)*$G$58+(Q45*$G$59))</f>
        <v>1869.9104556845496</v>
      </c>
    </row>
    <row r="46">
      <c r="A46">
        <v>11</v>
      </c>
      <c r="B46">
        <f>B45+3</f>
        <v>71</v>
      </c>
      <c r="C46">
        <f>$I$11+B46</f>
        <v>40030</v>
      </c>
      <c r="E46">
        <f>IF(($C$12*(ReDiarioFert!C77+ReDiarioFert!C78))&lt;=0,"0",($C$12*(ReDiarioFert!C77+ReDiarioFert!C78)))</f>
        <v>5.051398617000029</v>
      </c>
      <c r="G46">
        <f>$C$12*(ReDiarioFert!E77+ReDiarioFert!E78)</f>
        <v>19.531698260869565</v>
      </c>
      <c r="I46">
        <f>$C$12*(ReDiarioFert!G77+ReDiarioFert!G78)</f>
        <v>34.417656396666665</v>
      </c>
      <c r="K46">
        <f>$C$12*(ReDiarioFert!I77+ReDiarioFert!I78)</f>
        <v>22.089797818297022</v>
      </c>
      <c r="M46">
        <f>$C$12*(ReDiarioFert!K77+ReDiarioFert!K78)</f>
        <v>45.532800288129714</v>
      </c>
      <c r="O46">
        <f>$C$12*(ReDiarioFert!M77+ReDiarioFert!M78)</f>
        <v>0.0876664096</v>
      </c>
      <c r="Q46">
        <f>$C$12*Main!$D$63</f>
        <v>29.68</v>
      </c>
      <c r="S46">
        <f>((E46/100)*$G$53+(G46/100)*$G$54+(I46/100)*$G$55+(K46/100)*$G$56+(M46/100)*$G$57+(O46)*$G$58+(Q46*$G$59))</f>
        <v>1329.7109704563666</v>
      </c>
    </row>
    <row r="47">
      <c r="B47">
        <f>B46+2</f>
        <v>73</v>
      </c>
      <c r="C47">
        <f>$I$11+B47</f>
        <v>40032</v>
      </c>
      <c r="E47">
        <f>IF(($C$12*(ReDiarioFert!C79+ReDiarioFert!C80))&lt;=0,"0",($C$12*(ReDiarioFert!C79+ReDiarioFert!C80)))</f>
        <v>5.051398617000029</v>
      </c>
      <c r="G47">
        <f>$C$12*(ReDiarioFert!E79+ReDiarioFert!E80)</f>
        <v>19.531698260869565</v>
      </c>
      <c r="I47">
        <f>$C$12*(ReDiarioFert!G79+ReDiarioFert!G80)</f>
        <v>34.417656396666665</v>
      </c>
      <c r="K47">
        <f>$C$12*(ReDiarioFert!I79+ReDiarioFert!I80)</f>
        <v>22.089797818297022</v>
      </c>
      <c r="M47">
        <f>$C$12*(ReDiarioFert!K79+ReDiarioFert!K80)</f>
        <v>45.532800288129714</v>
      </c>
      <c r="O47">
        <f>$C$12*(ReDiarioFert!M79+ReDiarioFert!M80)</f>
        <v>0.0876664096</v>
      </c>
      <c r="S47">
        <f>((E47/100)*$G$53+(G47/100)*$G$54+(I47/100)*$G$55+(K47/100)*$G$56+(M47/100)*$G$57+(O47)*$G$58+(Q47*$G$59))</f>
        <v>1246.6069704563665</v>
      </c>
    </row>
    <row r="48">
      <c r="B48">
        <f>B47+2</f>
        <v>75</v>
      </c>
      <c r="C48">
        <f>$I$11+B48</f>
        <v>40034</v>
      </c>
      <c r="E48">
        <f>IF(($C$12*(ReDiarioFert!C81+ReDiarioFert!C82+ReDiarioFert!C83))&lt;=0,"0",($C$12*(ReDiarioFert!C81+ReDiarioFert!C82+ReDiarioFert!C83)))</f>
        <v>7.577097925500044</v>
      </c>
      <c r="G48">
        <f>$C$12*(ReDiarioFert!E81+ReDiarioFert!E82+ReDiarioFert!E83)</f>
        <v>29.29754739130435</v>
      </c>
      <c r="I48">
        <f>$C$12*(ReDiarioFert!G81+ReDiarioFert!G82+ReDiarioFert!G83)</f>
        <v>51.626484595</v>
      </c>
      <c r="K48">
        <f>$C$12*(ReDiarioFert!I81+ReDiarioFert!I82+ReDiarioFert!I83)</f>
        <v>33.13469672744553</v>
      </c>
      <c r="M48">
        <f>$C$12*(ReDiarioFert!K81+ReDiarioFert!K82+ReDiarioFert!K83)</f>
        <v>68.29920043219457</v>
      </c>
      <c r="O48">
        <f>$C$12*(ReDiarioFert!M81+ReDiarioFert!M82+ReDiarioFert!M83)</f>
        <v>0.1314996144</v>
      </c>
      <c r="S48">
        <f>((E48/100)*$G$53+(G48/100)*$G$54+(I48/100)*$G$55+(K48/100)*$G$56+(M48/100)*$G$57+(O48)*$G$58+(Q48*$G$59))</f>
        <v>1869.9104556845496</v>
      </c>
    </row>
    <row r="49">
      <c r="C49" t="str">
        <v>Total</v>
      </c>
      <c r="E49">
        <f>SUM(E16:E48)</f>
        <v>796.5125776203434</v>
      </c>
      <c r="G49">
        <f>SUM(G16:G48)</f>
        <v>644.4620563061741</v>
      </c>
      <c r="I49">
        <f>SUM(I16:I48)</f>
        <v>1283.831875864078</v>
      </c>
      <c r="K49">
        <f>SUM(K16:K48)</f>
        <v>823.9836624456833</v>
      </c>
      <c r="M49">
        <f>SUM(M16:M48)</f>
        <v>1698.4439536945197</v>
      </c>
      <c r="O49">
        <f>SUM(O16:O48)</f>
        <v>2.0072545415999996</v>
      </c>
      <c r="Q49">
        <f>SUM(Q16:Q48)</f>
        <v>326.48</v>
      </c>
      <c r="S49">
        <f>SUM(S16:S48)</f>
        <v>50357.87718244428</v>
      </c>
    </row>
    <row r="50">
      <c r="D50" t="str">
        <v>OJO cualquier cultivo que no se termine la cosecha en el ultimo día del calendario solo seguir repitiendo la ultima aplicación de fertilizante.</v>
      </c>
    </row>
    <row r="51" ht="39.75" customHeight="1">
      <c r="B51" t="str">
        <v>Producto</v>
      </c>
      <c r="F51" t="str">
        <v>Lbs/Ha</v>
      </c>
      <c r="G51" t="str">
        <v>Costo por qq</v>
      </c>
    </row>
    <row r="52" ht="24" customHeight="1">
      <c r="G52" t="str">
        <f>Main!$E$25</f>
        <v>Lempiras</v>
      </c>
    </row>
    <row r="53">
      <c r="B53" t="str">
        <f>Main!D42</f>
        <v>Urea</v>
      </c>
      <c r="F53">
        <f>E49/C12</f>
        <v>536.7335428708514</v>
      </c>
      <c r="G53">
        <f>Main!D43</f>
        <v>650</v>
      </c>
    </row>
    <row r="54">
      <c r="B54" t="str">
        <f>Main!D32</f>
        <v>DAP 18-46-0</v>
      </c>
      <c r="F54">
        <f>G49/C12</f>
        <v>434.2736228478262</v>
      </c>
      <c r="G54">
        <f>Main!D33</f>
        <v>1200</v>
      </c>
    </row>
    <row r="55">
      <c r="B55" t="str">
        <f>Main!D37</f>
        <v>Kcl Soluble</v>
      </c>
      <c r="F55">
        <f>I49/C12</f>
        <v>865.1158193154165</v>
      </c>
      <c r="G55">
        <f>Main!D38</f>
        <v>780</v>
      </c>
    </row>
    <row r="56">
      <c r="B56" t="str">
        <f>Main!D47</f>
        <v>Sulfato de Magnesio</v>
      </c>
      <c r="F56">
        <f>K49/C12</f>
        <v>555.2450555563904</v>
      </c>
      <c r="G56">
        <f>Main!D48</f>
        <v>951</v>
      </c>
    </row>
    <row r="57">
      <c r="B57" t="str">
        <f>Main!D52</f>
        <v>Nitrato de Calcio</v>
      </c>
      <c r="F57">
        <f>M49/C12</f>
        <v>1144.5040119235307</v>
      </c>
      <c r="G57">
        <f>Main!D53</f>
        <v>1100</v>
      </c>
    </row>
    <row r="58">
      <c r="B58" t="str">
        <f>Main!D57</f>
        <v>Sin Boro</v>
      </c>
      <c r="F58">
        <f>O49/C12</f>
        <v>1.3525973999999998</v>
      </c>
      <c r="G58">
        <f>Main!D58</f>
        <v>0</v>
      </c>
      <c r="I58" t="str">
        <v xml:space="preserve">Preparado y Autorizado Por </v>
      </c>
    </row>
    <row r="59" ht="18" customHeight="1">
      <c r="B59" t="str">
        <f>Main!D61</f>
        <v>Melaza</v>
      </c>
      <c r="F59">
        <f>Q49/C12</f>
        <v>220.00000000000003</v>
      </c>
      <c r="G59">
        <f>Main!D62</f>
        <v>2.8</v>
      </c>
      <c r="I59" t="str">
        <v>MSc Ricardo D. Lardizábal</v>
      </c>
    </row>
    <row r="60" ht="17.4" customHeight="1">
      <c r="B60" t="str">
        <v>NOTA: El Nitrato de Calcio se debe de diluir en un barril aparte para inyectarse al sistema</v>
      </c>
    </row>
    <row r="63">
      <c r="B63" t="str">
        <v>Abreviaciones usadas</v>
      </c>
    </row>
    <row r="64">
      <c r="B64" t="str">
        <v>Mz.-Manzanas, Ha-Hectáreas, Lbs-Libras, Lts-Litros y DDT-Días después de Trasplante</v>
      </c>
    </row>
  </sheetData>
  <sheetProtection sheet="1"/>
  <mergeCells count="53">
    <mergeCell ref="G58:H58"/>
    <mergeCell ref="I59:Q59"/>
    <mergeCell ref="I9:M9"/>
    <mergeCell ref="I10:M10"/>
    <mergeCell ref="I11:M11"/>
    <mergeCell ref="I12:M12"/>
    <mergeCell ref="I58:Q58"/>
    <mergeCell ref="G59:H59"/>
    <mergeCell ref="F12:H12"/>
    <mergeCell ref="G14:H14"/>
    <mergeCell ref="G53:H53"/>
    <mergeCell ref="G54:H54"/>
    <mergeCell ref="I14:J14"/>
    <mergeCell ref="K14:L14"/>
    <mergeCell ref="G51:H51"/>
    <mergeCell ref="G52:H52"/>
    <mergeCell ref="B14:B15"/>
    <mergeCell ref="C14:D14"/>
    <mergeCell ref="E14:F14"/>
    <mergeCell ref="S14:S15"/>
    <mergeCell ref="M14:N14"/>
    <mergeCell ref="Q14:R14"/>
    <mergeCell ref="O14:P14"/>
    <mergeCell ref="A10:B10"/>
    <mergeCell ref="C10:E10"/>
    <mergeCell ref="C11:E11"/>
    <mergeCell ref="A11:B11"/>
    <mergeCell ref="B56:E56"/>
    <mergeCell ref="B51:E51"/>
    <mergeCell ref="B53:E53"/>
    <mergeCell ref="B54:E54"/>
    <mergeCell ref="B55:E55"/>
    <mergeCell ref="A14:A15"/>
    <mergeCell ref="B57:E57"/>
    <mergeCell ref="B60:I61"/>
    <mergeCell ref="B58:E58"/>
    <mergeCell ref="F9:H9"/>
    <mergeCell ref="G57:H57"/>
    <mergeCell ref="A12:B12"/>
    <mergeCell ref="C12:E12"/>
    <mergeCell ref="G56:H56"/>
    <mergeCell ref="A9:B9"/>
    <mergeCell ref="G55:H55"/>
    <mergeCell ref="B64:S64"/>
    <mergeCell ref="P2:S3"/>
    <mergeCell ref="A8:M8"/>
    <mergeCell ref="P5:S7"/>
    <mergeCell ref="P9:S12"/>
    <mergeCell ref="F10:H10"/>
    <mergeCell ref="F11:H11"/>
    <mergeCell ref="C9:E9"/>
    <mergeCell ref="B63:C63"/>
    <mergeCell ref="B59:E59"/>
  </mergeCells>
  <pageMargins left="0.25" right="0.25" top="0.39" bottom="0.5" header="0.27" footer="0.25"/>
  <ignoredErrors>
    <ignoredError numberStoredAsText="1" sqref="A1:V73"/>
  </ignoredErrors>
  <legacyDrawing r:id="rId1"/>
</worksheet>
</file>

<file path=xl/worksheets/sheet5.xml><?xml version="1.0" encoding="utf-8"?>
<worksheet xmlns="http://schemas.openxmlformats.org/spreadsheetml/2006/main" xmlns:r="http://schemas.openxmlformats.org/officeDocument/2006/relationships">
  <dimension ref="A1:V62"/>
  <sheetViews>
    <sheetView workbookViewId="0" rightToLeft="0"/>
  </sheetViews>
  <sheetData>
    <row r="1" ht="56.4" customHeight="1"/>
    <row r="2" ht="32.7" customHeight="1">
      <c r="P2" t="str">
        <v>Calendario de Fertilización para Goteo 2 Veces Por Semana</v>
      </c>
    </row>
    <row r="3" ht="32.7" customHeight="1"/>
    <row r="5">
      <c r="P5" t="str">
        <f>Main!$E$21</f>
        <v>Maíz Dulce</v>
      </c>
    </row>
    <row r="6" ht="29.25" customHeight="1"/>
    <row r="7" ht="26.25" customHeight="1"/>
    <row r="8" ht="25.95" customHeight="1">
      <c r="A8" t="str">
        <f>Main!$C$13</f>
        <v>"Sin Fertilización Base"</v>
      </c>
    </row>
    <row r="9" ht="20.1" customHeight="1">
      <c r="A9" t="str">
        <v>Productor</v>
      </c>
      <c r="C9" t="str">
        <f>Main!E17</f>
        <v>Hacienda Las Flores</v>
      </c>
      <c r="G9" t="str">
        <v>Parcela</v>
      </c>
      <c r="J9" t="str">
        <f>Main!E19</f>
        <v>Lote VI-B (f)</v>
      </c>
      <c r="P9" t="str">
        <f>Main!$G$21</f>
        <v>Golden Sweeter 93</v>
      </c>
    </row>
    <row r="10" ht="20.1" customHeight="1">
      <c r="A10" t="str">
        <v>Zona</v>
      </c>
      <c r="C10" t="str">
        <f>Main!E18</f>
        <v>Cantarranas</v>
      </c>
      <c r="G10" t="str">
        <v>Técnico</v>
      </c>
      <c r="J10" t="str">
        <f>Main!E20</f>
        <v>Jose de la Cruz Lainez</v>
      </c>
    </row>
    <row r="11" ht="20.1" customHeight="1">
      <c r="A11" t="str">
        <v>Área Mz.</v>
      </c>
      <c r="C11">
        <f>Main!E22</f>
        <v>2.12</v>
      </c>
      <c r="G11" t="str">
        <v>Fecha:</v>
      </c>
      <c r="J11">
        <f>Main!E23</f>
        <v>39959</v>
      </c>
    </row>
    <row r="12" ht="20.1" customHeight="1">
      <c r="A12" t="str">
        <v>Área Ha.</v>
      </c>
      <c r="C12">
        <f>Main!I22</f>
        <v>1.484</v>
      </c>
      <c r="G12" t="str">
        <v>Fecha de Cosecha:</v>
      </c>
      <c r="J12">
        <f>J11+Main!E24</f>
        <v>40032</v>
      </c>
    </row>
    <row r="13" ht="19.5" customHeight="1"/>
    <row r="14" ht="28.5" customHeight="1">
      <c r="A14" t="str">
        <v>Semana</v>
      </c>
      <c r="B14" t="str">
        <v>DDT</v>
      </c>
      <c r="C14" t="str">
        <v>FECHA</v>
      </c>
      <c r="D14" t="str">
        <v>Seleccioné su opción</v>
      </c>
      <c r="E14" t="str">
        <f>Main!$D$42</f>
        <v>Urea</v>
      </c>
      <c r="G14" t="str">
        <f>Main!$D$32</f>
        <v>DAP 18-46-0</v>
      </c>
      <c r="I14" t="str">
        <f>Main!$D$37</f>
        <v>Kcl Soluble</v>
      </c>
      <c r="K14" t="str">
        <f>Main!$D$47</f>
        <v>Sulfato de Magnesio</v>
      </c>
      <c r="M14" t="str">
        <f>Main!$D$52</f>
        <v>Nitrato de Calcio</v>
      </c>
      <c r="O14" t="str">
        <f>Main!$D$57</f>
        <v>Sin Boro</v>
      </c>
      <c r="Q14" t="str">
        <f>Main!$D$61</f>
        <v>Melaza</v>
      </c>
      <c r="R14" t="str">
        <v>Preventivos</v>
      </c>
      <c r="T14" t="str">
        <v>Costo / Aplicación</v>
      </c>
    </row>
    <row r="15">
      <c r="D15" t="str">
        <v>Preventivos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Dosis</v>
      </c>
      <c r="S15" t="str">
        <v>Unidades</v>
      </c>
    </row>
    <row r="16" ht="18.75" customHeight="1">
      <c r="A16">
        <v>1</v>
      </c>
      <c r="B16">
        <v>3</v>
      </c>
      <c r="C16">
        <f>$J$11+B16</f>
        <v>39962</v>
      </c>
      <c r="E16">
        <f>IF(((SUM(ReDiarioFert!C7:C13)/2)*$C$12)&lt;=0,"0",(((SUM(ReDiarioFert!C7:C13)/2)*$C$12)))</f>
        <v>25.58409077822666</v>
      </c>
      <c r="G16">
        <f>IF(((SUM(ReDiarioFert!E7:E13)/2)*$C$12)&lt;=0,"0",(((SUM(ReDiarioFert!E7:E13)/2)*$C$12)))</f>
        <v>12.058870506260869</v>
      </c>
      <c r="I16">
        <f>IF(((SUM(ReDiarioFert!G7:G13)/2)*$C$12)&lt;=0,"0",(((SUM(ReDiarioFert!G7:G13)/2)*$C$12)))</f>
        <v>30.624922920550002</v>
      </c>
      <c r="K16">
        <f>IF(((SUM(ReDiarioFert!I7:I13)/2)*$C$12)&lt;=0,"0",(((SUM(ReDiarioFert!I7:I13)/2)*$C$12)))</f>
        <v>19.6555613118794</v>
      </c>
      <c r="M16">
        <f>IF(((SUM(ReDiarioFert!K7:K13)/2)*$C$12)&lt;=0,"0",(((SUM(ReDiarioFert!K7:K13)/2)*$C$12)))</f>
        <v>40.51520775004948</v>
      </c>
      <c r="O16">
        <f>IF(((SUM(ReDiarioFert!M7:M13)/2)*$C$12)&lt;=0,"0",(((SUM(ReDiarioFert!M7:M13)/2)*$C$12)))</f>
        <v>0.0264509644</v>
      </c>
      <c r="Q16">
        <f>$C$12*Main!$D$63</f>
        <v>29.68</v>
      </c>
      <c r="R16">
        <f>VLOOKUP(D16,Fertilizantes!$A$49:$E$124,2,FALSE)*$C$12</f>
        <v>0</v>
      </c>
      <c r="S16">
        <f>VLOOKUP(D16,Fertilizantes!$A$49:$E$124,4,FALSE)</f>
        <v>0</v>
      </c>
      <c r="T16">
        <f>((E16/100)*$G$42+(G16/100)*$G$43+(I16/100)*$G$44+(K16/100)*$G$45+(M16/100)*$G$46+(O16)*$G$47+(Q16*$G$48)+(R16*(VLOOKUP(D16,Fertilizantes!$A$49:$E$123,3,FALSE))))</f>
        <v>1265.573108240411</v>
      </c>
    </row>
    <row r="17" ht="18.75" customHeight="1">
      <c r="B17">
        <v>7</v>
      </c>
      <c r="C17">
        <f>$J$11+B17</f>
        <v>39966</v>
      </c>
      <c r="E17">
        <f>E16</f>
        <v>25.58409077822666</v>
      </c>
      <c r="G17">
        <f>G16</f>
        <v>12.058870506260869</v>
      </c>
      <c r="I17">
        <f>I16</f>
        <v>30.624922920550002</v>
      </c>
      <c r="K17">
        <f>K16</f>
        <v>19.6555613118794</v>
      </c>
      <c r="M17">
        <f>M16</f>
        <v>40.51520775004948</v>
      </c>
      <c r="O17">
        <f>O16</f>
        <v>0.0264509644</v>
      </c>
      <c r="R17">
        <f>VLOOKUP(D17,Fertilizantes!$A$49:$E$124,2,FALSE)*$C$12</f>
        <v>0</v>
      </c>
      <c r="S17">
        <f>VLOOKUP(D17,Fertilizantes!$A$49:$E$124,4,FALSE)</f>
        <v>0</v>
      </c>
      <c r="T17">
        <f>((E17/100)*$G$42+(G17/100)*$G$43+(I17/100)*$G$44+(K17/100)*$G$45+(M17/100)*$G$46+(O17)*$G$47+(Q17*$G$48)+(R17*(VLOOKUP(D17,Fertilizantes!$A$49:$E$123,3,FALSE))))</f>
        <v>1182.469108240411</v>
      </c>
    </row>
    <row r="18">
      <c r="A18">
        <v>2</v>
      </c>
      <c r="B18">
        <f>B17+3</f>
        <v>10</v>
      </c>
      <c r="C18">
        <f>$J$11+B18</f>
        <v>39969</v>
      </c>
      <c r="E18">
        <f>IF(((SUM(ReDiarioFert!C14:C20)/2)*$C$12)&lt;=0,"0",(((SUM(ReDiarioFert!C14:C20)/2)*$C$12)))</f>
        <v>44.54935407382271</v>
      </c>
      <c r="G18">
        <f>IF(((SUM(ReDiarioFert!E14:E20)/2)*$C$12)&lt;=0,"0",(((SUM(ReDiarioFert!E14:E20)/2)*$C$12)))</f>
        <v>14.509122053086957</v>
      </c>
      <c r="I18">
        <f>IF(((SUM(ReDiarioFert!G14:G20)/2)*$C$12)&lt;=0,"0",(((SUM(ReDiarioFert!G14:G20)/2)*$C$12)))</f>
        <v>50.7607895592</v>
      </c>
      <c r="K18">
        <f>IF(((SUM(ReDiarioFert!I14:I20)/2)*$C$12)&lt;=0,"0",(((SUM(ReDiarioFert!I14:I20)/2)*$C$12)))</f>
        <v>32.57907992156164</v>
      </c>
      <c r="M18">
        <f>IF(((SUM(ReDiarioFert!K14:K20)/2)*$C$12)&lt;=0,"0",(((SUM(ReDiarioFert!K14:K20)/2)*$C$12)))</f>
        <v>67.15393014646635</v>
      </c>
      <c r="O18">
        <f>IF(((SUM(ReDiarioFert!M14:M20)/2)*$C$12)&lt;=0,"0",(((SUM(ReDiarioFert!M14:M20)/2)*$C$12)))</f>
        <v>0.0385428932</v>
      </c>
      <c r="Q18">
        <f>$C$12*Main!$D$63</f>
        <v>29.68</v>
      </c>
      <c r="R18">
        <f>VLOOKUP(D18,Fertilizantes!$A$49:$E$124,2,FALSE)*$C$12</f>
        <v>0</v>
      </c>
      <c r="S18">
        <f>VLOOKUP(D18,Fertilizantes!$A$49:$E$124,4,FALSE)</f>
        <v>0</v>
      </c>
      <c r="T18">
        <f>((E18/100)*$G$42+(G18/100)*$G$43+(I18/100)*$G$44+(K18/100)*$G$45+(M18/100)*$G$46+(O18)*$G$47+(Q18*$G$48)+(R18*(VLOOKUP(D18,Fertilizantes!$A$49:$E$123,3,FALSE))))</f>
        <v>1991.2387063438323</v>
      </c>
    </row>
    <row r="19">
      <c r="B19">
        <f>B18+4</f>
        <v>14</v>
      </c>
      <c r="C19">
        <f>$J$11+B19</f>
        <v>39973</v>
      </c>
      <c r="E19">
        <f>E18</f>
        <v>44.54935407382271</v>
      </c>
      <c r="G19">
        <f>G18</f>
        <v>14.509122053086957</v>
      </c>
      <c r="I19">
        <f>I18</f>
        <v>50.7607895592</v>
      </c>
      <c r="K19">
        <f>K18</f>
        <v>32.57907992156164</v>
      </c>
      <c r="M19">
        <f>M18</f>
        <v>67.15393014646635</v>
      </c>
      <c r="O19">
        <f>O18</f>
        <v>0.0385428932</v>
      </c>
      <c r="R19">
        <f>VLOOKUP(D19,Fertilizantes!$A$49:$E$124,2,FALSE)*$C$12</f>
        <v>0</v>
      </c>
      <c r="S19">
        <f>VLOOKUP(D19,Fertilizantes!$A$49:$E$124,4,FALSE)</f>
        <v>0</v>
      </c>
      <c r="T19">
        <f>((E19/100)*$G$42+(G19/100)*$G$43+(I19/100)*$G$44+(K19/100)*$G$45+(M19/100)*$G$46+(O19)*$G$47+(Q19*$G$48)+(R19*(VLOOKUP(D19,Fertilizantes!$A$49:$E$123,3,FALSE))))</f>
        <v>1908.1347063438322</v>
      </c>
    </row>
    <row r="20">
      <c r="A20">
        <v>3</v>
      </c>
      <c r="B20">
        <f>B19+3</f>
        <v>17</v>
      </c>
      <c r="C20">
        <f>$J$11+B20</f>
        <v>39976</v>
      </c>
      <c r="E20">
        <f>IF(((SUM(ReDiarioFert!C21:C27)/2)*$C$12)&lt;=0,"0",(((SUM(ReDiarioFert!C21:C27)/2)*$C$12)))</f>
        <v>45.17491508603118</v>
      </c>
      <c r="G20">
        <f>IF(((SUM(ReDiarioFert!E21:E27)/2)*$C$12)&lt;=0,"0",(((SUM(ReDiarioFert!E21:E27)/2)*$C$12)))</f>
        <v>28.199865949043488</v>
      </c>
      <c r="I20">
        <f>IF(((SUM(ReDiarioFert!G21:G27)/2)*$C$12)&lt;=0,"0",(((SUM(ReDiarioFert!G21:G27)/2)*$C$12)))</f>
        <v>56.80720040204999</v>
      </c>
      <c r="K20">
        <f>IF(((SUM(ReDiarioFert!I21:I27)/2)*$C$12)&lt;=0,"0",(((SUM(ReDiarioFert!I21:I27)/2)*$C$12)))</f>
        <v>36.45976231043722</v>
      </c>
      <c r="M20">
        <f>IF(((SUM(ReDiarioFert!K21:K27)/2)*$C$12)&lt;=0,"0",(((SUM(ReDiarioFert!K21:K27)/2)*$C$12)))</f>
        <v>75.15302265278048</v>
      </c>
      <c r="O20">
        <f>IF(((SUM(ReDiarioFert!M21:M27)/2)*$C$12)&lt;=0,"0",(((SUM(ReDiarioFert!M21:M27)/2)*$C$12)))</f>
        <v>0.05668056380000001</v>
      </c>
      <c r="Q20">
        <f>$C$12*Main!$D$63</f>
        <v>29.68</v>
      </c>
      <c r="R20">
        <f>VLOOKUP(D20,Fertilizantes!$A$49:$E$124,2,FALSE)*$C$12</f>
        <v>0</v>
      </c>
      <c r="S20">
        <f>VLOOKUP(D20,Fertilizantes!$A$49:$E$124,4,FALSE)</f>
        <v>0</v>
      </c>
      <c r="T20">
        <f>((E20/100)*$G$42+(G20/100)*$G$43+(I20/100)*$G$44+(K20/100)*$G$45+(M20/100)*$G$46+(O20)*$G$47+(Q20*$G$48)+(R20*(VLOOKUP(D20,Fertilizantes!$A$49:$E$123,3,FALSE))))</f>
        <v>2331.6510913365573</v>
      </c>
    </row>
    <row r="21">
      <c r="B21">
        <f>B20+4</f>
        <v>21</v>
      </c>
      <c r="C21">
        <f>$J$11+B21</f>
        <v>39980</v>
      </c>
      <c r="E21">
        <f>E20</f>
        <v>45.17491508603118</v>
      </c>
      <c r="G21">
        <f>G20</f>
        <v>28.199865949043488</v>
      </c>
      <c r="I21">
        <f>I20</f>
        <v>56.80720040204999</v>
      </c>
      <c r="K21">
        <f>K20</f>
        <v>36.45976231043722</v>
      </c>
      <c r="M21">
        <f>M20</f>
        <v>75.15302265278048</v>
      </c>
      <c r="O21">
        <f>O20</f>
        <v>0.05668056380000001</v>
      </c>
      <c r="R21">
        <f>VLOOKUP(D21,Fertilizantes!$A$49:$E$124,2,FALSE)*$C$12</f>
        <v>0</v>
      </c>
      <c r="S21">
        <f>VLOOKUP(D21,Fertilizantes!$A$49:$E$124,4,FALSE)</f>
        <v>0</v>
      </c>
      <c r="T21">
        <f>((E21/100)*$G$42+(G21/100)*$G$43+(I21/100)*$G$44+(K21/100)*$G$45+(M21/100)*$G$46+(O21)*$G$47+(Q21*$G$48)+(R21*(VLOOKUP(D21,Fertilizantes!$A$49:$E$123,3,FALSE))))</f>
        <v>2248.5470913365575</v>
      </c>
    </row>
    <row r="22">
      <c r="A22">
        <v>4</v>
      </c>
      <c r="B22">
        <f>B21+3</f>
        <v>24</v>
      </c>
      <c r="C22">
        <f>$J$11+B22</f>
        <v>39983</v>
      </c>
      <c r="E22">
        <f>IF(((SUM(ReDiarioFert!C28:C34)/2)*$C$12)&lt;=0,"0",(((SUM(ReDiarioFert!C28:C34)/2)*$C$12)))</f>
        <v>45.17491508603118</v>
      </c>
      <c r="G22">
        <f>IF(((SUM(ReDiarioFert!E28:E34)/2)*$C$12)&lt;=0,"0",(((SUM(ReDiarioFert!E28:E34)/2)*$C$12)))</f>
        <v>28.199865949043488</v>
      </c>
      <c r="I22">
        <f>IF(((SUM(ReDiarioFert!G28:G34)/2)*$C$12)&lt;=0,"0",(((SUM(ReDiarioFert!G28:G34)/2)*$C$12)))</f>
        <v>56.80720040204999</v>
      </c>
      <c r="K22">
        <f>IF(((SUM(ReDiarioFert!I28:I34)/2)*$C$12)&lt;=0,"0",(((SUM(ReDiarioFert!I28:I34)/2)*$C$12)))</f>
        <v>36.45976231043722</v>
      </c>
      <c r="M22">
        <f>IF(((SUM(ReDiarioFert!K28:K34)/2)*$C$12)&lt;=0,"0",(((SUM(ReDiarioFert!K28:K34)/2)*$C$12)))</f>
        <v>75.15302265278048</v>
      </c>
      <c r="O22">
        <f>IF(((SUM(ReDiarioFert!M28:M34)/2)*$C$12)&lt;=0,"0",(((SUM(ReDiarioFert!M28:M34)/2)*$C$12)))</f>
        <v>0.06348210680000001</v>
      </c>
      <c r="Q22">
        <f>$C$12*Main!$D$63</f>
        <v>29.68</v>
      </c>
      <c r="R22">
        <f>VLOOKUP(D22,Fertilizantes!$A$49:$E$124,2,FALSE)*$C$12</f>
        <v>0</v>
      </c>
      <c r="S22">
        <f>VLOOKUP(D22,Fertilizantes!$A$49:$E$124,4,FALSE)</f>
        <v>0</v>
      </c>
      <c r="T22">
        <f>((E22/100)*$G$42+(G22/100)*$G$43+(I22/100)*$G$44+(K22/100)*$G$45+(M22/100)*$G$46+(O22)*$G$47+(Q22*$G$48)+(R22*(VLOOKUP(D22,Fertilizantes!$A$49:$E$123,3,FALSE))))</f>
        <v>2331.6510913365573</v>
      </c>
    </row>
    <row r="23">
      <c r="B23">
        <f>B22+4</f>
        <v>28</v>
      </c>
      <c r="C23">
        <f>$J$11+B23</f>
        <v>39987</v>
      </c>
      <c r="E23">
        <f>E22</f>
        <v>45.17491508603118</v>
      </c>
      <c r="G23">
        <f>G22</f>
        <v>28.199865949043488</v>
      </c>
      <c r="I23">
        <f>I22</f>
        <v>56.80720040204999</v>
      </c>
      <c r="K23">
        <f>K22</f>
        <v>36.45976231043722</v>
      </c>
      <c r="M23">
        <f>M22</f>
        <v>75.15302265278048</v>
      </c>
      <c r="O23">
        <f>O22</f>
        <v>0.06348210680000001</v>
      </c>
      <c r="R23">
        <f>VLOOKUP(D23,Fertilizantes!$A$49:$E$124,2,FALSE)*$C$12</f>
        <v>0</v>
      </c>
      <c r="S23">
        <f>VLOOKUP(D23,Fertilizantes!$A$49:$E$124,4,FALSE)</f>
        <v>0</v>
      </c>
      <c r="T23">
        <f>((E23/100)*$G$42+(G23/100)*$G$43+(I23/100)*$G$44+(K23/100)*$G$45+(M23/100)*$G$46+(O23)*$G$47+(Q23*$G$48)+(R23*(VLOOKUP(D23,Fertilizantes!$A$49:$E$123,3,FALSE))))</f>
        <v>2248.5470913365575</v>
      </c>
    </row>
    <row r="24">
      <c r="A24">
        <v>5</v>
      </c>
      <c r="B24">
        <f>B23+3</f>
        <v>31</v>
      </c>
      <c r="C24">
        <f>$J$11+B24</f>
        <v>39990</v>
      </c>
      <c r="E24">
        <f>IF(((SUM(ReDiarioFert!C35:C41)/2)*$C$12)&lt;=0,"0",(((SUM(ReDiarioFert!C35:C41)/2)*$C$12)))</f>
        <v>64.58615010055563</v>
      </c>
      <c r="G24">
        <f>IF(((SUM(ReDiarioFert!E35:E41)/2)*$C$12)&lt;=0,"0",(((SUM(ReDiarioFert!E35:E41)/2)*$C$12)))</f>
        <v>34.18047195652174</v>
      </c>
      <c r="I24">
        <f>IF(((SUM(ReDiarioFert!G35:G41)/2)*$C$12)&lt;=0,"0",(((SUM(ReDiarioFert!G35:G41)/2)*$C$12)))</f>
        <v>78.78990874451665</v>
      </c>
      <c r="K24">
        <f>IF(((SUM(ReDiarioFert!I35:I41)/2)*$C$12)&lt;=0,"0",(((SUM(ReDiarioFert!I35:I41)/2)*$C$12)))</f>
        <v>50.56861322077142</v>
      </c>
      <c r="M24">
        <f>IF(((SUM(ReDiarioFert!K35:K41)/2)*$C$12)&lt;=0,"0",(((SUM(ReDiarioFert!K35:K41)/2)*$C$12)))</f>
        <v>104.23502222921528</v>
      </c>
      <c r="O24">
        <f>IF(((SUM(ReDiarioFert!M35:M41)/2)*$C$12)&lt;=0,"0",(((SUM(ReDiarioFert!M35:M41)/2)*$C$12)))</f>
        <v>0.07481845699999999</v>
      </c>
      <c r="Q24">
        <f>$C$12*Main!$D$63</f>
        <v>29.68</v>
      </c>
      <c r="R24">
        <f>VLOOKUP(D24,Fertilizantes!$A$49:$E$124,2,FALSE)*$C$12</f>
        <v>0</v>
      </c>
      <c r="S24">
        <f>VLOOKUP(D24,Fertilizantes!$A$49:$E$124,4,FALSE)</f>
        <v>0</v>
      </c>
      <c r="T24">
        <f>((E24/100)*$G$42+(G24/100)*$G$43+(I24/100)*$G$44+(K24/100)*$G$45+(M24/100)*$G$46+(O24)*$G$47+(Q24*$G$48)+(R24*(VLOOKUP(D24,Fertilizantes!$A$49:$E$123,3,FALSE))))</f>
        <v>3155.1336835900065</v>
      </c>
    </row>
    <row r="25">
      <c r="B25">
        <f>B24+4</f>
        <v>35</v>
      </c>
      <c r="C25">
        <f>$J$11+B25</f>
        <v>39994</v>
      </c>
      <c r="E25">
        <f>E24</f>
        <v>64.58615010055563</v>
      </c>
      <c r="G25">
        <f>G24</f>
        <v>34.18047195652174</v>
      </c>
      <c r="I25">
        <f>I24</f>
        <v>78.78990874451665</v>
      </c>
      <c r="K25">
        <f>K24</f>
        <v>50.56861322077142</v>
      </c>
      <c r="M25">
        <f>M24</f>
        <v>104.23502222921528</v>
      </c>
      <c r="O25">
        <f>O24</f>
        <v>0.07481845699999999</v>
      </c>
      <c r="R25">
        <f>VLOOKUP(D25,Fertilizantes!$A$49:$E$124,2,FALSE)*$C$12</f>
        <v>0</v>
      </c>
      <c r="S25">
        <f>VLOOKUP(D25,Fertilizantes!$A$49:$E$124,4,FALSE)</f>
        <v>0</v>
      </c>
      <c r="T25">
        <f>((E25/100)*$G$42+(G25/100)*$G$43+(I25/100)*$G$44+(K25/100)*$G$45+(M25/100)*$G$46+(O25)*$G$47+(Q25*$G$48)+(R25*(VLOOKUP(D25,Fertilizantes!$A$49:$E$123,3,FALSE))))</f>
        <v>3072.0296835900067</v>
      </c>
    </row>
    <row r="26">
      <c r="A26">
        <v>6</v>
      </c>
      <c r="B26">
        <f>B25+3</f>
        <v>38</v>
      </c>
      <c r="C26">
        <f>$J$11+B26</f>
        <v>39997</v>
      </c>
      <c r="E26">
        <f>IF(((SUM(ReDiarioFert!C42:C48)/2)*$C$12)&lt;=0,"0",(((SUM(ReDiarioFert!C42:C48)/2)*$C$12)))</f>
        <v>51.95414587862169</v>
      </c>
      <c r="G26">
        <f>IF(((SUM(ReDiarioFert!E42:E48)/2)*$C$12)&lt;=0,"0",(((SUM(ReDiarioFert!E42:E48)/2)*$C$12)))</f>
        <v>34.18047195652174</v>
      </c>
      <c r="I26">
        <f>IF(((SUM(ReDiarioFert!G42:G48)/2)*$C$12)&lt;=0,"0",(((SUM(ReDiarioFert!G42:G48)/2)*$C$12)))</f>
        <v>66.97142243283918</v>
      </c>
      <c r="K26">
        <f>IF(((SUM(ReDiarioFert!I42:I48)/2)*$C$12)&lt;=0,"0",(((SUM(ReDiarioFert!I42:I48)/2)*$C$12)))</f>
        <v>42.9833212376557</v>
      </c>
      <c r="M26">
        <f>IF(((SUM(ReDiarioFert!K42:K48)/2)*$C$12)&lt;=0,"0",(((SUM(ReDiarioFert!K42:K48)/2)*$C$12)))</f>
        <v>88.59976889483298</v>
      </c>
      <c r="O26">
        <f>IF(((SUM(ReDiarioFert!M42:M48)/2)*$C$12)&lt;=0,"0",(((SUM(ReDiarioFert!M42:M48)/2)*$C$12)))</f>
        <v>0.08993359059999999</v>
      </c>
      <c r="Q26">
        <f>$C$12*Main!$D$63</f>
        <v>29.68</v>
      </c>
      <c r="R26">
        <f>VLOOKUP(D26,Fertilizantes!$A$49:$E$124,2,FALSE)*$C$12</f>
        <v>0</v>
      </c>
      <c r="S26">
        <f>VLOOKUP(D26,Fertilizantes!$A$49:$E$124,4,FALSE)</f>
        <v>0</v>
      </c>
      <c r="T26">
        <f>((E26/100)*$G$42+(G26/100)*$G$43+(I26/100)*$G$44+(K26/100)*$G$45+(M26/100)*$G$46+(O26)*$G$47+(Q26*$G$48)+(R26*(VLOOKUP(D26,Fertilizantes!$A$49:$E$123,3,FALSE))))</f>
        <v>2736.7175494787157</v>
      </c>
    </row>
    <row r="27">
      <c r="B27">
        <f>B26+4</f>
        <v>42</v>
      </c>
      <c r="C27">
        <f>$J$11+B27</f>
        <v>40001</v>
      </c>
      <c r="E27">
        <f>E26</f>
        <v>51.95414587862169</v>
      </c>
      <c r="G27">
        <f>G26</f>
        <v>34.18047195652174</v>
      </c>
      <c r="I27">
        <f>I26</f>
        <v>66.97142243283918</v>
      </c>
      <c r="K27">
        <f>K26</f>
        <v>42.9833212376557</v>
      </c>
      <c r="M27">
        <f>M26</f>
        <v>88.59976889483298</v>
      </c>
      <c r="O27">
        <f>O26</f>
        <v>0.08993359059999999</v>
      </c>
      <c r="R27">
        <f>VLOOKUP(D27,Fertilizantes!$A$49:$E$124,2,FALSE)*$C$12</f>
        <v>0</v>
      </c>
      <c r="S27">
        <f>VLOOKUP(D27,Fertilizantes!$A$49:$E$124,4,FALSE)</f>
        <v>0</v>
      </c>
      <c r="T27">
        <f>((E27/100)*$G$42+(G27/100)*$G$43+(I27/100)*$G$44+(K27/100)*$G$45+(M27/100)*$G$46+(O27)*$G$47+(Q27*$G$48)+(R27*(VLOOKUP(D27,Fertilizantes!$A$49:$E$123,3,FALSE))))</f>
        <v>2653.613549478716</v>
      </c>
    </row>
    <row r="28">
      <c r="A28">
        <v>7</v>
      </c>
      <c r="B28">
        <f>B27+3</f>
        <v>45</v>
      </c>
      <c r="C28">
        <f>$J$11+B28</f>
        <v>40004</v>
      </c>
      <c r="E28">
        <f>IF(((SUM(ReDiarioFert!C49:C55)/2)*$C$12)&lt;=0,"0",(((SUM(ReDiarioFert!C49:C55)/2)*$C$12)))</f>
        <v>45.01434906458674</v>
      </c>
      <c r="G28">
        <f>IF(((SUM(ReDiarioFert!E49:E55)/2)*$C$12)&lt;=0,"0",(((SUM(ReDiarioFert!E49:E55)/2)*$C$12)))</f>
        <v>34.18047195652174</v>
      </c>
      <c r="I28">
        <f>IF(((SUM(ReDiarioFert!G49:G55)/2)*$C$12)&lt;=0,"0",(((SUM(ReDiarioFert!G49:G55)/2)*$C$12)))</f>
        <v>60.230898694166655</v>
      </c>
      <c r="K28">
        <f>IF(((SUM(ReDiarioFert!I49:I55)/2)*$C$12)&lt;=0,"0",(((SUM(ReDiarioFert!I49:I55)/2)*$C$12)))</f>
        <v>38.65714618201979</v>
      </c>
      <c r="M28">
        <f>IF(((SUM(ReDiarioFert!K49:K55)/2)*$C$12)&lt;=0,"0",(((SUM(ReDiarioFert!K49:K55)/2)*$C$12)))</f>
        <v>79.682400504227</v>
      </c>
      <c r="O28">
        <f>IF(((SUM(ReDiarioFert!M49:M55)/2)*$C$12)&lt;=0,"0",(((SUM(ReDiarioFert!M49:M55)/2)*$C$12)))</f>
        <v>0.099002463</v>
      </c>
      <c r="Q28">
        <f>$C$12*Main!$D$63</f>
        <v>29.68</v>
      </c>
      <c r="R28">
        <f>VLOOKUP(D28,Fertilizantes!$A$49:$E$124,2,FALSE)*$C$12</f>
        <v>0</v>
      </c>
      <c r="S28">
        <f>VLOOKUP(D28,Fertilizantes!$A$49:$E$124,4,FALSE)</f>
        <v>0</v>
      </c>
      <c r="T28">
        <f>((E28/100)*$G$42+(G28/100)*$G$43+(I28/100)*$G$44+(K28/100)*$G$45+(M28/100)*$G$46+(O28)*$G$47+(Q28*$G$48)+(R28*(VLOOKUP(D28,Fertilizantes!$A$49:$E$123,3,FALSE))))</f>
        <v>2499.79980795008</v>
      </c>
    </row>
    <row r="29">
      <c r="B29">
        <f>B28+4</f>
        <v>49</v>
      </c>
      <c r="C29">
        <f>$J$11+B29</f>
        <v>40008</v>
      </c>
      <c r="E29">
        <f>E28</f>
        <v>45.01434906458674</v>
      </c>
      <c r="G29">
        <f>G28</f>
        <v>34.18047195652174</v>
      </c>
      <c r="I29">
        <f>I28</f>
        <v>60.230898694166655</v>
      </c>
      <c r="K29">
        <f>K28</f>
        <v>38.65714618201979</v>
      </c>
      <c r="M29">
        <f>M28</f>
        <v>79.682400504227</v>
      </c>
      <c r="O29">
        <f>O28</f>
        <v>0.099002463</v>
      </c>
      <c r="R29">
        <f>VLOOKUP(D29,Fertilizantes!$A$49:$E$124,2,FALSE)*$C$12</f>
        <v>0</v>
      </c>
      <c r="S29">
        <f>VLOOKUP(D29,Fertilizantes!$A$49:$E$124,4,FALSE)</f>
        <v>0</v>
      </c>
      <c r="T29">
        <f>((E29/100)*$G$42+(G29/100)*$G$43+(I29/100)*$G$44+(K29/100)*$G$45+(M29/100)*$G$46+(O29)*$G$47+(Q29*$G$48)+(R29*(VLOOKUP(D29,Fertilizantes!$A$49:$E$123,3,FALSE))))</f>
        <v>2416.69580795008</v>
      </c>
    </row>
    <row r="30">
      <c r="A30">
        <v>8</v>
      </c>
      <c r="B30">
        <f>B29+3</f>
        <v>52</v>
      </c>
      <c r="C30">
        <f>$J$11+B30</f>
        <v>40011</v>
      </c>
      <c r="E30">
        <f>IF(((SUM(ReDiarioFert!C56:C62)/2)*$C$12)&lt;=0,"0",(((SUM(ReDiarioFert!C56:C62)/2)*$C$12)))</f>
        <v>38.0165213876139</v>
      </c>
      <c r="G30">
        <f>IF(((SUM(ReDiarioFert!E56:E62)/2)*$C$12)&lt;=0,"0",(((SUM(ReDiarioFert!E56:E62)/2)*$C$12)))</f>
        <v>34.18047195652174</v>
      </c>
      <c r="I30">
        <f>IF(((SUM(ReDiarioFert!G56:G62)/2)*$C$12)&lt;=0,"0",(((SUM(ReDiarioFert!G56:G62)/2)*$C$12)))</f>
        <v>60.230898694166655</v>
      </c>
      <c r="K30">
        <f>IF(((SUM(ReDiarioFert!I56:I62)/2)*$C$12)&lt;=0,"0",(((SUM(ReDiarioFert!I56:I62)/2)*$C$12)))</f>
        <v>38.65714618201979</v>
      </c>
      <c r="M30">
        <f>IF(((SUM(ReDiarioFert!K56:K62)/2)*$C$12)&lt;=0,"0",(((SUM(ReDiarioFert!K56:K62)/2)*$C$12)))</f>
        <v>79.682400504227</v>
      </c>
      <c r="O30">
        <f>IF(((SUM(ReDiarioFert!M56:M62)/2)*$C$12)&lt;=0,"0",(((SUM(ReDiarioFert!M56:M62)/2)*$C$12)))</f>
        <v>0.12167464399999998</v>
      </c>
      <c r="Q30">
        <f>$C$12*Main!$D$63</f>
        <v>29.68</v>
      </c>
      <c r="R30">
        <f>VLOOKUP(D30,Fertilizantes!$A$49:$E$124,2,FALSE)*$C$12</f>
        <v>0</v>
      </c>
      <c r="S30">
        <f>VLOOKUP(D30,Fertilizantes!$A$49:$E$124,4,FALSE)</f>
        <v>0</v>
      </c>
      <c r="T30">
        <f>((E30/100)*$G$42+(G30/100)*$G$43+(I30/100)*$G$44+(K30/100)*$G$45+(M30/100)*$G$46+(O30)*$G$47+(Q30*$G$48)+(R30*(VLOOKUP(D30,Fertilizantes!$A$49:$E$123,3,FALSE))))</f>
        <v>2454.3139280497558</v>
      </c>
    </row>
    <row r="31">
      <c r="B31">
        <f>B30+4</f>
        <v>56</v>
      </c>
      <c r="C31">
        <f>$J$11+B31</f>
        <v>40015</v>
      </c>
      <c r="E31">
        <f>E30</f>
        <v>38.0165213876139</v>
      </c>
      <c r="G31">
        <f>G30</f>
        <v>34.18047195652174</v>
      </c>
      <c r="I31">
        <f>I30</f>
        <v>60.230898694166655</v>
      </c>
      <c r="K31">
        <f>K30</f>
        <v>38.65714618201979</v>
      </c>
      <c r="M31">
        <f>M30</f>
        <v>79.682400504227</v>
      </c>
      <c r="O31">
        <f>O30</f>
        <v>0.12167464399999998</v>
      </c>
      <c r="R31">
        <f>VLOOKUP(D31,Fertilizantes!$A$49:$E$124,2,FALSE)*$C$12</f>
        <v>0</v>
      </c>
      <c r="S31">
        <f>VLOOKUP(D31,Fertilizantes!$A$49:$E$124,4,FALSE)</f>
        <v>0</v>
      </c>
      <c r="T31">
        <f>((E31/100)*$G$42+(G31/100)*$G$43+(I31/100)*$G$44+(K31/100)*$G$45+(M31/100)*$G$46+(O31)*$G$47+(Q31*$G$48)+(R31*(VLOOKUP(D31,Fertilizantes!$A$49:$E$123,3,FALSE))))</f>
        <v>2371.209928049756</v>
      </c>
    </row>
    <row r="32">
      <c r="A32">
        <v>9</v>
      </c>
      <c r="B32">
        <f>B31+3</f>
        <v>59</v>
      </c>
      <c r="C32">
        <f>$J$11+B32</f>
        <v>40018</v>
      </c>
      <c r="E32">
        <f>IF(((SUM(ReDiarioFert!C63:C69)/2)*$C$12)&lt;=0,"0",(((SUM(ReDiarioFert!C63:C69)/2)*$C$12)))</f>
        <v>20.52195219518178</v>
      </c>
      <c r="G32">
        <f>IF(((SUM(ReDiarioFert!E63:E69)/2)*$C$12)&lt;=0,"0",(((SUM(ReDiarioFert!E63:E69)/2)*$C$12)))</f>
        <v>34.18047195652174</v>
      </c>
      <c r="I32">
        <f>IF(((SUM(ReDiarioFert!G63:G69)/2)*$C$12)&lt;=0,"0",(((SUM(ReDiarioFert!G63:G69)/2)*$C$12)))</f>
        <v>60.230898694166655</v>
      </c>
      <c r="K32">
        <f>IF(((SUM(ReDiarioFert!I63:I69)/2)*$C$12)&lt;=0,"0",(((SUM(ReDiarioFert!I63:I69)/2)*$C$12)))</f>
        <v>38.65714618201979</v>
      </c>
      <c r="M32">
        <f>IF(((SUM(ReDiarioFert!K63:K69)/2)*$C$12)&lt;=0,"0",(((SUM(ReDiarioFert!K63:K69)/2)*$C$12)))</f>
        <v>79.682400504227</v>
      </c>
      <c r="O32">
        <f>IF(((SUM(ReDiarioFert!M63:M69)/2)*$C$12)&lt;=0,"0",(((SUM(ReDiarioFert!M63:M69)/2)*$C$12)))</f>
        <v>0.1262091544</v>
      </c>
      <c r="Q32">
        <f>$C$12*Main!$D$63</f>
        <v>29.68</v>
      </c>
      <c r="R32">
        <f>VLOOKUP(D32,Fertilizantes!$A$49:$E$124,2,FALSE)*$C$12</f>
        <v>0</v>
      </c>
      <c r="S32">
        <f>VLOOKUP(D32,Fertilizantes!$A$49:$E$124,4,FALSE)</f>
        <v>0</v>
      </c>
      <c r="T32">
        <f>((E32/100)*$G$42+(G32/100)*$G$43+(I32/100)*$G$44+(K32/100)*$G$45+(M32/100)*$G$46+(O32)*$G$47+(Q32*$G$48)+(R32*(VLOOKUP(D32,Fertilizantes!$A$49:$E$123,3,FALSE))))</f>
        <v>2340.5992282989473</v>
      </c>
    </row>
    <row r="33">
      <c r="B33">
        <f>B32+4</f>
        <v>63</v>
      </c>
      <c r="C33">
        <f>$J$11+B33</f>
        <v>40022</v>
      </c>
      <c r="E33">
        <f>E32</f>
        <v>20.52195219518178</v>
      </c>
      <c r="G33">
        <f>G32</f>
        <v>34.18047195652174</v>
      </c>
      <c r="I33">
        <f>I32</f>
        <v>60.230898694166655</v>
      </c>
      <c r="K33">
        <f>K32</f>
        <v>38.65714618201979</v>
      </c>
      <c r="M33">
        <f>M32</f>
        <v>79.682400504227</v>
      </c>
      <c r="O33">
        <f>O32</f>
        <v>0.1262091544</v>
      </c>
      <c r="R33">
        <f>VLOOKUP(D33,Fertilizantes!$A$49:$E$124,2,FALSE)*$C$12</f>
        <v>0</v>
      </c>
      <c r="S33">
        <f>VLOOKUP(D33,Fertilizantes!$A$49:$E$124,4,FALSE)</f>
        <v>0</v>
      </c>
      <c r="T33">
        <f>((E33/100)*$G$42+(G33/100)*$G$43+(I33/100)*$G$44+(K33/100)*$G$45+(M33/100)*$G$46+(O33)*$G$47+(Q33*$G$48)+(R33*(VLOOKUP(D33,Fertilizantes!$A$49:$E$123,3,FALSE))))</f>
        <v>2257.4952282989475</v>
      </c>
    </row>
    <row r="34">
      <c r="A34">
        <v>10</v>
      </c>
      <c r="B34">
        <f>B33+3</f>
        <v>66</v>
      </c>
      <c r="C34">
        <f>$J$11+B34</f>
        <v>40025</v>
      </c>
      <c r="E34">
        <f>IF(((SUM(ReDiarioFert!C70:C76)/2)*$C$12)&lt;=0,"0",(((SUM(ReDiarioFert!C70:C76)/2)*$C$12)))</f>
        <v>8.839947579750051</v>
      </c>
      <c r="G34">
        <f>IF(((SUM(ReDiarioFert!E70:E76)/2)*$C$12)&lt;=0,"0",(((SUM(ReDiarioFert!E70:E76)/2)*$C$12)))</f>
        <v>34.18047195652174</v>
      </c>
      <c r="I34">
        <f>IF(((SUM(ReDiarioFert!G70:G76)/2)*$C$12)&lt;=0,"0",(((SUM(ReDiarioFert!G70:G76)/2)*$C$12)))</f>
        <v>60.230898694166655</v>
      </c>
      <c r="K34">
        <f>IF(((SUM(ReDiarioFert!I70:I76)/2)*$C$12)&lt;=0,"0",(((SUM(ReDiarioFert!I70:I76)/2)*$C$12)))</f>
        <v>38.65714618201979</v>
      </c>
      <c r="M34">
        <f>IF(((SUM(ReDiarioFert!K70:K76)/2)*$C$12)&lt;=0,"0",(((SUM(ReDiarioFert!K70:K76)/2)*$C$12)))</f>
        <v>79.682400504227</v>
      </c>
      <c r="O34">
        <f>IF(((SUM(ReDiarioFert!M70:M76)/2)*$C$12)&lt;=0,"0",(((SUM(ReDiarioFert!M70:M76)/2)*$C$12)))</f>
        <v>0.15341621679999998</v>
      </c>
      <c r="Q34">
        <f>$C$12*Main!$D$63</f>
        <v>29.68</v>
      </c>
      <c r="R34">
        <f>VLOOKUP(D34,Fertilizantes!$A$49:$E$124,2,FALSE)*$C$12</f>
        <v>0</v>
      </c>
      <c r="S34">
        <f>VLOOKUP(D34,Fertilizantes!$A$49:$E$124,4,FALSE)</f>
        <v>0</v>
      </c>
      <c r="T34">
        <f>((E34/100)*$G$42+(G34/100)*$G$43+(I34/100)*$G$44+(K34/100)*$G$45+(M34/100)*$G$46+(O34)*$G$47+(Q34*$G$48)+(R34*(VLOOKUP(D34,Fertilizantes!$A$49:$E$123,3,FALSE))))</f>
        <v>2264.666198298641</v>
      </c>
    </row>
    <row r="35">
      <c r="B35">
        <f>B34+4</f>
        <v>70</v>
      </c>
      <c r="C35">
        <f>$J$11+B35</f>
        <v>40029</v>
      </c>
      <c r="E35">
        <f>E34</f>
        <v>8.839947579750051</v>
      </c>
      <c r="G35">
        <f>G34</f>
        <v>34.18047195652174</v>
      </c>
      <c r="I35">
        <f>I34</f>
        <v>60.230898694166655</v>
      </c>
      <c r="K35">
        <f>K34</f>
        <v>38.65714618201979</v>
      </c>
      <c r="M35">
        <f>M34</f>
        <v>79.682400504227</v>
      </c>
      <c r="O35">
        <f>O34</f>
        <v>0.15341621679999998</v>
      </c>
      <c r="R35">
        <f>VLOOKUP(D35,Fertilizantes!$A$49:$E$124,2,FALSE)*$C$12</f>
        <v>0</v>
      </c>
      <c r="S35">
        <f>VLOOKUP(D35,Fertilizantes!$A$49:$E$124,4,FALSE)</f>
        <v>0</v>
      </c>
      <c r="T35">
        <f>((E35/100)*$G$42+(G35/100)*$G$43+(I35/100)*$G$44+(K35/100)*$G$45+(M35/100)*$G$46+(O35)*$G$47+(Q35*$G$48)+(R35*(VLOOKUP(D35,Fertilizantes!$A$49:$E$123,3,FALSE))))</f>
        <v>2181.5621982986413</v>
      </c>
    </row>
    <row r="36">
      <c r="A36">
        <v>11</v>
      </c>
      <c r="B36">
        <f>B35+3</f>
        <v>73</v>
      </c>
      <c r="C36">
        <f>$J$11+B36</f>
        <v>40032</v>
      </c>
      <c r="E36">
        <f>IF(((SUM(ReDiarioFert!C77:C83)/2)*$C$12)&lt;=0,"0",(((SUM(ReDiarioFert!C77:C83)/2)*$C$12)))</f>
        <v>8.839947579750051</v>
      </c>
      <c r="G36">
        <f>IF(((SUM(ReDiarioFert!E77:E83)/2)*$C$12)&lt;=0,"0",(((SUM(ReDiarioFert!E77:E83)/2)*$C$12)))</f>
        <v>34.18047195652174</v>
      </c>
      <c r="I36">
        <f>IF(((SUM(ReDiarioFert!G77:G83)/2)*$C$12)&lt;=0,"0",(((SUM(ReDiarioFert!G77:G83)/2)*$C$12)))</f>
        <v>60.230898694166655</v>
      </c>
      <c r="K36">
        <f>IF(((SUM(ReDiarioFert!I77:I83)/2)*$C$12)&lt;=0,"0",(((SUM(ReDiarioFert!I77:I83)/2)*$C$12)))</f>
        <v>38.65714618201979</v>
      </c>
      <c r="M36">
        <f>IF(((SUM(ReDiarioFert!K77:K83)/2)*$C$12)&lt;=0,"0",(((SUM(ReDiarioFert!K77:K83)/2)*$C$12)))</f>
        <v>79.682400504227</v>
      </c>
      <c r="O36">
        <f>IF(((SUM(ReDiarioFert!M77:M83)/2)*$C$12)&lt;=0,"0",(((SUM(ReDiarioFert!M77:M83)/2)*$C$12)))</f>
        <v>0.15341621679999998</v>
      </c>
      <c r="Q36">
        <f>$C$12*Main!$D$63</f>
        <v>29.68</v>
      </c>
      <c r="R36">
        <f>VLOOKUP(D36,Fertilizantes!$A$49:$E$124,2,FALSE)*$C$12</f>
        <v>0</v>
      </c>
      <c r="S36">
        <f>VLOOKUP(D36,Fertilizantes!$A$49:$E$124,4,FALSE)</f>
        <v>0</v>
      </c>
      <c r="T36">
        <f>((E36/100)*$G$42+(G36/100)*$G$43+(I36/100)*$G$44+(K36/100)*$G$45+(M36/100)*$G$46+(O36)*$G$47+(Q36*$G$48)+(R36*(VLOOKUP(D36,Fertilizantes!$A$49:$E$123,3,FALSE))))</f>
        <v>2264.666198298641</v>
      </c>
    </row>
    <row r="37">
      <c r="B37">
        <f>B36+4</f>
        <v>77</v>
      </c>
      <c r="C37">
        <f>$J$11+B37</f>
        <v>40036</v>
      </c>
      <c r="E37">
        <f>E36</f>
        <v>8.839947579750051</v>
      </c>
      <c r="G37">
        <f>G36</f>
        <v>34.18047195652174</v>
      </c>
      <c r="I37">
        <f>I36</f>
        <v>60.230898694166655</v>
      </c>
      <c r="K37">
        <f>K36</f>
        <v>38.65714618201979</v>
      </c>
      <c r="M37">
        <f>M36</f>
        <v>79.682400504227</v>
      </c>
      <c r="O37">
        <f>O36</f>
        <v>0.15341621679999998</v>
      </c>
      <c r="R37">
        <f>VLOOKUP(D37,Fertilizantes!$A$49:$E$124,2,FALSE)*$C$12</f>
        <v>0</v>
      </c>
      <c r="S37">
        <f>VLOOKUP(D37,Fertilizantes!$A$49:$E$124,4,FALSE)</f>
        <v>0</v>
      </c>
      <c r="T37">
        <f>((E37/100)*$G$42+(G37/100)*$G$43+(I37/100)*$G$44+(K37/100)*$G$45+(M37/100)*$G$46+(O37)*$G$47+(Q37*$G$48)+(R37*(VLOOKUP(D37,Fertilizantes!$A$49:$E$123,3,FALSE))))</f>
        <v>2181.5621982986413</v>
      </c>
    </row>
    <row r="38">
      <c r="C38" t="str">
        <v>Total</v>
      </c>
      <c r="E38">
        <f>SUM(E16:E37)</f>
        <v>796.5125776203434</v>
      </c>
      <c r="G38">
        <f>SUM(G16:G37)</f>
        <v>644.4620563061738</v>
      </c>
      <c r="I38">
        <f>SUM(I16:I37)</f>
        <v>1283.831875864078</v>
      </c>
      <c r="K38">
        <f>SUM(K16:K37)</f>
        <v>823.9836624456832</v>
      </c>
      <c r="M38">
        <f>SUM(M16:M37)</f>
        <v>1698.4439536945197</v>
      </c>
      <c r="O38">
        <f>SUM(O16:O37)</f>
        <v>2.0072545415999996</v>
      </c>
      <c r="Q38">
        <f>SUM(Q16:Q37)</f>
        <v>326.48</v>
      </c>
      <c r="T38">
        <f>SUM(T16:T37)</f>
        <v>50357.87718244429</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Urea</v>
      </c>
      <c r="F42">
        <f>E38/C12</f>
        <v>536.7335428708514</v>
      </c>
      <c r="G42">
        <f>Main!D43</f>
        <v>650</v>
      </c>
    </row>
    <row r="43">
      <c r="B43" t="str">
        <f>Main!D32</f>
        <v>DAP 18-46-0</v>
      </c>
      <c r="F43">
        <f>G38/C12</f>
        <v>434.27362284782606</v>
      </c>
      <c r="G43">
        <f>Main!D33</f>
        <v>1200</v>
      </c>
    </row>
    <row r="44">
      <c r="B44" t="str">
        <f>Main!D37</f>
        <v>Kcl Soluble</v>
      </c>
      <c r="F44">
        <f>I38/C12</f>
        <v>865.1158193154165</v>
      </c>
      <c r="G44">
        <f>Main!D38</f>
        <v>780</v>
      </c>
    </row>
    <row r="45">
      <c r="B45" t="str">
        <f>Main!D47</f>
        <v>Sulfato de Magnesio</v>
      </c>
      <c r="F45">
        <f>K38/C12</f>
        <v>555.2450555563903</v>
      </c>
      <c r="G45">
        <f>Main!D48</f>
        <v>951</v>
      </c>
    </row>
    <row r="46">
      <c r="B46" t="str">
        <f>Main!D52</f>
        <v>Nitrato de Calcio</v>
      </c>
      <c r="F46">
        <f>M38/C12</f>
        <v>1144.5040119235307</v>
      </c>
      <c r="G46">
        <f>Main!D53</f>
        <v>1100</v>
      </c>
    </row>
    <row r="47">
      <c r="B47" t="str">
        <f>Main!D57</f>
        <v>Sin Boro</v>
      </c>
      <c r="F47">
        <f>O38/C12</f>
        <v>1.3525973999999998</v>
      </c>
      <c r="G47">
        <f>Main!D58</f>
        <v>0</v>
      </c>
      <c r="I47" t="str">
        <v xml:space="preserve">Preparado y Autorizado Por </v>
      </c>
    </row>
    <row r="48" ht="18" customHeight="1">
      <c r="B48" t="str">
        <f>Main!D61</f>
        <v>Melaza</v>
      </c>
      <c r="F48">
        <f>Q38/C12</f>
        <v>220.00000000000003</v>
      </c>
      <c r="G48">
        <f>Main!D62</f>
        <v>2.8</v>
      </c>
      <c r="I48" t="str">
        <v>MSc Ricardo D. Lardizábal</v>
      </c>
    </row>
    <row r="49" ht="17.4" customHeight="1">
      <c r="B49" t="str">
        <v>NOTA: El Nitrato de Calcio se debe de diluir en un barril aparte para inyectarse al sistema</v>
      </c>
    </row>
    <row r="52">
      <c r="B52" t="str">
        <v>Abreviaciones usadas</v>
      </c>
    </row>
    <row r="53">
      <c r="B53" t="str">
        <v>Mz.-Manzanas, Ha-Hectáreas, Lbs-Libras, Lts-Litros y DDT-Días después de Trasplante</v>
      </c>
    </row>
  </sheetData>
  <sheetProtection sheet="1"/>
  <autoFilter ref="R16:S37"/>
  <mergeCells count="52">
    <mergeCell ref="P5:S7"/>
    <mergeCell ref="A8:N8"/>
    <mergeCell ref="P2:S3"/>
    <mergeCell ref="A10:B10"/>
    <mergeCell ref="G9:I9"/>
    <mergeCell ref="G10:I10"/>
    <mergeCell ref="A9:B9"/>
    <mergeCell ref="C9:F9"/>
    <mergeCell ref="C10:F10"/>
    <mergeCell ref="P9:S12"/>
    <mergeCell ref="B45:E45"/>
    <mergeCell ref="I48:Q48"/>
    <mergeCell ref="B47:E47"/>
    <mergeCell ref="G48:H48"/>
    <mergeCell ref="G47:H47"/>
    <mergeCell ref="G45:H45"/>
    <mergeCell ref="G46:H46"/>
    <mergeCell ref="I47:Q47"/>
    <mergeCell ref="B53:S53"/>
    <mergeCell ref="E14:F14"/>
    <mergeCell ref="B52:C52"/>
    <mergeCell ref="B48:E48"/>
    <mergeCell ref="B40:E40"/>
    <mergeCell ref="B42:E42"/>
    <mergeCell ref="B43:E43"/>
    <mergeCell ref="B44:E44"/>
    <mergeCell ref="B49:I50"/>
    <mergeCell ref="B46:E46"/>
    <mergeCell ref="C11:F11"/>
    <mergeCell ref="C12:F12"/>
    <mergeCell ref="G11:I11"/>
    <mergeCell ref="G12:I12"/>
    <mergeCell ref="A14:A15"/>
    <mergeCell ref="B14:B15"/>
    <mergeCell ref="A11:B11"/>
    <mergeCell ref="A12:B12"/>
    <mergeCell ref="G44:H44"/>
    <mergeCell ref="T14:T15"/>
    <mergeCell ref="O14:P14"/>
    <mergeCell ref="G14:H14"/>
    <mergeCell ref="I14:J14"/>
    <mergeCell ref="K14:L14"/>
    <mergeCell ref="M14:N14"/>
    <mergeCell ref="G40:H40"/>
    <mergeCell ref="G41:H41"/>
    <mergeCell ref="R14:S14"/>
    <mergeCell ref="G42:H42"/>
    <mergeCell ref="G43:H43"/>
    <mergeCell ref="J9:N9"/>
    <mergeCell ref="J10:N10"/>
    <mergeCell ref="J11:N11"/>
    <mergeCell ref="J12:N12"/>
  </mergeCells>
  <pageMargins left="0.25" right="0.25" top="0.48" bottom="0.8" header="0.25" footer="0.25"/>
  <ignoredErrors>
    <ignoredError numberStoredAsText="1" sqref="A1:V62"/>
  </ignoredErrors>
  <legacyDrawing r:id="rId1"/>
</worksheet>
</file>

<file path=xl/worksheets/sheet6.xml><?xml version="1.0" encoding="utf-8"?>
<worksheet xmlns="http://schemas.openxmlformats.org/spreadsheetml/2006/main" xmlns:r="http://schemas.openxmlformats.org/officeDocument/2006/relationships">
  <dimension ref="A1:V62"/>
  <sheetViews>
    <sheetView workbookViewId="0" rightToLeft="0"/>
  </sheetViews>
  <sheetData>
    <row r="1" ht="32.7" customHeight="1"/>
    <row r="2" ht="32.7" customHeight="1">
      <c r="P2" t="str">
        <v>Calendario de Fertilización para Goteo 2 Veces Por Semana</v>
      </c>
    </row>
    <row r="3" ht="32.7" customHeight="1"/>
    <row r="5">
      <c r="P5" t="str">
        <f>Main!$E$21</f>
        <v>Maíz Dulce</v>
      </c>
    </row>
    <row r="6" ht="29.25" customHeight="1"/>
    <row r="7" ht="26.25" customHeight="1"/>
    <row r="8" ht="25.95" customHeight="1">
      <c r="A8" t="str">
        <f>Main!$C$13</f>
        <v>"Sin Fertilización Base"</v>
      </c>
    </row>
    <row r="9" ht="20.1" customHeight="1">
      <c r="A9" t="str">
        <v>Productor</v>
      </c>
      <c r="C9" t="str">
        <f>Main!E17</f>
        <v>Hacienda Las Flores</v>
      </c>
      <c r="G9" t="str">
        <v>Parcela</v>
      </c>
      <c r="J9" t="str">
        <f>Main!E19</f>
        <v>Lote VI-B (f)</v>
      </c>
      <c r="P9" t="str">
        <f>Main!$G$21</f>
        <v>Golden Sweeter 93</v>
      </c>
    </row>
    <row r="10" ht="20.1" customHeight="1">
      <c r="A10" t="str">
        <v>Zona</v>
      </c>
      <c r="C10" t="str">
        <f>Main!E18</f>
        <v>Cantarranas</v>
      </c>
      <c r="G10" t="str">
        <v>Técnico</v>
      </c>
      <c r="J10" t="str">
        <f>Main!E20</f>
        <v>Jose de la Cruz Lainez</v>
      </c>
    </row>
    <row r="11" ht="20.1" customHeight="1">
      <c r="A11" t="str">
        <v>Área Mz.</v>
      </c>
      <c r="C11">
        <f>Main!E22</f>
        <v>2.12</v>
      </c>
      <c r="G11" t="str">
        <v>Fecha:</v>
      </c>
      <c r="J11">
        <f>Main!E23</f>
        <v>39959</v>
      </c>
    </row>
    <row r="12" ht="20.1" customHeight="1">
      <c r="A12" t="str">
        <v>Área Ha.</v>
      </c>
      <c r="C12">
        <f>Main!I22</f>
        <v>1.484</v>
      </c>
      <c r="G12" t="str">
        <v>Fecha de Cosecha:</v>
      </c>
      <c r="J12">
        <f>J11+Main!E24</f>
        <v>40032</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3</v>
      </c>
      <c r="C16">
        <f>$J$11+B16</f>
        <v>39962</v>
      </c>
      <c r="E16">
        <f>IF(((SUM(ReDiarioFert!C7:C13)/2)*$C$12)&lt;=0,"0",(((SUM(ReDiarioFert!C7:C13)/2)*$C$12)))</f>
        <v>25.58409077822666</v>
      </c>
      <c r="G16">
        <f>IF(((SUM(ReDiarioFert!E7:E13)/2)*$C$12)&lt;=0,"0",(((SUM(ReDiarioFert!E7:E13)/2)*$C$12)))</f>
        <v>12.058870506260869</v>
      </c>
      <c r="I16">
        <f>IF(((SUM(ReDiarioFert!G7:G13)/2)*$C$12)&lt;=0,"0",(((SUM(ReDiarioFert!G7:G13)/2)*$C$12)))</f>
        <v>30.624922920550002</v>
      </c>
      <c r="K16">
        <f>IF(((SUM(ReDiarioFert!I7:I13)/2)*$C$12)&lt;=0,"0",(((SUM(ReDiarioFert!I7:I13)/2)*$C$12)))</f>
        <v>19.6555613118794</v>
      </c>
      <c r="M16">
        <f>IF(((SUM(ReDiarioFert!K7:K13)/2)*$C$12)&lt;=0,"0",(((SUM(ReDiarioFert!K7:K13)/2)*$C$12)))</f>
        <v>40.51520775004948</v>
      </c>
      <c r="O16">
        <f>IF(((SUM(ReDiarioFert!M7:M13)/2)*$C$12)&lt;=0,"0",(((SUM(ReDiarioFert!M7:M13)/2)*$C$12)))</f>
        <v>0.0264509644</v>
      </c>
      <c r="Q16">
        <f>$C$12*Main!$D$63</f>
        <v>29.68</v>
      </c>
      <c r="S16">
        <f>((E16/100)*$G$42+(G16/100)*$G$43+(I16/100)*$G$44+(K16/100)*$G$45+(M16/100)*$G$46+(O16)*$G$47+(Q16*$G$48))</f>
        <v>1265.573108240411</v>
      </c>
    </row>
    <row r="17" ht="18.75" customHeight="1">
      <c r="B17">
        <v>7</v>
      </c>
      <c r="C17">
        <f>$J$11+B17</f>
        <v>39966</v>
      </c>
      <c r="E17">
        <f>E16</f>
        <v>25.58409077822666</v>
      </c>
      <c r="G17">
        <f>G16</f>
        <v>12.058870506260869</v>
      </c>
      <c r="I17">
        <f>I16</f>
        <v>30.624922920550002</v>
      </c>
      <c r="K17">
        <f>K16</f>
        <v>19.6555613118794</v>
      </c>
      <c r="M17">
        <f>M16</f>
        <v>40.51520775004948</v>
      </c>
      <c r="O17">
        <f>O16</f>
        <v>0.0264509644</v>
      </c>
      <c r="S17">
        <f>((E17/100)*$G$42+(G17/100)*$G$43+(I17/100)*$G$44+(K17/100)*$G$45+(M17/100)*$G$46+(O17)*$G$47+(Q17*$G$48))</f>
        <v>1182.469108240411</v>
      </c>
    </row>
    <row r="18">
      <c r="A18">
        <v>2</v>
      </c>
      <c r="B18">
        <f>B17+3</f>
        <v>10</v>
      </c>
      <c r="C18">
        <f>$J$11+B18</f>
        <v>39969</v>
      </c>
      <c r="E18">
        <f>IF(((SUM(ReDiarioFert!C14:C20)/2)*$C$12)&lt;=0,"0",(((SUM(ReDiarioFert!C14:C20)/2)*$C$12)))</f>
        <v>44.54935407382271</v>
      </c>
      <c r="G18">
        <f>IF(((SUM(ReDiarioFert!E14:E20)/2)*$C$12)&lt;=0,"0",(((SUM(ReDiarioFert!E14:E20)/2)*$C$12)))</f>
        <v>14.509122053086957</v>
      </c>
      <c r="I18">
        <f>IF(((SUM(ReDiarioFert!G14:G20)/2)*$C$12)&lt;=0,"0",(((SUM(ReDiarioFert!G14:G20)/2)*$C$12)))</f>
        <v>50.7607895592</v>
      </c>
      <c r="K18">
        <f>IF(((SUM(ReDiarioFert!I14:I20)/2)*$C$12)&lt;=0,"0",(((SUM(ReDiarioFert!I14:I20)/2)*$C$12)))</f>
        <v>32.57907992156164</v>
      </c>
      <c r="M18">
        <f>IF(((SUM(ReDiarioFert!K14:K20)/2)*$C$12)&lt;=0,"0",(((SUM(ReDiarioFert!K14:K20)/2)*$C$12)))</f>
        <v>67.15393014646635</v>
      </c>
      <c r="O18">
        <f>IF(((SUM(ReDiarioFert!M14:M20)/2)*$C$12)&lt;=0,"0",(((SUM(ReDiarioFert!M14:M20)/2)*$C$12)))</f>
        <v>0.0385428932</v>
      </c>
      <c r="Q18">
        <f>$C$12*Main!$D$63</f>
        <v>29.68</v>
      </c>
      <c r="S18">
        <f>((E18/100)*$G$42+(G18/100)*$G$43+(I18/100)*$G$44+(K18/100)*$G$45+(M18/100)*$G$46+(O18)*$G$47+(Q18*$G$48))</f>
        <v>1991.2387063438323</v>
      </c>
    </row>
    <row r="19">
      <c r="B19">
        <f>B18+4</f>
        <v>14</v>
      </c>
      <c r="C19">
        <f>$J$11+B19</f>
        <v>39973</v>
      </c>
      <c r="E19">
        <f>E18</f>
        <v>44.54935407382271</v>
      </c>
      <c r="G19">
        <f>G18</f>
        <v>14.509122053086957</v>
      </c>
      <c r="I19">
        <f>I18</f>
        <v>50.7607895592</v>
      </c>
      <c r="K19">
        <f>K18</f>
        <v>32.57907992156164</v>
      </c>
      <c r="M19">
        <f>M18</f>
        <v>67.15393014646635</v>
      </c>
      <c r="O19">
        <f>O18</f>
        <v>0.0385428932</v>
      </c>
      <c r="S19">
        <f>((E19/100)*$G$42+(G19/100)*$G$43+(I19/100)*$G$44+(K19/100)*$G$45+(M19/100)*$G$46+(O19)*$G$47+(Q19*$G$48))</f>
        <v>1908.1347063438322</v>
      </c>
    </row>
    <row r="20">
      <c r="A20">
        <v>3</v>
      </c>
      <c r="B20">
        <f>B19+3</f>
        <v>17</v>
      </c>
      <c r="C20">
        <f>$J$11+B20</f>
        <v>39976</v>
      </c>
      <c r="E20">
        <f>IF(((SUM(ReDiarioFert!C21:C27)/2)*$C$12)&lt;=0,"0",(((SUM(ReDiarioFert!C21:C27)/2)*$C$12)))</f>
        <v>45.17491508603118</v>
      </c>
      <c r="G20">
        <f>IF(((SUM(ReDiarioFert!E21:E27)/2)*$C$12)&lt;=0,"0",(((SUM(ReDiarioFert!E21:E27)/2)*$C$12)))</f>
        <v>28.199865949043488</v>
      </c>
      <c r="I20">
        <f>IF(((SUM(ReDiarioFert!G21:G27)/2)*$C$12)&lt;=0,"0",(((SUM(ReDiarioFert!G21:G27)/2)*$C$12)))</f>
        <v>56.80720040204999</v>
      </c>
      <c r="K20">
        <f>IF(((SUM(ReDiarioFert!I21:I27)/2)*$C$12)&lt;=0,"0",(((SUM(ReDiarioFert!I21:I27)/2)*$C$12)))</f>
        <v>36.45976231043722</v>
      </c>
      <c r="M20">
        <f>IF(((SUM(ReDiarioFert!K21:K27)/2)*$C$12)&lt;=0,"0",(((SUM(ReDiarioFert!K21:K27)/2)*$C$12)))</f>
        <v>75.15302265278048</v>
      </c>
      <c r="O20">
        <f>IF(((SUM(ReDiarioFert!M21:M27)/2)*$C$12)&lt;=0,"0",(((SUM(ReDiarioFert!M21:M27)/2)*$C$12)))</f>
        <v>0.05668056380000001</v>
      </c>
      <c r="Q20">
        <f>$C$12*Main!$D$63</f>
        <v>29.68</v>
      </c>
      <c r="S20">
        <f>((E20/100)*$G$42+(G20/100)*$G$43+(I20/100)*$G$44+(K20/100)*$G$45+(M20/100)*$G$46+(O20)*$G$47+(Q20*$G$48))</f>
        <v>2331.6510913365573</v>
      </c>
    </row>
    <row r="21">
      <c r="B21">
        <f>B20+4</f>
        <v>21</v>
      </c>
      <c r="C21">
        <f>$J$11+B21</f>
        <v>39980</v>
      </c>
      <c r="E21">
        <f>E20</f>
        <v>45.17491508603118</v>
      </c>
      <c r="G21">
        <f>G20</f>
        <v>28.199865949043488</v>
      </c>
      <c r="I21">
        <f>I20</f>
        <v>56.80720040204999</v>
      </c>
      <c r="K21">
        <f>K20</f>
        <v>36.45976231043722</v>
      </c>
      <c r="M21">
        <f>M20</f>
        <v>75.15302265278048</v>
      </c>
      <c r="O21">
        <f>O20</f>
        <v>0.05668056380000001</v>
      </c>
      <c r="S21">
        <f>((E21/100)*$G$42+(G21/100)*$G$43+(I21/100)*$G$44+(K21/100)*$G$45+(M21/100)*$G$46+(O21)*$G$47+(Q21*$G$48))</f>
        <v>2248.5470913365575</v>
      </c>
    </row>
    <row r="22">
      <c r="A22">
        <v>4</v>
      </c>
      <c r="B22">
        <f>B21+3</f>
        <v>24</v>
      </c>
      <c r="C22">
        <f>$J$11+B22</f>
        <v>39983</v>
      </c>
      <c r="E22">
        <f>IF(((SUM(ReDiarioFert!C28:C34)/2)*$C$12)&lt;=0,"0",(((SUM(ReDiarioFert!C28:C34)/2)*$C$12)))</f>
        <v>45.17491508603118</v>
      </c>
      <c r="G22">
        <f>IF(((SUM(ReDiarioFert!E28:E34)/2)*$C$12)&lt;=0,"0",(((SUM(ReDiarioFert!E28:E34)/2)*$C$12)))</f>
        <v>28.199865949043488</v>
      </c>
      <c r="I22">
        <f>IF(((SUM(ReDiarioFert!G28:G34)/2)*$C$12)&lt;=0,"0",(((SUM(ReDiarioFert!G28:G34)/2)*$C$12)))</f>
        <v>56.80720040204999</v>
      </c>
      <c r="K22">
        <f>IF(((SUM(ReDiarioFert!I28:I34)/2)*$C$12)&lt;=0,"0",(((SUM(ReDiarioFert!I28:I34)/2)*$C$12)))</f>
        <v>36.45976231043722</v>
      </c>
      <c r="M22">
        <f>IF(((SUM(ReDiarioFert!K28:K34)/2)*$C$12)&lt;=0,"0",(((SUM(ReDiarioFert!K28:K34)/2)*$C$12)))</f>
        <v>75.15302265278048</v>
      </c>
      <c r="O22">
        <f>IF(((SUM(ReDiarioFert!M28:M34)/2)*$C$12)&lt;=0,"0",(((SUM(ReDiarioFert!M28:M34)/2)*$C$12)))</f>
        <v>0.06348210680000001</v>
      </c>
      <c r="Q22">
        <f>$C$12*Main!$D$63</f>
        <v>29.68</v>
      </c>
      <c r="S22">
        <f>((E22/100)*$G$42+(G22/100)*$G$43+(I22/100)*$G$44+(K22/100)*$G$45+(M22/100)*$G$46+(O22)*$G$47+(Q22*$G$48))</f>
        <v>2331.6510913365573</v>
      </c>
    </row>
    <row r="23">
      <c r="B23">
        <f>B22+4</f>
        <v>28</v>
      </c>
      <c r="C23">
        <f>$J$11+B23</f>
        <v>39987</v>
      </c>
      <c r="E23">
        <f>E22</f>
        <v>45.17491508603118</v>
      </c>
      <c r="G23">
        <f>G22</f>
        <v>28.199865949043488</v>
      </c>
      <c r="I23">
        <f>I22</f>
        <v>56.80720040204999</v>
      </c>
      <c r="K23">
        <f>K22</f>
        <v>36.45976231043722</v>
      </c>
      <c r="M23">
        <f>M22</f>
        <v>75.15302265278048</v>
      </c>
      <c r="O23">
        <f>O22</f>
        <v>0.06348210680000001</v>
      </c>
      <c r="S23">
        <f>((E23/100)*$G$42+(G23/100)*$G$43+(I23/100)*$G$44+(K23/100)*$G$45+(M23/100)*$G$46+(O23)*$G$47+(Q23*$G$48))</f>
        <v>2248.5470913365575</v>
      </c>
    </row>
    <row r="24">
      <c r="A24">
        <v>5</v>
      </c>
      <c r="B24">
        <f>B23+3</f>
        <v>31</v>
      </c>
      <c r="C24">
        <f>$J$11+B24</f>
        <v>39990</v>
      </c>
      <c r="E24">
        <f>IF(((SUM(ReDiarioFert!C35:C41)/2)*$C$12)&lt;=0,"0",(((SUM(ReDiarioFert!C35:C41)/2)*$C$12)))</f>
        <v>64.58615010055563</v>
      </c>
      <c r="G24">
        <f>IF(((SUM(ReDiarioFert!E35:E41)/2)*$C$12)&lt;=0,"0",(((SUM(ReDiarioFert!E35:E41)/2)*$C$12)))</f>
        <v>34.18047195652174</v>
      </c>
      <c r="I24">
        <f>IF(((SUM(ReDiarioFert!G35:G41)/2)*$C$12)&lt;=0,"0",(((SUM(ReDiarioFert!G35:G41)/2)*$C$12)))</f>
        <v>78.78990874451665</v>
      </c>
      <c r="K24">
        <f>IF(((SUM(ReDiarioFert!I35:I41)/2)*$C$12)&lt;=0,"0",(((SUM(ReDiarioFert!I35:I41)/2)*$C$12)))</f>
        <v>50.56861322077142</v>
      </c>
      <c r="M24">
        <f>IF(((SUM(ReDiarioFert!K35:K41)/2)*$C$12)&lt;=0,"0",(((SUM(ReDiarioFert!K35:K41)/2)*$C$12)))</f>
        <v>104.23502222921528</v>
      </c>
      <c r="O24">
        <f>IF(((SUM(ReDiarioFert!M35:M41)/2)*$C$12)&lt;=0,"0",(((SUM(ReDiarioFert!M35:M41)/2)*$C$12)))</f>
        <v>0.07481845699999999</v>
      </c>
      <c r="Q24">
        <f>$C$12*Main!$D$63</f>
        <v>29.68</v>
      </c>
      <c r="S24">
        <f>((E24/100)*$G$42+(G24/100)*$G$43+(I24/100)*$G$44+(K24/100)*$G$45+(M24/100)*$G$46+(O24)*$G$47+(Q24*$G$48))</f>
        <v>3155.1336835900065</v>
      </c>
    </row>
    <row r="25">
      <c r="B25">
        <f>B24+4</f>
        <v>35</v>
      </c>
      <c r="C25">
        <f>$J$11+B25</f>
        <v>39994</v>
      </c>
      <c r="E25">
        <f>E24</f>
        <v>64.58615010055563</v>
      </c>
      <c r="G25">
        <f>G24</f>
        <v>34.18047195652174</v>
      </c>
      <c r="I25">
        <f>I24</f>
        <v>78.78990874451665</v>
      </c>
      <c r="K25">
        <f>K24</f>
        <v>50.56861322077142</v>
      </c>
      <c r="M25">
        <f>M24</f>
        <v>104.23502222921528</v>
      </c>
      <c r="O25">
        <f>O24</f>
        <v>0.07481845699999999</v>
      </c>
      <c r="S25">
        <f>((E25/100)*$G$42+(G25/100)*$G$43+(I25/100)*$G$44+(K25/100)*$G$45+(M25/100)*$G$46+(O25)*$G$47+(Q25*$G$48))</f>
        <v>3072.0296835900067</v>
      </c>
    </row>
    <row r="26">
      <c r="A26">
        <v>6</v>
      </c>
      <c r="B26">
        <f>B25+3</f>
        <v>38</v>
      </c>
      <c r="C26">
        <f>$J$11+B26</f>
        <v>39997</v>
      </c>
      <c r="E26">
        <f>IF(((SUM(ReDiarioFert!C42:C48)/2)*$C$12)&lt;=0,"0",(((SUM(ReDiarioFert!C42:C48)/2)*$C$12)))</f>
        <v>51.95414587862169</v>
      </c>
      <c r="G26">
        <f>IF(((SUM(ReDiarioFert!E42:E48)/2)*$C$12)&lt;=0,"0",(((SUM(ReDiarioFert!E42:E48)/2)*$C$12)))</f>
        <v>34.18047195652174</v>
      </c>
      <c r="I26">
        <f>IF(((SUM(ReDiarioFert!G42:G48)/2)*$C$12)&lt;=0,"0",(((SUM(ReDiarioFert!G42:G48)/2)*$C$12)))</f>
        <v>66.97142243283918</v>
      </c>
      <c r="K26">
        <f>IF(((SUM(ReDiarioFert!I42:I48)/2)*$C$12)&lt;=0,"0",(((SUM(ReDiarioFert!I42:I48)/2)*$C$12)))</f>
        <v>42.9833212376557</v>
      </c>
      <c r="M26">
        <f>IF(((SUM(ReDiarioFert!K42:K48)/2)*$C$12)&lt;=0,"0",(((SUM(ReDiarioFert!K42:K48)/2)*$C$12)))</f>
        <v>88.59976889483298</v>
      </c>
      <c r="O26">
        <f>IF(((SUM(ReDiarioFert!M42:M48)/2)*$C$12)&lt;=0,"0",(((SUM(ReDiarioFert!M42:M48)/2)*$C$12)))</f>
        <v>0.08993359059999999</v>
      </c>
      <c r="Q26">
        <f>$C$12*Main!$D$63</f>
        <v>29.68</v>
      </c>
      <c r="S26">
        <f>((E26/100)*$G$42+(G26/100)*$G$43+(I26/100)*$G$44+(K26/100)*$G$45+(M26/100)*$G$46+(O26)*$G$47+(Q26*$G$48))</f>
        <v>2736.7175494787157</v>
      </c>
    </row>
    <row r="27">
      <c r="B27">
        <f>B26+4</f>
        <v>42</v>
      </c>
      <c r="C27">
        <f>$J$11+B27</f>
        <v>40001</v>
      </c>
      <c r="E27">
        <f>E26</f>
        <v>51.95414587862169</v>
      </c>
      <c r="G27">
        <f>G26</f>
        <v>34.18047195652174</v>
      </c>
      <c r="I27">
        <f>I26</f>
        <v>66.97142243283918</v>
      </c>
      <c r="K27">
        <f>K26</f>
        <v>42.9833212376557</v>
      </c>
      <c r="M27">
        <f>M26</f>
        <v>88.59976889483298</v>
      </c>
      <c r="O27">
        <f>O26</f>
        <v>0.08993359059999999</v>
      </c>
      <c r="S27">
        <f>((E27/100)*$G$42+(G27/100)*$G$43+(I27/100)*$G$44+(K27/100)*$G$45+(M27/100)*$G$46+(O27)*$G$47+(Q27*$G$48))</f>
        <v>2653.613549478716</v>
      </c>
    </row>
    <row r="28">
      <c r="A28">
        <v>7</v>
      </c>
      <c r="B28">
        <f>B27+3</f>
        <v>45</v>
      </c>
      <c r="C28">
        <f>$J$11+B28</f>
        <v>40004</v>
      </c>
      <c r="E28">
        <f>IF(((SUM(ReDiarioFert!C49:C55)/2)*$C$12)&lt;=0,"0",(((SUM(ReDiarioFert!C49:C55)/2)*$C$12)))</f>
        <v>45.01434906458674</v>
      </c>
      <c r="G28">
        <f>IF(((SUM(ReDiarioFert!E49:E55)/2)*$C$12)&lt;=0,"0",(((SUM(ReDiarioFert!E49:E55)/2)*$C$12)))</f>
        <v>34.18047195652174</v>
      </c>
      <c r="I28">
        <f>IF(((SUM(ReDiarioFert!G49:G55)/2)*$C$12)&lt;=0,"0",(((SUM(ReDiarioFert!G49:G55)/2)*$C$12)))</f>
        <v>60.230898694166655</v>
      </c>
      <c r="K28">
        <f>IF(((SUM(ReDiarioFert!I49:I55)/2)*$C$12)&lt;=0,"0",(((SUM(ReDiarioFert!I49:I55)/2)*$C$12)))</f>
        <v>38.65714618201979</v>
      </c>
      <c r="M28">
        <f>IF(((SUM(ReDiarioFert!K49:K55)/2)*$C$12)&lt;=0,"0",(((SUM(ReDiarioFert!K49:K55)/2)*$C$12)))</f>
        <v>79.682400504227</v>
      </c>
      <c r="O28">
        <f>IF(((SUM(ReDiarioFert!M49:M55)/2)*$C$12)&lt;=0,"0",(((SUM(ReDiarioFert!M49:M55)/2)*$C$12)))</f>
        <v>0.099002463</v>
      </c>
      <c r="Q28">
        <f>$C$12*Main!$D$63</f>
        <v>29.68</v>
      </c>
      <c r="S28">
        <f>((E28/100)*$G$42+(G28/100)*$G$43+(I28/100)*$G$44+(K28/100)*$G$45+(M28/100)*$G$46+(O28)*$G$47+(Q28*$G$48))</f>
        <v>2499.79980795008</v>
      </c>
    </row>
    <row r="29">
      <c r="B29">
        <f>B28+4</f>
        <v>49</v>
      </c>
      <c r="C29">
        <f>$J$11+B29</f>
        <v>40008</v>
      </c>
      <c r="E29">
        <f>E28</f>
        <v>45.01434906458674</v>
      </c>
      <c r="G29">
        <f>G28</f>
        <v>34.18047195652174</v>
      </c>
      <c r="I29">
        <f>I28</f>
        <v>60.230898694166655</v>
      </c>
      <c r="K29">
        <f>K28</f>
        <v>38.65714618201979</v>
      </c>
      <c r="M29">
        <f>M28</f>
        <v>79.682400504227</v>
      </c>
      <c r="O29">
        <f>O28</f>
        <v>0.099002463</v>
      </c>
      <c r="S29">
        <f>((E29/100)*$G$42+(G29/100)*$G$43+(I29/100)*$G$44+(K29/100)*$G$45+(M29/100)*$G$46+(O29)*$G$47+(Q29*$G$48))</f>
        <v>2416.69580795008</v>
      </c>
    </row>
    <row r="30">
      <c r="A30">
        <v>8</v>
      </c>
      <c r="B30">
        <f>B29+3</f>
        <v>52</v>
      </c>
      <c r="C30">
        <f>$J$11+B30</f>
        <v>40011</v>
      </c>
      <c r="E30">
        <f>IF(((SUM(ReDiarioFert!C56:C62)/2)*$C$12)&lt;=0,"0",(((SUM(ReDiarioFert!C56:C62)/2)*$C$12)))</f>
        <v>38.0165213876139</v>
      </c>
      <c r="G30">
        <f>IF(((SUM(ReDiarioFert!E56:E62)/2)*$C$12)&lt;=0,"0",(((SUM(ReDiarioFert!E56:E62)/2)*$C$12)))</f>
        <v>34.18047195652174</v>
      </c>
      <c r="I30">
        <f>IF(((SUM(ReDiarioFert!G56:G62)/2)*$C$12)&lt;=0,"0",(((SUM(ReDiarioFert!G56:G62)/2)*$C$12)))</f>
        <v>60.230898694166655</v>
      </c>
      <c r="K30">
        <f>IF(((SUM(ReDiarioFert!I56:I62)/2)*$C$12)&lt;=0,"0",(((SUM(ReDiarioFert!I56:I62)/2)*$C$12)))</f>
        <v>38.65714618201979</v>
      </c>
      <c r="M30">
        <f>IF(((SUM(ReDiarioFert!K56:K62)/2)*$C$12)&lt;=0,"0",(((SUM(ReDiarioFert!K56:K62)/2)*$C$12)))</f>
        <v>79.682400504227</v>
      </c>
      <c r="O30">
        <f>IF(((SUM(ReDiarioFert!M56:M62)/2)*$C$12)&lt;=0,"0",(((SUM(ReDiarioFert!M56:M62)/2)*$C$12)))</f>
        <v>0.12167464399999998</v>
      </c>
      <c r="Q30">
        <f>$C$12*Main!$D$63</f>
        <v>29.68</v>
      </c>
      <c r="S30">
        <f>((E30/100)*$G$42+(G30/100)*$G$43+(I30/100)*$G$44+(K30/100)*$G$45+(M30/100)*$G$46+(O30)*$G$47+(Q30*$G$48))</f>
        <v>2454.3139280497558</v>
      </c>
    </row>
    <row r="31">
      <c r="B31">
        <f>B30+4</f>
        <v>56</v>
      </c>
      <c r="C31">
        <f>$J$11+B31</f>
        <v>40015</v>
      </c>
      <c r="E31">
        <f>E30</f>
        <v>38.0165213876139</v>
      </c>
      <c r="G31">
        <f>G30</f>
        <v>34.18047195652174</v>
      </c>
      <c r="I31">
        <f>I30</f>
        <v>60.230898694166655</v>
      </c>
      <c r="K31">
        <f>K30</f>
        <v>38.65714618201979</v>
      </c>
      <c r="M31">
        <f>M30</f>
        <v>79.682400504227</v>
      </c>
      <c r="O31">
        <f>O30</f>
        <v>0.12167464399999998</v>
      </c>
      <c r="S31">
        <f>((E31/100)*$G$42+(G31/100)*$G$43+(I31/100)*$G$44+(K31/100)*$G$45+(M31/100)*$G$46+(O31)*$G$47+(Q31*$G$48))</f>
        <v>2371.209928049756</v>
      </c>
    </row>
    <row r="32">
      <c r="A32">
        <v>9</v>
      </c>
      <c r="B32">
        <f>B31+3</f>
        <v>59</v>
      </c>
      <c r="C32">
        <f>$J$11+B32</f>
        <v>40018</v>
      </c>
      <c r="E32">
        <f>IF(((SUM(ReDiarioFert!C63:C69)/2)*$C$12)&lt;=0,"0",(((SUM(ReDiarioFert!C63:C69)/2)*$C$12)))</f>
        <v>20.52195219518178</v>
      </c>
      <c r="G32">
        <f>IF(((SUM(ReDiarioFert!E63:E69)/2)*$C$12)&lt;=0,"0",(((SUM(ReDiarioFert!E63:E69)/2)*$C$12)))</f>
        <v>34.18047195652174</v>
      </c>
      <c r="I32">
        <f>IF(((SUM(ReDiarioFert!G63:G69)/2)*$C$12)&lt;=0,"0",(((SUM(ReDiarioFert!G63:G69)/2)*$C$12)))</f>
        <v>60.230898694166655</v>
      </c>
      <c r="K32">
        <f>IF(((SUM(ReDiarioFert!I63:I69)/2)*$C$12)&lt;=0,"0",(((SUM(ReDiarioFert!I63:I69)/2)*$C$12)))</f>
        <v>38.65714618201979</v>
      </c>
      <c r="M32">
        <f>IF(((SUM(ReDiarioFert!K63:K69)/2)*$C$12)&lt;=0,"0",(((SUM(ReDiarioFert!K63:K69)/2)*$C$12)))</f>
        <v>79.682400504227</v>
      </c>
      <c r="O32">
        <f>IF(((SUM(ReDiarioFert!M63:M69)/2)*$C$12)&lt;=0,"0",(((SUM(ReDiarioFert!M63:M69)/2)*$C$12)))</f>
        <v>0.1262091544</v>
      </c>
      <c r="Q32">
        <f>$C$12*Main!$D$63</f>
        <v>29.68</v>
      </c>
      <c r="S32">
        <f>((E32/100)*$G$42+(G32/100)*$G$43+(I32/100)*$G$44+(K32/100)*$G$45+(M32/100)*$G$46+(O32)*$G$47+(Q32*$G$48))</f>
        <v>2340.5992282989473</v>
      </c>
    </row>
    <row r="33">
      <c r="B33">
        <f>B32+4</f>
        <v>63</v>
      </c>
      <c r="C33">
        <f>$J$11+B33</f>
        <v>40022</v>
      </c>
      <c r="E33">
        <f>E32</f>
        <v>20.52195219518178</v>
      </c>
      <c r="G33">
        <f>G32</f>
        <v>34.18047195652174</v>
      </c>
      <c r="I33">
        <f>I32</f>
        <v>60.230898694166655</v>
      </c>
      <c r="K33">
        <f>K32</f>
        <v>38.65714618201979</v>
      </c>
      <c r="M33">
        <f>M32</f>
        <v>79.682400504227</v>
      </c>
      <c r="O33">
        <f>O32</f>
        <v>0.1262091544</v>
      </c>
      <c r="S33">
        <f>((E33/100)*$G$42+(G33/100)*$G$43+(I33/100)*$G$44+(K33/100)*$G$45+(M33/100)*$G$46+(O33)*$G$47+(Q33*$G$48))</f>
        <v>2257.4952282989475</v>
      </c>
    </row>
    <row r="34">
      <c r="A34">
        <v>10</v>
      </c>
      <c r="B34">
        <f>B33+3</f>
        <v>66</v>
      </c>
      <c r="C34">
        <f>$J$11+B34</f>
        <v>40025</v>
      </c>
      <c r="E34">
        <f>IF(((SUM(ReDiarioFert!C70:C76)/2)*$C$12)&lt;=0,"0",(((SUM(ReDiarioFert!C70:C76)/2)*$C$12)))</f>
        <v>8.839947579750051</v>
      </c>
      <c r="G34">
        <f>IF(((SUM(ReDiarioFert!E70:E76)/2)*$C$12)&lt;=0,"0",(((SUM(ReDiarioFert!E70:E76)/2)*$C$12)))</f>
        <v>34.18047195652174</v>
      </c>
      <c r="I34">
        <f>IF(((SUM(ReDiarioFert!G70:G76)/2)*$C$12)&lt;=0,"0",(((SUM(ReDiarioFert!G70:G76)/2)*$C$12)))</f>
        <v>60.230898694166655</v>
      </c>
      <c r="K34">
        <f>IF(((SUM(ReDiarioFert!I70:I76)/2)*$C$12)&lt;=0,"0",(((SUM(ReDiarioFert!I70:I76)/2)*$C$12)))</f>
        <v>38.65714618201979</v>
      </c>
      <c r="M34">
        <f>IF(((SUM(ReDiarioFert!K70:K76)/2)*$C$12)&lt;=0,"0",(((SUM(ReDiarioFert!K70:K76)/2)*$C$12)))</f>
        <v>79.682400504227</v>
      </c>
      <c r="O34">
        <f>IF(((SUM(ReDiarioFert!M70:M76)/2)*$C$12)&lt;=0,"0",(((SUM(ReDiarioFert!M70:M76)/2)*$C$12)))</f>
        <v>0.15341621679999998</v>
      </c>
      <c r="Q34">
        <f>$C$12*Main!$D$63</f>
        <v>29.68</v>
      </c>
      <c r="S34">
        <f>((E34/100)*$G$42+(G34/100)*$G$43+(I34/100)*$G$44+(K34/100)*$G$45+(M34/100)*$G$46+(O34)*$G$47+(Q34*$G$48))</f>
        <v>2264.666198298641</v>
      </c>
    </row>
    <row r="35">
      <c r="B35">
        <f>B34+4</f>
        <v>70</v>
      </c>
      <c r="C35">
        <f>$J$11+B35</f>
        <v>40029</v>
      </c>
      <c r="E35">
        <f>E34</f>
        <v>8.839947579750051</v>
      </c>
      <c r="G35">
        <f>G34</f>
        <v>34.18047195652174</v>
      </c>
      <c r="I35">
        <f>I34</f>
        <v>60.230898694166655</v>
      </c>
      <c r="K35">
        <f>K34</f>
        <v>38.65714618201979</v>
      </c>
      <c r="M35">
        <f>M34</f>
        <v>79.682400504227</v>
      </c>
      <c r="O35">
        <f>O34</f>
        <v>0.15341621679999998</v>
      </c>
      <c r="S35">
        <f>((E35/100)*$G$42+(G35/100)*$G$43+(I35/100)*$G$44+(K35/100)*$G$45+(M35/100)*$G$46+(O35)*$G$47+(Q35*$G$48))</f>
        <v>2181.5621982986413</v>
      </c>
    </row>
    <row r="36">
      <c r="A36">
        <v>11</v>
      </c>
      <c r="B36">
        <f>B35+3</f>
        <v>73</v>
      </c>
      <c r="C36">
        <f>$J$11+B36</f>
        <v>40032</v>
      </c>
      <c r="E36">
        <f>IF(((SUM(ReDiarioFert!C77:C83)/2)*$C$12)&lt;=0,"0",(((SUM(ReDiarioFert!C77:C83)/2)*$C$12)))</f>
        <v>8.839947579750051</v>
      </c>
      <c r="G36">
        <f>IF(((SUM(ReDiarioFert!E77:E83)/2)*$C$12)&lt;=0,"0",(((SUM(ReDiarioFert!E77:E83)/2)*$C$12)))</f>
        <v>34.18047195652174</v>
      </c>
      <c r="I36">
        <f>IF(((SUM(ReDiarioFert!G77:G83)/2)*$C$12)&lt;=0,"0",(((SUM(ReDiarioFert!G77:G83)/2)*$C$12)))</f>
        <v>60.230898694166655</v>
      </c>
      <c r="K36">
        <f>IF(((SUM(ReDiarioFert!I77:I83)/2)*$C$12)&lt;=0,"0",(((SUM(ReDiarioFert!I77:I83)/2)*$C$12)))</f>
        <v>38.65714618201979</v>
      </c>
      <c r="M36">
        <f>IF(((SUM(ReDiarioFert!K77:K83)/2)*$C$12)&lt;=0,"0",(((SUM(ReDiarioFert!K77:K83)/2)*$C$12)))</f>
        <v>79.682400504227</v>
      </c>
      <c r="O36">
        <f>IF(((SUM(ReDiarioFert!M77:M83)/2)*$C$12)&lt;=0,"0",(((SUM(ReDiarioFert!M77:M83)/2)*$C$12)))</f>
        <v>0.15341621679999998</v>
      </c>
      <c r="Q36">
        <f>$C$12*Main!$D$63</f>
        <v>29.68</v>
      </c>
      <c r="S36">
        <f>((E36/100)*$G$42+(G36/100)*$G$43+(I36/100)*$G$44+(K36/100)*$G$45+(M36/100)*$G$46+(O36)*$G$47+(Q36*$G$48))</f>
        <v>2264.666198298641</v>
      </c>
    </row>
    <row r="37">
      <c r="B37">
        <f>B36+4</f>
        <v>77</v>
      </c>
      <c r="C37">
        <f>$J$11+B37</f>
        <v>40036</v>
      </c>
      <c r="E37">
        <f>E36</f>
        <v>8.839947579750051</v>
      </c>
      <c r="G37">
        <f>G36</f>
        <v>34.18047195652174</v>
      </c>
      <c r="I37">
        <f>I36</f>
        <v>60.230898694166655</v>
      </c>
      <c r="K37">
        <f>K36</f>
        <v>38.65714618201979</v>
      </c>
      <c r="M37">
        <f>M36</f>
        <v>79.682400504227</v>
      </c>
      <c r="O37">
        <f>O36</f>
        <v>0.15341621679999998</v>
      </c>
      <c r="S37">
        <f>((E37/100)*$G$42+(G37/100)*$G$43+(I37/100)*$G$44+(K37/100)*$G$45+(M37/100)*$G$46+(O37)*$G$47+(Q37*$G$48))</f>
        <v>2181.5621982986413</v>
      </c>
    </row>
    <row r="38">
      <c r="C38" t="str">
        <v>Total</v>
      </c>
      <c r="E38">
        <f>SUM(E16:E37)</f>
        <v>796.5125776203434</v>
      </c>
      <c r="G38">
        <f>SUM(G16:G37)</f>
        <v>644.4620563061738</v>
      </c>
      <c r="I38">
        <f>SUM(I16:I37)</f>
        <v>1283.831875864078</v>
      </c>
      <c r="K38">
        <f>SUM(K16:K37)</f>
        <v>823.9836624456832</v>
      </c>
      <c r="M38">
        <f>SUM(M16:M37)</f>
        <v>1698.4439536945197</v>
      </c>
      <c r="O38">
        <f>SUM(O16:O37)</f>
        <v>2.0072545415999996</v>
      </c>
      <c r="Q38">
        <f>SUM(Q16:Q37)</f>
        <v>326.48</v>
      </c>
      <c r="S38">
        <f>SUM(S16:S37)</f>
        <v>50357.87718244429</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Urea</v>
      </c>
      <c r="F42">
        <f>E38/C12</f>
        <v>536.7335428708514</v>
      </c>
      <c r="G42">
        <f>Main!D43</f>
        <v>650</v>
      </c>
    </row>
    <row r="43">
      <c r="B43" t="str">
        <f>Main!D32</f>
        <v>DAP 18-46-0</v>
      </c>
      <c r="F43">
        <f>G38/C12</f>
        <v>434.27362284782606</v>
      </c>
      <c r="G43">
        <f>Main!D33</f>
        <v>1200</v>
      </c>
    </row>
    <row r="44">
      <c r="B44" t="str">
        <f>Main!D37</f>
        <v>Kcl Soluble</v>
      </c>
      <c r="F44">
        <f>I38/C12</f>
        <v>865.1158193154165</v>
      </c>
      <c r="G44">
        <f>Main!D38</f>
        <v>780</v>
      </c>
    </row>
    <row r="45">
      <c r="B45" t="str">
        <f>Main!D47</f>
        <v>Sulfato de Magnesio</v>
      </c>
      <c r="F45">
        <f>K38/C12</f>
        <v>555.2450555563903</v>
      </c>
      <c r="G45">
        <f>Main!D48</f>
        <v>951</v>
      </c>
    </row>
    <row r="46">
      <c r="B46" t="str">
        <f>Main!D52</f>
        <v>Nitrato de Calcio</v>
      </c>
      <c r="F46">
        <f>M38/C12</f>
        <v>1144.5040119235307</v>
      </c>
      <c r="G46">
        <f>Main!D53</f>
        <v>1100</v>
      </c>
    </row>
    <row r="47">
      <c r="B47" t="str">
        <f>Main!D57</f>
        <v>Sin Boro</v>
      </c>
      <c r="F47">
        <f>O38/C12</f>
        <v>1.3525973999999998</v>
      </c>
      <c r="G47">
        <f>Main!D58</f>
        <v>0</v>
      </c>
      <c r="I47" t="str">
        <v xml:space="preserve">Preparado y Autorizado Por </v>
      </c>
    </row>
    <row r="48" ht="18" customHeight="1">
      <c r="B48" t="str">
        <f>Main!D61</f>
        <v>Melaza</v>
      </c>
      <c r="F48">
        <f>Q38/C12</f>
        <v>220.00000000000003</v>
      </c>
      <c r="G48">
        <f>Main!D62</f>
        <v>2.8</v>
      </c>
      <c r="I48" t="str">
        <v>MSc Ricardo D. Lardizábal</v>
      </c>
    </row>
    <row r="49" ht="17.4" customHeight="1">
      <c r="B49" t="str">
        <v>NOTA: El Nitrato de Calcio se debe de diluir en un barril aparte para inyectarse al sistema</v>
      </c>
    </row>
    <row r="52">
      <c r="B52" t="str">
        <v>Abreviaciones usadas</v>
      </c>
    </row>
    <row r="53">
      <c r="B53" t="str">
        <v>Mz.-Manzanas, Ha-Hectáreas, Lbs-Libras, Lts-Litros y DDT-Días después de Trasplante</v>
      </c>
    </row>
  </sheetData>
  <sheetProtection sheet="1"/>
  <mergeCells count="53">
    <mergeCell ref="G43:H43"/>
    <mergeCell ref="J9:N9"/>
    <mergeCell ref="J10:N10"/>
    <mergeCell ref="J11:N11"/>
    <mergeCell ref="J12:N12"/>
    <mergeCell ref="G11:I11"/>
    <mergeCell ref="G12:I12"/>
    <mergeCell ref="G44:H44"/>
    <mergeCell ref="S14:S15"/>
    <mergeCell ref="O14:P14"/>
    <mergeCell ref="Q14:R14"/>
    <mergeCell ref="G14:H14"/>
    <mergeCell ref="I14:J14"/>
    <mergeCell ref="K14:L14"/>
    <mergeCell ref="M14:N14"/>
    <mergeCell ref="G41:H41"/>
    <mergeCell ref="G42:H42"/>
    <mergeCell ref="A14:A15"/>
    <mergeCell ref="B14:B15"/>
    <mergeCell ref="A11:B11"/>
    <mergeCell ref="A12:B12"/>
    <mergeCell ref="C11:F11"/>
    <mergeCell ref="C12:F12"/>
    <mergeCell ref="B53:S53"/>
    <mergeCell ref="E14:F14"/>
    <mergeCell ref="B52:C52"/>
    <mergeCell ref="B48:E48"/>
    <mergeCell ref="B40:E40"/>
    <mergeCell ref="B42:E42"/>
    <mergeCell ref="B43:E43"/>
    <mergeCell ref="B44:E44"/>
    <mergeCell ref="C14:D14"/>
    <mergeCell ref="G40:H40"/>
    <mergeCell ref="B49:I50"/>
    <mergeCell ref="B46:E46"/>
    <mergeCell ref="B45:E45"/>
    <mergeCell ref="I48:Q48"/>
    <mergeCell ref="B47:E47"/>
    <mergeCell ref="G48:H48"/>
    <mergeCell ref="G47:H47"/>
    <mergeCell ref="G45:H45"/>
    <mergeCell ref="G46:H46"/>
    <mergeCell ref="I47:Q47"/>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2"/>
  </ignoredErrors>
  <legacyDrawing r:id="rId1"/>
</worksheet>
</file>

<file path=xl/worksheets/sheet7.xml><?xml version="1.0" encoding="utf-8"?>
<worksheet xmlns="http://schemas.openxmlformats.org/spreadsheetml/2006/main" xmlns:r="http://schemas.openxmlformats.org/officeDocument/2006/relationships">
  <dimension ref="A1:V49"/>
  <sheetViews>
    <sheetView workbookViewId="0" rightToLeft="0"/>
  </sheetViews>
  <sheetData>
    <row r="1" ht="32.7" customHeight="1"/>
    <row r="2" ht="32.7" customHeight="1">
      <c r="P2" t="str">
        <v>Calendario de Fertilización para Goteo 1 Vez Por Semana</v>
      </c>
    </row>
    <row r="3" ht="32.7" customHeight="1"/>
    <row r="5">
      <c r="P5" t="str">
        <f>Main!$E$21</f>
        <v>Maíz Dulce</v>
      </c>
    </row>
    <row r="6" ht="29.25" customHeight="1"/>
    <row r="7" ht="26.25" customHeight="1"/>
    <row r="8" ht="27.600000000000005" customHeight="1">
      <c r="A8" t="str">
        <f>Main!$C$13</f>
        <v>"Sin Fertilización Base"</v>
      </c>
    </row>
    <row r="9" ht="20.1" customHeight="1">
      <c r="A9" t="str">
        <v>Productor</v>
      </c>
      <c r="C9" t="str">
        <f>Main!E17</f>
        <v>Hacienda Las Flores</v>
      </c>
      <c r="G9" t="str">
        <v>Parcela</v>
      </c>
      <c r="J9" t="str">
        <f>Main!E19</f>
        <v>Lote VI-B (f)</v>
      </c>
      <c r="P9" t="str">
        <f>Main!$G$21</f>
        <v>Golden Sweeter 93</v>
      </c>
    </row>
    <row r="10" ht="20.1" customHeight="1">
      <c r="A10" t="str">
        <v>Zona</v>
      </c>
      <c r="C10" t="str">
        <f>Main!E18</f>
        <v>Cantarranas</v>
      </c>
      <c r="G10" t="str">
        <v>Técnico</v>
      </c>
      <c r="J10" t="str">
        <f>Main!E20</f>
        <v>Jose de la Cruz Lainez</v>
      </c>
    </row>
    <row r="11" ht="20.1" customHeight="1">
      <c r="A11" t="str">
        <v>Área Mz.</v>
      </c>
      <c r="C11">
        <f>Main!E22</f>
        <v>2.12</v>
      </c>
      <c r="G11" t="str">
        <v>Fecha:</v>
      </c>
      <c r="J11">
        <f>Main!E23</f>
        <v>39959</v>
      </c>
    </row>
    <row r="12" ht="20.1" customHeight="1">
      <c r="A12" t="str">
        <v>Área Ha.</v>
      </c>
      <c r="C12">
        <f>Main!I22</f>
        <v>1.484</v>
      </c>
      <c r="G12" t="str">
        <v>Fecha de Cosecha:</v>
      </c>
      <c r="J12">
        <f>J11+Main!E24</f>
        <v>40032</v>
      </c>
    </row>
    <row r="13" ht="19.5" customHeight="1"/>
    <row r="14" ht="26.3999999999999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ht="18.75" customHeight="1">
      <c r="A16">
        <v>1</v>
      </c>
      <c r="B16">
        <v>1</v>
      </c>
      <c r="C16">
        <f>$J$11+B16</f>
        <v>39960</v>
      </c>
      <c r="E16">
        <f>IF((SUM(ReDiarioFert!C7:C13)*$C$12)&lt;=0,"0",((SUM(ReDiarioFert!C7:C13)*$C$12)))</f>
        <v>51.16818155645332</v>
      </c>
      <c r="G16">
        <f>IF((SUM(ReDiarioFert!E7:E13)*$C$12)&lt;=0,"0",((SUM(ReDiarioFert!E7:E13)*$C$12)))</f>
        <v>24.117741012521737</v>
      </c>
      <c r="I16">
        <f>IF((SUM(ReDiarioFert!G7:G13)*$C$12)&lt;=0,"0",((SUM(ReDiarioFert!G7:G13)*$C$12)))</f>
        <v>61.249845841100004</v>
      </c>
      <c r="K16">
        <f>IF((SUM(ReDiarioFert!I7:I13)*$C$12)&lt;=0,"0",((SUM(ReDiarioFert!I7:I13)*$C$12)))</f>
        <v>39.3111226237588</v>
      </c>
      <c r="M16">
        <f>IF((SUM(ReDiarioFert!K7:K13)*$C$12)&lt;=0,"0",((SUM(ReDiarioFert!K7:K13)*$C$12)))</f>
        <v>81.03041550009895</v>
      </c>
      <c r="O16">
        <f>IF((SUM(ReDiarioFert!M7:M13)*$C$12)&lt;=0,"0",((SUM(ReDiarioFert!M7:M13)*$C$12)))</f>
        <v>0.0529019288</v>
      </c>
      <c r="Q16">
        <f>$C$12*Main!$D$63</f>
        <v>29.68</v>
      </c>
      <c r="S16">
        <f>((E16/100)*$G$31+(G16/100)*$G$32+(I16/100)*$G$33+(K16/100)*$G$34+(M16/100)*$G$35+(O16)*$G$36+(Q16*$G$37))</f>
        <v>2448.042216480822</v>
      </c>
    </row>
    <row r="17">
      <c r="A17">
        <v>2</v>
      </c>
      <c r="B17">
        <v>8</v>
      </c>
      <c r="C17">
        <f>$J$11+B17</f>
        <v>39967</v>
      </c>
      <c r="E17">
        <f>IF((SUM(ReDiarioFert!C14:C20)*$C$12)&lt;=0,"0",((SUM(ReDiarioFert!C14:C20)*$C$12)))</f>
        <v>89.09870814764543</v>
      </c>
      <c r="G17">
        <f>IF((SUM(ReDiarioFert!E14:E20)*$C$12)&lt;=0,"0",((SUM(ReDiarioFert!E14:E20)*$C$12)))</f>
        <v>29.018244106173913</v>
      </c>
      <c r="I17">
        <f>IF((SUM(ReDiarioFert!G14:G20)*$C$12)&lt;=0,"0",((SUM(ReDiarioFert!G14:G20)*$C$12)))</f>
        <v>101.5215791184</v>
      </c>
      <c r="K17">
        <f>IF((SUM(ReDiarioFert!I14:I20)*$C$12)&lt;=0,"0",((SUM(ReDiarioFert!I14:I20)*$C$12)))</f>
        <v>65.15815984312329</v>
      </c>
      <c r="M17">
        <f>IF((SUM(ReDiarioFert!K14:K20)*$C$12)&lt;=0,"0",((SUM(ReDiarioFert!K14:K20)*$C$12)))</f>
        <v>134.3078602929327</v>
      </c>
      <c r="O17">
        <f>IF((SUM(ReDiarioFert!M14:M20)*$C$12)&lt;=0,"0",((SUM(ReDiarioFert!M14:M20)*$C$12)))</f>
        <v>0.0770857864</v>
      </c>
      <c r="Q17">
        <f>$C$12*Main!$D$63</f>
        <v>29.68</v>
      </c>
      <c r="S17">
        <f>((E17/100)*$G$31+(G17/100)*$G$32+(I17/100)*$G$33+(K17/100)*$G$34+(M17/100)*$G$35+(O17)*$G$36+(Q17*$G$37))</f>
        <v>3899.3734126876643</v>
      </c>
    </row>
    <row r="18">
      <c r="A18">
        <v>3</v>
      </c>
      <c r="B18">
        <v>15</v>
      </c>
      <c r="C18">
        <f>$J$11+B18</f>
        <v>39974</v>
      </c>
      <c r="E18">
        <f>IF((SUM(ReDiarioFert!C21:C27)*$C$12)&lt;=0,"0",((SUM(ReDiarioFert!C21:C27)*$C$12)))</f>
        <v>90.34983017206235</v>
      </c>
      <c r="G18">
        <f>IF((SUM(ReDiarioFert!E21:E27)*$C$12)&lt;=0,"0",((SUM(ReDiarioFert!E21:E27)*$C$12)))</f>
        <v>56.399731898086976</v>
      </c>
      <c r="I18">
        <f>IF((SUM(ReDiarioFert!G21:G27)*$C$12)&lt;=0,"0",((SUM(ReDiarioFert!G21:G27)*$C$12)))</f>
        <v>113.61440080409999</v>
      </c>
      <c r="K18">
        <f>IF((SUM(ReDiarioFert!I21:I27)*$C$12)&lt;=0,"0",((SUM(ReDiarioFert!I21:I27)*$C$12)))</f>
        <v>72.91952462087444</v>
      </c>
      <c r="M18">
        <f>IF((SUM(ReDiarioFert!K21:K27)*$C$12)&lt;=0,"0",((SUM(ReDiarioFert!K21:K27)*$C$12)))</f>
        <v>150.30604530556096</v>
      </c>
      <c r="O18">
        <f>IF((SUM(ReDiarioFert!M21:M27)*$C$12)&lt;=0,"0",((SUM(ReDiarioFert!M21:M27)*$C$12)))</f>
        <v>0.11336112760000001</v>
      </c>
      <c r="Q18">
        <f>$C$12*Main!$D$63</f>
        <v>29.68</v>
      </c>
      <c r="S18">
        <f>((E18/100)*$G$31+(G18/100)*$G$32+(I18/100)*$G$33+(K18/100)*$G$34+(M18/100)*$G$35+(O18)*$G$36+(Q18*$G$37))</f>
        <v>4580.198182673115</v>
      </c>
    </row>
    <row r="19">
      <c r="A19">
        <v>4</v>
      </c>
      <c r="B19">
        <v>22</v>
      </c>
      <c r="C19">
        <f>$J$11+B19</f>
        <v>39981</v>
      </c>
      <c r="E19">
        <f>IF((SUM(ReDiarioFert!C28:C34)*$C$12)&lt;=0,"0",((SUM(ReDiarioFert!C28:C34)*$C$12)))</f>
        <v>90.34983017206235</v>
      </c>
      <c r="G19">
        <f>IF((SUM(ReDiarioFert!E28:E34)*$C$12)&lt;=0,"0",((SUM(ReDiarioFert!E28:E34)*$C$12)))</f>
        <v>56.399731898086976</v>
      </c>
      <c r="I19">
        <f>IF((SUM(ReDiarioFert!G28:G34)*$C$12)&lt;=0,"0",((SUM(ReDiarioFert!G28:G34)*$C$12)))</f>
        <v>113.61440080409999</v>
      </c>
      <c r="K19">
        <f>IF((SUM(ReDiarioFert!I28:I34)*$C$12)&lt;=0,"0",((SUM(ReDiarioFert!I28:I34)*$C$12)))</f>
        <v>72.91952462087444</v>
      </c>
      <c r="M19">
        <f>IF((SUM(ReDiarioFert!K28:K34)*$C$12)&lt;=0,"0",((SUM(ReDiarioFert!K28:K34)*$C$12)))</f>
        <v>150.30604530556096</v>
      </c>
      <c r="O19">
        <f>IF((SUM(ReDiarioFert!M28:M34)*$C$12)&lt;=0,"0",((SUM(ReDiarioFert!M28:M34)*$C$12)))</f>
        <v>0.12696421360000001</v>
      </c>
      <c r="Q19">
        <f>$C$12*Main!$D$63</f>
        <v>29.68</v>
      </c>
      <c r="S19">
        <f>((E19/100)*$G$31+(G19/100)*$G$32+(I19/100)*$G$33+(K19/100)*$G$34+(M19/100)*$G$35+(O19)*$G$36+(Q19*$G$37))</f>
        <v>4580.198182673115</v>
      </c>
    </row>
    <row r="20">
      <c r="A20">
        <v>5</v>
      </c>
      <c r="B20">
        <v>29</v>
      </c>
      <c r="C20">
        <f>$J$11+B20</f>
        <v>39988</v>
      </c>
      <c r="E20">
        <f>IF((SUM(ReDiarioFert!C35:C41)*$C$12)&lt;=0,"0",((SUM(ReDiarioFert!C35:C41)*$C$12)))</f>
        <v>129.17230020111126</v>
      </c>
      <c r="G20">
        <f>IF((SUM(ReDiarioFert!E35:E41)*$C$12)&lt;=0,"0",((SUM(ReDiarioFert!E35:E41)*$C$12)))</f>
        <v>68.36094391304349</v>
      </c>
      <c r="I20">
        <f>IF((SUM(ReDiarioFert!G35:G41)*$C$12)&lt;=0,"0",((SUM(ReDiarioFert!G35:G41)*$C$12)))</f>
        <v>157.5798174890333</v>
      </c>
      <c r="K20">
        <f>IF((SUM(ReDiarioFert!I35:I41)*$C$12)&lt;=0,"0",((SUM(ReDiarioFert!I35:I41)*$C$12)))</f>
        <v>101.13722644154284</v>
      </c>
      <c r="M20">
        <f>IF((SUM(ReDiarioFert!K35:K41)*$C$12)&lt;=0,"0",((SUM(ReDiarioFert!K35:K41)*$C$12)))</f>
        <v>208.47004445843055</v>
      </c>
      <c r="O20">
        <f>IF((SUM(ReDiarioFert!M35:M41)*$C$12)&lt;=0,"0",((SUM(ReDiarioFert!M35:M41)*$C$12)))</f>
        <v>0.14963691399999998</v>
      </c>
      <c r="Q20">
        <f>$C$12*Main!$D$63</f>
        <v>29.68</v>
      </c>
      <c r="S20">
        <f>((E20/100)*$G$31+(G20/100)*$G$32+(I20/100)*$G$33+(K20/100)*$G$34+(M20/100)*$G$35+(O20)*$G$36+(Q20*$G$37))</f>
        <v>6227.163367180014</v>
      </c>
    </row>
    <row r="21">
      <c r="A21">
        <v>6</v>
      </c>
      <c r="B21">
        <v>36</v>
      </c>
      <c r="C21">
        <f>$J$11+B21</f>
        <v>39995</v>
      </c>
      <c r="E21">
        <f>IF((SUM(ReDiarioFert!C42:C48)*$C$12)&lt;=0,"0",((SUM(ReDiarioFert!C42:C48)*$C$12)))</f>
        <v>103.90829175724338</v>
      </c>
      <c r="G21">
        <f>IF((SUM(ReDiarioFert!E42:E48)*$C$12)&lt;=0,"0",((SUM(ReDiarioFert!E42:E48)*$C$12)))</f>
        <v>68.36094391304349</v>
      </c>
      <c r="I21">
        <f>IF((SUM(ReDiarioFert!G42:G48)*$C$12)&lt;=0,"0",((SUM(ReDiarioFert!G42:G48)*$C$12)))</f>
        <v>133.94284486567835</v>
      </c>
      <c r="K21">
        <f>IF((SUM(ReDiarioFert!I42:I48)*$C$12)&lt;=0,"0",((SUM(ReDiarioFert!I42:I48)*$C$12)))</f>
        <v>85.9666424753114</v>
      </c>
      <c r="M21">
        <f>IF((SUM(ReDiarioFert!K42:K48)*$C$12)&lt;=0,"0",((SUM(ReDiarioFert!K42:K48)*$C$12)))</f>
        <v>177.19953778966595</v>
      </c>
      <c r="O21">
        <f>IF((SUM(ReDiarioFert!M42:M48)*$C$12)&lt;=0,"0",((SUM(ReDiarioFert!M42:M48)*$C$12)))</f>
        <v>0.17986718119999998</v>
      </c>
      <c r="Q21">
        <f>$C$12*Main!$D$63</f>
        <v>29.68</v>
      </c>
      <c r="S21">
        <f>((E21/100)*$G$31+(G21/100)*$G$32+(I21/100)*$G$33+(K21/100)*$G$34+(M21/100)*$G$35+(O21)*$G$36+(Q21*$G$37))</f>
        <v>5390.331098957432</v>
      </c>
    </row>
    <row r="22">
      <c r="A22">
        <v>7</v>
      </c>
      <c r="B22">
        <v>43</v>
      </c>
      <c r="C22">
        <f>$J$11+B22</f>
        <v>40002</v>
      </c>
      <c r="E22">
        <f>IF((SUM(ReDiarioFert!C49:C55)*$C$12)&lt;=0,"0",((SUM(ReDiarioFert!C49:C55)*$C$12)))</f>
        <v>90.02869812917348</v>
      </c>
      <c r="G22">
        <f>IF((SUM(ReDiarioFert!E49:E55)*$C$12)&lt;=0,"0",((SUM(ReDiarioFert!E49:E55)*$C$12)))</f>
        <v>68.36094391304349</v>
      </c>
      <c r="I22">
        <f>IF((SUM(ReDiarioFert!G49:G55)*$C$12)&lt;=0,"0",((SUM(ReDiarioFert!G49:G55)*$C$12)))</f>
        <v>120.46179738833331</v>
      </c>
      <c r="K22">
        <f>IF((SUM(ReDiarioFert!I49:I55)*$C$12)&lt;=0,"0",((SUM(ReDiarioFert!I49:I55)*$C$12)))</f>
        <v>77.31429236403957</v>
      </c>
      <c r="M22">
        <f>IF((SUM(ReDiarioFert!K49:K55)*$C$12)&lt;=0,"0",((SUM(ReDiarioFert!K49:K55)*$C$12)))</f>
        <v>159.364801008454</v>
      </c>
      <c r="O22">
        <f>IF((SUM(ReDiarioFert!M49:M55)*$C$12)&lt;=0,"0",((SUM(ReDiarioFert!M49:M55)*$C$12)))</f>
        <v>0.198004926</v>
      </c>
      <c r="Q22">
        <f>$C$12*Main!$D$63</f>
        <v>29.68</v>
      </c>
      <c r="S22">
        <f>((E22/100)*$G$31+(G22/100)*$G$32+(I22/100)*$G$33+(K22/100)*$G$34+(M22/100)*$G$35+(O22)*$G$36+(Q22*$G$37))</f>
        <v>4916.49561590016</v>
      </c>
    </row>
    <row r="23">
      <c r="A23">
        <v>8</v>
      </c>
      <c r="B23">
        <v>50</v>
      </c>
      <c r="C23">
        <f>$J$11+B23</f>
        <v>40009</v>
      </c>
      <c r="E23">
        <f>IF((SUM(ReDiarioFert!C56:C62)*$C$12)&lt;=0,"0",((SUM(ReDiarioFert!C56:C62)*$C$12)))</f>
        <v>76.0330427752278</v>
      </c>
      <c r="G23">
        <f>IF((SUM(ReDiarioFert!E56:E62)*$C$12)&lt;=0,"0",((SUM(ReDiarioFert!E56:E62)*$C$12)))</f>
        <v>68.36094391304349</v>
      </c>
      <c r="I23">
        <f>IF((SUM(ReDiarioFert!G56:G62)*$C$12)&lt;=0,"0",((SUM(ReDiarioFert!G56:G62)*$C$12)))</f>
        <v>120.46179738833331</v>
      </c>
      <c r="K23">
        <f>IF((SUM(ReDiarioFert!I56:I62)*$C$12)&lt;=0,"0",((SUM(ReDiarioFert!I56:I62)*$C$12)))</f>
        <v>77.31429236403957</v>
      </c>
      <c r="M23">
        <f>IF((SUM(ReDiarioFert!K56:K62)*$C$12)&lt;=0,"0",((SUM(ReDiarioFert!K56:K62)*$C$12)))</f>
        <v>159.364801008454</v>
      </c>
      <c r="O23">
        <f>IF((SUM(ReDiarioFert!M56:M62)*$C$12)&lt;=0,"0",((SUM(ReDiarioFert!M56:M62)*$C$12)))</f>
        <v>0.24334928799999997</v>
      </c>
      <c r="Q23">
        <f>$C$12*Main!$D$63</f>
        <v>29.68</v>
      </c>
      <c r="S23">
        <f>((E23/100)*$G$31+(G23/100)*$G$32+(I23/100)*$G$33+(K23/100)*$G$34+(M23/100)*$G$35+(O23)*$G$36+(Q23*$G$37))</f>
        <v>4825.523856099512</v>
      </c>
    </row>
    <row r="24">
      <c r="A24">
        <v>9</v>
      </c>
      <c r="B24">
        <v>57</v>
      </c>
      <c r="C24">
        <f>$J$11+B24</f>
        <v>40016</v>
      </c>
      <c r="E24">
        <f>IF((SUM(ReDiarioFert!C63:C69)*$C$12)&lt;=0,"0",((SUM(ReDiarioFert!C63:C69)*$C$12)))</f>
        <v>41.04390439036356</v>
      </c>
      <c r="G24">
        <f>IF((SUM(ReDiarioFert!E63:E69)*$C$12)&lt;=0,"0",((SUM(ReDiarioFert!E63:E69)*$C$12)))</f>
        <v>68.36094391304349</v>
      </c>
      <c r="I24">
        <f>IF((SUM(ReDiarioFert!G63:G69)*$C$12)&lt;=0,"0",((SUM(ReDiarioFert!G63:G69)*$C$12)))</f>
        <v>120.46179738833331</v>
      </c>
      <c r="K24">
        <f>IF((SUM(ReDiarioFert!I63:I69)*$C$12)&lt;=0,"0",((SUM(ReDiarioFert!I63:I69)*$C$12)))</f>
        <v>77.31429236403957</v>
      </c>
      <c r="M24">
        <f>IF((SUM(ReDiarioFert!K63:K69)*$C$12)&lt;=0,"0",((SUM(ReDiarioFert!K63:K69)*$C$12)))</f>
        <v>159.364801008454</v>
      </c>
      <c r="O24">
        <f>IF((SUM(ReDiarioFert!M63:M69)*$C$12)&lt;=0,"0",((SUM(ReDiarioFert!M63:M69)*$C$12)))</f>
        <v>0.2524183088</v>
      </c>
      <c r="Q24">
        <f>$C$12*Main!$D$63</f>
        <v>29.68</v>
      </c>
      <c r="S24">
        <f>((E24/100)*$G$31+(G24/100)*$G$32+(I24/100)*$G$33+(K24/100)*$G$34+(M24/100)*$G$35+(O24)*$G$36+(Q24*$G$37))</f>
        <v>4598.094456597895</v>
      </c>
    </row>
    <row r="25">
      <c r="A25">
        <v>10</v>
      </c>
      <c r="B25">
        <v>64</v>
      </c>
      <c r="C25">
        <f>$J$11+B25</f>
        <v>40023</v>
      </c>
      <c r="E25">
        <f>IF((SUM(ReDiarioFert!C70:C76)*$C$12)&lt;=0,"0",((SUM(ReDiarioFert!C70:C76)*$C$12)))</f>
        <v>17.679895159500102</v>
      </c>
      <c r="G25">
        <f>IF((SUM(ReDiarioFert!E70:E76)*$C$12)&lt;=0,"0",((SUM(ReDiarioFert!E70:E76)*$C$12)))</f>
        <v>68.36094391304349</v>
      </c>
      <c r="I25">
        <f>IF((SUM(ReDiarioFert!G70:G76)*$C$12)&lt;=0,"0",((SUM(ReDiarioFert!G70:G76)*$C$12)))</f>
        <v>120.46179738833331</v>
      </c>
      <c r="K25">
        <f>IF((SUM(ReDiarioFert!I70:I76)*$C$12)&lt;=0,"0",((SUM(ReDiarioFert!I70:I76)*$C$12)))</f>
        <v>77.31429236403957</v>
      </c>
      <c r="M25">
        <f>IF((SUM(ReDiarioFert!K70:K76)*$C$12)&lt;=0,"0",((SUM(ReDiarioFert!K70:K76)*$C$12)))</f>
        <v>159.364801008454</v>
      </c>
      <c r="O25">
        <f>IF((SUM(ReDiarioFert!M70:M76)*$C$12)&lt;=0,"0",((SUM(ReDiarioFert!M70:M76)*$C$12)))</f>
        <v>0.30683243359999995</v>
      </c>
      <c r="Q25">
        <f>$C$12*Main!$D$63</f>
        <v>29.68</v>
      </c>
      <c r="S25">
        <f>((E25/100)*$G$31+(G25/100)*$G$32+(I25/100)*$G$33+(K25/100)*$G$34+(M25/100)*$G$35+(O25)*$G$36+(Q25*$G$37))</f>
        <v>4446.228396597283</v>
      </c>
    </row>
    <row r="26">
      <c r="A26">
        <v>11</v>
      </c>
      <c r="B26">
        <v>71</v>
      </c>
      <c r="C26">
        <f>$J$11+B26</f>
        <v>40030</v>
      </c>
      <c r="E26">
        <f>IF((SUM(ReDiarioFert!C77:C83)*$C$12)&lt;=0,"0",((SUM(ReDiarioFert!C77:C83)*$C$12)))</f>
        <v>17.679895159500102</v>
      </c>
      <c r="G26">
        <f>IF((SUM(ReDiarioFert!E77:E83)*$C$12)&lt;=0,"0",((SUM(ReDiarioFert!E77:E83)*$C$12)))</f>
        <v>68.36094391304349</v>
      </c>
      <c r="I26">
        <f>IF((SUM(ReDiarioFert!G77:G83)*$C$12)&lt;=0,"0",((SUM(ReDiarioFert!G77:G83)*$C$12)))</f>
        <v>120.46179738833331</v>
      </c>
      <c r="K26">
        <f>IF((SUM(ReDiarioFert!I77:I83)*$C$12)&lt;=0,"0",((SUM(ReDiarioFert!I77:I83)*$C$12)))</f>
        <v>77.31429236403957</v>
      </c>
      <c r="M26">
        <f>IF((SUM(ReDiarioFert!K77:K83)*$C$12)&lt;=0,"0",((SUM(ReDiarioFert!K77:K83)*$C$12)))</f>
        <v>159.364801008454</v>
      </c>
      <c r="O26">
        <f>IF((SUM(ReDiarioFert!M77:M83)*$C$12)&lt;=0,"0",((SUM(ReDiarioFert!M77:M83)*$C$12)))</f>
        <v>0.30683243359999995</v>
      </c>
      <c r="Q26">
        <f>$C$12*Main!$D$63</f>
        <v>29.68</v>
      </c>
      <c r="S26">
        <f>((E26/100)*$G$31+(G26/100)*$G$32+(I26/100)*$G$33+(K26/100)*$G$34+(M26/100)*$G$35+(O26)*$G$36+(Q26*$G$37))</f>
        <v>4446.228396597283</v>
      </c>
    </row>
    <row r="27">
      <c r="C27" t="str">
        <v>Total</v>
      </c>
      <c r="E27">
        <f>SUM(E16:E26)</f>
        <v>796.5125776203431</v>
      </c>
      <c r="G27">
        <f>SUM(G16:G26)</f>
        <v>644.4620563061738</v>
      </c>
      <c r="I27">
        <f>SUM(I16:I26)</f>
        <v>1283.831875864078</v>
      </c>
      <c r="K27">
        <f>SUM(K16:K26)</f>
        <v>823.9836624456832</v>
      </c>
      <c r="M27">
        <f>SUM(M16:M26)</f>
        <v>1698.4439536945197</v>
      </c>
      <c r="O27">
        <f>SUM(O16:O26)</f>
        <v>2.0072545416</v>
      </c>
      <c r="Q27">
        <f>SUM(Q16:Q26)</f>
        <v>326.48</v>
      </c>
      <c r="S27">
        <f>SUM(S16:S26)</f>
        <v>50357.87718244429</v>
      </c>
    </row>
    <row r="28">
      <c r="D28" t="str">
        <v>OJO cualquier cultivo que no se termine la cosecha en el ultimo día del calendario solo seguir repitiendo la ultima aplicación de fertilizante.</v>
      </c>
    </row>
    <row r="29" ht="39.75" customHeight="1">
      <c r="B29" t="str">
        <v>Producto</v>
      </c>
      <c r="F29" t="str">
        <v>Lbs/Ha</v>
      </c>
      <c r="G29" t="str">
        <v>Costo por qq</v>
      </c>
    </row>
    <row r="30" ht="24" customHeight="1">
      <c r="G30" t="str">
        <f>Main!$E$25</f>
        <v>Lempiras</v>
      </c>
    </row>
    <row r="31">
      <c r="B31" t="str">
        <f>Main!D42</f>
        <v>Urea</v>
      </c>
      <c r="F31">
        <f>E27/C12</f>
        <v>536.7335428708511</v>
      </c>
      <c r="G31">
        <f>Main!D43</f>
        <v>650</v>
      </c>
    </row>
    <row r="32">
      <c r="B32" t="str">
        <f>Main!D32</f>
        <v>DAP 18-46-0</v>
      </c>
      <c r="F32">
        <f>G27/C12</f>
        <v>434.27362284782606</v>
      </c>
      <c r="G32">
        <f>Main!D33</f>
        <v>1200</v>
      </c>
    </row>
    <row r="33">
      <c r="B33" t="str">
        <f>Main!D37</f>
        <v>Kcl Soluble</v>
      </c>
      <c r="F33">
        <f>I27/C12</f>
        <v>865.1158193154165</v>
      </c>
      <c r="G33">
        <f>Main!D38</f>
        <v>780</v>
      </c>
    </row>
    <row r="34">
      <c r="B34" t="str">
        <f>Main!D47</f>
        <v>Sulfato de Magnesio</v>
      </c>
      <c r="F34">
        <f>K27/C12</f>
        <v>555.2450555563903</v>
      </c>
      <c r="G34">
        <f>Main!D48</f>
        <v>951</v>
      </c>
    </row>
    <row r="35">
      <c r="B35" t="str">
        <f>Main!D52</f>
        <v>Nitrato de Calcio</v>
      </c>
      <c r="F35">
        <f>M27/C12</f>
        <v>1144.5040119235307</v>
      </c>
      <c r="G35">
        <f>Main!D53</f>
        <v>1100</v>
      </c>
    </row>
    <row r="36">
      <c r="B36" t="str">
        <f>Main!D57</f>
        <v>Sin Boro</v>
      </c>
      <c r="F36">
        <f>O27/C12</f>
        <v>1.3525974</v>
      </c>
      <c r="G36">
        <f>Main!D58</f>
        <v>0</v>
      </c>
      <c r="I36" t="str">
        <v xml:space="preserve">Preparado y Autorizado Por </v>
      </c>
    </row>
    <row r="37" ht="18" customHeight="1">
      <c r="B37" t="str">
        <f>Main!D61</f>
        <v>Melaza</v>
      </c>
      <c r="F37">
        <f>Q27/C12</f>
        <v>220.00000000000003</v>
      </c>
      <c r="G37">
        <f>Main!D62</f>
        <v>2.8</v>
      </c>
      <c r="I37" t="str">
        <v>MSc Ricardo D. Lardizábal</v>
      </c>
    </row>
    <row r="38" ht="17.4" customHeight="1">
      <c r="B38" t="str">
        <v>NOTA: El Nitrato de Calcio se debe de diluir en un barril aparte para inyectarse al sistema</v>
      </c>
    </row>
    <row r="40">
      <c r="B40" t="str">
        <v>Abreviaciones usadas</v>
      </c>
    </row>
    <row r="41">
      <c r="B41" t="str">
        <v>Mz.-Manzanas, Ha-Hectáreas, Lbs-Libras, Lts-Litros y DDT-Días después de Trasplante</v>
      </c>
    </row>
  </sheetData>
  <sheetProtection sheet="1"/>
  <mergeCells count="55">
    <mergeCell ref="I36:Q36"/>
    <mergeCell ref="I37:Q37"/>
    <mergeCell ref="G12:I12"/>
    <mergeCell ref="J12:M12"/>
    <mergeCell ref="I34:Q34"/>
    <mergeCell ref="I33:Q33"/>
    <mergeCell ref="G33:H33"/>
    <mergeCell ref="G34:H34"/>
    <mergeCell ref="G32:H32"/>
    <mergeCell ref="G14:H14"/>
    <mergeCell ref="B34:E34"/>
    <mergeCell ref="B29:E29"/>
    <mergeCell ref="B31:E31"/>
    <mergeCell ref="G29:H29"/>
    <mergeCell ref="G30:H30"/>
    <mergeCell ref="B36:E36"/>
    <mergeCell ref="G35:H35"/>
    <mergeCell ref="G36:H36"/>
    <mergeCell ref="G31:H31"/>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0:C40"/>
    <mergeCell ref="B32:E32"/>
    <mergeCell ref="B33:E33"/>
    <mergeCell ref="P9:S12"/>
    <mergeCell ref="G11:I11"/>
    <mergeCell ref="J10:M10"/>
    <mergeCell ref="B37:E37"/>
    <mergeCell ref="B35:E35"/>
    <mergeCell ref="B38:I39"/>
    <mergeCell ref="G37:H37"/>
    <mergeCell ref="B41:S41"/>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49"/>
  </ignoredErrors>
  <legacyDrawing r:id="rId1"/>
</worksheet>
</file>

<file path=xl/worksheets/sheet8.xml><?xml version="1.0" encoding="utf-8"?>
<worksheet xmlns="http://schemas.openxmlformats.org/spreadsheetml/2006/main" xmlns:r="http://schemas.openxmlformats.org/officeDocument/2006/relationships">
  <dimension ref="A1:T37"/>
  <sheetViews>
    <sheetView workbookViewId="0" rightToLeft="0"/>
  </sheetViews>
  <sheetData>
    <row r="1" ht="32.7" customHeight="1"/>
    <row r="2" ht="32.7" customHeight="1">
      <c r="P2" t="str">
        <v>Calendario de Fertilización Cada 14 Días o a Mano</v>
      </c>
    </row>
    <row r="3" ht="32.4" customHeight="1"/>
    <row r="5">
      <c r="P5" t="str">
        <f>Main!$E$21</f>
        <v>Maíz Dulce</v>
      </c>
    </row>
    <row r="6" ht="31.2" customHeight="1"/>
    <row r="7" ht="27" customHeight="1"/>
    <row r="8" ht="28.95" customHeight="1">
      <c r="A8" t="str">
        <f>Main!$C$13</f>
        <v>"Sin Fertilización Base"</v>
      </c>
    </row>
    <row r="9" ht="19.95" customHeight="1">
      <c r="A9" t="str">
        <v>Productor</v>
      </c>
      <c r="C9" t="str">
        <f>'1 Por Sem'!C9</f>
        <v>Hacienda Las Flores</v>
      </c>
      <c r="F9" t="str">
        <v>Parcela</v>
      </c>
      <c r="I9" t="str">
        <f>'1 Por Sem'!J9</f>
        <v>Lote VI-B (f)</v>
      </c>
      <c r="P9" t="str">
        <f>Main!$G$21</f>
        <v>Golden Sweeter 93</v>
      </c>
    </row>
    <row r="10" ht="19.95" customHeight="1">
      <c r="A10" t="str">
        <v>Zona</v>
      </c>
      <c r="C10" t="str">
        <f>'1 Por Sem'!C10</f>
        <v>Cantarranas</v>
      </c>
      <c r="F10" t="str">
        <v>Técnico</v>
      </c>
      <c r="I10" t="str">
        <f>'1 Por Sem'!J10</f>
        <v>Jose de la Cruz Lainez</v>
      </c>
    </row>
    <row r="11" ht="19.95" customHeight="1">
      <c r="A11" t="str">
        <v>Área Mz.</v>
      </c>
      <c r="C11">
        <f>'1 Por Sem'!C11</f>
        <v>2.12</v>
      </c>
      <c r="F11" t="str">
        <v>Fecha</v>
      </c>
      <c r="I11">
        <f>'1 Por Sem'!J11</f>
        <v>39959</v>
      </c>
    </row>
    <row r="12" ht="19.95" customHeight="1">
      <c r="A12" t="str">
        <v>Área Ha.</v>
      </c>
      <c r="C12">
        <f>Main!I22</f>
        <v>1.484</v>
      </c>
      <c r="F12" t="str">
        <v>Fecha  de Cosecha</v>
      </c>
      <c r="I12">
        <f>'1 Por Sem'!J12</f>
        <v>40032</v>
      </c>
    </row>
    <row r="14" ht="28.95" customHeight="1">
      <c r="A14" t="str">
        <v>Semana</v>
      </c>
      <c r="B14" t="str">
        <v>DDT</v>
      </c>
      <c r="C14" t="str">
        <v>FECHA</v>
      </c>
      <c r="E14" t="str">
        <f>Main!$D$42</f>
        <v>Urea</v>
      </c>
      <c r="G14" t="str">
        <f>Main!$D$32</f>
        <v>DAP 18-46-0</v>
      </c>
      <c r="I14" t="str">
        <f>Main!$D$37</f>
        <v>Kcl Soluble</v>
      </c>
      <c r="K14" t="str">
        <f>Main!$D$47</f>
        <v>Sulfato de Magnesio</v>
      </c>
      <c r="M14" t="str">
        <f>Main!$D$52</f>
        <v>Nitrato de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f>Main!E57</f>
        <v>0</v>
      </c>
      <c r="P15" t="str">
        <v>Cambios</v>
      </c>
      <c r="Q15" t="str">
        <f>Main!$E$61</f>
        <v>Lts</v>
      </c>
      <c r="R15" t="str">
        <v>Cambios</v>
      </c>
    </row>
    <row r="16">
      <c r="A16">
        <v>2</v>
      </c>
      <c r="B16">
        <v>1</v>
      </c>
      <c r="C16">
        <f>$I$11+B16</f>
        <v>39960</v>
      </c>
      <c r="E16">
        <f>IF((SUM(ReDiarioFert!C7:C20)*$C$12)&lt;=0,"0",((SUM(ReDiarioFert!C7:C20)*$C$12)))</f>
        <v>140.26688970409876</v>
      </c>
      <c r="G16">
        <f>IF((SUM(ReDiarioFert!E7:E20)*$C$12)&lt;=0,"0",((SUM(ReDiarioFert!E7:E20)*$C$12)))</f>
        <v>53.13598511869564</v>
      </c>
      <c r="I16">
        <f>IF((SUM(ReDiarioFert!G7:G20)*$C$12)&lt;=0,"0",((SUM(ReDiarioFert!G7:G20)*$C$12)))</f>
        <v>162.77142495950002</v>
      </c>
      <c r="K16">
        <f>IF((SUM(ReDiarioFert!I7:I20)*$C$12)&lt;=0,"0",((SUM(ReDiarioFert!I7:I20)*$C$12)))</f>
        <v>104.46928246688209</v>
      </c>
      <c r="M16">
        <f>IF((SUM(ReDiarioFert!K7:K20)*$C$12)&lt;=0,"0",((SUM(ReDiarioFert!K7:K20)*$C$12)))</f>
        <v>215.33827579303167</v>
      </c>
      <c r="O16">
        <f>IF((SUM(ReDiarioFert!M7:M20)*$C$12)&lt;=0,"0",((SUM(ReDiarioFert!M7:M20)*$C$12)))</f>
        <v>0.1299877152</v>
      </c>
      <c r="Q16">
        <f>$C$12*Main!$D$63</f>
        <v>29.68</v>
      </c>
      <c r="S16">
        <f>((E16/100)*$F$26+(G16/100)*$F$27+(I16/100)*$F$28+(K16/100)*$F$29+(M16/100)*$F$30+(O16)*$F$31+(Q16*$F$32))</f>
        <v>6264.311629168487</v>
      </c>
    </row>
    <row r="17">
      <c r="A17">
        <v>4</v>
      </c>
      <c r="B17">
        <v>15</v>
      </c>
      <c r="C17">
        <f>$I$11+B17</f>
        <v>39974</v>
      </c>
      <c r="E17">
        <f>IF((SUM(ReDiarioFert!C21:C34)*$C$12)&lt;=0,"0",((SUM(ReDiarioFert!C21:C34)*$C$12)))</f>
        <v>180.6996603441247</v>
      </c>
      <c r="G17">
        <f>IF((SUM(ReDiarioFert!E21:E34)*$C$12)&lt;=0,"0",((SUM(ReDiarioFert!E21:E34)*$C$12)))</f>
        <v>112.79946379617392</v>
      </c>
      <c r="I17">
        <f>IF((SUM(ReDiarioFert!G21:G34)*$C$12)&lt;=0,"0",((SUM(ReDiarioFert!G21:G34)*$C$12)))</f>
        <v>227.22880160819997</v>
      </c>
      <c r="K17">
        <f>IF((SUM(ReDiarioFert!I21:I34)*$C$12)&lt;=0,"0",((SUM(ReDiarioFert!I21:I34)*$C$12)))</f>
        <v>145.83904924174888</v>
      </c>
      <c r="M17">
        <f>IF((SUM(ReDiarioFert!K21:K34)*$C$12)&lt;=0,"0",((SUM(ReDiarioFert!K21:K34)*$C$12)))</f>
        <v>300.61209061112197</v>
      </c>
      <c r="O17">
        <f>IF((SUM(ReDiarioFert!M21:M34)*$C$12)&lt;=0,"0",((SUM(ReDiarioFert!M21:M34)*$C$12)))</f>
        <v>0.2403253412</v>
      </c>
      <c r="Q17">
        <f>$C$12*Main!$D$63</f>
        <v>29.68</v>
      </c>
      <c r="S17">
        <f>((E17/100)*$F$26+(G17/100)*$F$27+(I17/100)*$F$28+(K17/100)*$F$29+(M17/100)*$F$30+(O17)*$F$31+(Q17*$F$32))</f>
        <v>9077.29236534623</v>
      </c>
    </row>
    <row r="18">
      <c r="A18">
        <v>6</v>
      </c>
      <c r="B18">
        <v>29</v>
      </c>
      <c r="C18">
        <f>$I$11+B18</f>
        <v>39988</v>
      </c>
      <c r="E18">
        <f>IF((SUM(ReDiarioFert!C35:C48)*$C$12)&lt;=0,"0",((SUM(ReDiarioFert!C35:C48)*$C$12)))</f>
        <v>233.08059195835463</v>
      </c>
      <c r="G18">
        <f>IF((SUM(ReDiarioFert!E35:E48)*$C$12)&lt;=0,"0",((SUM(ReDiarioFert!E35:E48)*$C$12)))</f>
        <v>136.72188782608694</v>
      </c>
      <c r="I18">
        <f>IF((SUM(ReDiarioFert!G35:G48)*$C$12)&lt;=0,"0",((SUM(ReDiarioFert!G35:G48)*$C$12)))</f>
        <v>291.52266235471166</v>
      </c>
      <c r="K18">
        <f>IF((SUM(ReDiarioFert!I35:I48)*$C$12)&lt;=0,"0",((SUM(ReDiarioFert!I35:I48)*$C$12)))</f>
        <v>187.10386891685422</v>
      </c>
      <c r="M18">
        <f>IF((SUM(ReDiarioFert!K35:K48)*$C$12)&lt;=0,"0",((SUM(ReDiarioFert!K35:K48)*$C$12)))</f>
        <v>385.6695822480966</v>
      </c>
      <c r="O18">
        <f>IF((SUM(ReDiarioFert!M35:M48)*$C$12)&lt;=0,"0",((SUM(ReDiarioFert!M35:M48)*$C$12)))</f>
        <v>0.3295040951999999</v>
      </c>
      <c r="Q18">
        <f>$C$12*Main!$D$63</f>
        <v>29.68</v>
      </c>
      <c r="S18">
        <f>((E18/100)*$F$26+(G18/100)*$F$27+(I18/100)*$F$28+(K18/100)*$F$29+(M18/100)*$F$30+(O18)*$F$31+(Q18*$F$32))</f>
        <v>11534.390466137444</v>
      </c>
    </row>
    <row r="19">
      <c r="A19">
        <v>8</v>
      </c>
      <c r="B19">
        <v>43</v>
      </c>
      <c r="C19">
        <f>$I$11+B19</f>
        <v>40002</v>
      </c>
      <c r="E19">
        <f>IF((SUM(ReDiarioFert!C49:C62)*$C$12)&lt;=0,"0",((SUM(ReDiarioFert!C49:C62)*$C$12)))</f>
        <v>166.06174090440126</v>
      </c>
      <c r="G19">
        <f>IF((SUM(ReDiarioFert!E49:E62)*$C$12)&lt;=0,"0",((SUM(ReDiarioFert!E49:E62)*$C$12)))</f>
        <v>136.72188782608694</v>
      </c>
      <c r="I19">
        <f>IF((SUM(ReDiarioFert!G49:G62)*$C$12)&lt;=0,"0",((SUM(ReDiarioFert!G49:G62)*$C$12)))</f>
        <v>240.92359477666665</v>
      </c>
      <c r="K19">
        <f>IF((SUM(ReDiarioFert!I49:I62)*$C$12)&lt;=0,"0",((SUM(ReDiarioFert!I49:I62)*$C$12)))</f>
        <v>154.62858472807912</v>
      </c>
      <c r="M19">
        <f>IF((SUM(ReDiarioFert!K49:K62)*$C$12)&lt;=0,"0",((SUM(ReDiarioFert!K49:K62)*$C$12)))</f>
        <v>318.7296020169079</v>
      </c>
      <c r="O19">
        <f>IF((SUM(ReDiarioFert!M49:M62)*$C$12)&lt;=0,"0",((SUM(ReDiarioFert!M49:M62)*$C$12)))</f>
        <v>0.441354214</v>
      </c>
      <c r="Q19">
        <f>$C$12*Main!$D$63</f>
        <v>29.68</v>
      </c>
      <c r="S19">
        <f>((E19/100)*$F$26+(G19/100)*$F$27+(I19/100)*$F$28+(K19/100)*$F$29+(M19/100)*$F$30+(O19)*$F$31+(Q19*$F$32))</f>
        <v>9658.91547199967</v>
      </c>
    </row>
    <row r="20">
      <c r="A20">
        <v>10</v>
      </c>
      <c r="B20">
        <v>57</v>
      </c>
      <c r="C20">
        <f>$I$11+B20</f>
        <v>40016</v>
      </c>
      <c r="E20">
        <f>IF((SUM(ReDiarioFert!C63:C76)*$C$12)&lt;=0,"0",((SUM(ReDiarioFert!C63:C76)*$C$12)))</f>
        <v>58.72379954986366</v>
      </c>
      <c r="G20">
        <f>IF((SUM(ReDiarioFert!E63:E76)*$C$12)&lt;=0,"0",((SUM(ReDiarioFert!E63:E76)*$C$12)))</f>
        <v>136.72188782608694</v>
      </c>
      <c r="I20">
        <f>IF((SUM(ReDiarioFert!G63:G76)*$C$12)&lt;=0,"0",((SUM(ReDiarioFert!G63:G76)*$C$12)))</f>
        <v>240.92359477666665</v>
      </c>
      <c r="K20">
        <f>IF((SUM(ReDiarioFert!I63:I76)*$C$12)&lt;=0,"0",((SUM(ReDiarioFert!I63:I76)*$C$12)))</f>
        <v>154.62858472807912</v>
      </c>
      <c r="M20">
        <f>IF((SUM(ReDiarioFert!K63:K76)*$C$12)&lt;=0,"0",((SUM(ReDiarioFert!K63:K76)*$C$12)))</f>
        <v>318.7296020169079</v>
      </c>
      <c r="O20">
        <f>IF((SUM(ReDiarioFert!M63:M76)*$C$12)&lt;=0,"0",((SUM(ReDiarioFert!M63:M76)*$C$12)))</f>
        <v>0.5592507423999998</v>
      </c>
      <c r="Q20">
        <f>$C$12*Main!$D$63</f>
        <v>29.68</v>
      </c>
      <c r="S20">
        <f>((E20/100)*$F$26+(G20/100)*$F$27+(I20/100)*$F$28+(K20/100)*$F$29+(M20/100)*$F$30+(O20)*$F$31+(Q20*$F$32))</f>
        <v>8961.218853195176</v>
      </c>
    </row>
    <row r="21">
      <c r="A21">
        <v>12</v>
      </c>
      <c r="B21">
        <v>71</v>
      </c>
      <c r="C21">
        <f>$I$11+B21</f>
        <v>40030</v>
      </c>
      <c r="E21">
        <f>IF((SUM(ReDiarioFert!C77:C83)*$C$12)&lt;=0,"0",((SUM(ReDiarioFert!C77:C83)*$C$12)))</f>
        <v>17.679895159500102</v>
      </c>
      <c r="G21">
        <f>IF((SUM(ReDiarioFert!E77:E83)*$C$12)&lt;=0,"0",((SUM(ReDiarioFert!E77:E83)*$C$12)))</f>
        <v>68.36094391304349</v>
      </c>
      <c r="I21">
        <f>IF((SUM(ReDiarioFert!G77:G83)*$C$12)&lt;=0,"0",((SUM(ReDiarioFert!G77:G83)*$C$12)))</f>
        <v>120.46179738833331</v>
      </c>
      <c r="K21">
        <f>IF((SUM(ReDiarioFert!I77:I83)*$C$12)&lt;=0,"0",((SUM(ReDiarioFert!I77:I83)*$C$12)))</f>
        <v>77.31429236403957</v>
      </c>
      <c r="M21">
        <f>IF((SUM(ReDiarioFert!K77:K83)*$C$12)&lt;=0,"0",((SUM(ReDiarioFert!K77:K83)*$C$12)))</f>
        <v>159.364801008454</v>
      </c>
      <c r="O21">
        <f>IF((SUM(ReDiarioFert!M77:M83)*$C$12)&lt;=0,"0",((SUM(ReDiarioFert!M77:M83)*$C$12)))</f>
        <v>0.30683243359999995</v>
      </c>
      <c r="Q21">
        <f>$C$12*Main!$D$63</f>
        <v>29.68</v>
      </c>
      <c r="S21">
        <f>((E21/100)*$F$26+(G21/100)*$F$27+(I21/100)*$F$28+(K21/100)*$F$29+(M21/100)*$F$30+(O21)*$F$31+(Q21*$F$32))</f>
        <v>4446.228396597283</v>
      </c>
    </row>
    <row r="22">
      <c r="C22" t="str">
        <v>Total</v>
      </c>
      <c r="E22">
        <f>SUM(E16:E21)</f>
        <v>796.5125776203431</v>
      </c>
      <c r="G22">
        <f>SUM(G16:G21)</f>
        <v>644.4620563061738</v>
      </c>
      <c r="I22">
        <f>SUM(I16:I21)</f>
        <v>1283.8318758640783</v>
      </c>
      <c r="K22">
        <f>SUM(K16:K21)</f>
        <v>823.983662445683</v>
      </c>
      <c r="M22">
        <f>SUM(M16:M21)</f>
        <v>1698.44395369452</v>
      </c>
      <c r="O22">
        <f>SUM(O16:O21)</f>
        <v>2.0072545415999996</v>
      </c>
      <c r="Q22">
        <f>SUM(Q16:Q21)</f>
        <v>178.08</v>
      </c>
      <c r="S22">
        <f>SUM(S16:S21)</f>
        <v>49942.35718244429</v>
      </c>
    </row>
    <row r="23">
      <c r="D23" t="str">
        <v>OJO cualquier cultivo que no se termine la cosecha en el ultimo día del calendario solo seguir repitiendo la ultima aplicación de fertilizante.</v>
      </c>
    </row>
    <row r="24" ht="33.75" customHeight="1">
      <c r="B24" t="str">
        <v>Producto</v>
      </c>
      <c r="E24" t="str">
        <v>Lbs/Ha</v>
      </c>
      <c r="F24" t="str">
        <v>Costo por qq</v>
      </c>
    </row>
    <row r="25" ht="24" customHeight="1">
      <c r="F25" t="str">
        <f>Main!$E$25</f>
        <v>Lempiras</v>
      </c>
    </row>
    <row r="26">
      <c r="B26" t="str">
        <f>Main!D42</f>
        <v>Urea</v>
      </c>
      <c r="E26">
        <f>E22/$C$12</f>
        <v>536.7335428708511</v>
      </c>
      <c r="F26">
        <f>Main!D43</f>
        <v>650</v>
      </c>
    </row>
    <row r="27">
      <c r="B27" t="str">
        <f>Main!D32</f>
        <v>DAP 18-46-0</v>
      </c>
      <c r="E27">
        <f>G22/$C$12</f>
        <v>434.27362284782606</v>
      </c>
      <c r="F27">
        <f>Main!D33</f>
        <v>1200</v>
      </c>
    </row>
    <row r="28">
      <c r="B28" t="str">
        <f>Main!D37</f>
        <v>Kcl Soluble</v>
      </c>
      <c r="E28">
        <f>I22/$C$12</f>
        <v>865.1158193154166</v>
      </c>
      <c r="F28">
        <f>Main!D38</f>
        <v>780</v>
      </c>
    </row>
    <row r="29">
      <c r="B29" t="str">
        <f>Main!D47</f>
        <v>Sulfato de Magnesio</v>
      </c>
      <c r="E29">
        <f>K22/$C$12</f>
        <v>555.2450555563902</v>
      </c>
      <c r="F29">
        <f>Main!D48</f>
        <v>951</v>
      </c>
    </row>
    <row r="30">
      <c r="B30" t="str">
        <f>Main!D52</f>
        <v>Nitrato de Calcio</v>
      </c>
      <c r="E30">
        <f>M22/$C$12</f>
        <v>1144.504011923531</v>
      </c>
      <c r="F30">
        <f>Main!D53</f>
        <v>1100</v>
      </c>
    </row>
    <row r="31">
      <c r="B31" t="str">
        <f>Main!D57</f>
        <v>Sin Boro</v>
      </c>
      <c r="E31">
        <f>O22/$C$12</f>
        <v>1.3525973999999998</v>
      </c>
      <c r="F31">
        <f>Main!D58</f>
        <v>0</v>
      </c>
      <c r="I31" t="str">
        <v xml:space="preserve">Preparado y Autorizado Por </v>
      </c>
    </row>
    <row r="32">
      <c r="B32" t="str">
        <f>Main!D61</f>
        <v>Melaza</v>
      </c>
      <c r="E32">
        <f>Q22/$C$12</f>
        <v>120.00000000000001</v>
      </c>
      <c r="F32">
        <f>Main!D62</f>
        <v>2.8</v>
      </c>
      <c r="I32" t="str">
        <v>MSc Ricardo D. Lardizábal</v>
      </c>
    </row>
    <row r="33">
      <c r="B33" t="str">
        <v>NOTA: El Nitrato de Calcio se debe de diluir en un barril aparte para inyectarse al sistema</v>
      </c>
    </row>
    <row r="34" ht="18.6" customHeight="1"/>
    <row r="36">
      <c r="B36" t="str">
        <v>Abreviaciones usadas</v>
      </c>
    </row>
    <row r="37">
      <c r="B37"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8:G28"/>
    <mergeCell ref="C12:E12"/>
    <mergeCell ref="B24:D24"/>
    <mergeCell ref="B27:D27"/>
    <mergeCell ref="B28:D28"/>
    <mergeCell ref="B29:D29"/>
    <mergeCell ref="I11:M11"/>
    <mergeCell ref="I12:M12"/>
    <mergeCell ref="I14:J14"/>
    <mergeCell ref="K14:L14"/>
    <mergeCell ref="M14:N14"/>
    <mergeCell ref="F11:H11"/>
    <mergeCell ref="B32:D32"/>
    <mergeCell ref="F29:G29"/>
    <mergeCell ref="S14:S15"/>
    <mergeCell ref="Q14:R14"/>
    <mergeCell ref="O14:P14"/>
    <mergeCell ref="G14:H14"/>
    <mergeCell ref="F30:G30"/>
    <mergeCell ref="F31:G31"/>
    <mergeCell ref="F32:G32"/>
    <mergeCell ref="F27:G27"/>
    <mergeCell ref="C9:E9"/>
    <mergeCell ref="F9:H9"/>
    <mergeCell ref="B37:Q37"/>
    <mergeCell ref="B36:C36"/>
    <mergeCell ref="B33:I34"/>
    <mergeCell ref="F25:G25"/>
    <mergeCell ref="F26:G26"/>
    <mergeCell ref="B26:D26"/>
    <mergeCell ref="B30:D30"/>
    <mergeCell ref="B31:D31"/>
    <mergeCell ref="I9:M9"/>
    <mergeCell ref="I10:M10"/>
    <mergeCell ref="B14:B15"/>
    <mergeCell ref="F24:G24"/>
    <mergeCell ref="P5:S7"/>
    <mergeCell ref="P2:S3"/>
    <mergeCell ref="A8:M8"/>
    <mergeCell ref="P9:S12"/>
    <mergeCell ref="A7:K7"/>
    <mergeCell ref="A9:B9"/>
  </mergeCells>
  <pageMargins left="0.81" right="0.47" top="0.26" bottom="0.37" header="0.18" footer="0.16"/>
  <ignoredErrors>
    <ignoredError numberStoredAsText="1" sqref="A1:T37"/>
  </ignoredErrors>
  <legacyDrawing r:id="rId1"/>
</worksheet>
</file>

<file path=xl/worksheets/sheet9.xml><?xml version="1.0" encoding="utf-8"?>
<worksheet xmlns="http://schemas.openxmlformats.org/spreadsheetml/2006/main" xmlns:r="http://schemas.openxmlformats.org/officeDocument/2006/relationships">
  <dimension ref="A1:Q85"/>
  <sheetViews>
    <sheetView workbookViewId="0" rightToLeft="0"/>
  </sheetViews>
  <sheetData>
    <row r="1">
      <c r="A1" t="str">
        <v>Requerimientos Diario para:</v>
      </c>
      <c r="E1" t="str">
        <f>Main!E21</f>
        <v>Maíz Dulce</v>
      </c>
    </row>
    <row r="4" ht="30" customHeight="1">
      <c r="A4" t="str">
        <v>Semana</v>
      </c>
      <c r="B4" t="str">
        <v>N</v>
      </c>
      <c r="C4" t="str">
        <f>Main!D42</f>
        <v>Urea</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Sin Boro</v>
      </c>
    </row>
    <row r="5" ht="17.25" customHeight="1">
      <c r="A5" t="str">
        <v>Porcentaje de Elemento</v>
      </c>
      <c r="C5">
        <f>Main!E41</f>
        <v>46</v>
      </c>
      <c r="E5">
        <f>Main!F31</f>
        <v>46</v>
      </c>
      <c r="G5">
        <f>Main!G36</f>
        <v>60</v>
      </c>
      <c r="I5">
        <f>Main!I46</f>
        <v>16</v>
      </c>
      <c r="K5">
        <f>Main!H51</f>
        <v>27</v>
      </c>
      <c r="M5">
        <f>Main!K56</f>
        <v>100000</v>
      </c>
    </row>
    <row r="6">
      <c r="C6">
        <f>Main!E41/100</f>
        <v>0.46</v>
      </c>
      <c r="E6">
        <f>(Main!F31/100)/Main!F72</f>
        <v>0.46</v>
      </c>
      <c r="G6">
        <f>(Main!G36/100)/Main!F73</f>
        <v>0.6</v>
      </c>
      <c r="I6">
        <f>(I5/100)/Main!F74</f>
        <v>0.16</v>
      </c>
      <c r="K6">
        <f>(K5/100)/Main!F75</f>
        <v>0.27</v>
      </c>
      <c r="M6">
        <f>M5/100</f>
        <v>1000</v>
      </c>
    </row>
    <row r="7">
      <c r="A7">
        <v>1</v>
      </c>
      <c r="B7">
        <f>'Req. Diario'!D6</f>
        <v>3.8927869946801867</v>
      </c>
      <c r="C7">
        <f>(B7-((E7*(Main!$E$31/100))+(G7*(Main!$E$36/100))+(I7*(Main!$E$46/100))+(K7*(Main!$E$51/100))))/$C$6</f>
        <v>4.925700958457193</v>
      </c>
      <c r="D7">
        <f>'Req. Diario'!E6</f>
        <v>1.06797852</v>
      </c>
      <c r="E7">
        <f>(D7-((C7*(Main!$F$41/100))+(G7*(Main!$F$36/100))+(I7*(Main!$F$46/100))+(K7*(Main!$F$51/100))))/$E$6</f>
        <v>2.3216924347826087</v>
      </c>
      <c r="F7">
        <f>'Req. Diario'!F6</f>
        <v>3.5377269449999997</v>
      </c>
      <c r="G7">
        <f>(F7-((C7*(Main!$G$41/100))+(E7*(Main!$G$31/100))+(I7*(Main!$G$46/100))+(K7*(Main!$G$51/100))))/$G$6</f>
        <v>5.896211575</v>
      </c>
      <c r="H7">
        <f>'Req. Diario'!G6</f>
        <v>0.605485138602369</v>
      </c>
      <c r="I7">
        <f>H7/$I$6</f>
        <v>3.784282116264806</v>
      </c>
      <c r="J7">
        <f>'Req. Diario'!H6</f>
        <v>2.106104368986015</v>
      </c>
      <c r="K7">
        <f>J7/$K$6</f>
        <v>7.800386551800054</v>
      </c>
      <c r="L7">
        <f>'Req. Diario'!I6</f>
        <v>5.0926</v>
      </c>
      <c r="M7">
        <f>L7/$M$6</f>
        <v>0.0050926</v>
      </c>
    </row>
    <row r="8">
      <c r="B8">
        <f>'Req. Diario'!D7</f>
        <v>3.8927869946801867</v>
      </c>
      <c r="C8">
        <f>(B8-((E8*(Main!$E$31/100))+(G8*(Main!$E$36/100))+(I8*(Main!$E$46/100))+(K8*(Main!$E$51/100))))/$C$6</f>
        <v>4.925700958457193</v>
      </c>
      <c r="D8">
        <f>'Req. Diario'!E7</f>
        <v>1.06797852</v>
      </c>
      <c r="E8">
        <f>(D8-((C8*(Main!$F$41/100))+(G8*(Main!$F$36/100))+(I8*(Main!$F$46/100))+(K8*(Main!$F$51/100))))/$E$6</f>
        <v>2.3216924347826087</v>
      </c>
      <c r="F8">
        <f>'Req. Diario'!F7</f>
        <v>3.5377269449999997</v>
      </c>
      <c r="G8">
        <f>(F8-((C8*(Main!$G$41/100))+(E8*(Main!$G$31/100))+(I8*(Main!$G$46/100))+(K8*(Main!$G$51/100))))/$G$6</f>
        <v>5.896211575</v>
      </c>
      <c r="H8">
        <f>'Req. Diario'!G7</f>
        <v>0.605485138602369</v>
      </c>
      <c r="I8">
        <f>H8/$I$6</f>
        <v>3.784282116264806</v>
      </c>
      <c r="J8">
        <f>'Req. Diario'!H7</f>
        <v>2.106104368986015</v>
      </c>
      <c r="K8">
        <f>J8/$K$6</f>
        <v>7.800386551800054</v>
      </c>
      <c r="L8">
        <f>'Req. Diario'!I7</f>
        <v>5.0926</v>
      </c>
      <c r="M8">
        <f>L8/$M$6</f>
        <v>0.0050926</v>
      </c>
    </row>
    <row r="9">
      <c r="B9">
        <f>'Req. Diario'!D8</f>
        <v>3.8927869946801867</v>
      </c>
      <c r="C9">
        <f>(B9-((E9*(Main!$E$31/100))+(G9*(Main!$E$36/100))+(I9*(Main!$E$46/100))+(K9*(Main!$E$51/100))))/$C$6</f>
        <v>4.925700958457193</v>
      </c>
      <c r="D9">
        <f>'Req. Diario'!E8</f>
        <v>1.06797852</v>
      </c>
      <c r="E9">
        <f>(D9-((C9*(Main!$F$41/100))+(G9*(Main!$F$36/100))+(I9*(Main!$F$46/100))+(K9*(Main!$F$51/100))))/$E$6</f>
        <v>2.3216924347826087</v>
      </c>
      <c r="F9">
        <f>'Req. Diario'!F8</f>
        <v>3.5377269449999997</v>
      </c>
      <c r="G9">
        <f>(F9-((C9*(Main!$G$41/100))+(E9*(Main!$G$31/100))+(I9*(Main!$G$46/100))+(K9*(Main!$G$51/100))))/$G$6</f>
        <v>5.896211575</v>
      </c>
      <c r="H9">
        <f>'Req. Diario'!G8</f>
        <v>0.605485138602369</v>
      </c>
      <c r="I9">
        <f>H9/$I$6</f>
        <v>3.784282116264806</v>
      </c>
      <c r="J9">
        <f>'Req. Diario'!H8</f>
        <v>2.106104368986015</v>
      </c>
      <c r="K9">
        <f>J9/$K$6</f>
        <v>7.800386551800054</v>
      </c>
      <c r="L9">
        <f>'Req. Diario'!I8</f>
        <v>5.0926</v>
      </c>
      <c r="M9">
        <f>L9/$M$6</f>
        <v>0.0050926</v>
      </c>
    </row>
    <row r="10">
      <c r="B10">
        <f>'Req. Diario'!D9</f>
        <v>3.8927869946801867</v>
      </c>
      <c r="C10">
        <f>(B10-((E10*(Main!$E$31/100))+(G10*(Main!$E$36/100))+(I10*(Main!$E$46/100))+(K10*(Main!$E$51/100))))/$C$6</f>
        <v>4.925700958457193</v>
      </c>
      <c r="D10">
        <f>'Req. Diario'!E9</f>
        <v>1.06797852</v>
      </c>
      <c r="E10">
        <f>(D10-((C10*(Main!$F$41/100))+(G10*(Main!$F$36/100))+(I10*(Main!$F$46/100))+(K10*(Main!$F$51/100))))/$E$6</f>
        <v>2.3216924347826087</v>
      </c>
      <c r="F10">
        <f>'Req. Diario'!F9</f>
        <v>3.5377269449999997</v>
      </c>
      <c r="G10">
        <f>(F10-((C10*(Main!$G$41/100))+(E10*(Main!$G$31/100))+(I10*(Main!$G$46/100))+(K10*(Main!$G$51/100))))/$G$6</f>
        <v>5.896211575</v>
      </c>
      <c r="H10">
        <f>'Req. Diario'!G9</f>
        <v>0.605485138602369</v>
      </c>
      <c r="I10">
        <f>H10/$I$6</f>
        <v>3.784282116264806</v>
      </c>
      <c r="J10">
        <f>'Req. Diario'!H9</f>
        <v>2.106104368986015</v>
      </c>
      <c r="K10">
        <f>J10/$K$6</f>
        <v>7.800386551800054</v>
      </c>
      <c r="L10">
        <f>'Req. Diario'!I9</f>
        <v>5.0926</v>
      </c>
      <c r="M10">
        <f>L10/$M$6</f>
        <v>0.0050926</v>
      </c>
    </row>
    <row r="11">
      <c r="B11">
        <f>'Req. Diario'!D10</f>
        <v>3.8927869946801867</v>
      </c>
      <c r="C11">
        <f>(B11-((E11*(Main!$E$31/100))+(G11*(Main!$E$36/100))+(I11*(Main!$E$46/100))+(K11*(Main!$E$51/100))))/$C$6</f>
        <v>4.925700958457193</v>
      </c>
      <c r="D11">
        <f>'Req. Diario'!E10</f>
        <v>1.06797852</v>
      </c>
      <c r="E11">
        <f>(D11-((C11*(Main!$F$41/100))+(G11*(Main!$F$36/100))+(I11*(Main!$F$46/100))+(K11*(Main!$F$51/100))))/$E$6</f>
        <v>2.3216924347826087</v>
      </c>
      <c r="F11">
        <f>'Req. Diario'!F10</f>
        <v>3.5377269449999997</v>
      </c>
      <c r="G11">
        <f>(F11-((C11*(Main!$G$41/100))+(E11*(Main!$G$31/100))+(I11*(Main!$G$46/100))+(K11*(Main!$G$51/100))))/$G$6</f>
        <v>5.896211575</v>
      </c>
      <c r="H11">
        <f>'Req. Diario'!G10</f>
        <v>0.605485138602369</v>
      </c>
      <c r="I11">
        <f>H11/$I$6</f>
        <v>3.784282116264806</v>
      </c>
      <c r="J11">
        <f>'Req. Diario'!H10</f>
        <v>2.106104368986015</v>
      </c>
      <c r="K11">
        <f>J11/$K$6</f>
        <v>7.800386551800054</v>
      </c>
      <c r="L11">
        <f>'Req. Diario'!I10</f>
        <v>5.0926</v>
      </c>
      <c r="M11">
        <f>L11/$M$6</f>
        <v>0.0050926</v>
      </c>
    </row>
    <row r="12">
      <c r="B12">
        <f>'Req. Diario'!D11</f>
        <v>3.8927869946801867</v>
      </c>
      <c r="C12">
        <f>(B12-((E12*(Main!$E$31/100))+(G12*(Main!$E$36/100))+(I12*(Main!$E$46/100))+(K12*(Main!$E$51/100))))/$C$6</f>
        <v>4.925700958457193</v>
      </c>
      <c r="D12">
        <f>'Req. Diario'!E11</f>
        <v>1.06797852</v>
      </c>
      <c r="E12">
        <f>(D12-((C12*(Main!$F$41/100))+(G12*(Main!$F$36/100))+(I12*(Main!$F$46/100))+(K12*(Main!$F$51/100))))/$E$6</f>
        <v>2.3216924347826087</v>
      </c>
      <c r="F12">
        <f>'Req. Diario'!F11</f>
        <v>3.5377269449999997</v>
      </c>
      <c r="G12">
        <f>(F12-((C12*(Main!$G$41/100))+(E12*(Main!$G$31/100))+(I12*(Main!$G$46/100))+(K12*(Main!$G$51/100))))/$G$6</f>
        <v>5.896211575</v>
      </c>
      <c r="H12">
        <f>'Req. Diario'!G11</f>
        <v>0.605485138602369</v>
      </c>
      <c r="I12">
        <f>H12/$I$6</f>
        <v>3.784282116264806</v>
      </c>
      <c r="J12">
        <f>'Req. Diario'!H11</f>
        <v>2.106104368986015</v>
      </c>
      <c r="K12">
        <f>J12/$K$6</f>
        <v>7.800386551800054</v>
      </c>
      <c r="L12">
        <f>'Req. Diario'!I11</f>
        <v>5.0926</v>
      </c>
      <c r="M12">
        <f>L12/$M$6</f>
        <v>0.0050926</v>
      </c>
    </row>
    <row r="13">
      <c r="B13">
        <f>'Req. Diario'!D12</f>
        <v>3.8927869946801867</v>
      </c>
      <c r="C13">
        <f>(B13-((E13*(Main!$E$31/100))+(G13*(Main!$E$36/100))+(I13*(Main!$E$46/100))+(K13*(Main!$E$51/100))))/$C$6</f>
        <v>4.925700958457193</v>
      </c>
      <c r="D13">
        <f>'Req. Diario'!E12</f>
        <v>1.06797852</v>
      </c>
      <c r="E13">
        <f>(D13-((C13*(Main!$F$41/100))+(G13*(Main!$F$36/100))+(I13*(Main!$F$46/100))+(K13*(Main!$F$51/100))))/$E$6</f>
        <v>2.3216924347826087</v>
      </c>
      <c r="F13">
        <f>'Req. Diario'!F12</f>
        <v>3.5377269449999997</v>
      </c>
      <c r="G13">
        <f>(F13-((C13*(Main!$G$41/100))+(E13*(Main!$G$31/100))+(I13*(Main!$G$46/100))+(K13*(Main!$G$51/100))))/$G$6</f>
        <v>5.896211575</v>
      </c>
      <c r="H13">
        <f>'Req. Diario'!G12</f>
        <v>0.605485138602369</v>
      </c>
      <c r="I13">
        <f>H13/$I$6</f>
        <v>3.784282116264806</v>
      </c>
      <c r="J13">
        <f>'Req. Diario'!H12</f>
        <v>2.106104368986015</v>
      </c>
      <c r="K13">
        <f>J13/$K$6</f>
        <v>7.800386551800054</v>
      </c>
      <c r="L13">
        <f>'Req. Diario'!I12</f>
        <v>5.0926</v>
      </c>
      <c r="M13">
        <f>L13/$M$6</f>
        <v>0.0050926</v>
      </c>
    </row>
    <row r="14">
      <c r="A14">
        <v>2</v>
      </c>
      <c r="B14">
        <f>'Req. Diario'!D13</f>
        <v>6.452291878362802</v>
      </c>
      <c r="C14">
        <f>(B14-((E14*(Main!$E$31/100))+(G14*(Main!$E$36/100))+(I14*(Main!$E$46/100))+(K14*(Main!$E$51/100))))/$C$6</f>
        <v>8.5770801066274</v>
      </c>
      <c r="D14">
        <f>'Req. Diario'!E13</f>
        <v>1.28498193</v>
      </c>
      <c r="E14">
        <f>(D14-((C14*(Main!$F$41/100))+(G14*(Main!$F$36/100))+(I14*(Main!$F$46/100))+(K14*(Main!$F$51/100))))/$E$6</f>
        <v>2.7934389782608697</v>
      </c>
      <c r="F14">
        <f>'Req. Diario'!F13</f>
        <v>5.86378008</v>
      </c>
      <c r="G14">
        <f>(F14-((C14*(Main!$G$41/100))+(E14*(Main!$G$31/100))+(I14*(Main!$G$46/100))+(K14*(Main!$G$51/100))))/$G$6</f>
        <v>9.7729668</v>
      </c>
      <c r="H14">
        <f>'Req. Diario'!G13</f>
        <v>1.0035912182229232</v>
      </c>
      <c r="I14">
        <f>H14/$I$6</f>
        <v>6.27244511389327</v>
      </c>
      <c r="J14">
        <f>'Req. Diario'!H13</f>
        <v>3.49086660368616</v>
      </c>
      <c r="K14">
        <f>J14/$K$6</f>
        <v>12.929135569208</v>
      </c>
      <c r="L14">
        <f>'Req. Diario'!I13</f>
        <v>5.0926</v>
      </c>
      <c r="M14">
        <f>L14/$M$6</f>
        <v>0.0050926</v>
      </c>
    </row>
    <row r="15">
      <c r="B15">
        <f>'Req. Diario'!D14</f>
        <v>6.452291878362802</v>
      </c>
      <c r="C15">
        <f>(B15-((E15*(Main!$E$31/100))+(G15*(Main!$E$36/100))+(I15*(Main!$E$46/100))+(K15*(Main!$E$51/100))))/$C$6</f>
        <v>8.5770801066274</v>
      </c>
      <c r="D15">
        <f>'Req. Diario'!E14</f>
        <v>1.28498193</v>
      </c>
      <c r="E15">
        <f>(D15-((C15*(Main!$F$41/100))+(G15*(Main!$F$36/100))+(I15*(Main!$F$46/100))+(K15*(Main!$F$51/100))))/$E$6</f>
        <v>2.7934389782608697</v>
      </c>
      <c r="F15">
        <f>'Req. Diario'!F14</f>
        <v>5.86378008</v>
      </c>
      <c r="G15">
        <f>(F15-((C15*(Main!$G$41/100))+(E15*(Main!$G$31/100))+(I15*(Main!$G$46/100))+(K15*(Main!$G$51/100))))/$G$6</f>
        <v>9.7729668</v>
      </c>
      <c r="H15">
        <f>'Req. Diario'!G14</f>
        <v>1.0035912182229232</v>
      </c>
      <c r="I15">
        <f>H15/$I$6</f>
        <v>6.27244511389327</v>
      </c>
      <c r="J15">
        <f>'Req. Diario'!H14</f>
        <v>3.49086660368616</v>
      </c>
      <c r="K15">
        <f>J15/$K$6</f>
        <v>12.929135569208</v>
      </c>
      <c r="L15">
        <f>'Req. Diario'!I14</f>
        <v>5.0926</v>
      </c>
      <c r="M15">
        <f>L15/$M$6</f>
        <v>0.0050926</v>
      </c>
    </row>
    <row r="16">
      <c r="B16">
        <f>'Req. Diario'!D15</f>
        <v>6.452291878362802</v>
      </c>
      <c r="C16">
        <f>(B16-((E16*(Main!$E$31/100))+(G16*(Main!$E$36/100))+(I16*(Main!$E$46/100))+(K16*(Main!$E$51/100))))/$C$6</f>
        <v>8.5770801066274</v>
      </c>
      <c r="D16">
        <f>'Req. Diario'!E15</f>
        <v>1.28498193</v>
      </c>
      <c r="E16">
        <f>(D16-((C16*(Main!$F$41/100))+(G16*(Main!$F$36/100))+(I16*(Main!$F$46/100))+(K16*(Main!$F$51/100))))/$E$6</f>
        <v>2.7934389782608697</v>
      </c>
      <c r="F16">
        <f>'Req. Diario'!F15</f>
        <v>5.86378008</v>
      </c>
      <c r="G16">
        <f>(F16-((C16*(Main!$G$41/100))+(E16*(Main!$G$31/100))+(I16*(Main!$G$46/100))+(K16*(Main!$G$51/100))))/$G$6</f>
        <v>9.7729668</v>
      </c>
      <c r="H16">
        <f>'Req. Diario'!G15</f>
        <v>1.0035912182229232</v>
      </c>
      <c r="I16">
        <f>H16/$I$6</f>
        <v>6.27244511389327</v>
      </c>
      <c r="J16">
        <f>'Req. Diario'!H15</f>
        <v>3.49086660368616</v>
      </c>
      <c r="K16">
        <f>J16/$K$6</f>
        <v>12.929135569208</v>
      </c>
      <c r="L16">
        <f>'Req. Diario'!I15</f>
        <v>5.0926</v>
      </c>
      <c r="M16">
        <f>L16/$M$6</f>
        <v>0.0050926</v>
      </c>
    </row>
    <row r="17">
      <c r="B17">
        <f>'Req. Diario'!D16</f>
        <v>6.452291878362802</v>
      </c>
      <c r="C17">
        <f>(B17-((E17*(Main!$E$31/100))+(G17*(Main!$E$36/100))+(I17*(Main!$E$46/100))+(K17*(Main!$E$51/100))))/$C$6</f>
        <v>8.5770801066274</v>
      </c>
      <c r="D17">
        <f>'Req. Diario'!E16</f>
        <v>1.28498193</v>
      </c>
      <c r="E17">
        <f>(D17-((C17*(Main!$F$41/100))+(G17*(Main!$F$36/100))+(I17*(Main!$F$46/100))+(K17*(Main!$F$51/100))))/$E$6</f>
        <v>2.7934389782608697</v>
      </c>
      <c r="F17">
        <f>'Req. Diario'!F16</f>
        <v>5.86378008</v>
      </c>
      <c r="G17">
        <f>(F17-((C17*(Main!$G$41/100))+(E17*(Main!$G$31/100))+(I17*(Main!$G$46/100))+(K17*(Main!$G$51/100))))/$G$6</f>
        <v>9.7729668</v>
      </c>
      <c r="H17">
        <f>'Req. Diario'!G16</f>
        <v>1.0035912182229232</v>
      </c>
      <c r="I17">
        <f>H17/$I$6</f>
        <v>6.27244511389327</v>
      </c>
      <c r="J17">
        <f>'Req. Diario'!H16</f>
        <v>3.49086660368616</v>
      </c>
      <c r="K17">
        <f>J17/$K$6</f>
        <v>12.929135569208</v>
      </c>
      <c r="L17">
        <f>'Req. Diario'!I16</f>
        <v>9.1667</v>
      </c>
      <c r="M17">
        <f>L17/$M$6</f>
        <v>0.0091667</v>
      </c>
    </row>
    <row r="18">
      <c r="B18">
        <f>'Req. Diario'!D17</f>
        <v>6.452291878362802</v>
      </c>
      <c r="C18">
        <f>(B18-((E18*(Main!$E$31/100))+(G18*(Main!$E$36/100))+(I18*(Main!$E$46/100))+(K18*(Main!$E$51/100))))/$C$6</f>
        <v>8.5770801066274</v>
      </c>
      <c r="D18">
        <f>'Req. Diario'!E17</f>
        <v>1.28498193</v>
      </c>
      <c r="E18">
        <f>(D18-((C18*(Main!$F$41/100))+(G18*(Main!$F$36/100))+(I18*(Main!$F$46/100))+(K18*(Main!$F$51/100))))/$E$6</f>
        <v>2.7934389782608697</v>
      </c>
      <c r="F18">
        <f>'Req. Diario'!F17</f>
        <v>5.86378008</v>
      </c>
      <c r="G18">
        <f>(F18-((C18*(Main!$G$41/100))+(E18*(Main!$G$31/100))+(I18*(Main!$G$46/100))+(K18*(Main!$G$51/100))))/$G$6</f>
        <v>9.7729668</v>
      </c>
      <c r="H18">
        <f>'Req. Diario'!G17</f>
        <v>1.0035912182229232</v>
      </c>
      <c r="I18">
        <f>H18/$I$6</f>
        <v>6.27244511389327</v>
      </c>
      <c r="J18">
        <f>'Req. Diario'!H17</f>
        <v>3.49086660368616</v>
      </c>
      <c r="K18">
        <f>J18/$K$6</f>
        <v>12.929135569208</v>
      </c>
      <c r="L18">
        <f>'Req. Diario'!I17</f>
        <v>9.1667</v>
      </c>
      <c r="M18">
        <f>L18/$M$6</f>
        <v>0.0091667</v>
      </c>
    </row>
    <row r="19">
      <c r="B19">
        <f>'Req. Diario'!D18</f>
        <v>6.452291878362802</v>
      </c>
      <c r="C19">
        <f>(B19-((E19*(Main!$E$31/100))+(G19*(Main!$E$36/100))+(I19*(Main!$E$46/100))+(K19*(Main!$E$51/100))))/$C$6</f>
        <v>8.5770801066274</v>
      </c>
      <c r="D19">
        <f>'Req. Diario'!E18</f>
        <v>1.28498193</v>
      </c>
      <c r="E19">
        <f>(D19-((C19*(Main!$F$41/100))+(G19*(Main!$F$36/100))+(I19*(Main!$F$46/100))+(K19*(Main!$F$51/100))))/$E$6</f>
        <v>2.7934389782608697</v>
      </c>
      <c r="F19">
        <f>'Req. Diario'!F18</f>
        <v>5.86378008</v>
      </c>
      <c r="G19">
        <f>(F19-((C19*(Main!$G$41/100))+(E19*(Main!$G$31/100))+(I19*(Main!$G$46/100))+(K19*(Main!$G$51/100))))/$G$6</f>
        <v>9.7729668</v>
      </c>
      <c r="H19">
        <f>'Req. Diario'!G18</f>
        <v>1.0035912182229232</v>
      </c>
      <c r="I19">
        <f>H19/$I$6</f>
        <v>6.27244511389327</v>
      </c>
      <c r="J19">
        <f>'Req. Diario'!H18</f>
        <v>3.49086660368616</v>
      </c>
      <c r="K19">
        <f>J19/$K$6</f>
        <v>12.929135569208</v>
      </c>
      <c r="L19">
        <f>'Req. Diario'!I18</f>
        <v>9.1667</v>
      </c>
      <c r="M19">
        <f>L19/$M$6</f>
        <v>0.0091667</v>
      </c>
    </row>
    <row r="20">
      <c r="B20">
        <f>'Req. Diario'!D19</f>
        <v>6.452291878362802</v>
      </c>
      <c r="C20">
        <f>(B20-((E20*(Main!$E$31/100))+(G20*(Main!$E$36/100))+(I20*(Main!$E$46/100))+(K20*(Main!$E$51/100))))/$C$6</f>
        <v>8.5770801066274</v>
      </c>
      <c r="D20">
        <f>'Req. Diario'!E19</f>
        <v>1.28498193</v>
      </c>
      <c r="E20">
        <f>(D20-((C20*(Main!$F$41/100))+(G20*(Main!$F$36/100))+(I20*(Main!$F$46/100))+(K20*(Main!$F$51/100))))/$E$6</f>
        <v>2.7934389782608697</v>
      </c>
      <c r="F20">
        <f>'Req. Diario'!F19</f>
        <v>5.86378008</v>
      </c>
      <c r="G20">
        <f>(F20-((C20*(Main!$G$41/100))+(E20*(Main!$G$31/100))+(I20*(Main!$G$46/100))+(K20*(Main!$G$51/100))))/$G$6</f>
        <v>9.7729668</v>
      </c>
      <c r="H20">
        <f>'Req. Diario'!G19</f>
        <v>1.0035912182229232</v>
      </c>
      <c r="I20">
        <f>H20/$I$6</f>
        <v>6.27244511389327</v>
      </c>
      <c r="J20">
        <f>'Req. Diario'!H19</f>
        <v>3.49086660368616</v>
      </c>
      <c r="K20">
        <f>J20/$K$6</f>
        <v>12.929135569208</v>
      </c>
      <c r="L20">
        <f>'Req. Diario'!I19</f>
        <v>9.1667</v>
      </c>
      <c r="M20">
        <f>L20/$M$6</f>
        <v>0.0091667</v>
      </c>
    </row>
    <row r="21">
      <c r="A21">
        <v>3</v>
      </c>
      <c r="B21">
        <f>'Req. Diario'!D20</f>
        <v>7.220861632957862</v>
      </c>
      <c r="C21">
        <f>(B21-((E21*(Main!$E$31/100))+(G21*(Main!$E$36/100))+(I21*(Main!$E$46/100))+(K21*(Main!$E$51/100))))/$C$6</f>
        <v>8.69751926954778</v>
      </c>
      <c r="D21">
        <f>'Req. Diario'!E20</f>
        <v>2.4974852400000005</v>
      </c>
      <c r="E21">
        <f>(D21-((C21*(Main!$F$41/100))+(G21*(Main!$F$36/100))+(I21*(Main!$F$46/100))+(K21*(Main!$F$51/100))))/$E$6</f>
        <v>5.429315739130436</v>
      </c>
      <c r="F21">
        <f>'Req. Diario'!F20</f>
        <v>6.5622487949999995</v>
      </c>
      <c r="G21">
        <f>(F21-((C21*(Main!$G$41/100))+(E21*(Main!$G$31/100))+(I21*(Main!$G$46/100))+(K21*(Main!$G$51/100))))/$G$6</f>
        <v>10.937081325</v>
      </c>
      <c r="H21">
        <f>'Req. Diario'!G20</f>
        <v>1.1231347650500492</v>
      </c>
      <c r="I21">
        <f>H21/$I$6</f>
        <v>7.019592281562807</v>
      </c>
      <c r="J21">
        <f>'Req. Diario'!H20</f>
        <v>3.906683888380965</v>
      </c>
      <c r="K21">
        <f>J21/$K$6</f>
        <v>14.469199586596165</v>
      </c>
      <c r="L21">
        <f>'Req. Diario'!I20</f>
        <v>9.1667</v>
      </c>
      <c r="M21">
        <f>L21/$M$6</f>
        <v>0.0091667</v>
      </c>
    </row>
    <row r="22">
      <c r="B22">
        <f>'Req. Diario'!D21</f>
        <v>7.220861632957862</v>
      </c>
      <c r="C22">
        <f>(B22-((E22*(Main!$E$31/100))+(G22*(Main!$E$36/100))+(I22*(Main!$E$46/100))+(K22*(Main!$E$51/100))))/$C$6</f>
        <v>8.69751926954778</v>
      </c>
      <c r="D22">
        <f>'Req. Diario'!E21</f>
        <v>2.4974852400000005</v>
      </c>
      <c r="E22">
        <f>(D22-((C22*(Main!$F$41/100))+(G22*(Main!$F$36/100))+(I22*(Main!$F$46/100))+(K22*(Main!$F$51/100))))/$E$6</f>
        <v>5.429315739130436</v>
      </c>
      <c r="F22">
        <f>'Req. Diario'!F21</f>
        <v>6.5622487949999995</v>
      </c>
      <c r="G22">
        <f>(F22-((C22*(Main!$G$41/100))+(E22*(Main!$G$31/100))+(I22*(Main!$G$46/100))+(K22*(Main!$G$51/100))))/$G$6</f>
        <v>10.937081325</v>
      </c>
      <c r="H22">
        <f>'Req. Diario'!G21</f>
        <v>1.1231347650500492</v>
      </c>
      <c r="I22">
        <f>H22/$I$6</f>
        <v>7.019592281562807</v>
      </c>
      <c r="J22">
        <f>'Req. Diario'!H21</f>
        <v>3.906683888380965</v>
      </c>
      <c r="K22">
        <f>J22/$K$6</f>
        <v>14.469199586596165</v>
      </c>
      <c r="L22">
        <f>'Req. Diario'!I21</f>
        <v>9.1667</v>
      </c>
      <c r="M22">
        <f>L22/$M$6</f>
        <v>0.0091667</v>
      </c>
    </row>
    <row r="23">
      <c r="B23">
        <f>'Req. Diario'!D22</f>
        <v>7.220861632957862</v>
      </c>
      <c r="C23">
        <f>(B23-((E23*(Main!$E$31/100))+(G23*(Main!$E$36/100))+(I23*(Main!$E$46/100))+(K23*(Main!$E$51/100))))/$C$6</f>
        <v>8.69751926954778</v>
      </c>
      <c r="D23">
        <f>'Req. Diario'!E22</f>
        <v>2.4974852400000005</v>
      </c>
      <c r="E23">
        <f>(D23-((C23*(Main!$F$41/100))+(G23*(Main!$F$36/100))+(I23*(Main!$F$46/100))+(K23*(Main!$F$51/100))))/$E$6</f>
        <v>5.429315739130436</v>
      </c>
      <c r="F23">
        <f>'Req. Diario'!F22</f>
        <v>6.5622487949999995</v>
      </c>
      <c r="G23">
        <f>(F23-((C23*(Main!$G$41/100))+(E23*(Main!$G$31/100))+(I23*(Main!$G$46/100))+(K23*(Main!$G$51/100))))/$G$6</f>
        <v>10.937081325</v>
      </c>
      <c r="H23">
        <f>'Req. Diario'!G22</f>
        <v>1.1231347650500492</v>
      </c>
      <c r="I23">
        <f>H23/$I$6</f>
        <v>7.019592281562807</v>
      </c>
      <c r="J23">
        <f>'Req. Diario'!H22</f>
        <v>3.906683888380965</v>
      </c>
      <c r="K23">
        <f>J23/$K$6</f>
        <v>14.469199586596165</v>
      </c>
      <c r="L23">
        <f>'Req. Diario'!I22</f>
        <v>9.1667</v>
      </c>
      <c r="M23">
        <f>L23/$M$6</f>
        <v>0.0091667</v>
      </c>
    </row>
    <row r="24">
      <c r="B24">
        <f>'Req. Diario'!D23</f>
        <v>7.220861632957862</v>
      </c>
      <c r="C24">
        <f>(B24-((E24*(Main!$E$31/100))+(G24*(Main!$E$36/100))+(I24*(Main!$E$46/100))+(K24*(Main!$E$51/100))))/$C$6</f>
        <v>8.69751926954778</v>
      </c>
      <c r="D24">
        <f>'Req. Diario'!E23</f>
        <v>2.4974852400000005</v>
      </c>
      <c r="E24">
        <f>(D24-((C24*(Main!$F$41/100))+(G24*(Main!$F$36/100))+(I24*(Main!$F$46/100))+(K24*(Main!$F$51/100))))/$E$6</f>
        <v>5.429315739130436</v>
      </c>
      <c r="F24">
        <f>'Req. Diario'!F23</f>
        <v>6.5622487949999995</v>
      </c>
      <c r="G24">
        <f>(F24-((C24*(Main!$G$41/100))+(E24*(Main!$G$31/100))+(I24*(Main!$G$46/100))+(K24*(Main!$G$51/100))))/$G$6</f>
        <v>10.937081325</v>
      </c>
      <c r="H24">
        <f>'Req. Diario'!G23</f>
        <v>1.1231347650500492</v>
      </c>
      <c r="I24">
        <f>H24/$I$6</f>
        <v>7.019592281562807</v>
      </c>
      <c r="J24">
        <f>'Req. Diario'!H23</f>
        <v>3.906683888380965</v>
      </c>
      <c r="K24">
        <f>J24/$K$6</f>
        <v>14.469199586596165</v>
      </c>
      <c r="L24">
        <f>'Req. Diario'!I23</f>
        <v>12.2222</v>
      </c>
      <c r="M24">
        <f>L24/$M$6</f>
        <v>0.0122222</v>
      </c>
    </row>
    <row r="25">
      <c r="B25">
        <f>'Req. Diario'!D24</f>
        <v>7.220861632957862</v>
      </c>
      <c r="C25">
        <f>(B25-((E25*(Main!$E$31/100))+(G25*(Main!$E$36/100))+(I25*(Main!$E$46/100))+(K25*(Main!$E$51/100))))/$C$6</f>
        <v>8.69751926954778</v>
      </c>
      <c r="D25">
        <f>'Req. Diario'!E24</f>
        <v>2.4974852400000005</v>
      </c>
      <c r="E25">
        <f>(D25-((C25*(Main!$F$41/100))+(G25*(Main!$F$36/100))+(I25*(Main!$F$46/100))+(K25*(Main!$F$51/100))))/$E$6</f>
        <v>5.429315739130436</v>
      </c>
      <c r="F25">
        <f>'Req. Diario'!F24</f>
        <v>6.5622487949999995</v>
      </c>
      <c r="G25">
        <f>(F25-((C25*(Main!$G$41/100))+(E25*(Main!$G$31/100))+(I25*(Main!$G$46/100))+(K25*(Main!$G$51/100))))/$G$6</f>
        <v>10.937081325</v>
      </c>
      <c r="H25">
        <f>'Req. Diario'!G24</f>
        <v>1.1231347650500492</v>
      </c>
      <c r="I25">
        <f>H25/$I$6</f>
        <v>7.019592281562807</v>
      </c>
      <c r="J25">
        <f>'Req. Diario'!H24</f>
        <v>3.906683888380965</v>
      </c>
      <c r="K25">
        <f>J25/$K$6</f>
        <v>14.469199586596165</v>
      </c>
      <c r="L25">
        <f>'Req. Diario'!I24</f>
        <v>12.2222</v>
      </c>
      <c r="M25">
        <f>L25/$M$6</f>
        <v>0.0122222</v>
      </c>
    </row>
    <row r="26">
      <c r="B26">
        <f>'Req. Diario'!D25</f>
        <v>7.220861632957862</v>
      </c>
      <c r="C26">
        <f>(B26-((E26*(Main!$E$31/100))+(G26*(Main!$E$36/100))+(I26*(Main!$E$46/100))+(K26*(Main!$E$51/100))))/$C$6</f>
        <v>8.69751926954778</v>
      </c>
      <c r="D26">
        <f>'Req. Diario'!E25</f>
        <v>2.4974852400000005</v>
      </c>
      <c r="E26">
        <f>(D26-((C26*(Main!$F$41/100))+(G26*(Main!$F$36/100))+(I26*(Main!$F$46/100))+(K26*(Main!$F$51/100))))/$E$6</f>
        <v>5.429315739130436</v>
      </c>
      <c r="F26">
        <f>'Req. Diario'!F25</f>
        <v>6.5622487949999995</v>
      </c>
      <c r="G26">
        <f>(F26-((C26*(Main!$G$41/100))+(E26*(Main!$G$31/100))+(I26*(Main!$G$46/100))+(K26*(Main!$G$51/100))))/$G$6</f>
        <v>10.937081325</v>
      </c>
      <c r="H26">
        <f>'Req. Diario'!G25</f>
        <v>1.1231347650500492</v>
      </c>
      <c r="I26">
        <f>H26/$I$6</f>
        <v>7.019592281562807</v>
      </c>
      <c r="J26">
        <f>'Req. Diario'!H25</f>
        <v>3.906683888380965</v>
      </c>
      <c r="K26">
        <f>J26/$K$6</f>
        <v>14.469199586596165</v>
      </c>
      <c r="L26">
        <f>'Req. Diario'!I25</f>
        <v>12.2222</v>
      </c>
      <c r="M26">
        <f>L26/$M$6</f>
        <v>0.0122222</v>
      </c>
    </row>
    <row r="27">
      <c r="B27">
        <f>'Req. Diario'!D26</f>
        <v>7.220861632957862</v>
      </c>
      <c r="C27">
        <f>(B27-((E27*(Main!$E$31/100))+(G27*(Main!$E$36/100))+(I27*(Main!$E$46/100))+(K27*(Main!$E$51/100))))/$C$6</f>
        <v>8.69751926954778</v>
      </c>
      <c r="D27">
        <f>'Req. Diario'!E26</f>
        <v>2.4974852400000005</v>
      </c>
      <c r="E27">
        <f>(D27-((C27*(Main!$F$41/100))+(G27*(Main!$F$36/100))+(I27*(Main!$F$46/100))+(K27*(Main!$F$51/100))))/$E$6</f>
        <v>5.429315739130436</v>
      </c>
      <c r="F27">
        <f>'Req. Diario'!F26</f>
        <v>6.5622487949999995</v>
      </c>
      <c r="G27">
        <f>(F27-((C27*(Main!$G$41/100))+(E27*(Main!$G$31/100))+(I27*(Main!$G$46/100))+(K27*(Main!$G$51/100))))/$G$6</f>
        <v>10.937081325</v>
      </c>
      <c r="H27">
        <f>'Req. Diario'!G26</f>
        <v>1.1231347650500492</v>
      </c>
      <c r="I27">
        <f>H27/$I$6</f>
        <v>7.019592281562807</v>
      </c>
      <c r="J27">
        <f>'Req. Diario'!H26</f>
        <v>3.906683888380965</v>
      </c>
      <c r="K27">
        <f>J27/$K$6</f>
        <v>14.469199586596165</v>
      </c>
      <c r="L27">
        <f>'Req. Diario'!I26</f>
        <v>12.2222</v>
      </c>
      <c r="M27">
        <f>L27/$M$6</f>
        <v>0.0122222</v>
      </c>
    </row>
    <row r="28">
      <c r="A28">
        <v>4</v>
      </c>
      <c r="B28">
        <f>'Req. Diario'!D27</f>
        <v>7.220861632957862</v>
      </c>
      <c r="C28">
        <f>(B28-((E28*(Main!$E$31/100))+(G28*(Main!$E$36/100))+(I28*(Main!$E$46/100))+(K28*(Main!$E$51/100))))/$C$6</f>
        <v>8.69751926954778</v>
      </c>
      <c r="D28">
        <f>'Req. Diario'!E27</f>
        <v>2.4974852400000005</v>
      </c>
      <c r="E28">
        <f>(D28-((C28*(Main!$F$41/100))+(G28*(Main!$F$36/100))+(I28*(Main!$F$46/100))+(K28*(Main!$F$51/100))))/$E$6</f>
        <v>5.429315739130436</v>
      </c>
      <c r="F28">
        <f>'Req. Diario'!F27</f>
        <v>6.5622487949999995</v>
      </c>
      <c r="G28">
        <f>(F28-((C28*(Main!$G$41/100))+(E28*(Main!$G$31/100))+(I28*(Main!$G$46/100))+(K28*(Main!$G$51/100))))/$G$6</f>
        <v>10.937081325</v>
      </c>
      <c r="H28">
        <f>'Req. Diario'!G27</f>
        <v>1.1231347650500492</v>
      </c>
      <c r="I28">
        <f>H28/$I$6</f>
        <v>7.019592281562807</v>
      </c>
      <c r="J28">
        <f>'Req. Diario'!H27</f>
        <v>3.906683888380965</v>
      </c>
      <c r="K28">
        <f>J28/$K$6</f>
        <v>14.469199586596165</v>
      </c>
      <c r="L28">
        <f>'Req. Diario'!I27</f>
        <v>12.2222</v>
      </c>
      <c r="M28">
        <f>L28/$M$6</f>
        <v>0.0122222</v>
      </c>
    </row>
    <row r="29">
      <c r="B29">
        <f>'Req. Diario'!D28</f>
        <v>7.220861632957862</v>
      </c>
      <c r="C29">
        <f>(B29-((E29*(Main!$E$31/100))+(G29*(Main!$E$36/100))+(I29*(Main!$E$46/100))+(K29*(Main!$E$51/100))))/$C$6</f>
        <v>8.69751926954778</v>
      </c>
      <c r="D29">
        <f>'Req. Diario'!E28</f>
        <v>2.4974852400000005</v>
      </c>
      <c r="E29">
        <f>(D29-((C29*(Main!$F$41/100))+(G29*(Main!$F$36/100))+(I29*(Main!$F$46/100))+(K29*(Main!$F$51/100))))/$E$6</f>
        <v>5.429315739130436</v>
      </c>
      <c r="F29">
        <f>'Req. Diario'!F28</f>
        <v>6.5622487949999995</v>
      </c>
      <c r="G29">
        <f>(F29-((C29*(Main!$G$41/100))+(E29*(Main!$G$31/100))+(I29*(Main!$G$46/100))+(K29*(Main!$G$51/100))))/$G$6</f>
        <v>10.937081325</v>
      </c>
      <c r="H29">
        <f>'Req. Diario'!G28</f>
        <v>1.1231347650500492</v>
      </c>
      <c r="I29">
        <f>H29/$I$6</f>
        <v>7.019592281562807</v>
      </c>
      <c r="J29">
        <f>'Req. Diario'!H28</f>
        <v>3.906683888380965</v>
      </c>
      <c r="K29">
        <f>J29/$K$6</f>
        <v>14.469199586596165</v>
      </c>
      <c r="L29">
        <f>'Req. Diario'!I28</f>
        <v>12.2222</v>
      </c>
      <c r="M29">
        <f>L29/$M$6</f>
        <v>0.0122222</v>
      </c>
    </row>
    <row r="30">
      <c r="B30">
        <f>'Req. Diario'!D29</f>
        <v>7.220861632957862</v>
      </c>
      <c r="C30">
        <f>(B30-((E30*(Main!$E$31/100))+(G30*(Main!$E$36/100))+(I30*(Main!$E$46/100))+(K30*(Main!$E$51/100))))/$C$6</f>
        <v>8.69751926954778</v>
      </c>
      <c r="D30">
        <f>'Req. Diario'!E29</f>
        <v>2.4974852400000005</v>
      </c>
      <c r="E30">
        <f>(D30-((C30*(Main!$F$41/100))+(G30*(Main!$F$36/100))+(I30*(Main!$F$46/100))+(K30*(Main!$F$51/100))))/$E$6</f>
        <v>5.429315739130436</v>
      </c>
      <c r="F30">
        <f>'Req. Diario'!F29</f>
        <v>6.5622487949999995</v>
      </c>
      <c r="G30">
        <f>(F30-((C30*(Main!$G$41/100))+(E30*(Main!$G$31/100))+(I30*(Main!$G$46/100))+(K30*(Main!$G$51/100))))/$G$6</f>
        <v>10.937081325</v>
      </c>
      <c r="H30">
        <f>'Req. Diario'!G29</f>
        <v>1.1231347650500492</v>
      </c>
      <c r="I30">
        <f>H30/$I$6</f>
        <v>7.019592281562807</v>
      </c>
      <c r="J30">
        <f>'Req. Diario'!H29</f>
        <v>3.906683888380965</v>
      </c>
      <c r="K30">
        <f>J30/$K$6</f>
        <v>14.469199586596165</v>
      </c>
      <c r="L30">
        <f>'Req. Diario'!I29</f>
        <v>12.2222</v>
      </c>
      <c r="M30">
        <f>L30/$M$6</f>
        <v>0.0122222</v>
      </c>
    </row>
    <row r="31">
      <c r="B31">
        <f>'Req. Diario'!D30</f>
        <v>7.220861632957862</v>
      </c>
      <c r="C31">
        <f>(B31-((E31*(Main!$E$31/100))+(G31*(Main!$E$36/100))+(I31*(Main!$E$46/100))+(K31*(Main!$E$51/100))))/$C$6</f>
        <v>8.69751926954778</v>
      </c>
      <c r="D31">
        <f>'Req. Diario'!E30</f>
        <v>2.4974852400000005</v>
      </c>
      <c r="E31">
        <f>(D31-((C31*(Main!$F$41/100))+(G31*(Main!$F$36/100))+(I31*(Main!$F$46/100))+(K31*(Main!$F$51/100))))/$E$6</f>
        <v>5.429315739130436</v>
      </c>
      <c r="F31">
        <f>'Req. Diario'!F30</f>
        <v>6.5622487949999995</v>
      </c>
      <c r="G31">
        <f>(F31-((C31*(Main!$G$41/100))+(E31*(Main!$G$31/100))+(I31*(Main!$G$46/100))+(K31*(Main!$G$51/100))))/$G$6</f>
        <v>10.937081325</v>
      </c>
      <c r="H31">
        <f>'Req. Diario'!G30</f>
        <v>1.1231347650500492</v>
      </c>
      <c r="I31">
        <f>H31/$I$6</f>
        <v>7.019592281562807</v>
      </c>
      <c r="J31">
        <f>'Req. Diario'!H30</f>
        <v>3.906683888380965</v>
      </c>
      <c r="K31">
        <f>J31/$K$6</f>
        <v>14.469199586596165</v>
      </c>
      <c r="L31">
        <f>'Req. Diario'!I30</f>
        <v>12.2222</v>
      </c>
      <c r="M31">
        <f>L31/$M$6</f>
        <v>0.0122222</v>
      </c>
    </row>
    <row r="32">
      <c r="B32">
        <f>'Req. Diario'!D31</f>
        <v>7.220861632957862</v>
      </c>
      <c r="C32">
        <f>(B32-((E32*(Main!$E$31/100))+(G32*(Main!$E$36/100))+(I32*(Main!$E$46/100))+(K32*(Main!$E$51/100))))/$C$6</f>
        <v>8.69751926954778</v>
      </c>
      <c r="D32">
        <f>'Req. Diario'!E31</f>
        <v>2.4974852400000005</v>
      </c>
      <c r="E32">
        <f>(D32-((C32*(Main!$F$41/100))+(G32*(Main!$F$36/100))+(I32*(Main!$F$46/100))+(K32*(Main!$F$51/100))))/$E$6</f>
        <v>5.429315739130436</v>
      </c>
      <c r="F32">
        <f>'Req. Diario'!F31</f>
        <v>6.5622487949999995</v>
      </c>
      <c r="G32">
        <f>(F32-((C32*(Main!$G$41/100))+(E32*(Main!$G$31/100))+(I32*(Main!$G$46/100))+(K32*(Main!$G$51/100))))/$G$6</f>
        <v>10.937081325</v>
      </c>
      <c r="H32">
        <f>'Req. Diario'!G31</f>
        <v>1.1231347650500492</v>
      </c>
      <c r="I32">
        <f>H32/$I$6</f>
        <v>7.019592281562807</v>
      </c>
      <c r="J32">
        <f>'Req. Diario'!H31</f>
        <v>3.906683888380965</v>
      </c>
      <c r="K32">
        <f>J32/$K$6</f>
        <v>14.469199586596165</v>
      </c>
      <c r="L32">
        <f>'Req. Diario'!I31</f>
        <v>12.2222</v>
      </c>
      <c r="M32">
        <f>L32/$M$6</f>
        <v>0.0122222</v>
      </c>
    </row>
    <row r="33">
      <c r="B33">
        <f>'Req. Diario'!D32</f>
        <v>7.220861632957862</v>
      </c>
      <c r="C33">
        <f>(B33-((E33*(Main!$E$31/100))+(G33*(Main!$E$36/100))+(I33*(Main!$E$46/100))+(K33*(Main!$E$51/100))))/$C$6</f>
        <v>8.69751926954778</v>
      </c>
      <c r="D33">
        <f>'Req. Diario'!E32</f>
        <v>2.4974852400000005</v>
      </c>
      <c r="E33">
        <f>(D33-((C33*(Main!$F$41/100))+(G33*(Main!$F$36/100))+(I33*(Main!$F$46/100))+(K33*(Main!$F$51/100))))/$E$6</f>
        <v>5.429315739130436</v>
      </c>
      <c r="F33">
        <f>'Req. Diario'!F32</f>
        <v>6.5622487949999995</v>
      </c>
      <c r="G33">
        <f>(F33-((C33*(Main!$G$41/100))+(E33*(Main!$G$31/100))+(I33*(Main!$G$46/100))+(K33*(Main!$G$51/100))))/$G$6</f>
        <v>10.937081325</v>
      </c>
      <c r="H33">
        <f>'Req. Diario'!G32</f>
        <v>1.1231347650500492</v>
      </c>
      <c r="I33">
        <f>H33/$I$6</f>
        <v>7.019592281562807</v>
      </c>
      <c r="J33">
        <f>'Req. Diario'!H32</f>
        <v>3.906683888380965</v>
      </c>
      <c r="K33">
        <f>J33/$K$6</f>
        <v>14.469199586596165</v>
      </c>
      <c r="L33">
        <f>'Req. Diario'!I32</f>
        <v>12.2222</v>
      </c>
      <c r="M33">
        <f>L33/$M$6</f>
        <v>0.0122222</v>
      </c>
    </row>
    <row r="34">
      <c r="B34">
        <f>'Req. Diario'!D33</f>
        <v>7.220861632957862</v>
      </c>
      <c r="C34">
        <f>(B34-((E34*(Main!$E$31/100))+(G34*(Main!$E$36/100))+(I34*(Main!$E$46/100))+(K34*(Main!$E$51/100))))/$C$6</f>
        <v>8.69751926954778</v>
      </c>
      <c r="D34">
        <f>'Req. Diario'!E33</f>
        <v>2.4974852400000005</v>
      </c>
      <c r="E34">
        <f>(D34-((C34*(Main!$F$41/100))+(G34*(Main!$F$36/100))+(I34*(Main!$F$46/100))+(K34*(Main!$F$51/100))))/$E$6</f>
        <v>5.429315739130436</v>
      </c>
      <c r="F34">
        <f>'Req. Diario'!F33</f>
        <v>6.5622487949999995</v>
      </c>
      <c r="G34">
        <f>(F34-((C34*(Main!$G$41/100))+(E34*(Main!$G$31/100))+(I34*(Main!$G$46/100))+(K34*(Main!$G$51/100))))/$G$6</f>
        <v>10.937081325</v>
      </c>
      <c r="H34">
        <f>'Req. Diario'!G33</f>
        <v>1.1231347650500492</v>
      </c>
      <c r="I34">
        <f>H34/$I$6</f>
        <v>7.019592281562807</v>
      </c>
      <c r="J34">
        <f>'Req. Diario'!H33</f>
        <v>3.906683888380965</v>
      </c>
      <c r="K34">
        <f>J34/$K$6</f>
        <v>14.469199586596165</v>
      </c>
      <c r="L34">
        <f>'Req. Diario'!I33</f>
        <v>12.2222</v>
      </c>
      <c r="M34">
        <f>L34/$M$6</f>
        <v>0.0122222</v>
      </c>
    </row>
    <row r="35">
      <c r="A35">
        <v>5</v>
      </c>
      <c r="B35">
        <f>'Req. Diario'!D34</f>
        <v>10.015121764335362</v>
      </c>
      <c r="C35">
        <f>(B35-((E35*(Main!$E$31/100))+(G35*(Main!$E$36/100))+(I35*(Main!$E$46/100))+(K35*(Main!$E$51/100))))/$C$6</f>
        <v>12.434761282355725</v>
      </c>
      <c r="D35">
        <f>'Req. Diario'!E34</f>
        <v>3.0271500000000002</v>
      </c>
      <c r="E35">
        <f>(D35-((C35*(Main!$F$41/100))+(G35*(Main!$F$36/100))+(I35*(Main!$F$46/100))+(K35*(Main!$F$51/100))))/$E$6</f>
        <v>6.580760869565218</v>
      </c>
      <c r="F35">
        <f>'Req. Diario'!F34</f>
        <v>9.101645215</v>
      </c>
      <c r="G35">
        <f>(F35-((C35*(Main!$G$41/100))+(E35*(Main!$G$31/100))+(I35*(Main!$G$46/100))+(K35*(Main!$G$51/100))))/$G$6</f>
        <v>15.169408691666666</v>
      </c>
      <c r="H35">
        <f>'Req. Diario'!G34</f>
        <v>1.5577547391843334</v>
      </c>
      <c r="I35">
        <f>H35/$I$6</f>
        <v>9.735967119902083</v>
      </c>
      <c r="J35">
        <f>'Req. Diario'!H34</f>
        <v>5.4184551409103054</v>
      </c>
      <c r="K35">
        <f>J35/$K$6</f>
        <v>20.06835237374187</v>
      </c>
      <c r="L35">
        <f>'Req. Diario'!I34</f>
        <v>12.2222</v>
      </c>
      <c r="M35">
        <f>L35/$M$6</f>
        <v>0.0122222</v>
      </c>
    </row>
    <row r="36">
      <c r="B36">
        <f>'Req. Diario'!D35</f>
        <v>10.015121764335362</v>
      </c>
      <c r="C36">
        <f>(B36-((E36*(Main!$E$31/100))+(G36*(Main!$E$36/100))+(I36*(Main!$E$46/100))+(K36*(Main!$E$51/100))))/$C$6</f>
        <v>12.434761282355725</v>
      </c>
      <c r="D36">
        <f>'Req. Diario'!E35</f>
        <v>3.0271500000000002</v>
      </c>
      <c r="E36">
        <f>(D36-((C36*(Main!$F$41/100))+(G36*(Main!$F$36/100))+(I36*(Main!$F$46/100))+(K36*(Main!$F$51/100))))/$E$6</f>
        <v>6.580760869565218</v>
      </c>
      <c r="F36">
        <f>'Req. Diario'!F35</f>
        <v>9.101645215</v>
      </c>
      <c r="G36">
        <f>(F36-((C36*(Main!$G$41/100))+(E36*(Main!$G$31/100))+(I36*(Main!$G$46/100))+(K36*(Main!$G$51/100))))/$G$6</f>
        <v>15.169408691666666</v>
      </c>
      <c r="H36">
        <f>'Req. Diario'!G35</f>
        <v>1.5577547391843334</v>
      </c>
      <c r="I36">
        <f>H36/$I$6</f>
        <v>9.735967119902083</v>
      </c>
      <c r="J36">
        <f>'Req. Diario'!H35</f>
        <v>5.4184551409103054</v>
      </c>
      <c r="K36">
        <f>J36/$K$6</f>
        <v>20.06835237374187</v>
      </c>
      <c r="L36">
        <f>'Req. Diario'!I35</f>
        <v>12.2222</v>
      </c>
      <c r="M36">
        <f>L36/$M$6</f>
        <v>0.0122222</v>
      </c>
    </row>
    <row r="37">
      <c r="B37">
        <f>'Req. Diario'!D36</f>
        <v>10.015121764335362</v>
      </c>
      <c r="C37">
        <f>(B37-((E37*(Main!$E$31/100))+(G37*(Main!$E$36/100))+(I37*(Main!$E$46/100))+(K37*(Main!$E$51/100))))/$C$6</f>
        <v>12.434761282355725</v>
      </c>
      <c r="D37">
        <f>'Req. Diario'!E36</f>
        <v>3.0271500000000002</v>
      </c>
      <c r="E37">
        <f>(D37-((C37*(Main!$F$41/100))+(G37*(Main!$F$36/100))+(I37*(Main!$F$46/100))+(K37*(Main!$F$51/100))))/$E$6</f>
        <v>6.580760869565218</v>
      </c>
      <c r="F37">
        <f>'Req. Diario'!F36</f>
        <v>9.101645215</v>
      </c>
      <c r="G37">
        <f>(F37-((C37*(Main!$G$41/100))+(E37*(Main!$G$31/100))+(I37*(Main!$G$46/100))+(K37*(Main!$G$51/100))))/$G$6</f>
        <v>15.169408691666666</v>
      </c>
      <c r="H37">
        <f>'Req. Diario'!G36</f>
        <v>1.5577547391843334</v>
      </c>
      <c r="I37">
        <f>H37/$I$6</f>
        <v>9.735967119902083</v>
      </c>
      <c r="J37">
        <f>'Req. Diario'!H36</f>
        <v>5.4184551409103054</v>
      </c>
      <c r="K37">
        <f>J37/$K$6</f>
        <v>20.06835237374187</v>
      </c>
      <c r="L37">
        <f>'Req. Diario'!I36</f>
        <v>12.2222</v>
      </c>
      <c r="M37">
        <f>L37/$M$6</f>
        <v>0.0122222</v>
      </c>
    </row>
    <row r="38">
      <c r="B38">
        <f>'Req. Diario'!D37</f>
        <v>10.015121764335362</v>
      </c>
      <c r="C38">
        <f>(B38-((E38*(Main!$E$31/100))+(G38*(Main!$E$36/100))+(I38*(Main!$E$46/100))+(K38*(Main!$E$51/100))))/$C$6</f>
        <v>12.434761282355725</v>
      </c>
      <c r="D38">
        <f>'Req. Diario'!E37</f>
        <v>3.0271500000000002</v>
      </c>
      <c r="E38">
        <f>(D38-((C38*(Main!$F$41/100))+(G38*(Main!$F$36/100))+(I38*(Main!$F$46/100))+(K38*(Main!$F$51/100))))/$E$6</f>
        <v>6.580760869565218</v>
      </c>
      <c r="F38">
        <f>'Req. Diario'!F37</f>
        <v>9.101645215</v>
      </c>
      <c r="G38">
        <f>(F38-((C38*(Main!$G$41/100))+(E38*(Main!$G$31/100))+(I38*(Main!$G$46/100))+(K38*(Main!$G$51/100))))/$G$6</f>
        <v>15.169408691666666</v>
      </c>
      <c r="H38">
        <f>'Req. Diario'!G37</f>
        <v>1.5577547391843334</v>
      </c>
      <c r="I38">
        <f>H38/$I$6</f>
        <v>9.735967119902083</v>
      </c>
      <c r="J38">
        <f>'Req. Diario'!H37</f>
        <v>5.4184551409103054</v>
      </c>
      <c r="K38">
        <f>J38/$K$6</f>
        <v>20.06835237374187</v>
      </c>
      <c r="L38">
        <f>'Req. Diario'!I37</f>
        <v>12.2222</v>
      </c>
      <c r="M38">
        <f>L38/$M$6</f>
        <v>0.0122222</v>
      </c>
    </row>
    <row r="39">
      <c r="B39">
        <f>'Req. Diario'!D38</f>
        <v>10.015121764335362</v>
      </c>
      <c r="C39">
        <f>(B39-((E39*(Main!$E$31/100))+(G39*(Main!$E$36/100))+(I39*(Main!$E$46/100))+(K39*(Main!$E$51/100))))/$C$6</f>
        <v>12.434761282355725</v>
      </c>
      <c r="D39">
        <f>'Req. Diario'!E38</f>
        <v>3.0271500000000002</v>
      </c>
      <c r="E39">
        <f>(D39-((C39*(Main!$F$41/100))+(G39*(Main!$F$36/100))+(I39*(Main!$F$46/100))+(K39*(Main!$F$51/100))))/$E$6</f>
        <v>6.580760869565218</v>
      </c>
      <c r="F39">
        <f>'Req. Diario'!F38</f>
        <v>9.101645215</v>
      </c>
      <c r="G39">
        <f>(F39-((C39*(Main!$G$41/100))+(E39*(Main!$G$31/100))+(I39*(Main!$G$46/100))+(K39*(Main!$G$51/100))))/$G$6</f>
        <v>15.169408691666666</v>
      </c>
      <c r="H39">
        <f>'Req. Diario'!G38</f>
        <v>1.5577547391843334</v>
      </c>
      <c r="I39">
        <f>H39/$I$6</f>
        <v>9.735967119902083</v>
      </c>
      <c r="J39">
        <f>'Req. Diario'!H38</f>
        <v>5.4184551409103054</v>
      </c>
      <c r="K39">
        <f>J39/$K$6</f>
        <v>20.06835237374187</v>
      </c>
      <c r="L39">
        <f>'Req. Diario'!I38</f>
        <v>17.3149</v>
      </c>
      <c r="M39">
        <f>L39/$M$6</f>
        <v>0.0173149</v>
      </c>
    </row>
    <row r="40">
      <c r="B40">
        <f>'Req. Diario'!D39</f>
        <v>10.015121764335362</v>
      </c>
      <c r="C40">
        <f>(B40-((E40*(Main!$E$31/100))+(G40*(Main!$E$36/100))+(I40*(Main!$E$46/100))+(K40*(Main!$E$51/100))))/$C$6</f>
        <v>12.434761282355725</v>
      </c>
      <c r="D40">
        <f>'Req. Diario'!E39</f>
        <v>3.0271500000000002</v>
      </c>
      <c r="E40">
        <f>(D40-((C40*(Main!$F$41/100))+(G40*(Main!$F$36/100))+(I40*(Main!$F$46/100))+(K40*(Main!$F$51/100))))/$E$6</f>
        <v>6.580760869565218</v>
      </c>
      <c r="F40">
        <f>'Req. Diario'!F39</f>
        <v>9.101645215</v>
      </c>
      <c r="G40">
        <f>(F40-((C40*(Main!$G$41/100))+(E40*(Main!$G$31/100))+(I40*(Main!$G$46/100))+(K40*(Main!$G$51/100))))/$G$6</f>
        <v>15.169408691666666</v>
      </c>
      <c r="H40">
        <f>'Req. Diario'!G39</f>
        <v>1.5577547391843334</v>
      </c>
      <c r="I40">
        <f>H40/$I$6</f>
        <v>9.735967119902083</v>
      </c>
      <c r="J40">
        <f>'Req. Diario'!H39</f>
        <v>5.4184551409103054</v>
      </c>
      <c r="K40">
        <f>J40/$K$6</f>
        <v>20.06835237374187</v>
      </c>
      <c r="L40">
        <f>'Req. Diario'!I39</f>
        <v>17.3149</v>
      </c>
      <c r="M40">
        <f>L40/$M$6</f>
        <v>0.0173149</v>
      </c>
    </row>
    <row r="41">
      <c r="B41">
        <f>'Req. Diario'!D40</f>
        <v>10.015121764335362</v>
      </c>
      <c r="C41">
        <f>(B41-((E41*(Main!$E$31/100))+(G41*(Main!$E$36/100))+(I41*(Main!$E$46/100))+(K41*(Main!$E$51/100))))/$C$6</f>
        <v>12.434761282355725</v>
      </c>
      <c r="D41">
        <f>'Req. Diario'!E40</f>
        <v>3.0271500000000002</v>
      </c>
      <c r="E41">
        <f>(D41-((C41*(Main!$F$41/100))+(G41*(Main!$F$36/100))+(I41*(Main!$F$46/100))+(K41*(Main!$F$51/100))))/$E$6</f>
        <v>6.580760869565218</v>
      </c>
      <c r="F41">
        <f>'Req. Diario'!F40</f>
        <v>9.101645215</v>
      </c>
      <c r="G41">
        <f>(F41-((C41*(Main!$G$41/100))+(E41*(Main!$G$31/100))+(I41*(Main!$G$46/100))+(K41*(Main!$G$51/100))))/$G$6</f>
        <v>15.169408691666666</v>
      </c>
      <c r="H41">
        <f>'Req. Diario'!G40</f>
        <v>1.5577547391843334</v>
      </c>
      <c r="I41">
        <f>H41/$I$6</f>
        <v>9.735967119902083</v>
      </c>
      <c r="J41">
        <f>'Req. Diario'!H40</f>
        <v>5.4184551409103054</v>
      </c>
      <c r="K41">
        <f>J41/$K$6</f>
        <v>20.06835237374187</v>
      </c>
      <c r="L41">
        <f>'Req. Diario'!I40</f>
        <v>17.3149</v>
      </c>
      <c r="M41">
        <f>L41/$M$6</f>
        <v>0.0173149</v>
      </c>
    </row>
    <row r="42">
      <c r="A42">
        <v>6</v>
      </c>
      <c r="B42">
        <f>'Req. Diario'!D41</f>
        <v>8.4297951935</v>
      </c>
      <c r="C42">
        <f>(B42-((E42*(Main!$E$31/100))+(G42*(Main!$E$36/100))+(I42*(Main!$E$46/100))+(K42*(Main!$E$51/100))))/$C$6</f>
        <v>10.00272350377776</v>
      </c>
      <c r="D42">
        <f>'Req. Diario'!E41</f>
        <v>3.0271500000000002</v>
      </c>
      <c r="E42">
        <f>(D42-((C42*(Main!$F$41/100))+(G42*(Main!$F$36/100))+(I42*(Main!$F$46/100))+(K42*(Main!$F$51/100))))/$E$6</f>
        <v>6.580760869565218</v>
      </c>
      <c r="F42">
        <f>'Req. Diario'!F41</f>
        <v>7.73639843275</v>
      </c>
      <c r="G42">
        <f>(F42-((C42*(Main!$G$41/100))+(E42*(Main!$G$31/100))+(I42*(Main!$G$46/100))+(K42*(Main!$G$51/100))))/$G$6</f>
        <v>12.893997387916666</v>
      </c>
      <c r="H42">
        <f>'Req. Diario'!G41</f>
        <v>1.3240915283066832</v>
      </c>
      <c r="I42">
        <f>H42/$I$6</f>
        <v>8.27557205191677</v>
      </c>
      <c r="J42">
        <f>'Req. Diario'!H41</f>
        <v>4.605686869773759</v>
      </c>
      <c r="K42">
        <f>J42/$K$6</f>
        <v>17.05809951768059</v>
      </c>
      <c r="L42">
        <f>'Req. Diario'!I41</f>
        <v>17.3149</v>
      </c>
      <c r="M42">
        <f>L42/$M$6</f>
        <v>0.0173149</v>
      </c>
    </row>
    <row r="43">
      <c r="B43">
        <f>'Req. Diario'!D42</f>
        <v>8.4297951935</v>
      </c>
      <c r="C43">
        <f>(B43-((E43*(Main!$E$31/100))+(G43*(Main!$E$36/100))+(I43*(Main!$E$46/100))+(K43*(Main!$E$51/100))))/$C$6</f>
        <v>10.00272350377776</v>
      </c>
      <c r="D43">
        <f>'Req. Diario'!E42</f>
        <v>3.0271500000000002</v>
      </c>
      <c r="E43">
        <f>(D43-((C43*(Main!$F$41/100))+(G43*(Main!$F$36/100))+(I43*(Main!$F$46/100))+(K43*(Main!$F$51/100))))/$E$6</f>
        <v>6.580760869565218</v>
      </c>
      <c r="F43">
        <f>'Req. Diario'!F42</f>
        <v>7.73639843275</v>
      </c>
      <c r="G43">
        <f>(F43-((C43*(Main!$G$41/100))+(E43*(Main!$G$31/100))+(I43*(Main!$G$46/100))+(K43*(Main!$G$51/100))))/$G$6</f>
        <v>12.893997387916666</v>
      </c>
      <c r="H43">
        <f>'Req. Diario'!G42</f>
        <v>1.3240915283066832</v>
      </c>
      <c r="I43">
        <f>H43/$I$6</f>
        <v>8.27557205191677</v>
      </c>
      <c r="J43">
        <f>'Req. Diario'!H42</f>
        <v>4.605686869773759</v>
      </c>
      <c r="K43">
        <f>J43/$K$6</f>
        <v>17.05809951768059</v>
      </c>
      <c r="L43">
        <f>'Req. Diario'!I42</f>
        <v>17.3149</v>
      </c>
      <c r="M43">
        <f>L43/$M$6</f>
        <v>0.0173149</v>
      </c>
    </row>
    <row r="44">
      <c r="B44">
        <f>'Req. Diario'!D43</f>
        <v>8.4297951935</v>
      </c>
      <c r="C44">
        <f>(B44-((E44*(Main!$E$31/100))+(G44*(Main!$E$36/100))+(I44*(Main!$E$46/100))+(K44*(Main!$E$51/100))))/$C$6</f>
        <v>10.00272350377776</v>
      </c>
      <c r="D44">
        <f>'Req. Diario'!E43</f>
        <v>3.0271500000000002</v>
      </c>
      <c r="E44">
        <f>(D44-((C44*(Main!$F$41/100))+(G44*(Main!$F$36/100))+(I44*(Main!$F$46/100))+(K44*(Main!$F$51/100))))/$E$6</f>
        <v>6.580760869565218</v>
      </c>
      <c r="F44">
        <f>'Req. Diario'!F43</f>
        <v>7.73639843275</v>
      </c>
      <c r="G44">
        <f>(F44-((C44*(Main!$G$41/100))+(E44*(Main!$G$31/100))+(I44*(Main!$G$46/100))+(K44*(Main!$G$51/100))))/$G$6</f>
        <v>12.893997387916666</v>
      </c>
      <c r="H44">
        <f>'Req. Diario'!G43</f>
        <v>1.3240915283066832</v>
      </c>
      <c r="I44">
        <f>H44/$I$6</f>
        <v>8.27557205191677</v>
      </c>
      <c r="J44">
        <f>'Req. Diario'!H43</f>
        <v>4.605686869773759</v>
      </c>
      <c r="K44">
        <f>J44/$K$6</f>
        <v>17.05809951768059</v>
      </c>
      <c r="L44">
        <f>'Req. Diario'!I43</f>
        <v>17.3149</v>
      </c>
      <c r="M44">
        <f>L44/$M$6</f>
        <v>0.0173149</v>
      </c>
    </row>
    <row r="45">
      <c r="B45">
        <f>'Req. Diario'!D44</f>
        <v>8.4297951935</v>
      </c>
      <c r="C45">
        <f>(B45-((E45*(Main!$E$31/100))+(G45*(Main!$E$36/100))+(I45*(Main!$E$46/100))+(K45*(Main!$E$51/100))))/$C$6</f>
        <v>10.00272350377776</v>
      </c>
      <c r="D45">
        <f>'Req. Diario'!E44</f>
        <v>3.0271500000000002</v>
      </c>
      <c r="E45">
        <f>(D45-((C45*(Main!$F$41/100))+(G45*(Main!$F$36/100))+(I45*(Main!$F$46/100))+(K45*(Main!$F$51/100))))/$E$6</f>
        <v>6.580760869565218</v>
      </c>
      <c r="F45">
        <f>'Req. Diario'!F44</f>
        <v>7.73639843275</v>
      </c>
      <c r="G45">
        <f>(F45-((C45*(Main!$G$41/100))+(E45*(Main!$G$31/100))+(I45*(Main!$G$46/100))+(K45*(Main!$G$51/100))))/$G$6</f>
        <v>12.893997387916666</v>
      </c>
      <c r="H45">
        <f>'Req. Diario'!G44</f>
        <v>1.3240915283066832</v>
      </c>
      <c r="I45">
        <f>H45/$I$6</f>
        <v>8.27557205191677</v>
      </c>
      <c r="J45">
        <f>'Req. Diario'!H44</f>
        <v>4.605686869773759</v>
      </c>
      <c r="K45">
        <f>J45/$K$6</f>
        <v>17.05809951768059</v>
      </c>
      <c r="L45">
        <f>'Req. Diario'!I44</f>
        <v>17.3149</v>
      </c>
      <c r="M45">
        <f>L45/$M$6</f>
        <v>0.0173149</v>
      </c>
    </row>
    <row r="46">
      <c r="B46">
        <f>'Req. Diario'!D45</f>
        <v>8.4297951935</v>
      </c>
      <c r="C46">
        <f>(B46-((E46*(Main!$E$31/100))+(G46*(Main!$E$36/100))+(I46*(Main!$E$46/100))+(K46*(Main!$E$51/100))))/$C$6</f>
        <v>10.00272350377776</v>
      </c>
      <c r="D46">
        <f>'Req. Diario'!E45</f>
        <v>3.0271500000000002</v>
      </c>
      <c r="E46">
        <f>(D46-((C46*(Main!$F$41/100))+(G46*(Main!$F$36/100))+(I46*(Main!$F$46/100))+(K46*(Main!$F$51/100))))/$E$6</f>
        <v>6.580760869565218</v>
      </c>
      <c r="F46">
        <f>'Req. Diario'!F45</f>
        <v>7.73639843275</v>
      </c>
      <c r="G46">
        <f>(F46-((C46*(Main!$G$41/100))+(E46*(Main!$G$31/100))+(I46*(Main!$G$46/100))+(K46*(Main!$G$51/100))))/$G$6</f>
        <v>12.893997387916666</v>
      </c>
      <c r="H46">
        <f>'Req. Diario'!G45</f>
        <v>1.3240915283066832</v>
      </c>
      <c r="I46">
        <f>H46/$I$6</f>
        <v>8.27557205191677</v>
      </c>
      <c r="J46">
        <f>'Req. Diario'!H45</f>
        <v>4.605686869773759</v>
      </c>
      <c r="K46">
        <f>J46/$K$6</f>
        <v>17.05809951768059</v>
      </c>
      <c r="L46">
        <f>'Req. Diario'!I45</f>
        <v>17.3149</v>
      </c>
      <c r="M46">
        <f>L46/$M$6</f>
        <v>0.0173149</v>
      </c>
    </row>
    <row r="47">
      <c r="B47">
        <f>'Req. Diario'!D46</f>
        <v>8.4297951935</v>
      </c>
      <c r="C47">
        <f>(B47-((E47*(Main!$E$31/100))+(G47*(Main!$E$36/100))+(I47*(Main!$E$46/100))+(K47*(Main!$E$51/100))))/$C$6</f>
        <v>10.00272350377776</v>
      </c>
      <c r="D47">
        <f>'Req. Diario'!E46</f>
        <v>3.0271500000000002</v>
      </c>
      <c r="E47">
        <f>(D47-((C47*(Main!$F$41/100))+(G47*(Main!$F$36/100))+(I47*(Main!$F$46/100))+(K47*(Main!$F$51/100))))/$E$6</f>
        <v>6.580760869565218</v>
      </c>
      <c r="F47">
        <f>'Req. Diario'!F46</f>
        <v>7.73639843275</v>
      </c>
      <c r="G47">
        <f>(F47-((C47*(Main!$G$41/100))+(E47*(Main!$G$31/100))+(I47*(Main!$G$46/100))+(K47*(Main!$G$51/100))))/$G$6</f>
        <v>12.893997387916666</v>
      </c>
      <c r="H47">
        <f>'Req. Diario'!G46</f>
        <v>1.3240915283066832</v>
      </c>
      <c r="I47">
        <f>H47/$I$6</f>
        <v>8.27557205191677</v>
      </c>
      <c r="J47">
        <f>'Req. Diario'!H46</f>
        <v>4.605686869773759</v>
      </c>
      <c r="K47">
        <f>J47/$K$6</f>
        <v>17.05809951768059</v>
      </c>
      <c r="L47">
        <f>'Req. Diario'!I46</f>
        <v>17.3149</v>
      </c>
      <c r="M47">
        <f>L47/$M$6</f>
        <v>0.0173149</v>
      </c>
    </row>
    <row r="48">
      <c r="B48">
        <f>'Req. Diario'!D47</f>
        <v>8.4297951935</v>
      </c>
      <c r="C48">
        <f>(B48-((E48*(Main!$E$31/100))+(G48*(Main!$E$36/100))+(I48*(Main!$E$46/100))+(K48*(Main!$E$51/100))))/$C$6</f>
        <v>10.00272350377776</v>
      </c>
      <c r="D48">
        <f>'Req. Diario'!E47</f>
        <v>3.0271500000000002</v>
      </c>
      <c r="E48">
        <f>(D48-((C48*(Main!$F$41/100))+(G48*(Main!$F$36/100))+(I48*(Main!$F$46/100))+(K48*(Main!$F$51/100))))/$E$6</f>
        <v>6.580760869565218</v>
      </c>
      <c r="F48">
        <f>'Req. Diario'!F47</f>
        <v>7.73639843275</v>
      </c>
      <c r="G48">
        <f>(F48-((C48*(Main!$G$41/100))+(E48*(Main!$G$31/100))+(I48*(Main!$G$46/100))+(K48*(Main!$G$51/100))))/$G$6</f>
        <v>12.893997387916666</v>
      </c>
      <c r="H48">
        <f>'Req. Diario'!G47</f>
        <v>1.3240915283066832</v>
      </c>
      <c r="I48">
        <f>H48/$I$6</f>
        <v>8.27557205191677</v>
      </c>
      <c r="J48">
        <f>'Req. Diario'!H47</f>
        <v>4.605686869773759</v>
      </c>
      <c r="K48">
        <f>J48/$K$6</f>
        <v>17.05809951768059</v>
      </c>
      <c r="L48">
        <f>'Req. Diario'!I47</f>
        <v>17.3149</v>
      </c>
      <c r="M48">
        <f>L48/$M$6</f>
        <v>0.0173149</v>
      </c>
    </row>
    <row r="49">
      <c r="A49">
        <v>7</v>
      </c>
      <c r="B49">
        <f>'Req. Diario'!D48</f>
        <v>7.5490676935000005</v>
      </c>
      <c r="C49">
        <f>(B49-((E49*(Main!$E$31/100))+(G49*(Main!$E$36/100))+(I49*(Main!$E$46/100))+(K49*(Main!$E$51/100))))/$C$6</f>
        <v>8.66660551878836</v>
      </c>
      <c r="D49">
        <f>'Req. Diario'!E48</f>
        <v>3.0271500000000002</v>
      </c>
      <c r="E49">
        <f>(D49-((C49*(Main!$F$41/100))+(G49*(Main!$F$36/100))+(I49*(Main!$F$46/100))+(K49*(Main!$F$51/100))))/$E$6</f>
        <v>6.580760869565218</v>
      </c>
      <c r="F49">
        <f>'Req. Diario'!F48</f>
        <v>6.957747249999999</v>
      </c>
      <c r="G49">
        <f>(F49-((C49*(Main!$G$41/100))+(E49*(Main!$G$31/100))+(I49*(Main!$G$46/100))+(K49*(Main!$G$51/100))))/$G$6</f>
        <v>11.596245416666665</v>
      </c>
      <c r="H49">
        <f>'Req. Diario'!G48</f>
        <v>1.1908246802316453</v>
      </c>
      <c r="I49">
        <f>H49/$I$6</f>
        <v>7.442654251447784</v>
      </c>
      <c r="J49">
        <f>'Req. Diario'!H48</f>
        <v>4.142134797100749</v>
      </c>
      <c r="K49">
        <f>J49/$K$6</f>
        <v>15.341239989262034</v>
      </c>
      <c r="L49">
        <f>'Req. Diario'!I48</f>
        <v>17.3149</v>
      </c>
      <c r="M49">
        <f>L49/$M$6</f>
        <v>0.0173149</v>
      </c>
    </row>
    <row r="50">
      <c r="B50">
        <f>'Req. Diario'!D49</f>
        <v>7.5490676935000005</v>
      </c>
      <c r="C50">
        <f>(B50-((E50*(Main!$E$31/100))+(G50*(Main!$E$36/100))+(I50*(Main!$E$46/100))+(K50*(Main!$E$51/100))))/$C$6</f>
        <v>8.66660551878836</v>
      </c>
      <c r="D50">
        <f>'Req. Diario'!E49</f>
        <v>3.0271500000000002</v>
      </c>
      <c r="E50">
        <f>(D50-((C50*(Main!$F$41/100))+(G50*(Main!$F$36/100))+(I50*(Main!$F$46/100))+(K50*(Main!$F$51/100))))/$E$6</f>
        <v>6.580760869565218</v>
      </c>
      <c r="F50">
        <f>'Req. Diario'!F49</f>
        <v>6.957747249999999</v>
      </c>
      <c r="G50">
        <f>(F50-((C50*(Main!$G$41/100))+(E50*(Main!$G$31/100))+(I50*(Main!$G$46/100))+(K50*(Main!$G$51/100))))/$G$6</f>
        <v>11.596245416666665</v>
      </c>
      <c r="H50">
        <f>'Req. Diario'!G49</f>
        <v>1.1908246802316453</v>
      </c>
      <c r="I50">
        <f>H50/$I$6</f>
        <v>7.442654251447784</v>
      </c>
      <c r="J50">
        <f>'Req. Diario'!H49</f>
        <v>4.142134797100749</v>
      </c>
      <c r="K50">
        <f>J50/$K$6</f>
        <v>15.341239989262034</v>
      </c>
      <c r="L50">
        <f>'Req. Diario'!I49</f>
        <v>17.3149</v>
      </c>
      <c r="M50">
        <f>L50/$M$6</f>
        <v>0.0173149</v>
      </c>
    </row>
    <row r="51">
      <c r="B51">
        <f>'Req. Diario'!D50</f>
        <v>7.5490676935000005</v>
      </c>
      <c r="C51">
        <f>(B51-((E51*(Main!$E$31/100))+(G51*(Main!$E$36/100))+(I51*(Main!$E$46/100))+(K51*(Main!$E$51/100))))/$C$6</f>
        <v>8.66660551878836</v>
      </c>
      <c r="D51">
        <f>'Req. Diario'!E50</f>
        <v>3.0271500000000002</v>
      </c>
      <c r="E51">
        <f>(D51-((C51*(Main!$F$41/100))+(G51*(Main!$F$36/100))+(I51*(Main!$F$46/100))+(K51*(Main!$F$51/100))))/$E$6</f>
        <v>6.580760869565218</v>
      </c>
      <c r="F51">
        <f>'Req. Diario'!F50</f>
        <v>6.957747249999999</v>
      </c>
      <c r="G51">
        <f>(F51-((C51*(Main!$G$41/100))+(E51*(Main!$G$31/100))+(I51*(Main!$G$46/100))+(K51*(Main!$G$51/100))))/$G$6</f>
        <v>11.596245416666665</v>
      </c>
      <c r="H51">
        <f>'Req. Diario'!G50</f>
        <v>1.1908246802316453</v>
      </c>
      <c r="I51">
        <f>H51/$I$6</f>
        <v>7.442654251447784</v>
      </c>
      <c r="J51">
        <f>'Req. Diario'!H50</f>
        <v>4.142134797100749</v>
      </c>
      <c r="K51">
        <f>J51/$K$6</f>
        <v>15.341239989262034</v>
      </c>
      <c r="L51">
        <f>'Req. Diario'!I50</f>
        <v>17.3149</v>
      </c>
      <c r="M51">
        <f>L51/$M$6</f>
        <v>0.0173149</v>
      </c>
    </row>
    <row r="52">
      <c r="B52">
        <f>'Req. Diario'!D51</f>
        <v>7.5490676935000005</v>
      </c>
      <c r="C52">
        <f>(B52-((E52*(Main!$E$31/100))+(G52*(Main!$E$36/100))+(I52*(Main!$E$46/100))+(K52*(Main!$E$51/100))))/$C$6</f>
        <v>8.66660551878836</v>
      </c>
      <c r="D52">
        <f>'Req. Diario'!E51</f>
        <v>3.0271500000000002</v>
      </c>
      <c r="E52">
        <f>(D52-((C52*(Main!$F$41/100))+(G52*(Main!$F$36/100))+(I52*(Main!$F$46/100))+(K52*(Main!$F$51/100))))/$E$6</f>
        <v>6.580760869565218</v>
      </c>
      <c r="F52">
        <f>'Req. Diario'!F51</f>
        <v>6.957747249999999</v>
      </c>
      <c r="G52">
        <f>(F52-((C52*(Main!$G$41/100))+(E52*(Main!$G$31/100))+(I52*(Main!$G$46/100))+(K52*(Main!$G$51/100))))/$G$6</f>
        <v>11.596245416666665</v>
      </c>
      <c r="H52">
        <f>'Req. Diario'!G51</f>
        <v>1.1908246802316453</v>
      </c>
      <c r="I52">
        <f>H52/$I$6</f>
        <v>7.442654251447784</v>
      </c>
      <c r="J52">
        <f>'Req. Diario'!H51</f>
        <v>4.142134797100749</v>
      </c>
      <c r="K52">
        <f>J52/$K$6</f>
        <v>15.341239989262034</v>
      </c>
      <c r="L52">
        <f>'Req. Diario'!I51</f>
        <v>17.3149</v>
      </c>
      <c r="M52">
        <f>L52/$M$6</f>
        <v>0.0173149</v>
      </c>
    </row>
    <row r="53">
      <c r="B53">
        <f>'Req. Diario'!D52</f>
        <v>7.5490676935000005</v>
      </c>
      <c r="C53">
        <f>(B53-((E53*(Main!$E$31/100))+(G53*(Main!$E$36/100))+(I53*(Main!$E$46/100))+(K53*(Main!$E$51/100))))/$C$6</f>
        <v>8.66660551878836</v>
      </c>
      <c r="D53">
        <f>'Req. Diario'!E52</f>
        <v>3.0271500000000002</v>
      </c>
      <c r="E53">
        <f>(D53-((C53*(Main!$F$41/100))+(G53*(Main!$F$36/100))+(I53*(Main!$F$46/100))+(K53*(Main!$F$51/100))))/$E$6</f>
        <v>6.580760869565218</v>
      </c>
      <c r="F53">
        <f>'Req. Diario'!F52</f>
        <v>6.957747249999999</v>
      </c>
      <c r="G53">
        <f>(F53-((C53*(Main!$G$41/100))+(E53*(Main!$G$31/100))+(I53*(Main!$G$46/100))+(K53*(Main!$G$51/100))))/$G$6</f>
        <v>11.596245416666665</v>
      </c>
      <c r="H53">
        <f>'Req. Diario'!G52</f>
        <v>1.1908246802316453</v>
      </c>
      <c r="I53">
        <f>H53/$I$6</f>
        <v>7.442654251447784</v>
      </c>
      <c r="J53">
        <f>'Req. Diario'!H52</f>
        <v>4.142134797100749</v>
      </c>
      <c r="K53">
        <f>J53/$K$6</f>
        <v>15.341239989262034</v>
      </c>
      <c r="L53">
        <f>'Req. Diario'!I52</f>
        <v>17.3149</v>
      </c>
      <c r="M53">
        <f>L53/$M$6</f>
        <v>0.0173149</v>
      </c>
    </row>
    <row r="54">
      <c r="B54">
        <f>'Req. Diario'!D53</f>
        <v>7.5490676935000005</v>
      </c>
      <c r="C54">
        <f>(B54-((E54*(Main!$E$31/100))+(G54*(Main!$E$36/100))+(I54*(Main!$E$46/100))+(K54*(Main!$E$51/100))))/$C$6</f>
        <v>8.66660551878836</v>
      </c>
      <c r="D54">
        <f>'Req. Diario'!E53</f>
        <v>3.0271500000000002</v>
      </c>
      <c r="E54">
        <f>(D54-((C54*(Main!$F$41/100))+(G54*(Main!$F$36/100))+(I54*(Main!$F$46/100))+(K54*(Main!$F$51/100))))/$E$6</f>
        <v>6.580760869565218</v>
      </c>
      <c r="F54">
        <f>'Req. Diario'!F53</f>
        <v>6.957747249999999</v>
      </c>
      <c r="G54">
        <f>(F54-((C54*(Main!$G$41/100))+(E54*(Main!$G$31/100))+(I54*(Main!$G$46/100))+(K54*(Main!$G$51/100))))/$G$6</f>
        <v>11.596245416666665</v>
      </c>
      <c r="H54">
        <f>'Req. Diario'!G53</f>
        <v>1.1908246802316453</v>
      </c>
      <c r="I54">
        <f>H54/$I$6</f>
        <v>7.442654251447784</v>
      </c>
      <c r="J54">
        <f>'Req. Diario'!H53</f>
        <v>4.142134797100749</v>
      </c>
      <c r="K54">
        <f>J54/$K$6</f>
        <v>15.341239989262034</v>
      </c>
      <c r="L54">
        <f>'Req. Diario'!I53</f>
        <v>23.426</v>
      </c>
      <c r="M54">
        <f>L54/$M$6</f>
        <v>0.023426</v>
      </c>
    </row>
    <row r="55">
      <c r="B55">
        <f>'Req. Diario'!D54</f>
        <v>7.5490676935000005</v>
      </c>
      <c r="C55">
        <f>(B55-((E55*(Main!$E$31/100))+(G55*(Main!$E$36/100))+(I55*(Main!$E$46/100))+(K55*(Main!$E$51/100))))/$C$6</f>
        <v>8.66660551878836</v>
      </c>
      <c r="D55">
        <f>'Req. Diario'!E54</f>
        <v>3.0271500000000002</v>
      </c>
      <c r="E55">
        <f>(D55-((C55*(Main!$F$41/100))+(G55*(Main!$F$36/100))+(I55*(Main!$F$46/100))+(K55*(Main!$F$51/100))))/$E$6</f>
        <v>6.580760869565218</v>
      </c>
      <c r="F55">
        <f>'Req. Diario'!F54</f>
        <v>6.957747249999999</v>
      </c>
      <c r="G55">
        <f>(F55-((C55*(Main!$G$41/100))+(E55*(Main!$G$31/100))+(I55*(Main!$G$46/100))+(K55*(Main!$G$51/100))))/$G$6</f>
        <v>11.596245416666665</v>
      </c>
      <c r="H55">
        <f>'Req. Diario'!G54</f>
        <v>1.1908246802316453</v>
      </c>
      <c r="I55">
        <f>H55/$I$6</f>
        <v>7.442654251447784</v>
      </c>
      <c r="J55">
        <f>'Req. Diario'!H54</f>
        <v>4.142134797100749</v>
      </c>
      <c r="K55">
        <f>J55/$K$6</f>
        <v>15.341239989262034</v>
      </c>
      <c r="L55">
        <f>'Req. Diario'!I54</f>
        <v>23.426</v>
      </c>
      <c r="M55">
        <f>L55/$M$6</f>
        <v>0.023426</v>
      </c>
    </row>
    <row r="56">
      <c r="A56">
        <v>8</v>
      </c>
      <c r="B56">
        <f>'Req. Diario'!D55</f>
        <v>7.5490676935000005</v>
      </c>
      <c r="C56">
        <f>(B56-((E56*(Main!$E$31/100))+(G56*(Main!$E$36/100))+(I56*(Main!$E$46/100))+(K56*(Main!$E$51/100))))/$C$6</f>
        <v>8.66660551878836</v>
      </c>
      <c r="D56">
        <f>'Req. Diario'!E55</f>
        <v>3.0271500000000002</v>
      </c>
      <c r="E56">
        <f>(D56-((C56*(Main!$F$41/100))+(G56*(Main!$F$36/100))+(I56*(Main!$F$46/100))+(K56*(Main!$F$51/100))))/$E$6</f>
        <v>6.580760869565218</v>
      </c>
      <c r="F56">
        <f>'Req. Diario'!F55</f>
        <v>6.957747249999999</v>
      </c>
      <c r="G56">
        <f>(F56-((C56*(Main!$G$41/100))+(E56*(Main!$G$31/100))+(I56*(Main!$G$46/100))+(K56*(Main!$G$51/100))))/$G$6</f>
        <v>11.596245416666665</v>
      </c>
      <c r="H56">
        <f>'Req. Diario'!G55</f>
        <v>1.1908246802316453</v>
      </c>
      <c r="I56">
        <f>H56/$I$6</f>
        <v>7.442654251447784</v>
      </c>
      <c r="J56">
        <f>'Req. Diario'!H55</f>
        <v>4.142134797100749</v>
      </c>
      <c r="K56">
        <f>J56/$K$6</f>
        <v>15.341239989262034</v>
      </c>
      <c r="L56">
        <f>'Req. Diario'!I55</f>
        <v>23.426</v>
      </c>
      <c r="M56">
        <f>L56/$M$6</f>
        <v>0.023426</v>
      </c>
    </row>
    <row r="57">
      <c r="B57">
        <f>'Req. Diario'!D56</f>
        <v>7.5490676935000005</v>
      </c>
      <c r="C57">
        <f>(B57-((E57*(Main!$E$31/100))+(G57*(Main!$E$36/100))+(I57*(Main!$E$46/100))+(K57*(Main!$E$51/100))))/$C$6</f>
        <v>8.66660551878836</v>
      </c>
      <c r="D57">
        <f>'Req. Diario'!E56</f>
        <v>3.0271500000000002</v>
      </c>
      <c r="E57">
        <f>(D57-((C57*(Main!$F$41/100))+(G57*(Main!$F$36/100))+(I57*(Main!$F$46/100))+(K57*(Main!$F$51/100))))/$E$6</f>
        <v>6.580760869565218</v>
      </c>
      <c r="F57">
        <f>'Req. Diario'!F56</f>
        <v>6.957747249999999</v>
      </c>
      <c r="G57">
        <f>(F57-((C57*(Main!$G$41/100))+(E57*(Main!$G$31/100))+(I57*(Main!$G$46/100))+(K57*(Main!$G$51/100))))/$G$6</f>
        <v>11.596245416666665</v>
      </c>
      <c r="H57">
        <f>'Req. Diario'!G56</f>
        <v>1.1908246802316453</v>
      </c>
      <c r="I57">
        <f>H57/$I$6</f>
        <v>7.442654251447784</v>
      </c>
      <c r="J57">
        <f>'Req. Diario'!H56</f>
        <v>4.142134797100749</v>
      </c>
      <c r="K57">
        <f>J57/$K$6</f>
        <v>15.341239989262034</v>
      </c>
      <c r="L57">
        <f>'Req. Diario'!I56</f>
        <v>23.426</v>
      </c>
      <c r="M57">
        <f>L57/$M$6</f>
        <v>0.023426</v>
      </c>
    </row>
    <row r="58">
      <c r="B58">
        <f>'Req. Diario'!D57</f>
        <v>7.5490676935000005</v>
      </c>
      <c r="C58">
        <f>(B58-((E58*(Main!$E$31/100))+(G58*(Main!$E$36/100))+(I58*(Main!$E$46/100))+(K58*(Main!$E$51/100))))/$C$6</f>
        <v>8.66660551878836</v>
      </c>
      <c r="D58">
        <f>'Req. Diario'!E57</f>
        <v>3.0271500000000002</v>
      </c>
      <c r="E58">
        <f>(D58-((C58*(Main!$F$41/100))+(G58*(Main!$F$36/100))+(I58*(Main!$F$46/100))+(K58*(Main!$F$51/100))))/$E$6</f>
        <v>6.580760869565218</v>
      </c>
      <c r="F58">
        <f>'Req. Diario'!F57</f>
        <v>6.957747249999999</v>
      </c>
      <c r="G58">
        <f>(F58-((C58*(Main!$G$41/100))+(E58*(Main!$G$31/100))+(I58*(Main!$G$46/100))+(K58*(Main!$G$51/100))))/$G$6</f>
        <v>11.596245416666665</v>
      </c>
      <c r="H58">
        <f>'Req. Diario'!G57</f>
        <v>1.1908246802316453</v>
      </c>
      <c r="I58">
        <f>H58/$I$6</f>
        <v>7.442654251447784</v>
      </c>
      <c r="J58">
        <f>'Req. Diario'!H57</f>
        <v>4.142134797100749</v>
      </c>
      <c r="K58">
        <f>J58/$K$6</f>
        <v>15.341239989262034</v>
      </c>
      <c r="L58">
        <f>'Req. Diario'!I57</f>
        <v>23.426</v>
      </c>
      <c r="M58">
        <f>L58/$M$6</f>
        <v>0.023426</v>
      </c>
    </row>
    <row r="59">
      <c r="B59">
        <f>'Req. Diario'!D58</f>
        <v>7.5490676935000005</v>
      </c>
      <c r="C59">
        <f>(B59-((E59*(Main!$E$31/100))+(G59*(Main!$E$36/100))+(I59*(Main!$E$46/100))+(K59*(Main!$E$51/100))))/$C$6</f>
        <v>8.66660551878836</v>
      </c>
      <c r="D59">
        <f>'Req. Diario'!E58</f>
        <v>3.0271500000000002</v>
      </c>
      <c r="E59">
        <f>(D59-((C59*(Main!$F$41/100))+(G59*(Main!$F$36/100))+(I59*(Main!$F$46/100))+(K59*(Main!$F$51/100))))/$E$6</f>
        <v>6.580760869565218</v>
      </c>
      <c r="F59">
        <f>'Req. Diario'!F58</f>
        <v>6.957747249999999</v>
      </c>
      <c r="G59">
        <f>(F59-((C59*(Main!$G$41/100))+(E59*(Main!$G$31/100))+(I59*(Main!$G$46/100))+(K59*(Main!$G$51/100))))/$G$6</f>
        <v>11.596245416666665</v>
      </c>
      <c r="H59">
        <f>'Req. Diario'!G58</f>
        <v>1.1908246802316453</v>
      </c>
      <c r="I59">
        <f>H59/$I$6</f>
        <v>7.442654251447784</v>
      </c>
      <c r="J59">
        <f>'Req. Diario'!H58</f>
        <v>4.142134797100749</v>
      </c>
      <c r="K59">
        <f>J59/$K$6</f>
        <v>15.341239989262034</v>
      </c>
      <c r="L59">
        <f>'Req. Diario'!I58</f>
        <v>23.426</v>
      </c>
      <c r="M59">
        <f>L59/$M$6</f>
        <v>0.023426</v>
      </c>
    </row>
    <row r="60">
      <c r="B60">
        <f>'Req. Diario'!D59</f>
        <v>7.5490676935000005</v>
      </c>
      <c r="C60">
        <f>(B60-((E60*(Main!$E$31/100))+(G60*(Main!$E$36/100))+(I60*(Main!$E$46/100))+(K60*(Main!$E$51/100))))/$C$6</f>
        <v>8.66660551878836</v>
      </c>
      <c r="D60">
        <f>'Req. Diario'!E59</f>
        <v>3.0271500000000002</v>
      </c>
      <c r="E60">
        <f>(D60-((C60*(Main!$F$41/100))+(G60*(Main!$F$36/100))+(I60*(Main!$F$46/100))+(K60*(Main!$F$51/100))))/$E$6</f>
        <v>6.580760869565218</v>
      </c>
      <c r="F60">
        <f>'Req. Diario'!F59</f>
        <v>6.957747249999999</v>
      </c>
      <c r="G60">
        <f>(F60-((C60*(Main!$G$41/100))+(E60*(Main!$G$31/100))+(I60*(Main!$G$46/100))+(K60*(Main!$G$51/100))))/$G$6</f>
        <v>11.596245416666665</v>
      </c>
      <c r="H60">
        <f>'Req. Diario'!G59</f>
        <v>1.1908246802316453</v>
      </c>
      <c r="I60">
        <f>H60/$I$6</f>
        <v>7.442654251447784</v>
      </c>
      <c r="J60">
        <f>'Req. Diario'!H59</f>
        <v>4.142134797100749</v>
      </c>
      <c r="K60">
        <f>J60/$K$6</f>
        <v>15.341239989262034</v>
      </c>
      <c r="L60">
        <f>'Req. Diario'!I59</f>
        <v>23.426</v>
      </c>
      <c r="M60">
        <f>L60/$M$6</f>
        <v>0.023426</v>
      </c>
    </row>
    <row r="61">
      <c r="B61">
        <f>'Req. Diario'!D60</f>
        <v>5.37992973433052</v>
      </c>
      <c r="C61">
        <f>(B61-((E61*(Main!$E$31/100))+(G61*(Main!$E$36/100))+(I61*(Main!$E$46/100))+(K61*(Main!$E$51/100))))/$C$6</f>
        <v>3.9510882162460113</v>
      </c>
      <c r="D61">
        <f>'Req. Diario'!E60</f>
        <v>3.0271500000000002</v>
      </c>
      <c r="E61">
        <f>(D61-((C61*(Main!$F$41/100))+(G61*(Main!$F$36/100))+(I61*(Main!$F$46/100))+(K61*(Main!$F$51/100))))/$E$6</f>
        <v>6.580760869565218</v>
      </c>
      <c r="F61">
        <f>'Req. Diario'!F60</f>
        <v>6.957747249999999</v>
      </c>
      <c r="G61">
        <f>(F61-((C61*(Main!$G$41/100))+(E61*(Main!$G$31/100))+(I61*(Main!$G$46/100))+(K61*(Main!$G$51/100))))/$G$6</f>
        <v>11.596245416666665</v>
      </c>
      <c r="H61">
        <f>'Req. Diario'!G60</f>
        <v>1.1908246802316453</v>
      </c>
      <c r="I61">
        <f>H61/$I$6</f>
        <v>7.442654251447784</v>
      </c>
      <c r="J61">
        <f>'Req. Diario'!H60</f>
        <v>4.142134797100749</v>
      </c>
      <c r="K61">
        <f>J61/$K$6</f>
        <v>15.341239989262034</v>
      </c>
      <c r="L61">
        <f>'Req. Diario'!I60</f>
        <v>23.426</v>
      </c>
      <c r="M61">
        <f>L61/$M$6</f>
        <v>0.023426</v>
      </c>
    </row>
    <row r="62">
      <c r="B62">
        <f>'Req. Diario'!D61</f>
        <v>5.37992973433052</v>
      </c>
      <c r="C62">
        <f>(B62-((E62*(Main!$E$31/100))+(G62*(Main!$E$36/100))+(I62*(Main!$E$46/100))+(K62*(Main!$E$51/100))))/$C$6</f>
        <v>3.9510882162460113</v>
      </c>
      <c r="D62">
        <f>'Req. Diario'!E61</f>
        <v>3.0271500000000002</v>
      </c>
      <c r="E62">
        <f>(D62-((C62*(Main!$F$41/100))+(G62*(Main!$F$36/100))+(I62*(Main!$F$46/100))+(K62*(Main!$F$51/100))))/$E$6</f>
        <v>6.580760869565218</v>
      </c>
      <c r="F62">
        <f>'Req. Diario'!F61</f>
        <v>6.957747249999999</v>
      </c>
      <c r="G62">
        <f>(F62-((C62*(Main!$G$41/100))+(E62*(Main!$G$31/100))+(I62*(Main!$G$46/100))+(K62*(Main!$G$51/100))))/$G$6</f>
        <v>11.596245416666665</v>
      </c>
      <c r="H62">
        <f>'Req. Diario'!G61</f>
        <v>1.1908246802316453</v>
      </c>
      <c r="I62">
        <f>H62/$I$6</f>
        <v>7.442654251447784</v>
      </c>
      <c r="J62">
        <f>'Req. Diario'!H61</f>
        <v>4.142134797100749</v>
      </c>
      <c r="K62">
        <f>J62/$K$6</f>
        <v>15.341239989262034</v>
      </c>
      <c r="L62">
        <f>'Req. Diario'!I61</f>
        <v>23.426</v>
      </c>
      <c r="M62">
        <f>L62/$M$6</f>
        <v>0.023426</v>
      </c>
    </row>
    <row r="63">
      <c r="A63">
        <v>9</v>
      </c>
      <c r="B63">
        <f>'Req. Diario'!D62</f>
        <v>5.37992973433052</v>
      </c>
      <c r="C63">
        <f>(B63-((E63*(Main!$E$31/100))+(G63*(Main!$E$36/100))+(I63*(Main!$E$46/100))+(K63*(Main!$E$51/100))))/$C$6</f>
        <v>3.9510882162460113</v>
      </c>
      <c r="D63">
        <f>'Req. Diario'!E62</f>
        <v>3.0271500000000002</v>
      </c>
      <c r="E63">
        <f>(D63-((C63*(Main!$F$41/100))+(G63*(Main!$F$36/100))+(I63*(Main!$F$46/100))+(K63*(Main!$F$51/100))))/$E$6</f>
        <v>6.580760869565218</v>
      </c>
      <c r="F63">
        <f>'Req. Diario'!F62</f>
        <v>6.957747249999999</v>
      </c>
      <c r="G63">
        <f>(F63-((C63*(Main!$G$41/100))+(E63*(Main!$G$31/100))+(I63*(Main!$G$46/100))+(K63*(Main!$G$51/100))))/$G$6</f>
        <v>11.596245416666665</v>
      </c>
      <c r="H63">
        <f>'Req. Diario'!G62</f>
        <v>1.1908246802316453</v>
      </c>
      <c r="I63">
        <f>H63/$I$6</f>
        <v>7.442654251447784</v>
      </c>
      <c r="J63">
        <f>'Req. Diario'!H62</f>
        <v>4.142134797100749</v>
      </c>
      <c r="K63">
        <f>J63/$K$6</f>
        <v>15.341239989262034</v>
      </c>
      <c r="L63">
        <f>'Req. Diario'!I62</f>
        <v>23.426</v>
      </c>
      <c r="M63">
        <f>L63/$M$6</f>
        <v>0.023426</v>
      </c>
    </row>
    <row r="64">
      <c r="B64">
        <f>'Req. Diario'!D63</f>
        <v>5.37992973433052</v>
      </c>
      <c r="C64">
        <f>(B64-((E64*(Main!$E$31/100))+(G64*(Main!$E$36/100))+(I64*(Main!$E$46/100))+(K64*(Main!$E$51/100))))/$C$6</f>
        <v>3.9510882162460113</v>
      </c>
      <c r="D64">
        <f>'Req. Diario'!E63</f>
        <v>3.0271500000000002</v>
      </c>
      <c r="E64">
        <f>(D64-((C64*(Main!$F$41/100))+(G64*(Main!$F$36/100))+(I64*(Main!$F$46/100))+(K64*(Main!$F$51/100))))/$E$6</f>
        <v>6.580760869565218</v>
      </c>
      <c r="F64">
        <f>'Req. Diario'!F63</f>
        <v>6.957747249999999</v>
      </c>
      <c r="G64">
        <f>(F64-((C64*(Main!$G$41/100))+(E64*(Main!$G$31/100))+(I64*(Main!$G$46/100))+(K64*(Main!$G$51/100))))/$G$6</f>
        <v>11.596245416666665</v>
      </c>
      <c r="H64">
        <f>'Req. Diario'!G63</f>
        <v>1.1908246802316453</v>
      </c>
      <c r="I64">
        <f>H64/$I$6</f>
        <v>7.442654251447784</v>
      </c>
      <c r="J64">
        <f>'Req. Diario'!H63</f>
        <v>4.142134797100749</v>
      </c>
      <c r="K64">
        <f>J64/$K$6</f>
        <v>15.341239989262034</v>
      </c>
      <c r="L64">
        <f>'Req. Diario'!I63</f>
        <v>23.426</v>
      </c>
      <c r="M64">
        <f>L64/$M$6</f>
        <v>0.023426</v>
      </c>
    </row>
    <row r="65">
      <c r="B65">
        <f>'Req. Diario'!D64</f>
        <v>5.37992973433052</v>
      </c>
      <c r="C65">
        <f>(B65-((E65*(Main!$E$31/100))+(G65*(Main!$E$36/100))+(I65*(Main!$E$46/100))+(K65*(Main!$E$51/100))))/$C$6</f>
        <v>3.9510882162460113</v>
      </c>
      <c r="D65">
        <f>'Req. Diario'!E64</f>
        <v>3.0271500000000002</v>
      </c>
      <c r="E65">
        <f>(D65-((C65*(Main!$F$41/100))+(G65*(Main!$F$36/100))+(I65*(Main!$F$46/100))+(K65*(Main!$F$51/100))))/$E$6</f>
        <v>6.580760869565218</v>
      </c>
      <c r="F65">
        <f>'Req. Diario'!F64</f>
        <v>6.957747249999999</v>
      </c>
      <c r="G65">
        <f>(F65-((C65*(Main!$G$41/100))+(E65*(Main!$G$31/100))+(I65*(Main!$G$46/100))+(K65*(Main!$G$51/100))))/$G$6</f>
        <v>11.596245416666665</v>
      </c>
      <c r="H65">
        <f>'Req. Diario'!G64</f>
        <v>1.1908246802316453</v>
      </c>
      <c r="I65">
        <f>H65/$I$6</f>
        <v>7.442654251447784</v>
      </c>
      <c r="J65">
        <f>'Req. Diario'!H64</f>
        <v>4.142134797100749</v>
      </c>
      <c r="K65">
        <f>J65/$K$6</f>
        <v>15.341239989262034</v>
      </c>
      <c r="L65">
        <f>'Req. Diario'!I64</f>
        <v>23.426</v>
      </c>
      <c r="M65">
        <f>L65/$M$6</f>
        <v>0.023426</v>
      </c>
    </row>
    <row r="66">
      <c r="B66">
        <f>'Req. Diario'!D65</f>
        <v>5.37992973433052</v>
      </c>
      <c r="C66">
        <f>(B66-((E66*(Main!$E$31/100))+(G66*(Main!$E$36/100))+(I66*(Main!$E$46/100))+(K66*(Main!$E$51/100))))/$C$6</f>
        <v>3.9510882162460113</v>
      </c>
      <c r="D66">
        <f>'Req. Diario'!E65</f>
        <v>3.0271500000000002</v>
      </c>
      <c r="E66">
        <f>(D66-((C66*(Main!$F$41/100))+(G66*(Main!$F$36/100))+(I66*(Main!$F$46/100))+(K66*(Main!$F$51/100))))/$E$6</f>
        <v>6.580760869565218</v>
      </c>
      <c r="F66">
        <f>'Req. Diario'!F65</f>
        <v>6.957747249999999</v>
      </c>
      <c r="G66">
        <f>(F66-((C66*(Main!$G$41/100))+(E66*(Main!$G$31/100))+(I66*(Main!$G$46/100))+(K66*(Main!$G$51/100))))/$G$6</f>
        <v>11.596245416666665</v>
      </c>
      <c r="H66">
        <f>'Req. Diario'!G65</f>
        <v>1.1908246802316453</v>
      </c>
      <c r="I66">
        <f>H66/$I$6</f>
        <v>7.442654251447784</v>
      </c>
      <c r="J66">
        <f>'Req. Diario'!H65</f>
        <v>4.142134797100749</v>
      </c>
      <c r="K66">
        <f>J66/$K$6</f>
        <v>15.341239989262034</v>
      </c>
      <c r="L66">
        <f>'Req. Diario'!I65</f>
        <v>23.426</v>
      </c>
      <c r="M66">
        <f>L66/$M$6</f>
        <v>0.023426</v>
      </c>
    </row>
    <row r="67">
      <c r="B67">
        <f>'Req. Diario'!D66</f>
        <v>5.37992973433052</v>
      </c>
      <c r="C67">
        <f>(B67-((E67*(Main!$E$31/100))+(G67*(Main!$E$36/100))+(I67*(Main!$E$46/100))+(K67*(Main!$E$51/100))))/$C$6</f>
        <v>3.9510882162460113</v>
      </c>
      <c r="D67">
        <f>'Req. Diario'!E66</f>
        <v>3.0271500000000002</v>
      </c>
      <c r="E67">
        <f>(D67-((C67*(Main!$F$41/100))+(G67*(Main!$F$36/100))+(I67*(Main!$F$46/100))+(K67*(Main!$F$51/100))))/$E$6</f>
        <v>6.580760869565218</v>
      </c>
      <c r="F67">
        <f>'Req. Diario'!F66</f>
        <v>6.957747249999999</v>
      </c>
      <c r="G67">
        <f>(F67-((C67*(Main!$G$41/100))+(E67*(Main!$G$31/100))+(I67*(Main!$G$46/100))+(K67*(Main!$G$51/100))))/$G$6</f>
        <v>11.596245416666665</v>
      </c>
      <c r="H67">
        <f>'Req. Diario'!G66</f>
        <v>1.1908246802316453</v>
      </c>
      <c r="I67">
        <f>H67/$I$6</f>
        <v>7.442654251447784</v>
      </c>
      <c r="J67">
        <f>'Req. Diario'!H66</f>
        <v>4.142134797100749</v>
      </c>
      <c r="K67">
        <f>J67/$K$6</f>
        <v>15.341239989262034</v>
      </c>
      <c r="L67">
        <f>'Req. Diario'!I66</f>
        <v>23.426</v>
      </c>
      <c r="M67">
        <f>L67/$M$6</f>
        <v>0.023426</v>
      </c>
    </row>
    <row r="68">
      <c r="B68">
        <f>'Req. Diario'!D67</f>
        <v>5.37992973433052</v>
      </c>
      <c r="C68">
        <f>(B68-((E68*(Main!$E$31/100))+(G68*(Main!$E$36/100))+(I68*(Main!$E$46/100))+(K68*(Main!$E$51/100))))/$C$6</f>
        <v>3.9510882162460113</v>
      </c>
      <c r="D68">
        <f>'Req. Diario'!E67</f>
        <v>3.0271500000000002</v>
      </c>
      <c r="E68">
        <f>(D68-((C68*(Main!$F$41/100))+(G68*(Main!$F$36/100))+(I68*(Main!$F$46/100))+(K68*(Main!$F$51/100))))/$E$6</f>
        <v>6.580760869565218</v>
      </c>
      <c r="F68">
        <f>'Req. Diario'!F67</f>
        <v>6.957747249999999</v>
      </c>
      <c r="G68">
        <f>(F68-((C68*(Main!$G$41/100))+(E68*(Main!$G$31/100))+(I68*(Main!$G$46/100))+(K68*(Main!$G$51/100))))/$G$6</f>
        <v>11.596245416666665</v>
      </c>
      <c r="H68">
        <f>'Req. Diario'!G67</f>
        <v>1.1908246802316453</v>
      </c>
      <c r="I68">
        <f>H68/$I$6</f>
        <v>7.442654251447784</v>
      </c>
      <c r="J68">
        <f>'Req. Diario'!H67</f>
        <v>4.142134797100749</v>
      </c>
      <c r="K68">
        <f>J68/$K$6</f>
        <v>15.341239989262034</v>
      </c>
      <c r="L68">
        <f>'Req. Diario'!I67</f>
        <v>23.426</v>
      </c>
      <c r="M68">
        <f>L68/$M$6</f>
        <v>0.023426</v>
      </c>
    </row>
    <row r="69">
      <c r="B69">
        <f>'Req. Diario'!D68</f>
        <v>5.37992973433052</v>
      </c>
      <c r="C69">
        <f>(B69-((E69*(Main!$E$31/100))+(G69*(Main!$E$36/100))+(I69*(Main!$E$46/100))+(K69*(Main!$E$51/100))))/$C$6</f>
        <v>3.9510882162460113</v>
      </c>
      <c r="D69">
        <f>'Req. Diario'!E68</f>
        <v>3.0271500000000002</v>
      </c>
      <c r="E69">
        <f>(D69-((C69*(Main!$F$41/100))+(G69*(Main!$F$36/100))+(I69*(Main!$F$46/100))+(K69*(Main!$F$51/100))))/$E$6</f>
        <v>6.580760869565218</v>
      </c>
      <c r="F69">
        <f>'Req. Diario'!F68</f>
        <v>6.957747249999999</v>
      </c>
      <c r="G69">
        <f>(F69-((C69*(Main!$G$41/100))+(E69*(Main!$G$31/100))+(I69*(Main!$G$46/100))+(K69*(Main!$G$51/100))))/$G$6</f>
        <v>11.596245416666665</v>
      </c>
      <c r="H69">
        <f>'Req. Diario'!G68</f>
        <v>1.1908246802316453</v>
      </c>
      <c r="I69">
        <f>H69/$I$6</f>
        <v>7.442654251447784</v>
      </c>
      <c r="J69">
        <f>'Req. Diario'!H68</f>
        <v>4.142134797100749</v>
      </c>
      <c r="K69">
        <f>J69/$K$6</f>
        <v>15.341239989262034</v>
      </c>
      <c r="L69">
        <f>'Req. Diario'!I68</f>
        <v>29.5372</v>
      </c>
      <c r="M69">
        <f>L69/$M$6</f>
        <v>0.0295372</v>
      </c>
    </row>
    <row r="70">
      <c r="A70">
        <v>10</v>
      </c>
      <c r="B70">
        <f>'Req. Diario'!D69</f>
        <v>4.345327862343882</v>
      </c>
      <c r="C70">
        <f>(B70-((E70*(Main!$E$31/100))+(G70*(Main!$E$36/100))+(I70*(Main!$E$46/100))+(K70*(Main!$E$51/100))))/$C$6</f>
        <v>1.7019537119272334</v>
      </c>
      <c r="D70">
        <f>'Req. Diario'!E69</f>
        <v>3.0271500000000002</v>
      </c>
      <c r="E70">
        <f>(D70-((C70*(Main!$F$41/100))+(G70*(Main!$F$36/100))+(I70*(Main!$F$46/100))+(K70*(Main!$F$51/100))))/$E$6</f>
        <v>6.580760869565218</v>
      </c>
      <c r="F70">
        <f>'Req. Diario'!F69</f>
        <v>6.957747249999999</v>
      </c>
      <c r="G70">
        <f>(F70-((C70*(Main!$G$41/100))+(E70*(Main!$G$31/100))+(I70*(Main!$G$46/100))+(K70*(Main!$G$51/100))))/$G$6</f>
        <v>11.596245416666665</v>
      </c>
      <c r="H70">
        <f>'Req. Diario'!G69</f>
        <v>1.1908246802316453</v>
      </c>
      <c r="I70">
        <f>H70/$I$6</f>
        <v>7.442654251447784</v>
      </c>
      <c r="J70">
        <f>'Req. Diario'!H69</f>
        <v>4.142134797100749</v>
      </c>
      <c r="K70">
        <f>J70/$K$6</f>
        <v>15.341239989262034</v>
      </c>
      <c r="L70">
        <f>'Req. Diario'!I69</f>
        <v>29.5372</v>
      </c>
      <c r="M70">
        <f>L70/$M$6</f>
        <v>0.0295372</v>
      </c>
    </row>
    <row r="71">
      <c r="B71">
        <f>'Req. Diario'!D70</f>
        <v>4.345327862343882</v>
      </c>
      <c r="C71">
        <f>(B71-((E71*(Main!$E$31/100))+(G71*(Main!$E$36/100))+(I71*(Main!$E$46/100))+(K71*(Main!$E$51/100))))/$C$6</f>
        <v>1.7019537119272334</v>
      </c>
      <c r="D71">
        <f>'Req. Diario'!E70</f>
        <v>3.0271500000000002</v>
      </c>
      <c r="E71">
        <f>(D71-((C71*(Main!$F$41/100))+(G71*(Main!$F$36/100))+(I71*(Main!$F$46/100))+(K71*(Main!$F$51/100))))/$E$6</f>
        <v>6.580760869565218</v>
      </c>
      <c r="F71">
        <f>'Req. Diario'!F70</f>
        <v>6.957747249999999</v>
      </c>
      <c r="G71">
        <f>(F71-((C71*(Main!$G$41/100))+(E71*(Main!$G$31/100))+(I71*(Main!$G$46/100))+(K71*(Main!$G$51/100))))/$G$6</f>
        <v>11.596245416666665</v>
      </c>
      <c r="H71">
        <f>'Req. Diario'!G70</f>
        <v>1.1908246802316453</v>
      </c>
      <c r="I71">
        <f>H71/$I$6</f>
        <v>7.442654251447784</v>
      </c>
      <c r="J71">
        <f>'Req. Diario'!H70</f>
        <v>4.142134797100749</v>
      </c>
      <c r="K71">
        <f>J71/$K$6</f>
        <v>15.341239989262034</v>
      </c>
      <c r="L71">
        <f>'Req. Diario'!I70</f>
        <v>29.5372</v>
      </c>
      <c r="M71">
        <f>L71/$M$6</f>
        <v>0.0295372</v>
      </c>
    </row>
    <row r="72">
      <c r="B72">
        <f>'Req. Diario'!D71</f>
        <v>4.345327862343882</v>
      </c>
      <c r="C72">
        <f>(B72-((E72*(Main!$E$31/100))+(G72*(Main!$E$36/100))+(I72*(Main!$E$46/100))+(K72*(Main!$E$51/100))))/$C$6</f>
        <v>1.7019537119272334</v>
      </c>
      <c r="D72">
        <f>'Req. Diario'!E71</f>
        <v>3.0271500000000002</v>
      </c>
      <c r="E72">
        <f>(D72-((C72*(Main!$F$41/100))+(G72*(Main!$F$36/100))+(I72*(Main!$F$46/100))+(K72*(Main!$F$51/100))))/$E$6</f>
        <v>6.580760869565218</v>
      </c>
      <c r="F72">
        <f>'Req. Diario'!F71</f>
        <v>6.957747249999999</v>
      </c>
      <c r="G72">
        <f>(F72-((C72*(Main!$G$41/100))+(E72*(Main!$G$31/100))+(I72*(Main!$G$46/100))+(K72*(Main!$G$51/100))))/$G$6</f>
        <v>11.596245416666665</v>
      </c>
      <c r="H72">
        <f>'Req. Diario'!G71</f>
        <v>1.1908246802316453</v>
      </c>
      <c r="I72">
        <f>H72/$I$6</f>
        <v>7.442654251447784</v>
      </c>
      <c r="J72">
        <f>'Req. Diario'!H71</f>
        <v>4.142134797100749</v>
      </c>
      <c r="K72">
        <f>J72/$K$6</f>
        <v>15.341239989262034</v>
      </c>
      <c r="L72">
        <f>'Req. Diario'!I71</f>
        <v>29.5372</v>
      </c>
      <c r="M72">
        <f>L72/$M$6</f>
        <v>0.0295372</v>
      </c>
    </row>
    <row r="73">
      <c r="B73">
        <f>'Req. Diario'!D72</f>
        <v>4.345327862343882</v>
      </c>
      <c r="C73">
        <f>(B73-((E73*(Main!$E$31/100))+(G73*(Main!$E$36/100))+(I73*(Main!$E$46/100))+(K73*(Main!$E$51/100))))/$C$6</f>
        <v>1.7019537119272334</v>
      </c>
      <c r="D73">
        <f>'Req. Diario'!E72</f>
        <v>3.0271500000000002</v>
      </c>
      <c r="E73">
        <f>(D73-((C73*(Main!$F$41/100))+(G73*(Main!$F$36/100))+(I73*(Main!$F$46/100))+(K73*(Main!$F$51/100))))/$E$6</f>
        <v>6.580760869565218</v>
      </c>
      <c r="F73">
        <f>'Req. Diario'!F72</f>
        <v>6.957747249999999</v>
      </c>
      <c r="G73">
        <f>(F73-((C73*(Main!$G$41/100))+(E73*(Main!$G$31/100))+(I73*(Main!$G$46/100))+(K73*(Main!$G$51/100))))/$G$6</f>
        <v>11.596245416666665</v>
      </c>
      <c r="H73">
        <f>'Req. Diario'!G72</f>
        <v>1.1908246802316453</v>
      </c>
      <c r="I73">
        <f>H73/$I$6</f>
        <v>7.442654251447784</v>
      </c>
      <c r="J73">
        <f>'Req. Diario'!H72</f>
        <v>4.142134797100749</v>
      </c>
      <c r="K73">
        <f>J73/$K$6</f>
        <v>15.341239989262034</v>
      </c>
      <c r="L73">
        <f>'Req. Diario'!I72</f>
        <v>29.5372</v>
      </c>
      <c r="M73">
        <f>L73/$M$6</f>
        <v>0.0295372</v>
      </c>
    </row>
    <row r="74">
      <c r="B74">
        <f>'Req. Diario'!D73</f>
        <v>4.345327862343882</v>
      </c>
      <c r="C74">
        <f>(B74-((E74*(Main!$E$31/100))+(G74*(Main!$E$36/100))+(I74*(Main!$E$46/100))+(K74*(Main!$E$51/100))))/$C$6</f>
        <v>1.7019537119272334</v>
      </c>
      <c r="D74">
        <f>'Req. Diario'!E73</f>
        <v>3.0271500000000002</v>
      </c>
      <c r="E74">
        <f>(D74-((C74*(Main!$F$41/100))+(G74*(Main!$F$36/100))+(I74*(Main!$F$46/100))+(K74*(Main!$F$51/100))))/$E$6</f>
        <v>6.580760869565218</v>
      </c>
      <c r="F74">
        <f>'Req. Diario'!F73</f>
        <v>6.957747249999999</v>
      </c>
      <c r="G74">
        <f>(F74-((C74*(Main!$G$41/100))+(E74*(Main!$G$31/100))+(I74*(Main!$G$46/100))+(K74*(Main!$G$51/100))))/$G$6</f>
        <v>11.596245416666665</v>
      </c>
      <c r="H74">
        <f>'Req. Diario'!G73</f>
        <v>1.1908246802316453</v>
      </c>
      <c r="I74">
        <f>H74/$I$6</f>
        <v>7.442654251447784</v>
      </c>
      <c r="J74">
        <f>'Req. Diario'!H73</f>
        <v>4.142134797100749</v>
      </c>
      <c r="K74">
        <f>J74/$K$6</f>
        <v>15.341239989262034</v>
      </c>
      <c r="L74">
        <f>'Req. Diario'!I73</f>
        <v>29.5372</v>
      </c>
      <c r="M74">
        <f>L74/$M$6</f>
        <v>0.0295372</v>
      </c>
    </row>
    <row r="75">
      <c r="B75">
        <f>'Req. Diario'!D74</f>
        <v>4.345327862343882</v>
      </c>
      <c r="C75">
        <f>(B75-((E75*(Main!$E$31/100))+(G75*(Main!$E$36/100))+(I75*(Main!$E$46/100))+(K75*(Main!$E$51/100))))/$C$6</f>
        <v>1.7019537119272334</v>
      </c>
      <c r="D75">
        <f>'Req. Diario'!E74</f>
        <v>3.0271500000000002</v>
      </c>
      <c r="E75">
        <f>(D75-((C75*(Main!$F$41/100))+(G75*(Main!$F$36/100))+(I75*(Main!$F$46/100))+(K75*(Main!$F$51/100))))/$E$6</f>
        <v>6.580760869565218</v>
      </c>
      <c r="F75">
        <f>'Req. Diario'!F74</f>
        <v>6.957747249999999</v>
      </c>
      <c r="G75">
        <f>(F75-((C75*(Main!$G$41/100))+(E75*(Main!$G$31/100))+(I75*(Main!$G$46/100))+(K75*(Main!$G$51/100))))/$G$6</f>
        <v>11.596245416666665</v>
      </c>
      <c r="H75">
        <f>'Req. Diario'!G74</f>
        <v>1.1908246802316453</v>
      </c>
      <c r="I75">
        <f>H75/$I$6</f>
        <v>7.442654251447784</v>
      </c>
      <c r="J75">
        <f>'Req. Diario'!H74</f>
        <v>4.142134797100749</v>
      </c>
      <c r="K75">
        <f>J75/$K$6</f>
        <v>15.341239989262034</v>
      </c>
      <c r="L75">
        <f>'Req. Diario'!I74</f>
        <v>29.5372</v>
      </c>
      <c r="M75">
        <f>L75/$M$6</f>
        <v>0.0295372</v>
      </c>
    </row>
    <row r="76">
      <c r="B76">
        <f>'Req. Diario'!D75</f>
        <v>4.345327862343882</v>
      </c>
      <c r="C76">
        <f>(B76-((E76*(Main!$E$31/100))+(G76*(Main!$E$36/100))+(I76*(Main!$E$46/100))+(K76*(Main!$E$51/100))))/$C$6</f>
        <v>1.7019537119272334</v>
      </c>
      <c r="D76">
        <f>'Req. Diario'!E75</f>
        <v>3.0271500000000002</v>
      </c>
      <c r="E76">
        <f>(D76-((C76*(Main!$F$41/100))+(G76*(Main!$F$36/100))+(I76*(Main!$F$46/100))+(K76*(Main!$F$51/100))))/$E$6</f>
        <v>6.580760869565218</v>
      </c>
      <c r="F76">
        <f>'Req. Diario'!F75</f>
        <v>6.957747249999999</v>
      </c>
      <c r="G76">
        <f>(F76-((C76*(Main!$G$41/100))+(E76*(Main!$G$31/100))+(I76*(Main!$G$46/100))+(K76*(Main!$G$51/100))))/$G$6</f>
        <v>11.596245416666665</v>
      </c>
      <c r="H76">
        <f>'Req. Diario'!G75</f>
        <v>1.1908246802316453</v>
      </c>
      <c r="I76">
        <f>H76/$I$6</f>
        <v>7.442654251447784</v>
      </c>
      <c r="J76">
        <f>'Req. Diario'!H75</f>
        <v>4.142134797100749</v>
      </c>
      <c r="K76">
        <f>J76/$K$6</f>
        <v>15.341239989262034</v>
      </c>
      <c r="L76">
        <f>'Req. Diario'!I75</f>
        <v>29.5372</v>
      </c>
      <c r="M76">
        <f>L76/$M$6</f>
        <v>0.0295372</v>
      </c>
    </row>
    <row r="77">
      <c r="A77">
        <v>11</v>
      </c>
      <c r="B77">
        <f>'Req. Diario'!D76</f>
        <v>4.345327862343882</v>
      </c>
      <c r="C77">
        <f>(B77-((E77*(Main!$E$31/100))+(G77*(Main!$E$36/100))+(I77*(Main!$E$46/100))+(K77*(Main!$E$51/100))))/$C$6</f>
        <v>1.7019537119272334</v>
      </c>
      <c r="D77">
        <f>'Req. Diario'!E76</f>
        <v>3.0271500000000002</v>
      </c>
      <c r="E77">
        <f>(D77-((C77*(Main!$F$41/100))+(G77*(Main!$F$36/100))+(I77*(Main!$F$46/100))+(K77*(Main!$F$51/100))))/$E$6</f>
        <v>6.580760869565218</v>
      </c>
      <c r="F77">
        <f>'Req. Diario'!F76</f>
        <v>6.957747249999999</v>
      </c>
      <c r="G77">
        <f>(F77-((C77*(Main!$G$41/100))+(E77*(Main!$G$31/100))+(I77*(Main!$G$46/100))+(K77*(Main!$G$51/100))))/$G$6</f>
        <v>11.596245416666665</v>
      </c>
      <c r="H77">
        <f>'Req. Diario'!G76</f>
        <v>1.1908246802316453</v>
      </c>
      <c r="I77">
        <f>H77/$I$6</f>
        <v>7.442654251447784</v>
      </c>
      <c r="J77">
        <f>'Req. Diario'!H76</f>
        <v>4.142134797100749</v>
      </c>
      <c r="K77">
        <f>J77/$K$6</f>
        <v>15.341239989262034</v>
      </c>
      <c r="L77">
        <f>'Req. Diario'!I76</f>
        <v>29.5372</v>
      </c>
      <c r="M77">
        <f>L77/$M$6</f>
        <v>0.0295372</v>
      </c>
    </row>
    <row r="78">
      <c r="B78">
        <f>'Req. Diario'!D77</f>
        <v>4.345327862343882</v>
      </c>
      <c r="C78">
        <f>(B78-((E78*(Main!$E$31/100))+(G78*(Main!$E$36/100))+(I78*(Main!$E$46/100))+(K78*(Main!$E$51/100))))/$C$6</f>
        <v>1.7019537119272334</v>
      </c>
      <c r="D78">
        <f>'Req. Diario'!E77</f>
        <v>3.0271500000000002</v>
      </c>
      <c r="E78">
        <f>(D78-((C78*(Main!$F$41/100))+(G78*(Main!$F$36/100))+(I78*(Main!$F$46/100))+(K78*(Main!$F$51/100))))/$E$6</f>
        <v>6.580760869565218</v>
      </c>
      <c r="F78">
        <f>'Req. Diario'!F77</f>
        <v>6.957747249999999</v>
      </c>
      <c r="G78">
        <f>(F78-((C78*(Main!$G$41/100))+(E78*(Main!$G$31/100))+(I78*(Main!$G$46/100))+(K78*(Main!$G$51/100))))/$G$6</f>
        <v>11.596245416666665</v>
      </c>
      <c r="H78">
        <f>'Req. Diario'!G77</f>
        <v>1.1908246802316453</v>
      </c>
      <c r="I78">
        <f>H78/$I$6</f>
        <v>7.442654251447784</v>
      </c>
      <c r="J78">
        <f>'Req. Diario'!H77</f>
        <v>4.142134797100749</v>
      </c>
      <c r="K78">
        <f>J78/$K$6</f>
        <v>15.341239989262034</v>
      </c>
      <c r="L78">
        <f>'Req. Diario'!I77</f>
        <v>29.5372</v>
      </c>
      <c r="M78">
        <f>L78/$M$6</f>
        <v>0.0295372</v>
      </c>
    </row>
    <row r="79">
      <c r="B79">
        <f>'Req. Diario'!D78</f>
        <v>4.345327862343882</v>
      </c>
      <c r="C79">
        <f>(B79-((E79*(Main!$E$31/100))+(G79*(Main!$E$36/100))+(I79*(Main!$E$46/100))+(K79*(Main!$E$51/100))))/$C$6</f>
        <v>1.7019537119272334</v>
      </c>
      <c r="D79">
        <f>'Req. Diario'!E78</f>
        <v>3.0271500000000002</v>
      </c>
      <c r="E79">
        <f>(D79-((C79*(Main!$F$41/100))+(G79*(Main!$F$36/100))+(I79*(Main!$F$46/100))+(K79*(Main!$F$51/100))))/$E$6</f>
        <v>6.580760869565218</v>
      </c>
      <c r="F79">
        <f>'Req. Diario'!F78</f>
        <v>6.957747249999999</v>
      </c>
      <c r="G79">
        <f>(F79-((C79*(Main!$G$41/100))+(E79*(Main!$G$31/100))+(I79*(Main!$G$46/100))+(K79*(Main!$G$51/100))))/$G$6</f>
        <v>11.596245416666665</v>
      </c>
      <c r="H79">
        <f>'Req. Diario'!G78</f>
        <v>1.1908246802316453</v>
      </c>
      <c r="I79">
        <f>H79/$I$6</f>
        <v>7.442654251447784</v>
      </c>
      <c r="J79">
        <f>'Req. Diario'!H78</f>
        <v>4.142134797100749</v>
      </c>
      <c r="K79">
        <f>J79/$K$6</f>
        <v>15.341239989262034</v>
      </c>
      <c r="L79">
        <f>'Req. Diario'!I78</f>
        <v>29.5372</v>
      </c>
      <c r="M79">
        <f>L79/$M$6</f>
        <v>0.0295372</v>
      </c>
    </row>
    <row r="80">
      <c r="B80">
        <f>'Req. Diario'!D79</f>
        <v>4.345327862343882</v>
      </c>
      <c r="C80">
        <f>(B80-((E80*(Main!$E$31/100))+(G80*(Main!$E$36/100))+(I80*(Main!$E$46/100))+(K80*(Main!$E$51/100))))/$C$6</f>
        <v>1.7019537119272334</v>
      </c>
      <c r="D80">
        <f>'Req. Diario'!E79</f>
        <v>3.0271500000000002</v>
      </c>
      <c r="E80">
        <f>(D80-((C80*(Main!$F$41/100))+(G80*(Main!$F$36/100))+(I80*(Main!$F$46/100))+(K80*(Main!$F$51/100))))/$E$6</f>
        <v>6.580760869565218</v>
      </c>
      <c r="F80">
        <f>'Req. Diario'!F79</f>
        <v>6.957747249999999</v>
      </c>
      <c r="G80">
        <f>(F80-((C80*(Main!$G$41/100))+(E80*(Main!$G$31/100))+(I80*(Main!$G$46/100))+(K80*(Main!$G$51/100))))/$G$6</f>
        <v>11.596245416666665</v>
      </c>
      <c r="H80">
        <f>'Req. Diario'!G79</f>
        <v>1.1908246802316453</v>
      </c>
      <c r="I80">
        <f>H80/$I$6</f>
        <v>7.442654251447784</v>
      </c>
      <c r="J80">
        <f>'Req. Diario'!H79</f>
        <v>4.142134797100749</v>
      </c>
      <c r="K80">
        <f>J80/$K$6</f>
        <v>15.341239989262034</v>
      </c>
      <c r="L80">
        <f>'Req. Diario'!I79</f>
        <v>29.5372</v>
      </c>
      <c r="M80">
        <f>L80/$M$6</f>
        <v>0.0295372</v>
      </c>
    </row>
    <row r="81">
      <c r="B81">
        <f>'Req. Diario'!D80</f>
        <v>4.345327862343882</v>
      </c>
      <c r="C81">
        <f>(B81-((E81*(Main!$E$31/100))+(G81*(Main!$E$36/100))+(I81*(Main!$E$46/100))+(K81*(Main!$E$51/100))))/$C$6</f>
        <v>1.7019537119272334</v>
      </c>
      <c r="D81">
        <f>'Req. Diario'!E80</f>
        <v>3.0271500000000002</v>
      </c>
      <c r="E81">
        <f>(D81-((C81*(Main!$F$41/100))+(G81*(Main!$F$36/100))+(I81*(Main!$F$46/100))+(K81*(Main!$F$51/100))))/$E$6</f>
        <v>6.580760869565218</v>
      </c>
      <c r="F81">
        <f>'Req. Diario'!F80</f>
        <v>6.957747249999999</v>
      </c>
      <c r="G81">
        <f>(F81-((C81*(Main!$G$41/100))+(E81*(Main!$G$31/100))+(I81*(Main!$G$46/100))+(K81*(Main!$G$51/100))))/$G$6</f>
        <v>11.596245416666665</v>
      </c>
      <c r="H81">
        <f>'Req. Diario'!G80</f>
        <v>1.1908246802316453</v>
      </c>
      <c r="I81">
        <f>H81/$I$6</f>
        <v>7.442654251447784</v>
      </c>
      <c r="J81">
        <f>'Req. Diario'!H80</f>
        <v>4.142134797100749</v>
      </c>
      <c r="K81">
        <f>J81/$K$6</f>
        <v>15.341239989262034</v>
      </c>
      <c r="L81">
        <f>'Req. Diario'!I80</f>
        <v>29.5372</v>
      </c>
      <c r="M81">
        <f>L81/$M$6</f>
        <v>0.0295372</v>
      </c>
    </row>
    <row r="82">
      <c r="B82">
        <f>'Req. Diario'!D81</f>
        <v>4.345327862343882</v>
      </c>
      <c r="C82">
        <f>(B82-((E82*(Main!$E$31/100))+(G82*(Main!$E$36/100))+(I82*(Main!$E$46/100))+(K82*(Main!$E$51/100))))/$C$6</f>
        <v>1.7019537119272334</v>
      </c>
      <c r="D82">
        <f>'Req. Diario'!E81</f>
        <v>3.0271500000000002</v>
      </c>
      <c r="E82">
        <f>(D82-((C82*(Main!$F$41/100))+(G82*(Main!$F$36/100))+(I82*(Main!$F$46/100))+(K82*(Main!$F$51/100))))/$E$6</f>
        <v>6.580760869565218</v>
      </c>
      <c r="F82">
        <f>'Req. Diario'!F81</f>
        <v>6.957747249999999</v>
      </c>
      <c r="G82">
        <f>(F82-((C82*(Main!$G$41/100))+(E82*(Main!$G$31/100))+(I82*(Main!$G$46/100))+(K82*(Main!$G$51/100))))/$G$6</f>
        <v>11.596245416666665</v>
      </c>
      <c r="H82">
        <f>'Req. Diario'!G81</f>
        <v>1.1908246802316453</v>
      </c>
      <c r="I82">
        <f>H82/$I$6</f>
        <v>7.442654251447784</v>
      </c>
      <c r="J82">
        <f>'Req. Diario'!H81</f>
        <v>4.142134797100749</v>
      </c>
      <c r="K82">
        <f>J82/$K$6</f>
        <v>15.341239989262034</v>
      </c>
      <c r="L82">
        <f>'Req. Diario'!I81</f>
        <v>29.5372</v>
      </c>
      <c r="M82">
        <f>L82/$M$6</f>
        <v>0.0295372</v>
      </c>
    </row>
    <row r="83">
      <c r="B83">
        <f>'Req. Diario'!D82</f>
        <v>4.345327862343882</v>
      </c>
      <c r="C83">
        <f>(B83-((E83*(Main!$E$31/100))+(G83*(Main!$E$36/100))+(I83*(Main!$E$46/100))+(K83*(Main!$E$51/100))))/$C$6</f>
        <v>1.7019537119272334</v>
      </c>
      <c r="D83">
        <f>'Req. Diario'!E82</f>
        <v>3.0271500000000002</v>
      </c>
      <c r="E83">
        <f>(D83-((C83*(Main!$F$41/100))+(G83*(Main!$F$36/100))+(I83*(Main!$F$46/100))+(K83*(Main!$F$51/100))))/$E$6</f>
        <v>6.580760869565218</v>
      </c>
      <c r="F83">
        <f>'Req. Diario'!F82</f>
        <v>6.957747249999999</v>
      </c>
      <c r="G83">
        <f>(F83-((C83*(Main!$G$41/100))+(E83*(Main!$G$31/100))+(I83*(Main!$G$46/100))+(K83*(Main!$G$51/100))))/$G$6</f>
        <v>11.596245416666665</v>
      </c>
      <c r="H83">
        <f>'Req. Diario'!G82</f>
        <v>1.1908246802316453</v>
      </c>
      <c r="I83">
        <f>H83/$I$6</f>
        <v>7.442654251447784</v>
      </c>
      <c r="J83">
        <f>'Req. Diario'!H82</f>
        <v>4.142134797100749</v>
      </c>
      <c r="K83">
        <f>J83/$K$6</f>
        <v>15.341239989262034</v>
      </c>
      <c r="L83">
        <f>'Req. Diario'!I82</f>
        <v>29.5372</v>
      </c>
      <c r="M83">
        <f>L83/$M$6</f>
        <v>0.0295372</v>
      </c>
    </row>
    <row r="85">
      <c r="B85">
        <f>SUM(B6:B83)</f>
        <v>502.46480368134723</v>
      </c>
      <c r="C85">
        <f>SUM(C6:C83)</f>
        <v>537.1935428708509</v>
      </c>
      <c r="D85">
        <f>SUM(D6:D83)</f>
        <v>199.76586651000028</v>
      </c>
      <c r="E85">
        <f>SUM(E6:E83)</f>
        <v>434.73362284782576</v>
      </c>
      <c r="F85">
        <f>SUM(F6:F83)</f>
        <v>519.0694915892502</v>
      </c>
      <c r="G85">
        <f>SUM(G6:G83)</f>
        <v>865.7158193154161</v>
      </c>
      <c r="H85">
        <f>SUM(H6:H83)</f>
        <v>88.83920888902233</v>
      </c>
      <c r="I85">
        <f>SUM(I6:I83)</f>
        <v>555.4050555563903</v>
      </c>
      <c r="J85">
        <f>SUM(J6:J83)</f>
        <v>309.01608321935345</v>
      </c>
      <c r="K85">
        <f>SUM(K6:K83)</f>
        <v>1144.7740119235307</v>
      </c>
      <c r="L85">
        <f>SUM(L6:L83)</f>
        <v>1352.5974000000006</v>
      </c>
      <c r="M85">
        <f>SUM(M6:M83)</f>
        <v>1001.3525974000003</v>
      </c>
    </row>
  </sheetData>
  <sheetProtection sheet="1"/>
  <mergeCells count="1">
    <mergeCell ref="E1:J1"/>
  </mergeCells>
  <pageMargins left="0.42" right="0.75" top="0.44" bottom="0.39" header="0.25" footer="0.25"/>
  <ignoredErrors>
    <ignoredError numberStoredAsText="1" sqref="A1:Q85"/>
  </ignoredErrors>
</worksheet>
</file>

<file path=xl/worksheets/sheet10.xml><?xml version="1.0" encoding="utf-8"?>
<worksheet xmlns="http://schemas.openxmlformats.org/spreadsheetml/2006/main" xmlns:r="http://schemas.openxmlformats.org/officeDocument/2006/relationships">
  <dimension ref="A1:T84"/>
  <sheetViews>
    <sheetView workbookViewId="0" rightToLeft="0"/>
  </sheetViews>
  <sheetData>
    <row r="1">
      <c r="A1" t="str">
        <v>Requerimientos Diarios para:</v>
      </c>
      <c r="H1" t="str">
        <f>Main!E21</f>
        <v>Maíz Dulce</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3.8927869946801867</v>
      </c>
      <c r="E6">
        <v>1.06797852</v>
      </c>
      <c r="F6">
        <v>3.5377269449999997</v>
      </c>
      <c r="G6">
        <f>(H6/1.39135)*$K$5</f>
        <v>0.605485138602369</v>
      </c>
      <c r="H6">
        <f>(F6*1.190654)*$L$5</f>
        <v>2.106104368986015</v>
      </c>
      <c r="I6">
        <v>5.0926</v>
      </c>
      <c r="J6">
        <f>D6/(F6/3.362524)</f>
        <v>3.7</v>
      </c>
      <c r="K6">
        <f>G6/(H6/1.39135)</f>
        <v>0.4000000000000001</v>
      </c>
      <c r="L6">
        <f>(H6/1.190654)/F6</f>
        <v>0.49999999999999994</v>
      </c>
    </row>
    <row r="7">
      <c r="B7">
        <v>2</v>
      </c>
      <c r="C7">
        <v>1</v>
      </c>
      <c r="D7">
        <v>3.8927869946801867</v>
      </c>
      <c r="E7">
        <v>1.06797852</v>
      </c>
      <c r="F7">
        <v>3.5377269449999997</v>
      </c>
      <c r="G7">
        <f>(H7/1.39135)*$K$5</f>
        <v>0.605485138602369</v>
      </c>
      <c r="H7">
        <f>(F7*1.190654)*$L$5</f>
        <v>2.106104368986015</v>
      </c>
      <c r="I7">
        <v>5.0926</v>
      </c>
      <c r="J7">
        <f>D7/(F7/3.362524)</f>
        <v>3.7</v>
      </c>
      <c r="K7">
        <f>G7/(H7/1.39135)</f>
        <v>0.4000000000000001</v>
      </c>
      <c r="L7">
        <f>(H7/1.190654)/F7</f>
        <v>0.49999999999999994</v>
      </c>
    </row>
    <row r="8">
      <c r="B8">
        <v>3</v>
      </c>
      <c r="C8">
        <v>1</v>
      </c>
      <c r="D8">
        <v>3.8927869946801867</v>
      </c>
      <c r="E8">
        <v>1.06797852</v>
      </c>
      <c r="F8">
        <v>3.5377269449999997</v>
      </c>
      <c r="G8">
        <f>(H8/1.39135)*$K$5</f>
        <v>0.605485138602369</v>
      </c>
      <c r="H8">
        <f>(F8*1.190654)*$L$5</f>
        <v>2.106104368986015</v>
      </c>
      <c r="I8">
        <v>5.0926</v>
      </c>
      <c r="J8">
        <f>D8/(F8/3.362524)</f>
        <v>3.7</v>
      </c>
      <c r="K8">
        <f>G8/(H8/1.39135)</f>
        <v>0.4000000000000001</v>
      </c>
      <c r="L8">
        <f>(H8/1.190654)/F8</f>
        <v>0.49999999999999994</v>
      </c>
    </row>
    <row r="9">
      <c r="B9">
        <v>4</v>
      </c>
      <c r="C9">
        <v>1</v>
      </c>
      <c r="D9">
        <v>3.8927869946801867</v>
      </c>
      <c r="E9">
        <v>1.06797852</v>
      </c>
      <c r="F9">
        <v>3.5377269449999997</v>
      </c>
      <c r="G9">
        <f>(H9/1.39135)*$K$5</f>
        <v>0.605485138602369</v>
      </c>
      <c r="H9">
        <f>(F9*1.190654)*$L$5</f>
        <v>2.106104368986015</v>
      </c>
      <c r="I9">
        <v>5.0926</v>
      </c>
      <c r="J9">
        <f>D9/(F9/3.362524)</f>
        <v>3.7</v>
      </c>
      <c r="K9">
        <f>G9/(H9/1.39135)</f>
        <v>0.4000000000000001</v>
      </c>
      <c r="L9">
        <f>(H9/1.190654)/F9</f>
        <v>0.49999999999999994</v>
      </c>
    </row>
    <row r="10">
      <c r="B10">
        <v>5</v>
      </c>
      <c r="C10">
        <v>1</v>
      </c>
      <c r="D10">
        <v>3.8927869946801867</v>
      </c>
      <c r="E10">
        <v>1.06797852</v>
      </c>
      <c r="F10">
        <v>3.5377269449999997</v>
      </c>
      <c r="G10">
        <f>(H10/1.39135)*$K$5</f>
        <v>0.605485138602369</v>
      </c>
      <c r="H10">
        <f>(F10*1.190654)*$L$5</f>
        <v>2.106104368986015</v>
      </c>
      <c r="I10">
        <v>5.0926</v>
      </c>
      <c r="J10">
        <f>D10/(F10/3.362524)</f>
        <v>3.7</v>
      </c>
      <c r="K10">
        <f>G10/(H10/1.39135)</f>
        <v>0.4000000000000001</v>
      </c>
      <c r="L10">
        <f>(H10/1.190654)/F10</f>
        <v>0.49999999999999994</v>
      </c>
    </row>
    <row r="11">
      <c r="B11">
        <v>6</v>
      </c>
      <c r="C11">
        <v>1</v>
      </c>
      <c r="D11">
        <v>3.8927869946801867</v>
      </c>
      <c r="E11">
        <v>1.06797852</v>
      </c>
      <c r="F11">
        <v>3.5377269449999997</v>
      </c>
      <c r="G11">
        <f>(H11/1.39135)*$K$5</f>
        <v>0.605485138602369</v>
      </c>
      <c r="H11">
        <f>(F11*1.190654)*$L$5</f>
        <v>2.106104368986015</v>
      </c>
      <c r="I11">
        <v>5.0926</v>
      </c>
      <c r="J11">
        <f>D11/(F11/3.362524)</f>
        <v>3.7</v>
      </c>
      <c r="K11">
        <f>G11/(H11/1.39135)</f>
        <v>0.4000000000000001</v>
      </c>
      <c r="L11">
        <f>(H11/1.190654)/F11</f>
        <v>0.49999999999999994</v>
      </c>
    </row>
    <row r="12">
      <c r="B12">
        <v>7</v>
      </c>
      <c r="C12">
        <v>1</v>
      </c>
      <c r="D12">
        <v>3.8927869946801867</v>
      </c>
      <c r="E12">
        <v>1.06797852</v>
      </c>
      <c r="F12">
        <v>3.5377269449999997</v>
      </c>
      <c r="G12">
        <f>(H12/1.39135)*$K$5</f>
        <v>0.605485138602369</v>
      </c>
      <c r="H12">
        <f>(F12*1.190654)*$L$5</f>
        <v>2.106104368986015</v>
      </c>
      <c r="I12">
        <v>5.0926</v>
      </c>
      <c r="J12">
        <f>D12/(F12/3.362524)</f>
        <v>3.7</v>
      </c>
      <c r="K12">
        <f>G12/(H12/1.39135)</f>
        <v>0.4000000000000001</v>
      </c>
      <c r="L12">
        <f>(H12/1.190654)/F12</f>
        <v>0.49999999999999994</v>
      </c>
    </row>
    <row r="13">
      <c r="B13">
        <v>8</v>
      </c>
      <c r="C13">
        <v>2</v>
      </c>
      <c r="D13">
        <v>6.452291878362802</v>
      </c>
      <c r="E13">
        <v>1.28498193</v>
      </c>
      <c r="F13">
        <v>5.86378008</v>
      </c>
      <c r="G13">
        <f>(H13/1.39135)*$K$5</f>
        <v>1.0035912182229232</v>
      </c>
      <c r="H13">
        <f>(F13*1.190654)*$L$5</f>
        <v>3.49086660368616</v>
      </c>
      <c r="I13">
        <v>5.0926</v>
      </c>
      <c r="J13">
        <f>D13/(F13/3.362524)</f>
        <v>3.7000000000000006</v>
      </c>
      <c r="K13">
        <f>G13/(H13/1.39135)</f>
        <v>0.4000000000000001</v>
      </c>
      <c r="L13">
        <f>(H13/1.190654)/F13</f>
        <v>0.5</v>
      </c>
    </row>
    <row r="14">
      <c r="B14">
        <v>9</v>
      </c>
      <c r="C14">
        <v>2</v>
      </c>
      <c r="D14">
        <v>6.452291878362802</v>
      </c>
      <c r="E14">
        <v>1.28498193</v>
      </c>
      <c r="F14">
        <v>5.86378008</v>
      </c>
      <c r="G14">
        <f>(H14/1.39135)*$K$5</f>
        <v>1.0035912182229232</v>
      </c>
      <c r="H14">
        <f>(F14*1.190654)*$L$5</f>
        <v>3.49086660368616</v>
      </c>
      <c r="I14">
        <v>5.0926</v>
      </c>
      <c r="J14">
        <f>D14/(F14/3.362524)</f>
        <v>3.7000000000000006</v>
      </c>
      <c r="K14">
        <f>G14/(H14/1.39135)</f>
        <v>0.4000000000000001</v>
      </c>
      <c r="L14">
        <f>(H14/1.190654)/F14</f>
        <v>0.5</v>
      </c>
    </row>
    <row r="15">
      <c r="B15">
        <v>10</v>
      </c>
      <c r="C15">
        <v>2</v>
      </c>
      <c r="D15">
        <v>6.452291878362802</v>
      </c>
      <c r="E15">
        <v>1.28498193</v>
      </c>
      <c r="F15">
        <v>5.86378008</v>
      </c>
      <c r="G15">
        <f>(H15/1.39135)*$K$5</f>
        <v>1.0035912182229232</v>
      </c>
      <c r="H15">
        <f>(F15*1.190654)*$L$5</f>
        <v>3.49086660368616</v>
      </c>
      <c r="I15">
        <v>5.0926</v>
      </c>
      <c r="J15">
        <f>D15/(F15/3.362524)</f>
        <v>3.7000000000000006</v>
      </c>
      <c r="K15">
        <f>G15/(H15/1.39135)</f>
        <v>0.4000000000000001</v>
      </c>
      <c r="L15">
        <f>(H15/1.190654)/F15</f>
        <v>0.5</v>
      </c>
    </row>
    <row r="16">
      <c r="B16">
        <v>11</v>
      </c>
      <c r="C16">
        <v>2</v>
      </c>
      <c r="D16">
        <v>6.452291878362802</v>
      </c>
      <c r="E16">
        <v>1.28498193</v>
      </c>
      <c r="F16">
        <v>5.86378008</v>
      </c>
      <c r="G16">
        <f>(H16/1.39135)*$K$5</f>
        <v>1.0035912182229232</v>
      </c>
      <c r="H16">
        <f>(F16*1.190654)*$L$5</f>
        <v>3.49086660368616</v>
      </c>
      <c r="I16">
        <v>9.1667</v>
      </c>
      <c r="J16">
        <f>D16/(F16/3.362524)</f>
        <v>3.7000000000000006</v>
      </c>
      <c r="K16">
        <f>G16/(H16/1.39135)</f>
        <v>0.4000000000000001</v>
      </c>
      <c r="L16">
        <f>(H16/1.190654)/F16</f>
        <v>0.5</v>
      </c>
    </row>
    <row r="17">
      <c r="B17">
        <v>12</v>
      </c>
      <c r="C17">
        <v>2</v>
      </c>
      <c r="D17">
        <v>6.452291878362802</v>
      </c>
      <c r="E17">
        <v>1.28498193</v>
      </c>
      <c r="F17">
        <v>5.86378008</v>
      </c>
      <c r="G17">
        <f>(H17/1.39135)*$K$5</f>
        <v>1.0035912182229232</v>
      </c>
      <c r="H17">
        <f>(F17*1.190654)*$L$5</f>
        <v>3.49086660368616</v>
      </c>
      <c r="I17">
        <v>9.1667</v>
      </c>
      <c r="J17">
        <f>D17/(F17/3.362524)</f>
        <v>3.7000000000000006</v>
      </c>
      <c r="K17">
        <f>G17/(H17/1.39135)</f>
        <v>0.4000000000000001</v>
      </c>
      <c r="L17">
        <f>(H17/1.190654)/F17</f>
        <v>0.5</v>
      </c>
    </row>
    <row r="18">
      <c r="B18">
        <v>13</v>
      </c>
      <c r="C18">
        <v>2</v>
      </c>
      <c r="D18">
        <v>6.452291878362802</v>
      </c>
      <c r="E18">
        <v>1.28498193</v>
      </c>
      <c r="F18">
        <v>5.86378008</v>
      </c>
      <c r="G18">
        <f>(H18/1.39135)*$K$5</f>
        <v>1.0035912182229232</v>
      </c>
      <c r="H18">
        <f>(F18*1.190654)*$L$5</f>
        <v>3.49086660368616</v>
      </c>
      <c r="I18">
        <v>9.1667</v>
      </c>
      <c r="J18">
        <f>D18/(F18/3.362524)</f>
        <v>3.7000000000000006</v>
      </c>
      <c r="K18">
        <f>G18/(H18/1.39135)</f>
        <v>0.4000000000000001</v>
      </c>
      <c r="L18">
        <f>(H18/1.190654)/F18</f>
        <v>0.5</v>
      </c>
    </row>
    <row r="19">
      <c r="B19">
        <v>14</v>
      </c>
      <c r="C19">
        <v>2</v>
      </c>
      <c r="D19">
        <v>6.452291878362802</v>
      </c>
      <c r="E19">
        <v>1.28498193</v>
      </c>
      <c r="F19">
        <v>5.86378008</v>
      </c>
      <c r="G19">
        <f>(H19/1.39135)*$K$5</f>
        <v>1.0035912182229232</v>
      </c>
      <c r="H19">
        <f>(F19*1.190654)*$L$5</f>
        <v>3.49086660368616</v>
      </c>
      <c r="I19">
        <v>9.1667</v>
      </c>
      <c r="J19">
        <f>D19/(F19/3.362524)</f>
        <v>3.7000000000000006</v>
      </c>
      <c r="K19">
        <f>G19/(H19/1.39135)</f>
        <v>0.4000000000000001</v>
      </c>
      <c r="L19">
        <f>(H19/1.190654)/F19</f>
        <v>0.5</v>
      </c>
    </row>
    <row r="20">
      <c r="B20">
        <v>15</v>
      </c>
      <c r="C20">
        <v>3</v>
      </c>
      <c r="D20">
        <v>7.220861632957862</v>
      </c>
      <c r="E20">
        <v>2.4974852400000005</v>
      </c>
      <c r="F20">
        <v>6.5622487949999995</v>
      </c>
      <c r="G20">
        <f>(H20/1.39135)*$K$5</f>
        <v>1.1231347650500492</v>
      </c>
      <c r="H20">
        <f>(F20*1.190654)*$L$5</f>
        <v>3.906683888380965</v>
      </c>
      <c r="I20">
        <v>9.1667</v>
      </c>
      <c r="J20">
        <f>D20/(F20/3.362524)</f>
        <v>3.700000000000001</v>
      </c>
      <c r="K20">
        <f>G20/(H20/1.39135)</f>
        <v>0.39999999999999997</v>
      </c>
      <c r="L20">
        <f>(H20/1.190654)/F20</f>
        <v>0.5</v>
      </c>
    </row>
    <row r="21">
      <c r="B21">
        <v>16</v>
      </c>
      <c r="C21">
        <v>3</v>
      </c>
      <c r="D21">
        <v>7.220861632957862</v>
      </c>
      <c r="E21">
        <v>2.4974852400000005</v>
      </c>
      <c r="F21">
        <v>6.5622487949999995</v>
      </c>
      <c r="G21">
        <f>(H21/1.39135)*$K$5</f>
        <v>1.1231347650500492</v>
      </c>
      <c r="H21">
        <f>(F21*1.190654)*$L$5</f>
        <v>3.906683888380965</v>
      </c>
      <c r="I21">
        <v>9.1667</v>
      </c>
      <c r="J21">
        <f>D21/(F21/3.362524)</f>
        <v>3.700000000000001</v>
      </c>
      <c r="K21">
        <f>G21/(H21/1.39135)</f>
        <v>0.39999999999999997</v>
      </c>
      <c r="L21">
        <f>(H21/1.190654)/F21</f>
        <v>0.5</v>
      </c>
    </row>
    <row r="22">
      <c r="B22">
        <v>17</v>
      </c>
      <c r="C22">
        <v>3</v>
      </c>
      <c r="D22">
        <v>7.220861632957862</v>
      </c>
      <c r="E22">
        <v>2.4974852400000005</v>
      </c>
      <c r="F22">
        <v>6.5622487949999995</v>
      </c>
      <c r="G22">
        <f>(H22/1.39135)*$K$5</f>
        <v>1.1231347650500492</v>
      </c>
      <c r="H22">
        <f>(F22*1.190654)*$L$5</f>
        <v>3.906683888380965</v>
      </c>
      <c r="I22">
        <v>9.1667</v>
      </c>
      <c r="J22">
        <f>D22/(F22/3.362524)</f>
        <v>3.700000000000001</v>
      </c>
      <c r="K22">
        <f>G22/(H22/1.39135)</f>
        <v>0.39999999999999997</v>
      </c>
      <c r="L22">
        <f>(H22/1.190654)/F22</f>
        <v>0.5</v>
      </c>
    </row>
    <row r="23">
      <c r="B23">
        <v>18</v>
      </c>
      <c r="C23">
        <v>3</v>
      </c>
      <c r="D23">
        <v>7.220861632957862</v>
      </c>
      <c r="E23">
        <v>2.4974852400000005</v>
      </c>
      <c r="F23">
        <v>6.5622487949999995</v>
      </c>
      <c r="G23">
        <f>(H23/1.39135)*$K$5</f>
        <v>1.1231347650500492</v>
      </c>
      <c r="H23">
        <f>(F23*1.190654)*$L$5</f>
        <v>3.906683888380965</v>
      </c>
      <c r="I23">
        <v>12.2222</v>
      </c>
      <c r="J23">
        <f>D23/(F23/3.362524)</f>
        <v>3.700000000000001</v>
      </c>
      <c r="K23">
        <f>G23/(H23/1.39135)</f>
        <v>0.39999999999999997</v>
      </c>
      <c r="L23">
        <f>(H23/1.190654)/F23</f>
        <v>0.5</v>
      </c>
    </row>
    <row r="24">
      <c r="B24">
        <v>19</v>
      </c>
      <c r="C24">
        <v>3</v>
      </c>
      <c r="D24">
        <v>7.220861632957862</v>
      </c>
      <c r="E24">
        <v>2.4974852400000005</v>
      </c>
      <c r="F24">
        <v>6.5622487949999995</v>
      </c>
      <c r="G24">
        <f>(H24/1.39135)*$K$5</f>
        <v>1.1231347650500492</v>
      </c>
      <c r="H24">
        <f>(F24*1.190654)*$L$5</f>
        <v>3.906683888380965</v>
      </c>
      <c r="I24">
        <v>12.2222</v>
      </c>
      <c r="J24">
        <f>D24/(F24/3.362524)</f>
        <v>3.700000000000001</v>
      </c>
      <c r="K24">
        <f>G24/(H24/1.39135)</f>
        <v>0.39999999999999997</v>
      </c>
      <c r="L24">
        <f>(H24/1.190654)/F24</f>
        <v>0.5</v>
      </c>
    </row>
    <row r="25">
      <c r="B25">
        <v>20</v>
      </c>
      <c r="C25">
        <v>3</v>
      </c>
      <c r="D25">
        <v>7.220861632957862</v>
      </c>
      <c r="E25">
        <v>2.4974852400000005</v>
      </c>
      <c r="F25">
        <v>6.5622487949999995</v>
      </c>
      <c r="G25">
        <f>(H25/1.39135)*$K$5</f>
        <v>1.1231347650500492</v>
      </c>
      <c r="H25">
        <f>(F25*1.190654)*$L$5</f>
        <v>3.906683888380965</v>
      </c>
      <c r="I25">
        <v>12.2222</v>
      </c>
      <c r="J25">
        <f>D25/(F25/3.362524)</f>
        <v>3.700000000000001</v>
      </c>
      <c r="K25">
        <f>G25/(H25/1.39135)</f>
        <v>0.39999999999999997</v>
      </c>
      <c r="L25">
        <f>(H25/1.190654)/F25</f>
        <v>0.5</v>
      </c>
    </row>
    <row r="26">
      <c r="B26">
        <v>21</v>
      </c>
      <c r="C26">
        <v>3</v>
      </c>
      <c r="D26">
        <v>7.220861632957862</v>
      </c>
      <c r="E26">
        <v>2.4974852400000005</v>
      </c>
      <c r="F26">
        <v>6.5622487949999995</v>
      </c>
      <c r="G26">
        <f>(H26/1.39135)*$K$5</f>
        <v>1.1231347650500492</v>
      </c>
      <c r="H26">
        <f>(F26*1.190654)*$L$5</f>
        <v>3.906683888380965</v>
      </c>
      <c r="I26">
        <v>12.2222</v>
      </c>
      <c r="J26">
        <f>D26/(F26/3.362524)</f>
        <v>3.700000000000001</v>
      </c>
      <c r="K26">
        <f>G26/(H26/1.39135)</f>
        <v>0.39999999999999997</v>
      </c>
      <c r="L26">
        <f>(H26/1.190654)/F26</f>
        <v>0.5</v>
      </c>
    </row>
    <row r="27">
      <c r="B27">
        <v>22</v>
      </c>
      <c r="C27">
        <v>4</v>
      </c>
      <c r="D27">
        <v>7.220861632957862</v>
      </c>
      <c r="E27">
        <v>2.4974852400000005</v>
      </c>
      <c r="F27">
        <v>6.5622487949999995</v>
      </c>
      <c r="G27">
        <f>(H27/1.39135)*$K$5</f>
        <v>1.1231347650500492</v>
      </c>
      <c r="H27">
        <f>(F27*1.190654)*$L$5</f>
        <v>3.906683888380965</v>
      </c>
      <c r="I27">
        <v>12.2222</v>
      </c>
      <c r="J27">
        <f>D27/(F27/3.362524)</f>
        <v>3.700000000000001</v>
      </c>
      <c r="K27">
        <f>G27/(H27/1.39135)</f>
        <v>0.39999999999999997</v>
      </c>
      <c r="L27">
        <f>(H27/1.190654)/F27</f>
        <v>0.5</v>
      </c>
    </row>
    <row r="28">
      <c r="B28">
        <v>23</v>
      </c>
      <c r="C28">
        <v>4</v>
      </c>
      <c r="D28">
        <v>7.220861632957862</v>
      </c>
      <c r="E28">
        <v>2.4974852400000005</v>
      </c>
      <c r="F28">
        <v>6.5622487949999995</v>
      </c>
      <c r="G28">
        <f>(H28/1.39135)*$K$5</f>
        <v>1.1231347650500492</v>
      </c>
      <c r="H28">
        <f>(F28*1.190654)*$L$5</f>
        <v>3.906683888380965</v>
      </c>
      <c r="I28">
        <v>12.2222</v>
      </c>
      <c r="J28">
        <f>D28/(F28/3.362524)</f>
        <v>3.700000000000001</v>
      </c>
      <c r="K28">
        <f>G28/(H28/1.39135)</f>
        <v>0.39999999999999997</v>
      </c>
      <c r="L28">
        <f>(H28/1.190654)/F28</f>
        <v>0.5</v>
      </c>
    </row>
    <row r="29">
      <c r="B29">
        <v>24</v>
      </c>
      <c r="C29">
        <v>4</v>
      </c>
      <c r="D29">
        <v>7.220861632957862</v>
      </c>
      <c r="E29">
        <v>2.4974852400000005</v>
      </c>
      <c r="F29">
        <v>6.5622487949999995</v>
      </c>
      <c r="G29">
        <f>(H29/1.39135)*$K$5</f>
        <v>1.1231347650500492</v>
      </c>
      <c r="H29">
        <f>(F29*1.190654)*$L$5</f>
        <v>3.906683888380965</v>
      </c>
      <c r="I29">
        <v>12.2222</v>
      </c>
      <c r="J29">
        <f>D29/(F29/3.362524)</f>
        <v>3.700000000000001</v>
      </c>
      <c r="K29">
        <f>G29/(H29/1.39135)</f>
        <v>0.39999999999999997</v>
      </c>
      <c r="L29">
        <f>(H29/1.190654)/F29</f>
        <v>0.5</v>
      </c>
    </row>
    <row r="30">
      <c r="B30">
        <v>25</v>
      </c>
      <c r="C30">
        <v>4</v>
      </c>
      <c r="D30">
        <v>7.220861632957862</v>
      </c>
      <c r="E30">
        <v>2.4974852400000005</v>
      </c>
      <c r="F30">
        <v>6.5622487949999995</v>
      </c>
      <c r="G30">
        <f>(H30/1.39135)*$K$5</f>
        <v>1.1231347650500492</v>
      </c>
      <c r="H30">
        <f>(F30*1.190654)*$L$5</f>
        <v>3.906683888380965</v>
      </c>
      <c r="I30">
        <v>12.2222</v>
      </c>
      <c r="J30">
        <f>D30/(F30/3.362524)</f>
        <v>3.700000000000001</v>
      </c>
      <c r="K30">
        <f>G30/(H30/1.39135)</f>
        <v>0.39999999999999997</v>
      </c>
      <c r="L30">
        <f>(H30/1.190654)/F30</f>
        <v>0.5</v>
      </c>
    </row>
    <row r="31">
      <c r="B31">
        <v>26</v>
      </c>
      <c r="C31">
        <v>4</v>
      </c>
      <c r="D31">
        <v>7.220861632957862</v>
      </c>
      <c r="E31">
        <v>2.4974852400000005</v>
      </c>
      <c r="F31">
        <v>6.5622487949999995</v>
      </c>
      <c r="G31">
        <f>(H31/1.39135)*$K$5</f>
        <v>1.1231347650500492</v>
      </c>
      <c r="H31">
        <f>(F31*1.190654)*$L$5</f>
        <v>3.906683888380965</v>
      </c>
      <c r="I31">
        <v>12.2222</v>
      </c>
      <c r="J31">
        <f>D31/(F31/3.362524)</f>
        <v>3.700000000000001</v>
      </c>
      <c r="K31">
        <f>G31/(H31/1.39135)</f>
        <v>0.39999999999999997</v>
      </c>
      <c r="L31">
        <f>(H31/1.190654)/F31</f>
        <v>0.5</v>
      </c>
    </row>
    <row r="32">
      <c r="B32">
        <v>27</v>
      </c>
      <c r="C32">
        <v>4</v>
      </c>
      <c r="D32">
        <v>7.220861632957862</v>
      </c>
      <c r="E32">
        <v>2.4974852400000005</v>
      </c>
      <c r="F32">
        <v>6.5622487949999995</v>
      </c>
      <c r="G32">
        <f>(H32/1.39135)*$K$5</f>
        <v>1.1231347650500492</v>
      </c>
      <c r="H32">
        <f>(F32*1.190654)*$L$5</f>
        <v>3.906683888380965</v>
      </c>
      <c r="I32">
        <v>12.2222</v>
      </c>
      <c r="J32">
        <f>D32/(F32/3.362524)</f>
        <v>3.700000000000001</v>
      </c>
      <c r="K32">
        <f>G32/(H32/1.39135)</f>
        <v>0.39999999999999997</v>
      </c>
      <c r="L32">
        <f>(H32/1.190654)/F32</f>
        <v>0.5</v>
      </c>
    </row>
    <row r="33">
      <c r="B33">
        <v>28</v>
      </c>
      <c r="C33">
        <v>4</v>
      </c>
      <c r="D33">
        <v>7.220861632957862</v>
      </c>
      <c r="E33">
        <v>2.4974852400000005</v>
      </c>
      <c r="F33">
        <v>6.5622487949999995</v>
      </c>
      <c r="G33">
        <f>(H33/1.39135)*$K$5</f>
        <v>1.1231347650500492</v>
      </c>
      <c r="H33">
        <f>(F33*1.190654)*$L$5</f>
        <v>3.906683888380965</v>
      </c>
      <c r="I33">
        <v>12.2222</v>
      </c>
      <c r="J33">
        <f>D33/(F33/3.362524)</f>
        <v>3.700000000000001</v>
      </c>
      <c r="K33">
        <f>G33/(H33/1.39135)</f>
        <v>0.39999999999999997</v>
      </c>
      <c r="L33">
        <f>(H33/1.190654)/F33</f>
        <v>0.5</v>
      </c>
    </row>
    <row r="34">
      <c r="B34">
        <v>29</v>
      </c>
      <c r="C34">
        <v>5</v>
      </c>
      <c r="D34">
        <v>10.015121764335362</v>
      </c>
      <c r="E34">
        <v>3.0271500000000002</v>
      </c>
      <c r="F34">
        <v>9.101645215</v>
      </c>
      <c r="G34">
        <f>(H34/1.39135)*$K$5</f>
        <v>1.5577547391843334</v>
      </c>
      <c r="H34">
        <f>(F34*1.190654)*$L$5</f>
        <v>5.4184551409103054</v>
      </c>
      <c r="I34">
        <v>12.2222</v>
      </c>
      <c r="J34">
        <f>D34/(F34/3.362524)</f>
        <v>3.7</v>
      </c>
      <c r="K34">
        <f>G34/(H34/1.39135)</f>
        <v>0.4</v>
      </c>
      <c r="L34">
        <f>(H34/1.190654)/F34</f>
        <v>0.5</v>
      </c>
    </row>
    <row r="35">
      <c r="B35">
        <v>30</v>
      </c>
      <c r="C35">
        <v>5</v>
      </c>
      <c r="D35">
        <v>10.015121764335362</v>
      </c>
      <c r="E35">
        <v>3.0271500000000002</v>
      </c>
      <c r="F35">
        <v>9.101645215</v>
      </c>
      <c r="G35">
        <f>(H35/1.39135)*$K$5</f>
        <v>1.5577547391843334</v>
      </c>
      <c r="H35">
        <f>(F35*1.190654)*$L$5</f>
        <v>5.4184551409103054</v>
      </c>
      <c r="I35">
        <v>12.2222</v>
      </c>
      <c r="J35">
        <f>D35/(F35/3.362524)</f>
        <v>3.7</v>
      </c>
      <c r="K35">
        <f>G35/(H35/1.39135)</f>
        <v>0.4</v>
      </c>
      <c r="L35">
        <f>(H35/1.190654)/F35</f>
        <v>0.5</v>
      </c>
    </row>
    <row r="36">
      <c r="B36">
        <v>31</v>
      </c>
      <c r="C36">
        <v>5</v>
      </c>
      <c r="D36">
        <v>10.015121764335362</v>
      </c>
      <c r="E36">
        <v>3.0271500000000002</v>
      </c>
      <c r="F36">
        <v>9.101645215</v>
      </c>
      <c r="G36">
        <f>(H36/1.39135)*$K$5</f>
        <v>1.5577547391843334</v>
      </c>
      <c r="H36">
        <f>(F36*1.190654)*$L$5</f>
        <v>5.4184551409103054</v>
      </c>
      <c r="I36">
        <v>12.2222</v>
      </c>
      <c r="J36">
        <f>D36/(F36/3.362524)</f>
        <v>3.7</v>
      </c>
      <c r="K36">
        <f>G36/(H36/1.39135)</f>
        <v>0.4</v>
      </c>
      <c r="L36">
        <f>(H36/1.190654)/F36</f>
        <v>0.5</v>
      </c>
    </row>
    <row r="37">
      <c r="B37">
        <v>32</v>
      </c>
      <c r="C37">
        <v>5</v>
      </c>
      <c r="D37">
        <v>10.015121764335362</v>
      </c>
      <c r="E37">
        <v>3.0271500000000002</v>
      </c>
      <c r="F37">
        <v>9.101645215</v>
      </c>
      <c r="G37">
        <f>(H37/1.39135)*$K$5</f>
        <v>1.5577547391843334</v>
      </c>
      <c r="H37">
        <f>(F37*1.190654)*$L$5</f>
        <v>5.4184551409103054</v>
      </c>
      <c r="I37">
        <v>12.2222</v>
      </c>
      <c r="J37">
        <f>D37/(F37/3.362524)</f>
        <v>3.7</v>
      </c>
      <c r="K37">
        <f>G37/(H37/1.39135)</f>
        <v>0.4</v>
      </c>
      <c r="L37">
        <f>(H37/1.190654)/F37</f>
        <v>0.5</v>
      </c>
    </row>
    <row r="38">
      <c r="B38">
        <v>33</v>
      </c>
      <c r="C38">
        <v>5</v>
      </c>
      <c r="D38">
        <v>10.015121764335362</v>
      </c>
      <c r="E38">
        <v>3.0271500000000002</v>
      </c>
      <c r="F38">
        <v>9.101645215</v>
      </c>
      <c r="G38">
        <f>(H38/1.39135)*$K$5</f>
        <v>1.5577547391843334</v>
      </c>
      <c r="H38">
        <f>(F38*1.190654)*$L$5</f>
        <v>5.4184551409103054</v>
      </c>
      <c r="I38">
        <v>17.3149</v>
      </c>
      <c r="J38">
        <f>D38/(F38/3.362524)</f>
        <v>3.7</v>
      </c>
      <c r="K38">
        <f>G38/(H38/1.39135)</f>
        <v>0.4</v>
      </c>
      <c r="L38">
        <f>(H38/1.190654)/F38</f>
        <v>0.5</v>
      </c>
    </row>
    <row r="39">
      <c r="B39">
        <v>34</v>
      </c>
      <c r="C39">
        <v>5</v>
      </c>
      <c r="D39">
        <v>10.015121764335362</v>
      </c>
      <c r="E39">
        <v>3.0271500000000002</v>
      </c>
      <c r="F39">
        <v>9.101645215</v>
      </c>
      <c r="G39">
        <f>(H39/1.39135)*$K$5</f>
        <v>1.5577547391843334</v>
      </c>
      <c r="H39">
        <f>(F39*1.190654)*$L$5</f>
        <v>5.4184551409103054</v>
      </c>
      <c r="I39">
        <v>17.3149</v>
      </c>
      <c r="J39">
        <f>D39/(F39/3.362524)</f>
        <v>3.7</v>
      </c>
      <c r="K39">
        <f>G39/(H39/1.39135)</f>
        <v>0.4</v>
      </c>
      <c r="L39">
        <f>(H39/1.190654)/F39</f>
        <v>0.5</v>
      </c>
    </row>
    <row r="40">
      <c r="B40">
        <v>35</v>
      </c>
      <c r="C40">
        <v>5</v>
      </c>
      <c r="D40">
        <v>10.015121764335362</v>
      </c>
      <c r="E40">
        <v>3.0271500000000002</v>
      </c>
      <c r="F40">
        <v>9.101645215</v>
      </c>
      <c r="G40">
        <f>(H40/1.39135)*$K$5</f>
        <v>1.5577547391843334</v>
      </c>
      <c r="H40">
        <f>(F40*1.190654)*$L$5</f>
        <v>5.4184551409103054</v>
      </c>
      <c r="I40">
        <v>17.3149</v>
      </c>
      <c r="J40">
        <f>D40/(F40/3.362524)</f>
        <v>3.7</v>
      </c>
      <c r="K40">
        <f>G40/(H40/1.39135)</f>
        <v>0.4</v>
      </c>
      <c r="L40">
        <f>(H40/1.190654)/F40</f>
        <v>0.5</v>
      </c>
    </row>
    <row r="41">
      <c r="B41">
        <v>36</v>
      </c>
      <c r="C41">
        <v>6</v>
      </c>
      <c r="D41">
        <v>8.4297951935</v>
      </c>
      <c r="E41">
        <v>3.0271500000000002</v>
      </c>
      <c r="F41">
        <v>7.73639843275</v>
      </c>
      <c r="G41">
        <f>(H41/1.39135)*$K$5</f>
        <v>1.3240915283066832</v>
      </c>
      <c r="H41">
        <f>(F41*1.190654)*$L$5</f>
        <v>4.605686869773759</v>
      </c>
      <c r="I41">
        <v>17.3149</v>
      </c>
      <c r="J41">
        <f>D41/(F41/3.362524)</f>
        <v>3.6638997977709726</v>
      </c>
      <c r="K41">
        <f>G41/(H41/1.39135)</f>
        <v>0.4</v>
      </c>
      <c r="L41">
        <f>(H41/1.190654)/F41</f>
        <v>0.49999999999999994</v>
      </c>
    </row>
    <row r="42">
      <c r="B42">
        <v>37</v>
      </c>
      <c r="C42">
        <v>6</v>
      </c>
      <c r="D42">
        <v>8.4297951935</v>
      </c>
      <c r="E42">
        <v>3.0271500000000002</v>
      </c>
      <c r="F42">
        <v>7.73639843275</v>
      </c>
      <c r="G42">
        <f>(H42/1.39135)*$K$5</f>
        <v>1.3240915283066832</v>
      </c>
      <c r="H42">
        <f>(F42*1.190654)*$L$5</f>
        <v>4.605686869773759</v>
      </c>
      <c r="I42">
        <v>17.3149</v>
      </c>
      <c r="J42">
        <f>D42/(F42/3.362524)</f>
        <v>3.6638997977709726</v>
      </c>
      <c r="K42">
        <f>G42/(H42/1.39135)</f>
        <v>0.4</v>
      </c>
      <c r="L42">
        <f>(H42/1.190654)/F42</f>
        <v>0.49999999999999994</v>
      </c>
    </row>
    <row r="43">
      <c r="B43">
        <v>38</v>
      </c>
      <c r="C43">
        <v>6</v>
      </c>
      <c r="D43">
        <v>8.4297951935</v>
      </c>
      <c r="E43">
        <v>3.0271500000000002</v>
      </c>
      <c r="F43">
        <v>7.73639843275</v>
      </c>
      <c r="G43">
        <f>(H43/1.39135)*$K$5</f>
        <v>1.3240915283066832</v>
      </c>
      <c r="H43">
        <f>(F43*1.190654)*$L$5</f>
        <v>4.605686869773759</v>
      </c>
      <c r="I43">
        <v>17.3149</v>
      </c>
      <c r="J43">
        <f>D43/(F43/3.362524)</f>
        <v>3.6638997977709726</v>
      </c>
      <c r="K43">
        <f>G43/(H43/1.39135)</f>
        <v>0.4</v>
      </c>
      <c r="L43">
        <f>(H43/1.190654)/F43</f>
        <v>0.49999999999999994</v>
      </c>
    </row>
    <row r="44">
      <c r="B44">
        <v>39</v>
      </c>
      <c r="C44">
        <v>6</v>
      </c>
      <c r="D44">
        <v>8.4297951935</v>
      </c>
      <c r="E44">
        <v>3.0271500000000002</v>
      </c>
      <c r="F44">
        <v>7.73639843275</v>
      </c>
      <c r="G44">
        <f>(H44/1.39135)*$K$5</f>
        <v>1.3240915283066832</v>
      </c>
      <c r="H44">
        <f>(F44*1.190654)*$L$5</f>
        <v>4.605686869773759</v>
      </c>
      <c r="I44">
        <v>17.3149</v>
      </c>
      <c r="J44">
        <f>D44/(F44/3.362524)</f>
        <v>3.6638997977709726</v>
      </c>
      <c r="K44">
        <f>G44/(H44/1.39135)</f>
        <v>0.4</v>
      </c>
      <c r="L44">
        <f>(H44/1.190654)/F44</f>
        <v>0.49999999999999994</v>
      </c>
    </row>
    <row r="45">
      <c r="B45">
        <v>40</v>
      </c>
      <c r="C45">
        <v>6</v>
      </c>
      <c r="D45">
        <v>8.4297951935</v>
      </c>
      <c r="E45">
        <v>3.0271500000000002</v>
      </c>
      <c r="F45">
        <v>7.73639843275</v>
      </c>
      <c r="G45">
        <f>(H45/1.39135)*$K$5</f>
        <v>1.3240915283066832</v>
      </c>
      <c r="H45">
        <f>(F45*1.190654)*$L$5</f>
        <v>4.605686869773759</v>
      </c>
      <c r="I45">
        <v>17.3149</v>
      </c>
      <c r="J45">
        <f>D45/(F45/3.362524)</f>
        <v>3.6638997977709726</v>
      </c>
      <c r="K45">
        <f>G45/(H45/1.39135)</f>
        <v>0.4</v>
      </c>
      <c r="L45">
        <f>(H45/1.190654)/F45</f>
        <v>0.49999999999999994</v>
      </c>
    </row>
    <row r="46">
      <c r="B46">
        <v>41</v>
      </c>
      <c r="C46">
        <v>6</v>
      </c>
      <c r="D46">
        <v>8.4297951935</v>
      </c>
      <c r="E46">
        <v>3.0271500000000002</v>
      </c>
      <c r="F46">
        <v>7.73639843275</v>
      </c>
      <c r="G46">
        <f>(H46/1.39135)*$K$5</f>
        <v>1.3240915283066832</v>
      </c>
      <c r="H46">
        <f>(F46*1.190654)*$L$5</f>
        <v>4.605686869773759</v>
      </c>
      <c r="I46">
        <v>17.3149</v>
      </c>
      <c r="J46">
        <f>D46/(F46/3.362524)</f>
        <v>3.6638997977709726</v>
      </c>
      <c r="K46">
        <f>G46/(H46/1.39135)</f>
        <v>0.4</v>
      </c>
      <c r="L46">
        <f>(H46/1.190654)/F46</f>
        <v>0.49999999999999994</v>
      </c>
    </row>
    <row r="47">
      <c r="B47">
        <v>42</v>
      </c>
      <c r="C47">
        <v>6</v>
      </c>
      <c r="D47">
        <v>8.4297951935</v>
      </c>
      <c r="E47">
        <v>3.0271500000000002</v>
      </c>
      <c r="F47">
        <v>7.73639843275</v>
      </c>
      <c r="G47">
        <f>(H47/1.39135)*$K$5</f>
        <v>1.3240915283066832</v>
      </c>
      <c r="H47">
        <f>(F47*1.190654)*$L$5</f>
        <v>4.605686869773759</v>
      </c>
      <c r="I47">
        <v>17.3149</v>
      </c>
      <c r="J47">
        <f>D47/(F47/3.362524)</f>
        <v>3.6638997977709726</v>
      </c>
      <c r="K47">
        <f>G47/(H47/1.39135)</f>
        <v>0.4</v>
      </c>
      <c r="L47">
        <f>(H47/1.190654)/F47</f>
        <v>0.49999999999999994</v>
      </c>
    </row>
    <row r="48">
      <c r="B48">
        <v>43</v>
      </c>
      <c r="C48">
        <v>7</v>
      </c>
      <c r="D48">
        <v>7.5490676935000005</v>
      </c>
      <c r="E48">
        <v>3.0271500000000002</v>
      </c>
      <c r="F48">
        <v>6.957747249999999</v>
      </c>
      <c r="G48">
        <f>(H48/1.39135)*$K$5</f>
        <v>1.1908246802316453</v>
      </c>
      <c r="H48">
        <f>(F48*1.190654)*$L$5</f>
        <v>4.142134797100749</v>
      </c>
      <c r="I48">
        <v>17.3149</v>
      </c>
      <c r="J48">
        <f>D48/(F48/3.362524)</f>
        <v>3.6482959764050644</v>
      </c>
      <c r="K48">
        <f>G48/(H48/1.39135)</f>
        <v>0.4</v>
      </c>
      <c r="L48">
        <f>(H48/1.190654)/F48</f>
        <v>0.49999999999999994</v>
      </c>
    </row>
    <row r="49">
      <c r="B49">
        <v>44</v>
      </c>
      <c r="C49">
        <v>7</v>
      </c>
      <c r="D49">
        <v>7.5490676935000005</v>
      </c>
      <c r="E49">
        <v>3.0271500000000002</v>
      </c>
      <c r="F49">
        <v>6.957747249999999</v>
      </c>
      <c r="G49">
        <f>(H49/1.39135)*$K$5</f>
        <v>1.1908246802316453</v>
      </c>
      <c r="H49">
        <f>(F49*1.190654)*$L$5</f>
        <v>4.142134797100749</v>
      </c>
      <c r="I49">
        <v>17.3149</v>
      </c>
      <c r="J49">
        <f>D49/(F49/3.362524)</f>
        <v>3.6482959764050644</v>
      </c>
      <c r="K49">
        <f>G49/(H49/1.39135)</f>
        <v>0.4</v>
      </c>
      <c r="L49">
        <f>(H49/1.190654)/F49</f>
        <v>0.49999999999999994</v>
      </c>
    </row>
    <row r="50">
      <c r="B50">
        <v>45</v>
      </c>
      <c r="C50">
        <v>7</v>
      </c>
      <c r="D50">
        <v>7.5490676935000005</v>
      </c>
      <c r="E50">
        <v>3.0271500000000002</v>
      </c>
      <c r="F50">
        <v>6.957747249999999</v>
      </c>
      <c r="G50">
        <f>(H50/1.39135)*$K$5</f>
        <v>1.1908246802316453</v>
      </c>
      <c r="H50">
        <f>(F50*1.190654)*$L$5</f>
        <v>4.142134797100749</v>
      </c>
      <c r="I50">
        <v>17.3149</v>
      </c>
      <c r="J50">
        <f>D50/(F50/3.362524)</f>
        <v>3.6482959764050644</v>
      </c>
      <c r="K50">
        <f>G50/(H50/1.39135)</f>
        <v>0.4</v>
      </c>
      <c r="L50">
        <f>(H50/1.190654)/F50</f>
        <v>0.49999999999999994</v>
      </c>
    </row>
    <row r="51">
      <c r="B51">
        <v>46</v>
      </c>
      <c r="C51">
        <v>7</v>
      </c>
      <c r="D51">
        <v>7.5490676935000005</v>
      </c>
      <c r="E51">
        <v>3.0271500000000002</v>
      </c>
      <c r="F51">
        <v>6.957747249999999</v>
      </c>
      <c r="G51">
        <f>(H51/1.39135)*$K$5</f>
        <v>1.1908246802316453</v>
      </c>
      <c r="H51">
        <f>(F51*1.190654)*$L$5</f>
        <v>4.142134797100749</v>
      </c>
      <c r="I51">
        <v>17.3149</v>
      </c>
      <c r="J51">
        <f>D51/(F51/3.362524)</f>
        <v>3.6482959764050644</v>
      </c>
      <c r="K51">
        <f>G51/(H51/1.39135)</f>
        <v>0.4</v>
      </c>
      <c r="L51">
        <f>(H51/1.190654)/F51</f>
        <v>0.49999999999999994</v>
      </c>
    </row>
    <row r="52">
      <c r="B52">
        <v>47</v>
      </c>
      <c r="C52">
        <v>7</v>
      </c>
      <c r="D52">
        <v>7.5490676935000005</v>
      </c>
      <c r="E52">
        <v>3.0271500000000002</v>
      </c>
      <c r="F52">
        <v>6.957747249999999</v>
      </c>
      <c r="G52">
        <f>(H52/1.39135)*$K$5</f>
        <v>1.1908246802316453</v>
      </c>
      <c r="H52">
        <f>(F52*1.190654)*$L$5</f>
        <v>4.142134797100749</v>
      </c>
      <c r="I52">
        <v>17.3149</v>
      </c>
      <c r="J52">
        <f>D52/(F52/3.362524)</f>
        <v>3.6482959764050644</v>
      </c>
      <c r="K52">
        <f>G52/(H52/1.39135)</f>
        <v>0.4</v>
      </c>
      <c r="L52">
        <f>(H52/1.190654)/F52</f>
        <v>0.49999999999999994</v>
      </c>
    </row>
    <row r="53">
      <c r="B53">
        <v>48</v>
      </c>
      <c r="C53">
        <v>7</v>
      </c>
      <c r="D53">
        <v>7.5490676935000005</v>
      </c>
      <c r="E53">
        <v>3.0271500000000002</v>
      </c>
      <c r="F53">
        <v>6.957747249999999</v>
      </c>
      <c r="G53">
        <f>(H53/1.39135)*$K$5</f>
        <v>1.1908246802316453</v>
      </c>
      <c r="H53">
        <f>(F53*1.190654)*$L$5</f>
        <v>4.142134797100749</v>
      </c>
      <c r="I53">
        <v>23.426</v>
      </c>
      <c r="J53">
        <f>D53/(F53/3.362524)</f>
        <v>3.6482959764050644</v>
      </c>
      <c r="K53">
        <f>G53/(H53/1.39135)</f>
        <v>0.4</v>
      </c>
      <c r="L53">
        <f>(H53/1.190654)/F53</f>
        <v>0.49999999999999994</v>
      </c>
    </row>
    <row r="54">
      <c r="B54">
        <v>49</v>
      </c>
      <c r="C54">
        <v>7</v>
      </c>
      <c r="D54">
        <v>7.5490676935000005</v>
      </c>
      <c r="E54">
        <v>3.0271500000000002</v>
      </c>
      <c r="F54">
        <v>6.957747249999999</v>
      </c>
      <c r="G54">
        <f>(H54/1.39135)*$K$5</f>
        <v>1.1908246802316453</v>
      </c>
      <c r="H54">
        <f>(F54*1.190654)*$L$5</f>
        <v>4.142134797100749</v>
      </c>
      <c r="I54">
        <v>23.426</v>
      </c>
      <c r="J54">
        <f>D54/(F54/3.362524)</f>
        <v>3.6482959764050644</v>
      </c>
      <c r="K54">
        <f>G54/(H54/1.39135)</f>
        <v>0.4</v>
      </c>
      <c r="L54">
        <f>(H54/1.190654)/F54</f>
        <v>0.49999999999999994</v>
      </c>
    </row>
    <row r="55">
      <c r="B55">
        <v>50</v>
      </c>
      <c r="C55">
        <v>8</v>
      </c>
      <c r="D55">
        <v>7.5490676935000005</v>
      </c>
      <c r="E55">
        <v>3.0271500000000002</v>
      </c>
      <c r="F55">
        <v>6.957747249999999</v>
      </c>
      <c r="G55">
        <f>(H55/1.39135)*$K$5</f>
        <v>1.1908246802316453</v>
      </c>
      <c r="H55">
        <f>(F55*1.190654)*$L$5</f>
        <v>4.142134797100749</v>
      </c>
      <c r="I55">
        <v>23.426</v>
      </c>
      <c r="J55">
        <f>D55/(F55/3.362524)</f>
        <v>3.6482959764050644</v>
      </c>
      <c r="K55">
        <f>G55/(H55/1.39135)</f>
        <v>0.4</v>
      </c>
      <c r="L55">
        <f>(H55/1.190654)/F55</f>
        <v>0.49999999999999994</v>
      </c>
    </row>
    <row r="56">
      <c r="B56">
        <v>51</v>
      </c>
      <c r="C56">
        <v>8</v>
      </c>
      <c r="D56">
        <v>7.5490676935000005</v>
      </c>
      <c r="E56">
        <v>3.0271500000000002</v>
      </c>
      <c r="F56">
        <v>6.957747249999999</v>
      </c>
      <c r="G56">
        <f>(H56/1.39135)*$K$5</f>
        <v>1.1908246802316453</v>
      </c>
      <c r="H56">
        <f>(F56*1.190654)*$L$5</f>
        <v>4.142134797100749</v>
      </c>
      <c r="I56">
        <v>23.426</v>
      </c>
      <c r="J56">
        <f>D56/(F56/3.362524)</f>
        <v>3.6482959764050644</v>
      </c>
      <c r="K56">
        <f>G56/(H56/1.39135)</f>
        <v>0.4</v>
      </c>
      <c r="L56">
        <f>(H56/1.190654)/F56</f>
        <v>0.49999999999999994</v>
      </c>
    </row>
    <row r="57">
      <c r="B57">
        <v>52</v>
      </c>
      <c r="C57">
        <v>8</v>
      </c>
      <c r="D57">
        <v>7.5490676935000005</v>
      </c>
      <c r="E57">
        <v>3.0271500000000002</v>
      </c>
      <c r="F57">
        <v>6.957747249999999</v>
      </c>
      <c r="G57">
        <f>(H57/1.39135)*$K$5</f>
        <v>1.1908246802316453</v>
      </c>
      <c r="H57">
        <f>(F57*1.190654)*$L$5</f>
        <v>4.142134797100749</v>
      </c>
      <c r="I57">
        <v>23.426</v>
      </c>
      <c r="J57">
        <f>D57/(F57/3.362524)</f>
        <v>3.6482959764050644</v>
      </c>
      <c r="K57">
        <f>G57/(H57/1.39135)</f>
        <v>0.4</v>
      </c>
      <c r="L57">
        <f>(H57/1.190654)/F57</f>
        <v>0.49999999999999994</v>
      </c>
    </row>
    <row r="58">
      <c r="B58">
        <v>53</v>
      </c>
      <c r="C58">
        <v>8</v>
      </c>
      <c r="D58">
        <v>7.5490676935000005</v>
      </c>
      <c r="E58">
        <v>3.0271500000000002</v>
      </c>
      <c r="F58">
        <v>6.957747249999999</v>
      </c>
      <c r="G58">
        <f>(H58/1.39135)*$K$5</f>
        <v>1.1908246802316453</v>
      </c>
      <c r="H58">
        <f>(F58*1.190654)*$L$5</f>
        <v>4.142134797100749</v>
      </c>
      <c r="I58">
        <v>23.426</v>
      </c>
      <c r="J58">
        <f>D58/(F58/3.362524)</f>
        <v>3.6482959764050644</v>
      </c>
      <c r="K58">
        <f>G58/(H58/1.39135)</f>
        <v>0.4</v>
      </c>
      <c r="L58">
        <f>(H58/1.190654)/F58</f>
        <v>0.49999999999999994</v>
      </c>
    </row>
    <row r="59">
      <c r="B59">
        <v>54</v>
      </c>
      <c r="C59">
        <v>8</v>
      </c>
      <c r="D59">
        <v>7.5490676935000005</v>
      </c>
      <c r="E59">
        <v>3.0271500000000002</v>
      </c>
      <c r="F59">
        <v>6.957747249999999</v>
      </c>
      <c r="G59">
        <f>(H59/1.39135)*$K$5</f>
        <v>1.1908246802316453</v>
      </c>
      <c r="H59">
        <f>(F59*1.190654)*$L$5</f>
        <v>4.142134797100749</v>
      </c>
      <c r="I59">
        <v>23.426</v>
      </c>
      <c r="J59">
        <f>D59/(F59/3.362524)</f>
        <v>3.6482959764050644</v>
      </c>
      <c r="K59">
        <f>G59/(H59/1.39135)</f>
        <v>0.4</v>
      </c>
      <c r="L59">
        <f>(H59/1.190654)/F59</f>
        <v>0.49999999999999994</v>
      </c>
    </row>
    <row r="60">
      <c r="B60">
        <v>55</v>
      </c>
      <c r="C60">
        <v>8</v>
      </c>
      <c r="D60">
        <v>5.37992973433052</v>
      </c>
      <c r="E60">
        <v>3.0271500000000002</v>
      </c>
      <c r="F60">
        <v>6.957747249999999</v>
      </c>
      <c r="G60">
        <f>(H60/1.39135)*$K$5</f>
        <v>1.1908246802316453</v>
      </c>
      <c r="H60">
        <f>(F60*1.190654)*$L$5</f>
        <v>4.142134797100749</v>
      </c>
      <c r="I60">
        <v>23.426</v>
      </c>
      <c r="J60">
        <f>D60/(F60/3.362524)</f>
        <v>2.6</v>
      </c>
      <c r="K60">
        <f>G60/(H60/1.39135)</f>
        <v>0.4</v>
      </c>
      <c r="L60">
        <f>(H60/1.190654)/F60</f>
        <v>0.49999999999999994</v>
      </c>
    </row>
    <row r="61">
      <c r="B61">
        <v>56</v>
      </c>
      <c r="C61">
        <v>8</v>
      </c>
      <c r="D61">
        <v>5.37992973433052</v>
      </c>
      <c r="E61">
        <v>3.0271500000000002</v>
      </c>
      <c r="F61">
        <v>6.957747249999999</v>
      </c>
      <c r="G61">
        <f>(H61/1.39135)*$K$5</f>
        <v>1.1908246802316453</v>
      </c>
      <c r="H61">
        <f>(F61*1.190654)*$L$5</f>
        <v>4.142134797100749</v>
      </c>
      <c r="I61">
        <v>23.426</v>
      </c>
      <c r="J61">
        <f>D61/(F61/3.362524)</f>
        <v>2.6</v>
      </c>
      <c r="K61">
        <f>G61/(H61/1.39135)</f>
        <v>0.4</v>
      </c>
      <c r="L61">
        <f>(H61/1.190654)/F61</f>
        <v>0.49999999999999994</v>
      </c>
    </row>
    <row r="62">
      <c r="B62">
        <v>57</v>
      </c>
      <c r="C62">
        <v>9</v>
      </c>
      <c r="D62">
        <v>5.37992973433052</v>
      </c>
      <c r="E62">
        <v>3.0271500000000002</v>
      </c>
      <c r="F62">
        <v>6.957747249999999</v>
      </c>
      <c r="G62">
        <f>(H62/1.39135)*$K$5</f>
        <v>1.1908246802316453</v>
      </c>
      <c r="H62">
        <f>(F62*1.190654)*$L$5</f>
        <v>4.142134797100749</v>
      </c>
      <c r="I62">
        <v>23.426</v>
      </c>
      <c r="J62">
        <f>D62/(F62/3.362524)</f>
        <v>2.6</v>
      </c>
      <c r="K62">
        <f>G62/(H62/1.39135)</f>
        <v>0.4</v>
      </c>
      <c r="L62">
        <f>(H62/1.190654)/F62</f>
        <v>0.49999999999999994</v>
      </c>
    </row>
    <row r="63">
      <c r="B63">
        <v>58</v>
      </c>
      <c r="C63">
        <v>9</v>
      </c>
      <c r="D63">
        <v>5.37992973433052</v>
      </c>
      <c r="E63">
        <v>3.0271500000000002</v>
      </c>
      <c r="F63">
        <v>6.957747249999999</v>
      </c>
      <c r="G63">
        <f>(H63/1.39135)*$K$5</f>
        <v>1.1908246802316453</v>
      </c>
      <c r="H63">
        <f>(F63*1.190654)*$L$5</f>
        <v>4.142134797100749</v>
      </c>
      <c r="I63">
        <v>23.426</v>
      </c>
      <c r="J63">
        <f>D63/(F63/3.362524)</f>
        <v>2.6</v>
      </c>
      <c r="K63">
        <f>G63/(H63/1.39135)</f>
        <v>0.4</v>
      </c>
      <c r="L63">
        <f>(H63/1.190654)/F63</f>
        <v>0.49999999999999994</v>
      </c>
    </row>
    <row r="64">
      <c r="B64">
        <v>59</v>
      </c>
      <c r="C64">
        <v>9</v>
      </c>
      <c r="D64">
        <v>5.37992973433052</v>
      </c>
      <c r="E64">
        <v>3.0271500000000002</v>
      </c>
      <c r="F64">
        <v>6.957747249999999</v>
      </c>
      <c r="G64">
        <f>(H64/1.39135)*$K$5</f>
        <v>1.1908246802316453</v>
      </c>
      <c r="H64">
        <f>(F64*1.190654)*$L$5</f>
        <v>4.142134797100749</v>
      </c>
      <c r="I64">
        <v>23.426</v>
      </c>
      <c r="J64">
        <f>D64/(F64/3.362524)</f>
        <v>2.6</v>
      </c>
      <c r="K64">
        <f>G64/(H64/1.39135)</f>
        <v>0.4</v>
      </c>
      <c r="L64">
        <f>(H64/1.190654)/F64</f>
        <v>0.49999999999999994</v>
      </c>
    </row>
    <row r="65">
      <c r="B65">
        <v>60</v>
      </c>
      <c r="C65">
        <v>9</v>
      </c>
      <c r="D65">
        <v>5.37992973433052</v>
      </c>
      <c r="E65">
        <v>3.0271500000000002</v>
      </c>
      <c r="F65">
        <v>6.957747249999999</v>
      </c>
      <c r="G65">
        <f>(H65/1.39135)*$K$5</f>
        <v>1.1908246802316453</v>
      </c>
      <c r="H65">
        <f>(F65*1.190654)*$L$5</f>
        <v>4.142134797100749</v>
      </c>
      <c r="I65">
        <v>23.426</v>
      </c>
      <c r="J65">
        <f>D65/(F65/3.362524)</f>
        <v>2.6</v>
      </c>
      <c r="K65">
        <f>G65/(H65/1.39135)</f>
        <v>0.4</v>
      </c>
      <c r="L65">
        <f>(H65/1.190654)/F65</f>
        <v>0.49999999999999994</v>
      </c>
    </row>
    <row r="66">
      <c r="B66">
        <v>61</v>
      </c>
      <c r="C66">
        <v>9</v>
      </c>
      <c r="D66">
        <v>5.37992973433052</v>
      </c>
      <c r="E66">
        <v>3.0271500000000002</v>
      </c>
      <c r="F66">
        <v>6.957747249999999</v>
      </c>
      <c r="G66">
        <f>(H66/1.39135)*$K$5</f>
        <v>1.1908246802316453</v>
      </c>
      <c r="H66">
        <f>(F66*1.190654)*$L$5</f>
        <v>4.142134797100749</v>
      </c>
      <c r="I66">
        <v>23.426</v>
      </c>
      <c r="J66">
        <f>D66/(F66/3.362524)</f>
        <v>2.6</v>
      </c>
      <c r="K66">
        <f>G66/(H66/1.39135)</f>
        <v>0.4</v>
      </c>
      <c r="L66">
        <f>(H66/1.190654)/F66</f>
        <v>0.49999999999999994</v>
      </c>
    </row>
    <row r="67">
      <c r="B67">
        <v>62</v>
      </c>
      <c r="C67">
        <v>9</v>
      </c>
      <c r="D67">
        <v>5.37992973433052</v>
      </c>
      <c r="E67">
        <v>3.0271500000000002</v>
      </c>
      <c r="F67">
        <v>6.957747249999999</v>
      </c>
      <c r="G67">
        <f>(H67/1.39135)*$K$5</f>
        <v>1.1908246802316453</v>
      </c>
      <c r="H67">
        <f>(F67*1.190654)*$L$5</f>
        <v>4.142134797100749</v>
      </c>
      <c r="I67">
        <v>23.426</v>
      </c>
      <c r="J67">
        <f>D67/(F67/3.362524)</f>
        <v>2.6</v>
      </c>
      <c r="K67">
        <f>G67/(H67/1.39135)</f>
        <v>0.4</v>
      </c>
      <c r="L67">
        <f>(H67/1.190654)/F67</f>
        <v>0.49999999999999994</v>
      </c>
    </row>
    <row r="68">
      <c r="B68">
        <v>63</v>
      </c>
      <c r="C68">
        <v>9</v>
      </c>
      <c r="D68">
        <v>5.37992973433052</v>
      </c>
      <c r="E68">
        <v>3.0271500000000002</v>
      </c>
      <c r="F68">
        <v>6.957747249999999</v>
      </c>
      <c r="G68">
        <f>(H68/1.39135)*$K$5</f>
        <v>1.1908246802316453</v>
      </c>
      <c r="H68">
        <f>(F68*1.190654)*$L$5</f>
        <v>4.142134797100749</v>
      </c>
      <c r="I68">
        <v>29.5372</v>
      </c>
      <c r="J68">
        <f>D68/(F68/3.362524)</f>
        <v>2.6</v>
      </c>
      <c r="K68">
        <f>G68/(H68/1.39135)</f>
        <v>0.4</v>
      </c>
      <c r="L68">
        <f>(H68/1.190654)/F68</f>
        <v>0.49999999999999994</v>
      </c>
    </row>
    <row r="69">
      <c r="B69">
        <v>64</v>
      </c>
      <c r="C69">
        <v>10</v>
      </c>
      <c r="D69">
        <v>4.345327862343882</v>
      </c>
      <c r="E69">
        <v>3.0271500000000002</v>
      </c>
      <c r="F69">
        <v>6.957747249999999</v>
      </c>
      <c r="G69">
        <f>(H69/1.39135)*$K$5</f>
        <v>1.1908246802316453</v>
      </c>
      <c r="H69">
        <f>(F69*1.190654)*$L$5</f>
        <v>4.142134797100749</v>
      </c>
      <c r="I69">
        <v>29.5372</v>
      </c>
      <c r="J69">
        <f>D69/(F69/3.362524)</f>
        <v>2.1000000000000005</v>
      </c>
      <c r="K69">
        <f>G69/(H69/1.39135)</f>
        <v>0.4</v>
      </c>
      <c r="L69">
        <f>(H69/1.190654)/F69</f>
        <v>0.49999999999999994</v>
      </c>
    </row>
    <row r="70">
      <c r="B70">
        <v>65</v>
      </c>
      <c r="C70">
        <v>10</v>
      </c>
      <c r="D70">
        <v>4.345327862343882</v>
      </c>
      <c r="E70">
        <v>3.0271500000000002</v>
      </c>
      <c r="F70">
        <v>6.957747249999999</v>
      </c>
      <c r="G70">
        <f>(H70/1.39135)*$K$5</f>
        <v>1.1908246802316453</v>
      </c>
      <c r="H70">
        <f>(F70*1.190654)*$L$5</f>
        <v>4.142134797100749</v>
      </c>
      <c r="I70">
        <v>29.5372</v>
      </c>
      <c r="J70">
        <f>D70/(F70/3.362524)</f>
        <v>2.1000000000000005</v>
      </c>
      <c r="K70">
        <f>G70/(H70/1.39135)</f>
        <v>0.4</v>
      </c>
      <c r="L70">
        <f>(H70/1.190654)/F70</f>
        <v>0.49999999999999994</v>
      </c>
    </row>
    <row r="71">
      <c r="B71">
        <v>66</v>
      </c>
      <c r="C71">
        <v>10</v>
      </c>
      <c r="D71">
        <v>4.345327862343882</v>
      </c>
      <c r="E71">
        <v>3.0271500000000002</v>
      </c>
      <c r="F71">
        <v>6.957747249999999</v>
      </c>
      <c r="G71">
        <f>(H71/1.39135)*$K$5</f>
        <v>1.1908246802316453</v>
      </c>
      <c r="H71">
        <f>(F71*1.190654)*$L$5</f>
        <v>4.142134797100749</v>
      </c>
      <c r="I71">
        <v>29.5372</v>
      </c>
      <c r="J71">
        <f>D71/(F71/3.362524)</f>
        <v>2.1000000000000005</v>
      </c>
      <c r="K71">
        <f>G71/(H71/1.39135)</f>
        <v>0.4</v>
      </c>
      <c r="L71">
        <f>(H71/1.190654)/F71</f>
        <v>0.49999999999999994</v>
      </c>
    </row>
    <row r="72">
      <c r="B72">
        <v>67</v>
      </c>
      <c r="C72">
        <v>10</v>
      </c>
      <c r="D72">
        <v>4.345327862343882</v>
      </c>
      <c r="E72">
        <v>3.0271500000000002</v>
      </c>
      <c r="F72">
        <v>6.957747249999999</v>
      </c>
      <c r="G72">
        <f>(H72/1.39135)*$K$5</f>
        <v>1.1908246802316453</v>
      </c>
      <c r="H72">
        <f>(F72*1.190654)*$L$5</f>
        <v>4.142134797100749</v>
      </c>
      <c r="I72">
        <v>29.5372</v>
      </c>
      <c r="J72">
        <f>D72/(F72/3.362524)</f>
        <v>2.1000000000000005</v>
      </c>
      <c r="K72">
        <f>G72/(H72/1.39135)</f>
        <v>0.4</v>
      </c>
      <c r="L72">
        <f>(H72/1.190654)/F72</f>
        <v>0.49999999999999994</v>
      </c>
    </row>
    <row r="73">
      <c r="B73">
        <v>68</v>
      </c>
      <c r="C73">
        <v>10</v>
      </c>
      <c r="D73">
        <v>4.345327862343882</v>
      </c>
      <c r="E73">
        <v>3.0271500000000002</v>
      </c>
      <c r="F73">
        <v>6.957747249999999</v>
      </c>
      <c r="G73">
        <f>(H73/1.39135)*$K$5</f>
        <v>1.1908246802316453</v>
      </c>
      <c r="H73">
        <f>(F73*1.190654)*$L$5</f>
        <v>4.142134797100749</v>
      </c>
      <c r="I73">
        <v>29.5372</v>
      </c>
      <c r="J73">
        <f>D73/(F73/3.362524)</f>
        <v>2.1000000000000005</v>
      </c>
      <c r="K73">
        <f>G73/(H73/1.39135)</f>
        <v>0.4</v>
      </c>
      <c r="L73">
        <f>(H73/1.190654)/F73</f>
        <v>0.49999999999999994</v>
      </c>
    </row>
    <row r="74">
      <c r="B74">
        <v>69</v>
      </c>
      <c r="C74">
        <v>10</v>
      </c>
      <c r="D74">
        <v>4.345327862343882</v>
      </c>
      <c r="E74">
        <v>3.0271500000000002</v>
      </c>
      <c r="F74">
        <v>6.957747249999999</v>
      </c>
      <c r="G74">
        <f>(H74/1.39135)*$K$5</f>
        <v>1.1908246802316453</v>
      </c>
      <c r="H74">
        <f>(F74*1.190654)*$L$5</f>
        <v>4.142134797100749</v>
      </c>
      <c r="I74">
        <v>29.5372</v>
      </c>
      <c r="J74">
        <f>D74/(F74/3.362524)</f>
        <v>2.1000000000000005</v>
      </c>
      <c r="K74">
        <f>G74/(H74/1.39135)</f>
        <v>0.4</v>
      </c>
      <c r="L74">
        <f>(H74/1.190654)/F74</f>
        <v>0.49999999999999994</v>
      </c>
    </row>
    <row r="75">
      <c r="B75">
        <v>70</v>
      </c>
      <c r="C75">
        <v>10</v>
      </c>
      <c r="D75">
        <v>4.345327862343882</v>
      </c>
      <c r="E75">
        <v>3.0271500000000002</v>
      </c>
      <c r="F75">
        <v>6.957747249999999</v>
      </c>
      <c r="G75">
        <f>(H75/1.39135)*$K$5</f>
        <v>1.1908246802316453</v>
      </c>
      <c r="H75">
        <f>(F75*1.190654)*$L$5</f>
        <v>4.142134797100749</v>
      </c>
      <c r="I75">
        <v>29.5372</v>
      </c>
      <c r="J75">
        <f>D75/(F75/3.362524)</f>
        <v>2.1000000000000005</v>
      </c>
      <c r="K75">
        <f>G75/(H75/1.39135)</f>
        <v>0.4</v>
      </c>
      <c r="L75">
        <f>(H75/1.190654)/F75</f>
        <v>0.49999999999999994</v>
      </c>
    </row>
    <row r="76">
      <c r="B76">
        <v>71</v>
      </c>
      <c r="C76">
        <v>11</v>
      </c>
      <c r="D76">
        <v>4.345327862343882</v>
      </c>
      <c r="E76">
        <v>3.0271500000000002</v>
      </c>
      <c r="F76">
        <v>6.957747249999999</v>
      </c>
      <c r="G76">
        <f>(H76/1.39135)*$K$5</f>
        <v>1.1908246802316453</v>
      </c>
      <c r="H76">
        <f>(F76*1.190654)*$L$5</f>
        <v>4.142134797100749</v>
      </c>
      <c r="I76">
        <v>29.5372</v>
      </c>
      <c r="J76">
        <f>D76/(F76/3.362524)</f>
        <v>2.1000000000000005</v>
      </c>
      <c r="K76">
        <f>G76/(H76/1.39135)</f>
        <v>0.4</v>
      </c>
      <c r="L76">
        <f>(H76/1.190654)/F76</f>
        <v>0.49999999999999994</v>
      </c>
    </row>
    <row r="77">
      <c r="B77">
        <v>72</v>
      </c>
      <c r="C77">
        <v>11</v>
      </c>
      <c r="D77">
        <v>4.345327862343882</v>
      </c>
      <c r="E77">
        <v>3.0271500000000002</v>
      </c>
      <c r="F77">
        <v>6.957747249999999</v>
      </c>
      <c r="G77">
        <f>(H77/1.39135)*$K$5</f>
        <v>1.1908246802316453</v>
      </c>
      <c r="H77">
        <f>(F77*1.190654)*$L$5</f>
        <v>4.142134797100749</v>
      </c>
      <c r="I77">
        <v>29.5372</v>
      </c>
      <c r="J77">
        <f>D77/(F77/3.362524)</f>
        <v>2.1000000000000005</v>
      </c>
      <c r="K77">
        <f>G77/(H77/1.39135)</f>
        <v>0.4</v>
      </c>
      <c r="L77">
        <f>(H77/1.190654)/F77</f>
        <v>0.49999999999999994</v>
      </c>
    </row>
    <row r="78">
      <c r="B78">
        <v>73</v>
      </c>
      <c r="C78">
        <v>11</v>
      </c>
      <c r="D78">
        <v>4.345327862343882</v>
      </c>
      <c r="E78">
        <v>3.0271500000000002</v>
      </c>
      <c r="F78">
        <v>6.957747249999999</v>
      </c>
      <c r="G78">
        <f>(H78/1.39135)*$K$5</f>
        <v>1.1908246802316453</v>
      </c>
      <c r="H78">
        <f>(F78*1.190654)*$L$5</f>
        <v>4.142134797100749</v>
      </c>
      <c r="I78">
        <v>29.5372</v>
      </c>
      <c r="J78">
        <f>D78/(F78/3.362524)</f>
        <v>2.1000000000000005</v>
      </c>
      <c r="K78">
        <f>G78/(H78/1.39135)</f>
        <v>0.4</v>
      </c>
      <c r="L78">
        <f>(H78/1.190654)/F78</f>
        <v>0.49999999999999994</v>
      </c>
    </row>
    <row r="79">
      <c r="B79">
        <v>74</v>
      </c>
      <c r="C79">
        <v>11</v>
      </c>
      <c r="D79">
        <v>4.345327862343882</v>
      </c>
      <c r="E79">
        <v>3.0271500000000002</v>
      </c>
      <c r="F79">
        <v>6.957747249999999</v>
      </c>
      <c r="G79">
        <f>(H79/1.39135)*$K$5</f>
        <v>1.1908246802316453</v>
      </c>
      <c r="H79">
        <f>(F79*1.190654)*$L$5</f>
        <v>4.142134797100749</v>
      </c>
      <c r="I79">
        <v>29.5372</v>
      </c>
      <c r="J79">
        <f>D79/(F79/3.362524)</f>
        <v>2.1000000000000005</v>
      </c>
      <c r="K79">
        <f>G79/(H79/1.39135)</f>
        <v>0.4</v>
      </c>
      <c r="L79">
        <f>(H79/1.190654)/F79</f>
        <v>0.49999999999999994</v>
      </c>
    </row>
    <row r="80">
      <c r="B80">
        <v>75</v>
      </c>
      <c r="C80">
        <v>11</v>
      </c>
      <c r="D80">
        <v>4.345327862343882</v>
      </c>
      <c r="E80">
        <v>3.0271500000000002</v>
      </c>
      <c r="F80">
        <v>6.957747249999999</v>
      </c>
      <c r="G80">
        <f>(H80/1.39135)*$K$5</f>
        <v>1.1908246802316453</v>
      </c>
      <c r="H80">
        <f>(F80*1.190654)*$L$5</f>
        <v>4.142134797100749</v>
      </c>
      <c r="I80">
        <v>29.5372</v>
      </c>
      <c r="J80">
        <f>D80/(F80/3.362524)</f>
        <v>2.1000000000000005</v>
      </c>
      <c r="K80">
        <f>G80/(H80/1.39135)</f>
        <v>0.4</v>
      </c>
      <c r="L80">
        <f>(H80/1.190654)/F80</f>
        <v>0.49999999999999994</v>
      </c>
    </row>
    <row r="81">
      <c r="B81">
        <v>76</v>
      </c>
      <c r="C81">
        <v>11</v>
      </c>
      <c r="D81">
        <v>4.345327862343882</v>
      </c>
      <c r="E81">
        <v>3.0271500000000002</v>
      </c>
      <c r="F81">
        <v>6.957747249999999</v>
      </c>
      <c r="G81">
        <f>(H81/1.39135)*$K$5</f>
        <v>1.1908246802316453</v>
      </c>
      <c r="H81">
        <f>(F81*1.190654)*$L$5</f>
        <v>4.142134797100749</v>
      </c>
      <c r="I81">
        <v>29.5372</v>
      </c>
      <c r="J81">
        <f>D81/(F81/3.362524)</f>
        <v>2.1000000000000005</v>
      </c>
      <c r="K81">
        <f>G81/(H81/1.39135)</f>
        <v>0.4</v>
      </c>
      <c r="L81">
        <f>(H81/1.190654)/F81</f>
        <v>0.49999999999999994</v>
      </c>
    </row>
    <row r="82">
      <c r="B82">
        <v>77</v>
      </c>
      <c r="C82">
        <v>11</v>
      </c>
      <c r="D82">
        <v>4.345327862343882</v>
      </c>
      <c r="E82">
        <v>3.0271500000000002</v>
      </c>
      <c r="F82">
        <v>6.957747249999999</v>
      </c>
      <c r="G82">
        <f>(H82/1.39135)*$K$5</f>
        <v>1.1908246802316453</v>
      </c>
      <c r="H82">
        <f>(F82*1.190654)*$L$5</f>
        <v>4.142134797100749</v>
      </c>
      <c r="I82">
        <v>29.5372</v>
      </c>
      <c r="J82">
        <f>D82/(F82/3.362524)</f>
        <v>2.1000000000000005</v>
      </c>
      <c r="K82">
        <f>G82/(H82/1.39135)</f>
        <v>0.4</v>
      </c>
      <c r="L82">
        <f>(H82/1.190654)/F82</f>
        <v>0.49999999999999994</v>
      </c>
    </row>
    <row r="83">
      <c r="D83">
        <f>SUM(D6:D82)</f>
        <v>502.46480368134723</v>
      </c>
      <c r="E83">
        <f>SUM(E6:E82)</f>
        <v>199.76586651000028</v>
      </c>
      <c r="F83">
        <f>SUM(F6:F82)</f>
        <v>519.0694915892502</v>
      </c>
      <c r="G83">
        <f>SUM(G6:G82)</f>
        <v>88.83920888902233</v>
      </c>
      <c r="H83">
        <f>SUM(H6:H82)</f>
        <v>309.01608321935345</v>
      </c>
      <c r="I83">
        <f>SUM(I6:I82)</f>
        <v>1352.5974000000006</v>
      </c>
    </row>
    <row r="84">
      <c r="B84" t="str">
        <v>Florida</v>
      </c>
      <c r="D84">
        <v>498</v>
      </c>
      <c r="F84">
        <v>300</v>
      </c>
    </row>
  </sheetData>
  <mergeCells count="4">
    <mergeCell ref="A2:M2"/>
    <mergeCell ref="A3:M3"/>
    <mergeCell ref="H1:M1"/>
    <mergeCell ref="A5:C5"/>
  </mergeCells>
  <pageMargins left="0.75" right="0.75" top="1" bottom="1" header="0.5" footer="0.5"/>
  <ignoredErrors>
    <ignoredError numberStoredAsText="1" sqref="A1:T84"/>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4">
      <c r="A54" t="str">
        <v>Globafol</v>
      </c>
      <c r="B54">
        <v>6</v>
      </c>
      <c r="C54">
        <v>200</v>
      </c>
      <c r="D54" t="str">
        <v>Lts</v>
      </c>
      <c r="F54" t="str">
        <v>Globafol es de 5 a 15 Litros por Hectarea</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240</v>
      </c>
      <c r="C111">
        <v>1.58333</v>
      </c>
      <c r="D111" t="str">
        <v>g</v>
      </c>
    </row>
    <row r="116">
      <c r="A116" t="str">
        <v>PROTECTANTE INSECTOS SUELO</v>
      </c>
      <c r="B116" t="str">
        <v>Dosis por Hectárea</v>
      </c>
      <c r="C116" t="str">
        <v>Precio</v>
      </c>
      <c r="D116" t="str">
        <v>Unidades</v>
      </c>
    </row>
    <row r="117">
      <c r="A117" t="str">
        <v>BaZam</v>
      </c>
      <c r="B117">
        <v>240</v>
      </c>
      <c r="C117">
        <v>1.583333</v>
      </c>
      <c r="D117" t="str">
        <v>g</v>
      </c>
    </row>
    <row r="118">
      <c r="A118" t="str">
        <v>MetaZam</v>
      </c>
      <c r="B118">
        <v>240</v>
      </c>
      <c r="C118">
        <v>1.583333</v>
      </c>
      <c r="D118" t="str">
        <v>g</v>
      </c>
    </row>
    <row r="119">
      <c r="A119" t="str">
        <v>PaZam</v>
      </c>
      <c r="B119">
        <v>240</v>
      </c>
      <c r="C119">
        <v>1.583333</v>
      </c>
      <c r="D119" t="str">
        <v>g</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2009-05-23T22:46:54Z</dcterms:modified>
  <cp:lastModifiedBy>Ricardo Lardizabal</cp:lastModifiedBy>
  <cp:lastPrinted>2009-05-23T22:45:07Z</cp:lastPrinted>
  <dc:creator>Ricardo Lardizabal</dc:creator>
  <dc:subject>Chile Jalapeno</dc:subject>
  <dc:title>Fertilization Programs</dc:title>
</cp:coreProperties>
</file>