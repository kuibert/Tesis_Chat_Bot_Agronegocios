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con Preventivos" sheetId="2" r:id="rId2"/>
    <sheet name="Cal-Diario" sheetId="3" r:id="rId3"/>
    <sheet name="3 Por Sem" sheetId="4" r:id="rId4"/>
    <sheet name="2 Por Sem con Preventivos" sheetId="5" r:id="rId5"/>
    <sheet name="2 Por Sem" sheetId="6" r:id="rId6"/>
    <sheet name="1 Por Sem" sheetId="7" r:id="rId7"/>
    <sheet name="14 Dias" sheetId="8" r:id="rId8"/>
    <sheet name="ReDiarioFert" sheetId="9" r:id="rId9"/>
    <sheet name="Req. Diario" sheetId="10" r:id="rId10"/>
    <sheet name="Fertilizantes" sheetId="11" r:id="rId11"/>
  </sheets>
  <definedNames>
    <definedName name="_xlnm._FilterDatabase" localSheetId="4">'2 Por Sem con Preventivos'!E16:F59</definedName>
    <definedName name="_xlnm._FilterDatabase" localSheetId="0">Main!$H$80</definedName>
    <definedName name="Activadorresge">Fertilizantes!$A$86:$A$88</definedName>
    <definedName name="Activadorresoom">Fertilizantes!$A$91:$A$100</definedName>
    <definedName name="_xlnm.Print_Area" localSheetId="6">'1 Por Sem'!$A$1:$S$52</definedName>
    <definedName name="_xlnm.Print_Area" localSheetId="7">'14 Dias'!$A$1:$T$42</definedName>
    <definedName name="_xlnm.Print_Area" localSheetId="5">'2 Por Sem'!$A$1:$S$75</definedName>
    <definedName name="_xlnm.Print_Area" localSheetId="4">'2 Por Sem con Preventivos'!$A$1:$S$75</definedName>
    <definedName name="_xlnm.Print_Area" localSheetId="3">'3 Por Sem'!$A$1:$S$97</definedName>
    <definedName name="_xlnm.Print_Area" localSheetId="2">'Cal-Diario'!$A$1:$S$186</definedName>
    <definedName name="_xlnm.Print_Area" localSheetId="1">'Cal-Diario con Preventivos'!$A$1:$S$186</definedName>
    <definedName name="_xlnm.Print_Area" localSheetId="0">Main!$A$1:$M$114</definedName>
    <definedName name="Baselist">Base!$A$3:$E$250</definedName>
    <definedName name="Boro">Fertilizantes!$A$42:$A$47</definedName>
    <definedName name="Calcio">Fertilizantes!$A$36:$A$40</definedName>
    <definedName name="Fertilizante1">Fertilizantes!$A$3:$J$56</definedName>
    <definedName name="Fertilizante2">Fertilizantes!$A$3:$M$47</definedName>
    <definedName name="Fosforo">Fertilizantes!$A$3:$A$10</definedName>
    <definedName name="Insecticidaspostransplante">Fertilizantes!$A$58:$A$65</definedName>
    <definedName name="Insectsuelo">Fertilizantes!$A$68:$A$74</definedName>
    <definedName name="Magnecio">Fertilizantes!$A$28:$A$34</definedName>
    <definedName name="Materiaorg">Fertilizantes!$A$51:$A$55</definedName>
    <definedName name="Materiaprima" localSheetId="10">#REF!</definedName>
    <definedName name="materiaprima">Main!$D$31</definedName>
    <definedName name="MateriaPrima1" localSheetId="10">#REF!</definedName>
    <definedName name="Nitrogeno">Fertilizantes!$A$12:$A$17</definedName>
    <definedName name="Potacio">Fertilizantes!$A$19:$A$26</definedName>
    <definedName name="Prevencionvirus">Fertilizantes!$A$77:$A$83</definedName>
    <definedName name="Preventivos">Fertilizantes!$A$49:$A$121</definedName>
    <definedName name="Proinssue">Fertilizantes!$A$117:$A$121</definedName>
    <definedName name="Protecinssue">Fertilizantes!$A$117:$E$121</definedName>
    <definedName name="Protecinssue1">Fertilizantes!$A$117:$E$121</definedName>
    <definedName name="_xlnm.Print_Titles" localSheetId="6">'1 Por Sem'!$1:$15</definedName>
    <definedName name="_xlnm.Print_Titles" localSheetId="5">'2 Por Sem'!$1:$15</definedName>
    <definedName name="_xlnm.Print_Titles" localSheetId="4">'2 Por Sem con Preventivos'!$1:$15</definedName>
    <definedName name="_xlnm.Print_Titles" localSheetId="3">'3 Por Sem'!$1:$15</definedName>
    <definedName name="_xlnm.Print_Titles" localSheetId="2">'Cal-Diario'!$1:$17</definedName>
    <definedName name="_xlnm.Print_Titles" localSheetId="1">'Cal-Diario con Preventivos'!$1:$17</definedName>
    <definedName name="_xlnm.Print_Titles" localSheetId="9">'Req. Diario'!$1:$5</definedName>
    <definedName name="Tricoderma">Fertilizantes!$A$110:$A$114</definedName>
  </definedNames>
</workbook>
</file>

<file path=xl/comments1.xml><?xml version="1.0" encoding="utf-8"?>
<comments xmlns="http://schemas.openxmlformats.org/spreadsheetml/2006/main">
  <authors>
    <author>Andy Medlicot</author>
    <author>Ricardo Lardizabal</author>
    <author>LFINTRAC4</author>
    <author>RACA</author>
  </authors>
  <commentList>
    <comment ref="E21" authorId="0">
      <text>
        <t>Nombre de Cultivo</t>
      </text>
    </comment>
    <comment ref="G21" authorId="0">
      <text>
        <t>Variedad</t>
      </text>
    </comment>
    <comment ref="E22" authorId="1">
      <text>
        <t xml:space="preserve">Ricardo Lardizabal:
La Manzana es de 7,000 mts2_x0000_Z_x0000_b_x0000__x000c__x0000__x0013__x0000_[_x0000__x0002__x0000__x000c__x0000__x0014__x0000_=_x0000_ï_x0000__x0018__x0000_._x0000_\_x0000__x0007__x0000__x001b__x0000_/_x0000__x0004__x0000_LB_x0010__x0000_</t>
      </text>
    </comment>
    <comment ref="E23" authorId="2">
      <text>
        <t xml:space="preserve">Mes/Día/Año
</t>
      </text>
    </comment>
    <comment ref="E25" authorId="3">
      <text>
        <t xml:space="preserve">RACA:
Tienen que cambiar manualmente este dato de moneda local</t>
      </text>
    </comment>
    <comment ref="D32" authorId="3">
      <text>
        <t xml:space="preserve">RACA:
En esta ventana cambiar por el fertilizante que deseamos usar. La ultima Pagina de fertilizantes tiene para actualizar el precio de su zona y agregar los que no estén en el listado</t>
      </text>
    </comment>
    <comment ref="D37" authorId="3">
      <text>
        <t xml:space="preserve">RACA:
En esta ventana cambiar por el fertilizante que deseamos usar. La ultima Pagina de fertilizantes tiene para actualizar el precio de su zona y agregar los que no estén en el listado</t>
      </text>
    </comment>
    <comment ref="D42" authorId="3">
      <text>
        <t xml:space="preserve">RACA:
En esta ventana cambiar por el fertilizante que deseamos usar. La ultima Pagina de fertilizantes tiene para actualizar el precio de su zona y agregar los que no estén en el listado</t>
      </text>
    </comment>
    <comment ref="D47" authorId="3">
      <text>
        <t xml:space="preserve">RACA:
En esta ventana cambiar por el fertilizante que deseamos usar. La ultima Pagina de fertilizantes tiene para actualizar el precio de su zona y agregar los que no estén en el listado</t>
      </text>
    </comment>
    <comment ref="D52" authorId="3">
      <text>
        <t xml:space="preserve">RACA:
En esta ventana cambiar por el fertilizante que deseamos usar. La ultima Pagina de fertilizantes tiene para actualizar el precio de su zona y agregar los que no estén en el listado</t>
      </text>
    </comment>
    <comment ref="D57" authorId="3">
      <text>
        <t xml:space="preserve">RACA:
En esta ventana cambiar por el fertilizante que deseamos usar. La ultima Pagina de fertilizantes tiene para actualizar el precio de su zona y agregar los que no estén en el listado</t>
      </text>
    </comment>
    <comment ref="D61" authorId="3">
      <text>
        <t xml:space="preserve">RACA:
En esta ventana cambiar por el fertilizante que deseamos usar. La ultima Pagina de fertilizantes tiene para actualizar el precio de su zona y agregar los que no estén en el listado</t>
      </text>
    </comment>
    <comment ref="C81"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t>
      </text>
    </comment>
    <comment ref="C82"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 ref="C83"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 ref="C84"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 ref="C85"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 ref="C86"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hectárea._x0000_)_x0000_b_x0000__x000c__x0000__x0013__x0000_(_x0000__x0002__x0000__x000c__x0000__x0014__x0000_&gt;_x0000_Î_x0003__x0018__x0000_v_x0000_X_x0000__x0008__x0000__x001b__x0000_w_x0000_&gt;_x0000_å_x0005__x0018__x0000__x0011__x0001_î_x0000_\(¤_x0000_</t>
      </text>
    </comment>
    <comment ref="C87" authorId="1">
      <text>
        <t xml:space="preserve">Ricardo Lardizabal:
Los químicos siempre usar adherente.
Si usa Break Thru usar 100 ml por cada hora de riego. (22 Mts3 de agua de riego)
Si es adherente normal usar 700 ml por cada hora de riego. 
Cuando es Biológicos se usa melaza a una dosis de 20 a 25 Lts por hectárea.</t>
      </text>
    </comment>
  </commentList>
</comments>
</file>

<file path=xl/comments2.xml><?xml version="1.0" encoding="utf-8"?>
<comments xmlns="http://schemas.openxmlformats.org/spreadsheetml/2006/main">
  <authors>
    <author>RACA</author>
  </authors>
  <commentList>
    <comment ref="O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3.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4.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5.xml><?xml version="1.0" encoding="utf-8"?>
<comments xmlns="http://schemas.openxmlformats.org/spreadsheetml/2006/main">
  <authors>
    <author>RACA</author>
  </authors>
  <commentList>
    <comment ref="O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6.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7.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8.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10.xml><?xml version="1.0" encoding="utf-8"?>
<comments xmlns="http://schemas.openxmlformats.org/spreadsheetml/2006/main">
  <authors>
    <author>Ricardo Lardizabal</author>
    <author>RACA</author>
  </authors>
  <commentList>
    <comment ref="A4" authorId="0">
      <text>
        <t xml:space="preserve">Ricardo Lardizabal:
Fase si es vegetativa o Generativa</t>
      </text>
    </comment>
    <comment ref="J4" authorId="1">
      <text>
        <t xml:space="preserve">RACA:
La relación de Nitrógeno-Potasio es la relación mas importante ya que es la que controla el tipo de crecimiento y la dureza de la planta a situaciones adversas. Revise la relación ideal de cada cultivo ya que son específicos. (entre paréntesis es la relación N/K para campo abierto en mMol no es para invernadero)
Cultivo                                         Relación N:K
Apio Veg       2.2 a 1.8 (6/2.4)
Apio Prod      1.7 a 1.4 (5/2.9)
Brócoli, Coliflor y Repollo Veg   2.8 a 2.3 (4.4/1.85)
Brócoli, Coliflor y Repollo Prod  1.9 a 1.5 (4/2.4)
Berenjena Veg     3.2 a 2.7 (8/2.75)
Berenjena Gen     2.2 a 1.8 (6/3)
Camote Veg Hasta 28 DDS                    3.0 a 2.6 (5.6/2)
Camote Veg de 29 DDS Hasta 70 DDS    2.0 a 1.6 (4.8/2.8)
Camote Prod de 71 DDS Hasta Cosecha  1.5 a 1.1 (4.4/3.5)
Cebolla Veg Hasta 65 DDS             2.7 a 2.2 (5.9/2.1)
Cebolla Prod de 66 hasta cosecha  1.8 a 1.4 (4.8/2.8)
Chile Veg       3.1 a 2.7 (6/2.1)
Chile Prod     2.4 a 1.9 (5.5/2.5)
Chive     2.0 a 1.7 (3.6/2)
Clavel      2.1 a 1.7 (13.5/7)
Crisantemo Veg                       2.3 a 2.0 (7/3.5)
Crisantemo salida Botón floral  1.6 a 1.9 (7/3.9)
Forestales vivero    3.8 a 4.5 (4/1)
Fresa Veg                   2.2 a 1.9 (7.5/3)
Fresa Fruta mediana    1.8 a 1.6 (7.2/4.2)
Frijol Seco Veg            4.4 a 3.6
Frijol Seco Agujerando   2.8 a 2.3
Gerbera     2.4 a 2.0
Ginger y Heliconias en producción  2.5 a 2.1
Grama      3.0 a 2.6
Helecho Hoja de cuero   3.0 a 2.7
Lechuga Veg (0 a 30 DDT)   2.2 a 2.0
Lechuga Cabeza                1.9 a 1.6
Maíz Dulce hasta 21 DDT                  3.1 a 2.7
Maíz Dulce de 22 DDT hasta cosecha 1.9 a 1.6
Okra      3.0 a 2.7
Papa Veg (0 a 45 DDS)             2.5 a 2.1
Papa Prod (46 DDS a cosecha)  1.5 a 1.1
Papaya Veg (0 a 5 meses DDS)                 3.0 a 2.7
Papaya Floración a cosecha (5 a 8 M DDS) 1.9 a 1.6
Papaya cosecha    1.6 a 1.3
Pepino Veg           3.1 a 2.7
Pepino Cosecha    2.4 a 2.1
Piña Veg                          2.6 a 2.2
Piña Floración a Cosecha   1.6 a 1.2
Plátano Veg (0 a 5 meses)                 3.2 a 2.8
Plátano Formación Fruto (5 a 8 M)      2.0 a 1.7
Plátano Engorde Fruta (8 a Cosecha)  1.5 a 1.2
Tabaco      3.0 a 1.7
Tomate Proceso 0 a 45 DDT     2.2 a 1.9 (9/4.5)
Tomate Proceso 46 a 65 DDT   1.9 a 1.7 (10/5)
Tomate Proceso 66 a 80 DDT   1.6 a 1.4 (8.4/5.6)
Tomate Proceso 81 DDT hasta final  1.5 a 1.3 (7/5)
Tomate Mesa 0 a 45 DDT            2.4 a 2.0 (9.9/4.5)
Tomate Mesa 46 a 65 DDT          1.9 a 1.7 (9.9/4.8)
Tomate Mesa 66 a 80 DDT          1.6 a 1.4 (8.4/5)
Tomate Mesa 81 DDT hasta final  1.7 a 1.5 (8.4/5.6)
Sandia Hasta 1.5 mts de guía (0-18 DDS) 3.0 a 2.7
Sandia Cuaje de fruta (19 a 30 DDS)       1.8 a 1.6
Sandia Engorde (31 a 45 DDS)                2.8 a 2.5
Sandia Llenado (46 a 50 DDS)                 2.6 a 2.4
Sandia Subir Brix (51 a 60 DDS)              1.6 a 1.3
Zanahoria Veg                                           3.0 a 2.6
Zanahoria últimos 21 a 30 antes de cosecha 1.5 a 1.1
Zucchini Veg     3.0 a 2.6
Zucchini prod     2.4 a 2.0</t>
      </text>
    </comment>
    <comment ref="K4" authorId="1">
      <text>
        <t xml:space="preserve">RACA:
La relación correcta del Magnesio es la mitad del Calcio que se aplica. Si tienen el análisis del agua de riego y esta contiene Calcio eso cuenta como nutriente de calcio y esta completamente disponible para la planta.</t>
      </text>
    </comment>
    <comment ref="L4" authorId="1">
      <text>
        <t xml:space="preserve">RACA:
La relación Calcio-Potasio es 1 a 1  de manera ideal. Para niveles no tan altos de producción usamos menos ya que el costo de este elemento (Calcio) es caro. Pero si desea modifique la columna de Calcio en el requerimiento diario hasta que llegue 1 a 1 pero ojo que no se pase de Nitrógeno ya que afecta la relación Nitrógeno-Potasio y esta relación es la mas importante (la relación Nitrógeno-Potasio). Así que suba el Calcio hasta donde lo permita el total de Nitrógeno, si puede consiga Cloruro de Calcio que así no aporta Nitrógeno pero cuidado también si usa el Cloruro de Calcio no puede usar el Kcl soluble y solo de puede usar en zonas donde hay mas de 800 mm de lluvia al año. Bajo ningún punto en invernadero.</t>
      </text>
    </comment>
    <comment ref="D5" authorId="0">
      <text>
        <t xml:space="preserve">Ricardo Lardizabal:
Los Anión Nitrato y Catión Amonio</t>
      </text>
    </comment>
    <comment ref="E5" authorId="0">
      <text>
        <t xml:space="preserve">Ricardo Lardizabal:
El Catión Fosfato es el que mas se absorbe y en mucho menos grado el anión.</t>
      </text>
    </comment>
    <comment ref="F5" authorId="0">
      <text>
        <t xml:space="preserve">Ricardo Lardizabal:
El potasio se absorbe como catión K</t>
      </text>
    </comment>
    <comment ref="G5" authorId="0">
      <text>
        <t xml:space="preserve">Ricardo Lardizabal:
El magnesio se absorbe como catión Mg</t>
      </text>
    </comment>
    <comment ref="H5" authorId="0">
      <text>
        <t xml:space="preserve">Ricardo Lardizabal:
El calcio se absorbe como catión Ca</t>
      </text>
    </comment>
    <comment ref="I5" authorId="0">
      <text>
        <t xml:space="preserve">Ricardo Lardizabal:
El Boro en la planta se absorbe como Ácido Bórico</t>
      </text>
    </comment>
    <comment ref="K5" authorId="0">
      <text>
        <t xml:space="preserve">Ricardo Lardizabal:
Introduzca en este cuadro la relación que desee mantener entre el Mg y Ca. Lo ideal es de 0.25 al 0.5 de magnesio al calcio.</t>
      </text>
    </comment>
    <comment ref="L5" authorId="0">
      <text>
        <t xml:space="preserve">Ricardo Lardizabal:
Introduzca en este cuadro la relación que desee mantener entre el Ca y K. Lo ideal es de 0.5 al 1 de Calcio al Potasio.</t>
      </text>
    </comment>
  </commentList>
</comments>
</file>

<file path=xl/comments11.xml><?xml version="1.0" encoding="utf-8"?>
<comments xmlns="http://schemas.openxmlformats.org/spreadsheetml/2006/main">
  <authors>
    <author>RACA</author>
  </authors>
  <commentList>
    <comment ref="C3" authorId="0">
      <text>
        <t xml:space="preserve">RACA:
Actualizar precio de acuerdo a su zona.
Cuando es liquido ponga el precio de 46 litros de producto. Para los sólidos es el precio de 46 kilos o 100 Lbs</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
Cuando es liquido ponga el precio de 46 litros de producto. Para los sólidos es el precio de 46 kilos o 100 Lbs</t>
      </text>
    </comment>
    <comment ref="K4" authorId="0">
      <text>
        <t xml:space="preserve">RACA:
Ver explicación en la columna lateral. Se debe de poner la unidad en que se va trabajar si es litro, libra, kilo, gramo, etc.</t>
      </text>
    </comment>
    <comment ref="C5" authorId="0">
      <text>
        <t xml:space="preserve">RACA:
Actualizar precio de acuerdo a su zona.
Cuando es liquido ponga el precio de 46 litros de producto. Para los sólidos es el precio de 46 kilos o 100 Lbs</t>
      </text>
    </comment>
    <comment ref="C6" authorId="0">
      <text>
        <t xml:space="preserve">RACA:
Actualizar precio de acuerdo a su zona.
Cuando es liquido ponga el precio de 46 litros de producto. Para los sólidos es el precio de 46 kilos o 100 Lbs</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
Cuando es liquido ponga el precio de 46 litros de producto. Para los sólidos es el precio de 46 kilos o 100 Lbs</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
Cuando es liquido ponga el precio de 46 litros de producto. Para los sólidos es el precio de 46 kilos o 100 Lbs</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
Cuando es liquido ponga el precio de 46 litros de producto. Para los sólidos es el precio de 46 kilos o 100 Lbs</t>
      </text>
    </comment>
    <comment ref="C10" authorId="0">
      <text>
        <t xml:space="preserve">RACA:
Actualizar precio de acuerdo a su zona.
Cuando es liquido ponga el precio de 46 litros de producto. Para los sólidos es el precio de 46 kilos o 100 Lbs</t>
      </text>
    </comment>
    <comment ref="K10" authorId="0">
      <text>
        <t xml:space="preserve">RACA:
Ver explicación en la columna lateral. Se debe de poner la unidad en que se va trabajar si es litro, libra, kilo, gramo, etc.</t>
      </text>
    </comment>
    <comment ref="C12" authorId="0">
      <text>
        <t xml:space="preserve">RACA:
Actualizar precio de acuerdo a su zona.
Cuando es liquido ponga el precio de 46 litros de producto. Para los sólidos es el precio de 46 kilos o 100 Lbs</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
Cuando es liquido ponga el precio de 46 litros de producto. Para los sólidos es el precio de 46 kilos o 100 Lbs</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
Cuando es liquido ponga el precio de 46 litros de producto. Para los sólidos es el precio de 46 kilos o 100 Lbs</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
Cuando es liquido ponga el precio de 46 litros de producto. Para los sólidos es el precio de 46 kilos o 100 Lbs</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
Cuando es liquido ponga el precio de 46 litros de producto. Para los sólidos es el precio de 46 kilos o 100 Lbs</t>
      </text>
    </comment>
    <comment ref="K16" authorId="0">
      <text>
        <t xml:space="preserve">RACA:
Ver explicación en la columna lateral. Se debe de poner la unidad en que se va trabajar si es litro, libra, kilo, gramo, etc.</t>
      </text>
    </comment>
    <comment ref="C17" authorId="0">
      <text>
        <t xml:space="preserve">RACA:
Actualizar precio de acuerdo a su zona.
Cuando es liquido ponga el precio de 46 litros de producto. Para los sólidos es el precio de 46 kilos o 100 Lbs</t>
      </text>
    </comment>
    <comment ref="K17" authorId="0">
      <text>
        <t xml:space="preserve">RACA:
Ver explicación en la columna lateral. Se debe de poner la unidad en que se va trabajar si es litro, libra, kilo, gramo, etc.</t>
      </text>
    </comment>
    <comment ref="C19" authorId="0">
      <text>
        <t xml:space="preserve">RACA:
Actualizar precio de acuerdo a su zona.
Cuando es liquido ponga el precio de 46 litros de producto. Para los sólidos es el precio de 46 kilos o 100 Lbs</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
Cuando es liquido ponga el precio de 46 litros de producto. Para los sólidos es el precio de 46 kilos o 100 Lbs</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
Cuando es liquido ponga el precio de 46 litros de producto. Para los sólidos es el precio de 46 kilos o 100 Lbs</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
Cuando es liquido ponga el precio de 46 litros de producto. Para los sólidos es el precio de 46 kilos o 100 Lbs</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3" authorId="0">
      <text>
        <t xml:space="preserve">RACA:
Ver explicación en la columna lateral. Se debe de poner la unidad en que se va trabajar si es litro, libra, kilo, gramo, etc.</t>
      </text>
    </comment>
    <comment ref="C2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5"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6" authorId="0">
      <text>
        <t xml:space="preserve">RACA:
Ver explicación en la columna lateral. Se debe de poner la unidad en que se va trabajar si es litro, libra, kilo, gramo, etc.</t>
      </text>
    </comment>
    <comment ref="C2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9" authorId="0">
      <text>
        <t xml:space="preserve">RACA:
Ver explicación en la columna lateral. Se debe de poner la unidad en que se va trabajar si es litro, libra, kilo, gramo, etc.</t>
      </text>
    </comment>
    <comment ref="C30"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0" authorId="0">
      <text>
        <t xml:space="preserve">RACA:
Ver explicación en la columna lateral. Se debe de poner la unidad en que se va trabajar si es litro, libra, kilo, gramo, etc.</t>
      </text>
    </comment>
    <comment ref="C31"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2"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4" authorId="0">
      <text>
        <t xml:space="preserve">RACA:
Ver explicación en la columna lateral. Se debe de poner la unidad en que se va trabajar si es litro, libra, kilo, gramo, etc.</t>
      </text>
    </comment>
    <comment ref="C3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6" authorId="0">
      <text>
        <t xml:space="preserve">RACA:
Ver explicación en la columna lateral. Se debe de poner la unidad en que se va trabajar si es litro, libra, kilo, gramo, etc.</t>
      </text>
    </comment>
    <comment ref="C37"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7" authorId="0">
      <text>
        <t xml:space="preserve">RACA:
Ver explicación en la columna lateral. Se debe de poner la unidad en que se va trabajar si es litro, libra, kilo, gramo, etc.</t>
      </text>
    </comment>
    <comment ref="C3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9" authorId="0">
      <text>
        <t xml:space="preserve">RACA:
Ver explicación en la columna lateral. Se debe de poner la unidad en que se va trabajar si es litro, libra, kilo, gramo, etc.</t>
      </text>
    </comment>
    <comment ref="C40" authorId="0">
      <text>
        <t xml:space="preserve">RACA:
Actualizar precio de acuerdo a su zona.
Cuando es liquido ponga el precio de 46 litros de producto. Para los sólidos es el precio de 46 kilos o 100 Lbs</t>
      </text>
    </comment>
    <comment ref="K40" authorId="0">
      <text>
        <t xml:space="preserve">RACA:
Ver explicación en la columna lateral. Se debe de poner la unidad en que se va trabajar si es litro, libra, kilo, gramo, etc.</t>
      </text>
    </comment>
    <comment ref="C42" authorId="0">
      <text>
        <t xml:space="preserve">RACA:
Actualizar precio de acuerdo a su zona.
Estos fertilizantes el precio es por gramo y si es liquido por mililitro.</t>
      </text>
    </comment>
    <comment ref="K42" authorId="0">
      <text>
        <t xml:space="preserve">RACA:
Ver explicación en la columna lateral. Se debe de poner la unidad en que se va trabajar si es litro, libra, kilo, gramo, etc.</t>
      </text>
    </comment>
    <comment ref="C43" authorId="0">
      <text>
        <t xml:space="preserve">RACA:
Actualizar precio de acuerdo a su zona.
Estos fertilizantes el precio es por gramo y si es liquido por mililitro.</t>
      </text>
    </comment>
    <comment ref="K43" authorId="0">
      <text>
        <t xml:space="preserve">RACA:
Ver explicación en la columna lateral. Se debe de poner la unidad en que se va trabajar si es litro, libra, kilo, gramo, etc.</t>
      </text>
    </comment>
    <comment ref="C44" authorId="0">
      <text>
        <t xml:space="preserve">RACA:
Actualizar precio de acuerdo a su zona.
Estos fertilizantes el precio es por gramo y si es liquido por mililitro.</t>
      </text>
    </comment>
    <comment ref="K44" authorId="0">
      <text>
        <t xml:space="preserve">RACA:
Ver explicación en la columna lateral. Se debe de poner la unidad en que se va trabajar si es litro, libra, kilo, gramo, etc.</t>
      </text>
    </comment>
    <comment ref="C45" authorId="0">
      <text>
        <t xml:space="preserve">RACA:
Actualizar precio de acuerdo a su zona.
Estos fertilizantes el precio es por gramo y si es liquido por mililitro.</t>
      </text>
    </comment>
    <comment ref="K45" authorId="0">
      <text>
        <t xml:space="preserve">RACA:
Ver explicación en la columna lateral. Se debe de poner la unidad en que se va trabajar si es litro, libra, kilo, gramo, etc.</t>
      </text>
    </comment>
    <comment ref="C46" authorId="0">
      <text>
        <t xml:space="preserve">RACA:
Actualizar precio de acuerdo a su zona.
Estos fertilizantes el precio es por gramo y si es liquido por mililitro.</t>
      </text>
    </comment>
    <comment ref="K46" authorId="0">
      <text>
        <t xml:space="preserve">RACA:
Ver explicación en la columna lateral. Se debe de poner la unidad en que se va trabajar si es litro, libra, kilo, gramo, etc.</t>
      </text>
    </comment>
    <comment ref="C47" authorId="0">
      <text>
        <t xml:space="preserve">RACA:
Actualizar precio de acuerdo a su zona.
Estos fertilizantes el precio es por gramo y si es liquido por mililitro.</t>
      </text>
    </comment>
    <comment ref="K47"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4">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0\ &quot;$&quot;;\-#,##0\ &quot;$&quot;"/>
    <numFmt numFmtId="165" formatCode="#,##0\ &quot;$&quot;;[Red]\-#,##0\ &quot;$&quot;"/>
    <numFmt numFmtId="166" formatCode="#,##0.00\ &quot;$&quot;;\-#,##0.00\ &quot;$&quot;"/>
    <numFmt numFmtId="167" formatCode="#,##0.00\ &quot;$&quot;;[Red]\-#,##0.0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quot;Q&quot;#,##0_);\(&quot;Q&quot;#,##0\)"/>
    <numFmt numFmtId="173" formatCode="&quot;Q&quot;#,##0_);[Red]\(&quot;Q&quot;#,##0\)"/>
    <numFmt numFmtId="174" formatCode="&quot;Q&quot;#,##0.00_);\(&quot;Q&quot;#,##0.00\)"/>
    <numFmt numFmtId="175" formatCode="&quot;Q&quot;#,##0.00_);[Red]\(&quot;Q&quot;#,##0.00\)"/>
    <numFmt numFmtId="176" formatCode="_(&quot;Q&quot;* #,##0_);_(&quot;Q&quot;* \(#,##0\);_(&quot;Q&quot;* &quot;-&quot;_);_(@_)"/>
    <numFmt numFmtId="177" formatCode="_(&quot;Q&quot;* #,##0.00_);_(&quot;Q&quot;* \(#,##0.00\);_(&quot;Q&quot;* &quot;-&quot;??_);_(@_)"/>
    <numFmt numFmtId="178" formatCode="d/m/yy"/>
    <numFmt numFmtId="179" formatCode="#,##0.0"/>
    <numFmt numFmtId="180" formatCode="0.000"/>
    <numFmt numFmtId="181" formatCode="&quot;Yes&quot;;&quot;Yes&quot;;&quot;No&quot;"/>
    <numFmt numFmtId="182" formatCode="&quot;True&quot;;&quot;True&quot;;&quot;False&quot;"/>
    <numFmt numFmtId="183" formatCode="&quot;On&quot;;&quot;On&quot;;&quot;Off&quot;"/>
    <numFmt numFmtId="184" formatCode="[$€-2]\ #,##0.00_);[Red]\([$€-2]\ #,##0.00\)"/>
    <numFmt numFmtId="185" formatCode="0.0"/>
    <numFmt numFmtId="186" formatCode="0.0000"/>
    <numFmt numFmtId="187" formatCode="[$-409]dddd\,\ mmmm\ dd\,\ yyyy"/>
    <numFmt numFmtId="188" formatCode="[$-409]d\-mmm\-yy;@"/>
    <numFmt numFmtId="189" formatCode="dd/mm/yyyy;@"/>
    <numFmt numFmtId="190" formatCode="m/d/yy;@"/>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bs/Arbol/Semana&quot;"/>
    <numFmt numFmtId="206" formatCode="0.0000000"/>
    <numFmt numFmtId="207" formatCode="##\ &quot;Metros&quot;"/>
    <numFmt numFmtId="208" formatCode="###\ &quot;Metro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dimension ref="A1:R119"/>
  <sheetViews>
    <sheetView workbookViewId="0" rightToLeft="0"/>
  </sheetViews>
  <sheetData>
    <row r="1" ht="28.899999999999995" customHeight="1"/>
    <row r="2" ht="28.899999999999995" customHeight="1"/>
    <row r="3" ht="28.899999999999995" customHeight="1"/>
    <row r="4" ht="28.899999999999995" customHeight="1"/>
    <row r="5" ht="28.899999999999995" customHeight="1"/>
    <row r="6" ht="28.899999999999995" customHeight="1"/>
    <row r="7" ht="28.899999999999995" customHeight="1"/>
    <row r="12" ht="9" customHeight="1"/>
    <row r="13" ht="33.6" customHeight="1">
      <c r="C13" t="str">
        <v>"Sin Fertilización Base"</v>
      </c>
    </row>
    <row r="14" ht="21" customHeight="1">
      <c r="C14" t="str">
        <v>SEGUIR LOS 5 PASOS EN ESTA PAGINA EN LAS ÁREAS GRISES</v>
      </c>
    </row>
    <row r="15">
      <c r="C15" t="str">
        <v>Paso 1. Completar los datos básicos</v>
      </c>
    </row>
    <row r="17" ht="18" customHeight="1">
      <c r="C17" t="str">
        <v>Nombre de Productor:</v>
      </c>
      <c r="E17" t="str">
        <v>Alejandro Acosta</v>
      </c>
    </row>
    <row r="18" ht="18" customHeight="1">
      <c r="C18" t="str">
        <v>Zona:</v>
      </c>
      <c r="E18" t="str">
        <v>Cantarranas</v>
      </c>
    </row>
    <row r="19" ht="18" customHeight="1">
      <c r="C19" t="str">
        <v>Parcela #:</v>
      </c>
      <c r="E19" t="str">
        <v>El Mango</v>
      </c>
    </row>
    <row r="20" ht="18" customHeight="1">
      <c r="C20" t="str">
        <v>Nombre del Técnico:</v>
      </c>
      <c r="E20" t="str">
        <v>Marco Nuñez</v>
      </c>
    </row>
    <row r="21" ht="33" customHeight="1">
      <c r="C21" t="str">
        <v xml:space="preserve">Nombre del Cultivo / Variedad </v>
      </c>
      <c r="E21" t="str">
        <v>Tomate</v>
      </c>
      <c r="G21" t="str">
        <v>XP 675</v>
      </c>
    </row>
    <row r="22" ht="18" customHeight="1">
      <c r="C22" t="str">
        <v>Área en Manzanas</v>
      </c>
      <c r="E22">
        <v>1.92</v>
      </c>
      <c r="F22" t="str">
        <v>Área en Hectáreas</v>
      </c>
      <c r="I22">
        <f>E22*0.7</f>
        <v>1.3439999999999999</v>
      </c>
    </row>
    <row r="23" ht="18" customHeight="1">
      <c r="C23" t="str">
        <v>Fecha de Siembra:</v>
      </c>
      <c r="E23">
        <v>39941</v>
      </c>
    </row>
    <row r="24">
      <c r="C24" t="str">
        <v>Cosecha - Días DDT:</v>
      </c>
      <c r="E24">
        <v>75</v>
      </c>
    </row>
    <row r="25">
      <c r="C25" t="str">
        <v>Moneda Local</v>
      </c>
      <c r="E25" t="str">
        <v>Lempiras</v>
      </c>
    </row>
    <row r="28">
      <c r="C28" t="str">
        <v>Paso 2. Completar la información de los fertilizantes para usar y los precios en la ultima pagina</v>
      </c>
    </row>
    <row r="30">
      <c r="C30" t="str">
        <v>Fósforo</v>
      </c>
      <c r="E30" t="str">
        <v>N</v>
      </c>
      <c r="F30" t="str">
        <v>P2O5</v>
      </c>
      <c r="G30" t="str">
        <v>K2O</v>
      </c>
      <c r="H30" t="str">
        <v>Este cuadro es para el fertilizante usado como fuente de fósforo</v>
      </c>
    </row>
    <row r="31" ht="12.75" customHeight="1">
      <c r="C31" t="str">
        <v>Formula:</v>
      </c>
      <c r="D31" t="str">
        <f>VLOOKUP(D32,Fertilizante1,2,FALSE)</f>
        <v>12-61-0</v>
      </c>
      <c r="E31">
        <f>IF(+$D$32&lt;&gt;0,VLOOKUP(+$D$32,Fertilizante1,4,FALSE),"")</f>
        <v>12</v>
      </c>
      <c r="F31">
        <f>IF(+$D$32&lt;&gt;0,VLOOKUP(+$D$32,Fertilizante1,5,FALSE),"")</f>
        <v>61</v>
      </c>
      <c r="G31">
        <f>IF(+$D$32&lt;&gt;0,VLOOKUP(+$D$32,Fertilizante1,6,FALSE),"")</f>
        <v>0</v>
      </c>
    </row>
    <row r="32">
      <c r="C32" t="str">
        <v>Nombre:</v>
      </c>
      <c r="D32" t="str">
        <v>MAP 12-61-0</v>
      </c>
      <c r="E32" t="str">
        <f>VLOOKUP(D32,Fertilizante2,11,FALSE)</f>
        <v>Lbs</v>
      </c>
    </row>
    <row r="33" ht="20.25" customHeight="1">
      <c r="C33" t="str">
        <f>E25</f>
        <v>Lempiras</v>
      </c>
      <c r="D33">
        <f>IF(+D32&lt;&gt;0,VLOOKUP(+D32,Fertilizante1,3,FALSE),"")</f>
        <v>2900</v>
      </c>
    </row>
    <row r="35">
      <c r="C35" t="str">
        <v>Potasio</v>
      </c>
      <c r="E35" t="str">
        <v>N</v>
      </c>
      <c r="F35" t="str">
        <v>P2O5</v>
      </c>
      <c r="G35" t="str">
        <v>K2O</v>
      </c>
      <c r="H35" t="str">
        <v>Este cuadro es para el fertilizante usado como fuente de potasio</v>
      </c>
    </row>
    <row r="36">
      <c r="C36" t="str">
        <v>Formula:</v>
      </c>
      <c r="D36" t="str">
        <f>IF(+$D$37&lt;&gt;0,VLOOKUP(+$D$37,Fertilizante1,2,FALSE),"")</f>
        <v>0-0-50</v>
      </c>
      <c r="E36">
        <f>IF(+$D$37&lt;&gt;0,VLOOKUP(+$D$37,Fertilizante1,4,FALSE),"")</f>
        <v>0</v>
      </c>
      <c r="F36">
        <f>IF(+$D$37&lt;&gt;0,VLOOKUP(+$D$37,Fertilizante1,5,FALSE),"")</f>
        <v>0</v>
      </c>
      <c r="G36">
        <f>IF(+$D$37&lt;&gt;0,VLOOKUP(+$D$37,Fertilizante1,6,FALSE),"")</f>
        <v>52</v>
      </c>
    </row>
    <row r="37">
      <c r="C37" t="str">
        <v>Nombre:</v>
      </c>
      <c r="D37" t="str">
        <v>Sulfato de Potasio</v>
      </c>
      <c r="E37" t="str">
        <f>VLOOKUP(D37,Fertilizante2,11,FALSE)</f>
        <v>Lbs</v>
      </c>
    </row>
    <row r="38" ht="21.75" customHeight="1">
      <c r="C38" t="str">
        <f>E25</f>
        <v>Lempiras</v>
      </c>
      <c r="D38">
        <f>IF(+$D$37&lt;&gt;0,VLOOKUP(+$D$37,Fertilizante1,3,FALSE),"")</f>
        <v>505</v>
      </c>
    </row>
    <row r="40">
      <c r="C40" t="str">
        <v>Nitrógeno</v>
      </c>
      <c r="E40" t="str">
        <v>N</v>
      </c>
      <c r="F40" t="str">
        <v>P2O5</v>
      </c>
      <c r="G40" t="str">
        <v>K2O</v>
      </c>
      <c r="H40" t="str">
        <v>Este cuadro es para el fertilizante usado como fuente de nitrógeno</v>
      </c>
    </row>
    <row r="41">
      <c r="C41" t="str">
        <v>Formula:</v>
      </c>
      <c r="D41" t="str">
        <f>IF(+$D$42&lt;&gt;0,VLOOKUP(+$D$42,Fertilizante1,2,FALSE),"")</f>
        <v>33.5-0-0</v>
      </c>
      <c r="E41">
        <f>IF(+$D$42&lt;&gt;0,VLOOKUP(+$D$42,Fertilizante1,4,FALSE),"")</f>
        <v>33.5</v>
      </c>
      <c r="F41">
        <f>IF(+$D$42&lt;&gt;0,VLOOKUP(+$D$42,Fertilizante1,5,FALSE),"")</f>
        <v>0</v>
      </c>
      <c r="G41">
        <f>IF(+$D$42&lt;&gt;0,VLOOKUP(+$D$42,Fertilizante1,6,FALSE),"")</f>
        <v>0</v>
      </c>
    </row>
    <row r="42">
      <c r="C42" t="str">
        <v>Nombre:</v>
      </c>
      <c r="D42" t="str">
        <v>Nitrato de Amonio</v>
      </c>
      <c r="E42" t="str">
        <f>VLOOKUP(D42,Fertilizante2,11,FALSE)</f>
        <v>Lbs</v>
      </c>
    </row>
    <row r="43" ht="21" customHeight="1">
      <c r="C43" t="str">
        <f>E25</f>
        <v>Lempiras</v>
      </c>
      <c r="D43">
        <f>IF(+$D$42&lt;&gt;0,VLOOKUP(+$D$42,Fertilizante1,3,FALSE),"")</f>
        <v>620</v>
      </c>
    </row>
    <row r="45" ht="15.75" customHeight="1">
      <c r="C45" t="str">
        <v>Magnesio</v>
      </c>
      <c r="E45" t="str">
        <v>N</v>
      </c>
      <c r="F45" t="str">
        <v>P2O5</v>
      </c>
      <c r="G45" t="str">
        <v>K2O</v>
      </c>
      <c r="H45" t="str">
        <v>S</v>
      </c>
      <c r="I45" t="str">
        <v>MgO</v>
      </c>
      <c r="J45" t="str">
        <v>Este cuadro es para el fertilizante usado como fuente de magnesio</v>
      </c>
    </row>
    <row r="46">
      <c r="C46" t="str">
        <v>Formula:</v>
      </c>
      <c r="D46" t="str">
        <f>IF(+$D$47&lt;&gt;0,VLOOKUP(+$D$47,Fertilizante1,2,FALSE),"")</f>
        <v>0-0-0-31.7-16</v>
      </c>
      <c r="E46">
        <f>IF(+$D$47&lt;&gt;0,VLOOKUP(+$D$47,Fertilizante1,4,FALSE),"")</f>
        <v>0</v>
      </c>
      <c r="F46">
        <f>IF(+$D$47&lt;&gt;0,VLOOKUP(+$D$47,Fertilizante1,5,FALSE),"")</f>
        <v>0</v>
      </c>
      <c r="G46">
        <f>IF(+$D$47&lt;&gt;0,VLOOKUP(+$D$47,Fertilizante1,6,FALSE),"")</f>
        <v>0</v>
      </c>
      <c r="H46">
        <f>IF(+$D$47&lt;&gt;0,VLOOKUP(+$D$47,Fertilizante1,9,FALSE),"")</f>
        <v>31.7</v>
      </c>
      <c r="I46">
        <f>IF(+$D$47&lt;&gt;0,VLOOKUP(+$D$47,Fertilizante1,7,FALSE),"")</f>
        <v>16</v>
      </c>
    </row>
    <row r="47">
      <c r="C47" t="str">
        <v>Nombre:</v>
      </c>
      <c r="D47" t="str">
        <v>Sulfato de Magnesio</v>
      </c>
      <c r="E47" t="str">
        <f>VLOOKUP(D47,Fertilizante2,11,FALSE)</f>
        <v>Lbs</v>
      </c>
    </row>
    <row r="48" ht="20.25" customHeight="1">
      <c r="C48" t="str">
        <f>E25</f>
        <v>Lempiras</v>
      </c>
      <c r="D48">
        <f>IF(+$D$47&lt;&gt;0,VLOOKUP(+$D$47,Fertilizante1,3,FALSE),"")</f>
        <v>951</v>
      </c>
    </row>
    <row r="50">
      <c r="C50" t="str">
        <v>Calcio</v>
      </c>
      <c r="E50" t="str">
        <v>N</v>
      </c>
      <c r="F50" t="str">
        <v>P2O5</v>
      </c>
      <c r="G50" t="str">
        <v>K2O</v>
      </c>
      <c r="H50" t="str">
        <v>Ca</v>
      </c>
      <c r="I50" t="str">
        <v>Este cuadro es para el fertilizante usado como fuente de calcio</v>
      </c>
    </row>
    <row r="51">
      <c r="C51" t="str">
        <v>Formula:</v>
      </c>
      <c r="D51" t="str">
        <f>IF(+$D$52&lt;&gt;0,VLOOKUP(+$D$52,Fertilizante1,2,FALSE),"")</f>
        <v>15.5-0-0-27</v>
      </c>
      <c r="E51">
        <f>IF(+$D$52&lt;&gt;0,VLOOKUP(+$D$52,Fertilizante1,4,FALSE),"")</f>
        <v>15.5</v>
      </c>
      <c r="F51">
        <f>IF(+$D$52&lt;&gt;0,VLOOKUP(+$D$52,Fertilizante1,5,FALSE),"")</f>
        <v>0</v>
      </c>
      <c r="G51">
        <f>IF(+$D$52&lt;&gt;0,VLOOKUP(+$D$52,Fertilizante1,6,FALSE),"")</f>
        <v>0</v>
      </c>
      <c r="H51">
        <f>IF(+$D$52&lt;&gt;0,VLOOKUP(+$D$52,Fertilizante1,8,FALSE),"")</f>
        <v>27</v>
      </c>
    </row>
    <row r="52">
      <c r="C52" t="str">
        <v>Nombre:</v>
      </c>
      <c r="D52" t="str">
        <v>Nitrato de Calcio</v>
      </c>
      <c r="E52" t="str">
        <f>VLOOKUP(D52,Fertilizante2,11,FALSE)</f>
        <v>Lbs</v>
      </c>
    </row>
    <row r="53" ht="20.25" customHeight="1">
      <c r="C53" t="str">
        <f>E25</f>
        <v>Lempiras</v>
      </c>
      <c r="D53">
        <f>IF(+$D$52&lt;&gt;0,VLOOKUP(+$D$52,Fertilizante1,3,FALSE),"")</f>
        <v>1100</v>
      </c>
    </row>
    <row r="55">
      <c r="C55" t="str">
        <v>Boro</v>
      </c>
      <c r="E55" t="str">
        <v>N</v>
      </c>
      <c r="F55" t="str">
        <v>P2O5</v>
      </c>
      <c r="G55" t="str">
        <v>K2O</v>
      </c>
      <c r="H55" t="str">
        <v>Ca</v>
      </c>
      <c r="I55" t="str">
        <v>S</v>
      </c>
      <c r="J55" t="str">
        <v>MgO</v>
      </c>
      <c r="K55" t="str">
        <v>B</v>
      </c>
    </row>
    <row r="56">
      <c r="C56" t="str">
        <v>Formula:</v>
      </c>
      <c r="D56" t="str">
        <f>VLOOKUP(D57,Fertilizante2,2,FALSE)</f>
        <v>0-0-0-0-0-0-20.5</v>
      </c>
      <c r="E56">
        <f>VLOOKUP(D57,Fertilizante2,4,FALSE)</f>
        <v>0</v>
      </c>
      <c r="F56">
        <f>VLOOKUP(D57,Fertilizante2,5,FALSE)</f>
        <v>0</v>
      </c>
      <c r="G56">
        <f>VLOOKUP(D57,Fertilizante2,6,FALSE)</f>
        <v>0</v>
      </c>
      <c r="H56">
        <f>VLOOKUP(D57,Fertilizante2,7,FALSE)</f>
        <v>0</v>
      </c>
      <c r="I56">
        <f>VLOOKUP(D57,Fertilizante2,8,FALSE)</f>
        <v>0</v>
      </c>
      <c r="J56">
        <f>VLOOKUP(D57,Fertilizante2,9,FALSE)</f>
        <v>0</v>
      </c>
      <c r="K56">
        <f>VLOOKUP(D57,Fertilizante2,10,FALSE)</f>
        <v>20.5</v>
      </c>
    </row>
    <row r="57">
      <c r="C57" t="str">
        <v>Nombre:</v>
      </c>
      <c r="D57" t="str">
        <v>Solubor</v>
      </c>
      <c r="E57" t="str">
        <f>VLOOKUP(D57,Fertilizante2,11,FALSE)</f>
        <v>Gramos</v>
      </c>
    </row>
    <row r="58">
      <c r="C58" t="str">
        <f>E25</f>
        <v>Lempiras</v>
      </c>
      <c r="D58">
        <f>VLOOKUP(D57,Fertilizante2,3,FALSE)</f>
        <v>0.04</v>
      </c>
    </row>
    <row r="60">
      <c r="C60" t="str">
        <v>Materia Orgánica</v>
      </c>
    </row>
    <row r="61" ht="13.15" customHeight="1">
      <c r="C61" t="str">
        <v>Nombre:</v>
      </c>
      <c r="D61" t="str">
        <v>Melaza</v>
      </c>
      <c r="E61" t="str">
        <f>Fertilizantes!D51</f>
        <v>Lts</v>
      </c>
    </row>
    <row r="62" ht="13.15" customHeight="1">
      <c r="C62" t="str">
        <f>E25</f>
        <v>Lempiras</v>
      </c>
      <c r="D62">
        <f>VLOOKUP(D61,Fertilizantes!A49:E54,3,FALSE)</f>
        <v>2.8</v>
      </c>
    </row>
    <row r="63" ht="13.15" customHeight="1">
      <c r="C63" t="str">
        <v>Dosis/Hectárea</v>
      </c>
      <c r="D63">
        <f>VLOOKUP(D61,Fertilizantes!A51:E55,2,FALSE)</f>
        <v>20</v>
      </c>
    </row>
    <row r="67">
      <c r="Q67">
        <v>1</v>
      </c>
    </row>
    <row r="68" ht="36" customHeight="1">
      <c r="C68" t="str">
        <v>Paso 3. Completar la información de los análisis de suelos (Si no tiene análisis dejarlo en muy bajo)</v>
      </c>
    </row>
    <row r="70">
      <c r="C70" t="str">
        <v>Mehlich-1 (doble ácido)</v>
      </c>
    </row>
    <row r="71">
      <c r="C71" t="str">
        <v>Elemento</v>
      </c>
      <c r="D71" t="str">
        <v>Resultado Análisis ppm</v>
      </c>
      <c r="E71" t="str">
        <v>Estatus del Elemento</v>
      </c>
      <c r="F71" t="str">
        <v>Tipo de Fertilización a Usar</v>
      </c>
    </row>
    <row r="72">
      <c r="C72" t="str">
        <v>P</v>
      </c>
      <c r="D72">
        <v>13</v>
      </c>
      <c r="E72" t="str">
        <f>IF($D$72&lt;14,"Muy Bajo",IF($D$72&lt;28,"Bajo",IF($D$72&lt;46,"Medio",IF($D$72&lt;91,"Alto",IF($D$72&gt;=91,"Muy Alto")))))</f>
        <v>Muy Bajo</v>
      </c>
      <c r="F72" t="str">
        <f>IF(D72&lt;14,"100%",IF(D72&lt;28,"85%",IF(D72&lt;46,"65%",IF(D72&lt;91,"45%",IF(D72&gt;=91,"25%")))))</f>
        <v>100%</v>
      </c>
    </row>
    <row r="73">
      <c r="C73" t="str">
        <v>K</v>
      </c>
      <c r="D73">
        <v>29</v>
      </c>
      <c r="E73" t="str">
        <f>IF($D$73&lt;30,"Muy Bajo",IF($D$73&lt;71,"Bajo",IF($D$73&lt;135,"Medio",IF($D$73&lt;268,"Alto",IF($D$73&gt;=268,"Muy Alto")))))</f>
        <v>Muy Bajo</v>
      </c>
      <c r="F73" t="str">
        <f>IF(D73&lt;30,"100%",IF(D73&lt;71,"85%",IF(D73&lt;135,"65%",IF(D73&lt;268,"45%",IF(D73&gt;=268,"25%")))))</f>
        <v>100%</v>
      </c>
    </row>
    <row r="74">
      <c r="C74" t="str">
        <v>Mg</v>
      </c>
      <c r="D74">
        <v>35</v>
      </c>
      <c r="E74" t="str">
        <f>IF($D$74&lt;36,"Muy Bajo",IF($D$74&lt;71,"Bajo",IF($D$74&lt;125,"Medio",IF($D$74&lt;265,"Alto",IF($D$74&gt;=265,"Muy Alto")))))</f>
        <v>Muy Bajo</v>
      </c>
      <c r="F74" t="str">
        <f>IF(D74&lt;36,"100%",IF(D74&lt;71,"85%",IF(D74&lt;125,"65%",IF(D74&lt;265,"45%",IF(D74&gt;=265,"25%")))))</f>
        <v>100%</v>
      </c>
    </row>
    <row r="75">
      <c r="C75" t="str">
        <v>Ca</v>
      </c>
      <c r="D75">
        <v>400</v>
      </c>
      <c r="E75" t="str">
        <f>IF($D$75&lt;401,"Muy Bajo",IF($D$75&lt;801,"Bajo",IF($D$75&lt;1201,"Medio",IF($D$75&lt;1600,"Alto",IF($D$75&gt;=1600,"Muy Alto")))))</f>
        <v>Muy Bajo</v>
      </c>
      <c r="F75" t="str">
        <f>IF(D75&lt;401,"100%",IF(D75&lt;801,"85%",IF(D75&lt;1201,"65%",IF(D75&lt;1600,"45%",IF(D75&gt;=1600,"25%")))))</f>
        <v>100%</v>
      </c>
    </row>
    <row r="78" ht="36" customHeight="1">
      <c r="C78" t="str">
        <v>Paso 4. Completar la información para el uso de los preventivos            (Los productos se cambian en las paginas de fertilización con preventivos. Aquí solo aparecen las posibilidades a usar.)</v>
      </c>
    </row>
    <row r="80">
      <c r="C80" t="str">
        <v>Controles Preventivos</v>
      </c>
    </row>
    <row r="81">
      <c r="C81" t="str">
        <v>Insecticida Inmediatamente después de Trasplante</v>
      </c>
    </row>
    <row r="82">
      <c r="C82" t="str">
        <v>Insecticida para la prevención de virus</v>
      </c>
    </row>
    <row r="83">
      <c r="C83" t="str">
        <v>Insecticida al suelo</v>
      </c>
    </row>
    <row r="84">
      <c r="C84" t="str">
        <v>Activador de Resistencia General</v>
      </c>
    </row>
    <row r="85">
      <c r="C85" t="str">
        <v>Activador de Resistencia de Oomicetos</v>
      </c>
    </row>
    <row r="86">
      <c r="C86" t="str">
        <v>Protectante de Enfermedades de Suelo</v>
      </c>
    </row>
    <row r="87">
      <c r="C87" t="str">
        <v>Protectante de Insectos de Suelo</v>
      </c>
    </row>
    <row r="92" ht="18" customHeight="1"/>
    <row r="94" ht="19.5" customHeight="1">
      <c r="C94" t="str">
        <v>Paso 5. IMPRIMIR EL CALENDARIO REQUERIDO</v>
      </c>
    </row>
    <row r="95" ht="19.5" customHeight="1"/>
    <row r="96" ht="19.5" customHeight="1"/>
    <row r="97" ht="19.5" customHeight="1">
      <c r="C97" t="str">
        <v>Imprimir Calendario de Fertilización por Goteo Diario CON Preventivos</v>
      </c>
    </row>
    <row r="98" ht="20.1" customHeight="1"/>
    <row r="99" ht="20.1" customHeight="1"/>
    <row r="100" ht="20.1" customHeight="1">
      <c r="C100" t="str">
        <v>Imprimir Calendario de Fertilización por Goteo Diario</v>
      </c>
    </row>
    <row r="101" ht="20.1" customHeight="1"/>
    <row r="102" ht="20.1" customHeight="1"/>
    <row r="103" ht="20.1" customHeight="1">
      <c r="C103" t="str">
        <v>Imprimir Calendario de Fertilización por Goteo 3 Veces Por Semana</v>
      </c>
    </row>
    <row r="104" ht="20.1" customHeight="1"/>
    <row r="105" ht="20.1" customHeight="1"/>
    <row r="106" ht="20.1" customHeight="1">
      <c r="C106" t="str">
        <v>Imprimir Cal. de Fert. por Goteo 2 Veces Por Semana CON Preventivos</v>
      </c>
    </row>
    <row r="107" ht="20.1" customHeight="1"/>
    <row r="108" ht="20.1" customHeight="1"/>
    <row r="109" ht="20.1" customHeight="1">
      <c r="C109" t="str">
        <v>Imprimir Calendario de Fertilización por Goteo 2 Veces Por Semana</v>
      </c>
    </row>
    <row r="110" ht="20.1" customHeight="1"/>
    <row r="111" ht="20.1" customHeight="1"/>
    <row r="112" ht="20.1" customHeight="1">
      <c r="C112" t="str">
        <v>Imprimir Calendario de Fertilización por Goteo 1 Vez Por Semana</v>
      </c>
    </row>
    <row r="113" ht="20.1" customHeight="1"/>
    <row r="114" ht="20.1" customHeight="1"/>
    <row r="115" ht="20.1" customHeight="1">
      <c r="C115" t="str">
        <v>Imprimir Calendario de Fertilización Cada 14 Días o a Mano</v>
      </c>
    </row>
    <row r="116" ht="20.1" customHeight="1"/>
    <row r="117" ht="20.1" customHeight="1"/>
    <row r="118" ht="20.1" customHeight="1"/>
    <row r="119" ht="20.1" customHeight="1"/>
  </sheetData>
  <sheetProtection sheet="1"/>
  <mergeCells count="60">
    <mergeCell ref="C13:J13"/>
    <mergeCell ref="C15:M15"/>
    <mergeCell ref="E17:I17"/>
    <mergeCell ref="E18:I18"/>
    <mergeCell ref="C17:D17"/>
    <mergeCell ref="C14:J14"/>
    <mergeCell ref="E19:I19"/>
    <mergeCell ref="C18:D18"/>
    <mergeCell ref="E23:I23"/>
    <mergeCell ref="F22:H22"/>
    <mergeCell ref="C19:D19"/>
    <mergeCell ref="C22:D22"/>
    <mergeCell ref="E20:I20"/>
    <mergeCell ref="C20:D20"/>
    <mergeCell ref="E21:F21"/>
    <mergeCell ref="C115:I115"/>
    <mergeCell ref="C24:D24"/>
    <mergeCell ref="C28:M28"/>
    <mergeCell ref="C40:D40"/>
    <mergeCell ref="H40:M41"/>
    <mergeCell ref="J45:M46"/>
    <mergeCell ref="C103:I103"/>
    <mergeCell ref="C109:I109"/>
    <mergeCell ref="C112:I112"/>
    <mergeCell ref="C83:G83"/>
    <mergeCell ref="C35:D35"/>
    <mergeCell ref="C30:D30"/>
    <mergeCell ref="C25:D25"/>
    <mergeCell ref="E25:I25"/>
    <mergeCell ref="C45:D45"/>
    <mergeCell ref="C21:D21"/>
    <mergeCell ref="G21:I21"/>
    <mergeCell ref="C23:D23"/>
    <mergeCell ref="F74:G74"/>
    <mergeCell ref="F75:G75"/>
    <mergeCell ref="F72:G72"/>
    <mergeCell ref="F73:G73"/>
    <mergeCell ref="F71:G71"/>
    <mergeCell ref="E24:I24"/>
    <mergeCell ref="H30:M31"/>
    <mergeCell ref="H35:M36"/>
    <mergeCell ref="C80:G80"/>
    <mergeCell ref="C82:G82"/>
    <mergeCell ref="C81:G81"/>
    <mergeCell ref="C84:G84"/>
    <mergeCell ref="I50:M51"/>
    <mergeCell ref="C60:D60"/>
    <mergeCell ref="C50:D50"/>
    <mergeCell ref="C55:D55"/>
    <mergeCell ref="C78:M78"/>
    <mergeCell ref="C68:M68"/>
    <mergeCell ref="C106:I106"/>
    <mergeCell ref="C85:G85"/>
    <mergeCell ref="C86:G86"/>
    <mergeCell ref="C87:G87"/>
    <mergeCell ref="C100:I100"/>
    <mergeCell ref="C94:M94"/>
    <mergeCell ref="C97:I97"/>
    <mergeCell ref="K88:L88"/>
    <mergeCell ref="H88:I88"/>
  </mergeCells>
  <pageMargins left="0" right="0" top="0" bottom="0" header="0" footer="0"/>
  <ignoredErrors>
    <ignoredError numberStoredAsText="1" sqref="A1:R119"/>
  </ignoredErrors>
  <legacyDrawing r:id="rId1"/>
</worksheet>
</file>

<file path=xl/worksheets/sheet2.xml><?xml version="1.0" encoding="utf-8"?>
<worksheet xmlns="http://schemas.openxmlformats.org/spreadsheetml/2006/main" xmlns:r="http://schemas.openxmlformats.org/officeDocument/2006/relationships">
  <dimension ref="A1:Z187"/>
  <sheetViews>
    <sheetView workbookViewId="0" rightToLeft="0"/>
  </sheetViews>
  <sheetData>
    <row r="1" ht="23.45" customHeight="1">
      <c r="P1" t="str">
        <v>Calendario de Fertilización para Goteo Diario con los Preventivos</v>
      </c>
    </row>
    <row r="2" ht="29.25" customHeight="1"/>
    <row r="3" ht="26.25" customHeight="1"/>
    <row r="4" ht="26.25" customHeight="1"/>
    <row r="5" ht="26.25" customHeight="1">
      <c r="P5" t="str">
        <f>Main!$E$21</f>
        <v>Tomate</v>
      </c>
    </row>
    <row r="6" ht="26.25" customHeight="1"/>
    <row r="7" ht="26.25" customHeight="1"/>
    <row r="8" ht="8.45" customHeight="1"/>
    <row r="9" ht="26.25" customHeight="1">
      <c r="A9" t="str">
        <f>Main!$C$13</f>
        <v>"Sin Fertilización Base"</v>
      </c>
      <c r="P9" t="str">
        <f>Main!$G$21</f>
        <v>XP 675</v>
      </c>
    </row>
    <row r="10" ht="4.15" customHeight="1"/>
    <row r="11" ht="20.1" customHeight="1">
      <c r="A11" t="str">
        <v>Productor</v>
      </c>
      <c r="C11" t="str">
        <f>Main!E17</f>
        <v>Alejandro Acosta</v>
      </c>
      <c r="F11" t="str">
        <v>Parcela</v>
      </c>
      <c r="I11" t="str">
        <f>Main!E19</f>
        <v>El Mango</v>
      </c>
    </row>
    <row r="12" ht="20.1" customHeight="1">
      <c r="A12" t="str">
        <v>Zona</v>
      </c>
      <c r="C12" t="str">
        <f>Main!E18</f>
        <v>Cantarranas</v>
      </c>
      <c r="F12" t="str">
        <v>Técnico</v>
      </c>
      <c r="I12" t="str">
        <f>Main!E20</f>
        <v>Marco Nuñez</v>
      </c>
    </row>
    <row r="13" ht="20.1" customHeight="1">
      <c r="A13" t="str">
        <v>Área Mz.</v>
      </c>
      <c r="C13">
        <f>Main!E22</f>
        <v>1.92</v>
      </c>
      <c r="F13" t="str">
        <v>Fecha:</v>
      </c>
      <c r="I13">
        <f>Main!E23</f>
        <v>39941</v>
      </c>
    </row>
    <row r="14" ht="20.1" customHeight="1">
      <c r="A14" t="str">
        <v>Área Ha.</v>
      </c>
      <c r="C14">
        <f>Main!I22</f>
        <v>1.3439999999999999</v>
      </c>
      <c r="F14" t="str">
        <v>Fecha de Cosecha:</v>
      </c>
      <c r="I14">
        <f>I13+Main!E24</f>
        <v>40016</v>
      </c>
    </row>
    <row r="15" ht="19.5" customHeight="1"/>
    <row r="16" ht="28.5" customHeight="1">
      <c r="A16" t="str">
        <v>Semana</v>
      </c>
      <c r="B16" t="str">
        <v>DDT</v>
      </c>
      <c r="C16" t="str">
        <v>FECHA</v>
      </c>
      <c r="D16" t="str">
        <v>Seleccioné su opción</v>
      </c>
      <c r="E16" t="str">
        <v>Preventivos</v>
      </c>
      <c r="G16" t="str">
        <f>Main!$D$42</f>
        <v>Nitrato de Amonio</v>
      </c>
      <c r="I16" t="str">
        <f>Main!$D$32</f>
        <v>MAP 12-61-0</v>
      </c>
      <c r="K16" t="str">
        <f>Main!$D$37</f>
        <v>Sulfato de Potasio</v>
      </c>
      <c r="M16" t="str">
        <f>Main!$D$47</f>
        <v>Sulfato de Magnesio</v>
      </c>
      <c r="O16" t="str">
        <f>Main!$D$52</f>
        <v>Nitrato de Calcio</v>
      </c>
      <c r="Q16" t="str">
        <f>Main!$D$57</f>
        <v>Solubor</v>
      </c>
      <c r="S16" t="str">
        <f>Main!$D$61</f>
        <v>Melaza</v>
      </c>
      <c r="T16" t="str">
        <v>Costo / Aplicación</v>
      </c>
    </row>
    <row r="17">
      <c r="D17" t="str">
        <v>Preventivos</v>
      </c>
      <c r="E17" t="str">
        <v>Dosis</v>
      </c>
      <c r="F17" t="str">
        <v>Unidades</v>
      </c>
      <c r="G17" t="str">
        <f>Main!E42</f>
        <v>Lbs</v>
      </c>
      <c r="H17" t="str">
        <v>Cambios</v>
      </c>
      <c r="I17" t="str">
        <f>Main!E32</f>
        <v>Lbs</v>
      </c>
      <c r="J17" t="str">
        <v>Cambios</v>
      </c>
      <c r="K17" t="str">
        <f>Main!E37</f>
        <v>Lbs</v>
      </c>
      <c r="L17" t="str">
        <v>Cambios</v>
      </c>
      <c r="M17" t="str">
        <f>Main!E47</f>
        <v>Lbs</v>
      </c>
      <c r="N17" t="str">
        <v>Cambios</v>
      </c>
      <c r="O17" t="str">
        <f>Main!E52</f>
        <v>Lbs</v>
      </c>
      <c r="P17" t="str">
        <v>Cambios</v>
      </c>
      <c r="Q17" t="str">
        <f>Main!E57</f>
        <v>Gramos</v>
      </c>
      <c r="R17" t="str">
        <v>Cambios</v>
      </c>
      <c r="S17" t="str">
        <f>Main!$E$61</f>
        <v>Lts</v>
      </c>
    </row>
    <row r="18" ht="18.75" customHeight="1">
      <c r="A18">
        <v>1</v>
      </c>
      <c r="B18">
        <v>1</v>
      </c>
      <c r="C18">
        <f>$I$13+B18</f>
        <v>39942</v>
      </c>
      <c r="E18">
        <f>VLOOKUP(D18,Fertilizantes!$A$49:$E$123,2,FALSE)*$C$14</f>
        <v>0</v>
      </c>
      <c r="F18">
        <f>VLOOKUP(D18,Fertilizantes!$A$49:$E$123,4,FALSE)</f>
        <v>0</v>
      </c>
      <c r="G18">
        <f>IF($C$14*ReDiarioFert!C7&lt;=0,"0",$C$14*ReDiarioFert!C7)</f>
        <v>1.442389803312915</v>
      </c>
      <c r="I18">
        <f>$C$14*ReDiarioFert!E7</f>
        <v>1.8602263548721307</v>
      </c>
      <c r="K18">
        <f>$C$14*ReDiarioFert!G7</f>
        <v>5.447583874015748</v>
      </c>
      <c r="M18">
        <f>$C$14*ReDiarioFert!I7</f>
        <v>3.0301663093082443</v>
      </c>
      <c r="O18">
        <f>$C$14*ReDiarioFert!K7</f>
        <v>6.245958362157075</v>
      </c>
      <c r="Q18">
        <f>$C$14*ReDiarioFert!M7</f>
        <v>33.38758243902439</v>
      </c>
      <c r="S18">
        <f>$C$14*Main!$D$63</f>
        <v>26.879999999999995</v>
      </c>
      <c r="T18">
        <f>((G18/100)*$G$176+(I18/100)*$G$177+(K18/100)*$G$178+(M18/100)*$G$179+(O18/100)*$G$180+(Q18)*$G$181+(S18*$G$182)+(E18*(VLOOKUP(D18,Fertilizantes!$A$49:$E$123,3,FALSE))))</f>
        <v>264.52160651842155</v>
      </c>
    </row>
    <row r="19" ht="18.75" customHeight="1">
      <c r="B19">
        <v>2</v>
      </c>
      <c r="C19">
        <f>$I$13+B19</f>
        <v>39943</v>
      </c>
      <c r="E19">
        <f>VLOOKUP(D19,Fertilizantes!$A$49:$E$123,2,FALSE)*$C$14</f>
        <v>0</v>
      </c>
      <c r="F19">
        <f>VLOOKUP(D19,Fertilizantes!$A$49:$E$123,4,FALSE)</f>
        <v>0</v>
      </c>
      <c r="G19">
        <f>IF($C$14*ReDiarioFert!C8&lt;=0,"0",$C$14*ReDiarioFert!C8)</f>
        <v>1.442389803312915</v>
      </c>
      <c r="I19">
        <f>$C$14*ReDiarioFert!E8</f>
        <v>1.8602263548721307</v>
      </c>
      <c r="K19">
        <f>$C$14*ReDiarioFert!G8</f>
        <v>5.447583874015748</v>
      </c>
      <c r="M19">
        <f>$C$14*ReDiarioFert!I8</f>
        <v>3.0301663093082443</v>
      </c>
      <c r="O19">
        <f>$C$14*ReDiarioFert!K8</f>
        <v>6.245958362157075</v>
      </c>
      <c r="Q19">
        <f>$C$14*ReDiarioFert!M8</f>
        <v>33.38758243902439</v>
      </c>
      <c r="S19">
        <f>Main!$H$81</f>
        <v>0</v>
      </c>
      <c r="T19">
        <f>((G19/100)*$G$176+(I19/100)*$G$177+(K19/100)*$G$178+(M19/100)*$G$179+(O19/100)*$G$180+(Q19)*$G$181+(S19*$G$182)+(E19*(VLOOKUP(D19,Fertilizantes!$A$49:$E$123,3,FALSE))))</f>
        <v>189.25760651842157</v>
      </c>
    </row>
    <row r="20" ht="18.75" customHeight="1">
      <c r="B20">
        <v>3</v>
      </c>
      <c r="C20">
        <f>$I$13+B20</f>
        <v>39944</v>
      </c>
      <c r="E20">
        <f>VLOOKUP(D20,Fertilizantes!$A$49:$E$123,2,FALSE)*$C$14</f>
        <v>0</v>
      </c>
      <c r="F20">
        <f>VLOOKUP(D20,Fertilizantes!$A$49:$E$123,4,FALSE)</f>
        <v>0</v>
      </c>
      <c r="G20">
        <f>IF($C$14*ReDiarioFert!C9&lt;=0,"0",$C$14*ReDiarioFert!C9)</f>
        <v>1.442389803312915</v>
      </c>
      <c r="I20">
        <f>$C$14*ReDiarioFert!E9</f>
        <v>1.8602263548721307</v>
      </c>
      <c r="K20">
        <f>$C$14*ReDiarioFert!G9</f>
        <v>5.447583874015748</v>
      </c>
      <c r="M20">
        <f>$C$14*ReDiarioFert!I9</f>
        <v>3.0301663093082443</v>
      </c>
      <c r="O20">
        <f>$C$14*ReDiarioFert!K9</f>
        <v>6.245958362157075</v>
      </c>
      <c r="Q20">
        <f>$C$14*ReDiarioFert!M9</f>
        <v>33.38758243902439</v>
      </c>
      <c r="T20">
        <f>((G20/100)*$G$176+(I20/100)*$G$177+(K20/100)*$G$178+(M20/100)*$G$179+(O20/100)*$G$180+(Q20)*$G$181+(S20*$G$182)+(E20*(VLOOKUP(D20,Fertilizantes!$A$49:$E$123,3,FALSE))))</f>
        <v>189.25760651842157</v>
      </c>
    </row>
    <row r="21" ht="18.75" customHeight="1">
      <c r="B21">
        <v>4</v>
      </c>
      <c r="C21">
        <f>$I$13+B21</f>
        <v>39945</v>
      </c>
      <c r="E21">
        <f>VLOOKUP(D21,Fertilizantes!$A$49:$E$123,2,FALSE)*$C$14</f>
        <v>0</v>
      </c>
      <c r="F21">
        <f>VLOOKUP(D21,Fertilizantes!$A$49:$E$123,4,FALSE)</f>
        <v>0</v>
      </c>
      <c r="G21">
        <f>IF($C$14*ReDiarioFert!C10&lt;=0,"0",$C$14*ReDiarioFert!C10)</f>
        <v>1.442389803312915</v>
      </c>
      <c r="I21">
        <f>$C$14*ReDiarioFert!E10</f>
        <v>1.8602263548721307</v>
      </c>
      <c r="K21">
        <f>$C$14*ReDiarioFert!G10</f>
        <v>5.447583874015748</v>
      </c>
      <c r="M21">
        <f>$C$14*ReDiarioFert!I10</f>
        <v>3.0301663093082443</v>
      </c>
      <c r="O21">
        <f>$C$14*ReDiarioFert!K10</f>
        <v>6.245958362157075</v>
      </c>
      <c r="Q21">
        <f>$C$14*ReDiarioFert!M10</f>
        <v>33.38758243902439</v>
      </c>
      <c r="T21">
        <f>((G21/100)*$G$176+(I21/100)*$G$177+(K21/100)*$G$178+(M21/100)*$G$179+(O21/100)*$G$180+(Q21)*$G$181+(S21*$G$182)+(E21*(VLOOKUP(D21,Fertilizantes!$A$49:$E$123,3,FALSE))))</f>
        <v>189.25760651842157</v>
      </c>
    </row>
    <row r="22" ht="18.75" customHeight="1">
      <c r="B22">
        <v>5</v>
      </c>
      <c r="C22">
        <f>$I$13+B22</f>
        <v>39946</v>
      </c>
      <c r="E22">
        <f>VLOOKUP(D22,Fertilizantes!$A$49:$E$123,2,FALSE)*$C$14</f>
        <v>0</v>
      </c>
      <c r="F22">
        <f>VLOOKUP(D22,Fertilizantes!$A$49:$E$123,4,FALSE)</f>
        <v>0</v>
      </c>
      <c r="G22">
        <f>IF($C$14*ReDiarioFert!C11&lt;=0,"0",$C$14*ReDiarioFert!C11)</f>
        <v>1.442389803312915</v>
      </c>
      <c r="I22">
        <f>$C$14*ReDiarioFert!E11</f>
        <v>1.8602263548721307</v>
      </c>
      <c r="K22">
        <f>$C$14*ReDiarioFert!G11</f>
        <v>5.447583874015748</v>
      </c>
      <c r="M22">
        <f>$C$14*ReDiarioFert!I11</f>
        <v>3.0301663093082443</v>
      </c>
      <c r="O22">
        <f>$C$14*ReDiarioFert!K11</f>
        <v>6.245958362157075</v>
      </c>
      <c r="Q22">
        <f>$C$14*ReDiarioFert!M11</f>
        <v>33.38758243902439</v>
      </c>
      <c r="T22">
        <f>((G22/100)*$G$176+(I22/100)*$G$177+(K22/100)*$G$178+(M22/100)*$G$179+(O22/100)*$G$180+(Q22)*$G$181+(S22*$G$182)+(E22*(VLOOKUP(D22,Fertilizantes!$A$49:$E$123,3,FALSE))))</f>
        <v>189.25760651842157</v>
      </c>
    </row>
    <row r="23" ht="18.75" customHeight="1">
      <c r="B23">
        <v>6</v>
      </c>
      <c r="C23">
        <f>$I$13+B23</f>
        <v>39947</v>
      </c>
      <c r="E23">
        <f>VLOOKUP(D23,Fertilizantes!$A$49:$E$123,2,FALSE)*$C$14</f>
        <v>0</v>
      </c>
      <c r="F23">
        <f>VLOOKUP(D23,Fertilizantes!$A$49:$E$123,4,FALSE)</f>
        <v>0</v>
      </c>
      <c r="G23">
        <f>IF($C$14*ReDiarioFert!C12&lt;=0,"0",$C$14*ReDiarioFert!C12)</f>
        <v>1.442389803312915</v>
      </c>
      <c r="I23">
        <f>$C$14*ReDiarioFert!E12</f>
        <v>1.8602263548721307</v>
      </c>
      <c r="K23">
        <f>$C$14*ReDiarioFert!G12</f>
        <v>5.447583874015748</v>
      </c>
      <c r="M23">
        <f>$C$14*ReDiarioFert!I12</f>
        <v>3.0301663093082443</v>
      </c>
      <c r="O23">
        <f>$C$14*ReDiarioFert!K12</f>
        <v>6.245958362157075</v>
      </c>
      <c r="Q23">
        <f>$C$14*ReDiarioFert!M12</f>
        <v>33.38758243902439</v>
      </c>
      <c r="T23">
        <f>((G23/100)*$G$176+(I23/100)*$G$177+(K23/100)*$G$178+(M23/100)*$G$179+(O23/100)*$G$180+(Q23)*$G$181+(S23*$G$182)+(E23*(VLOOKUP(D23,Fertilizantes!$A$49:$E$123,3,FALSE))))</f>
        <v>189.25760651842157</v>
      </c>
    </row>
    <row r="24" ht="18.75" customHeight="1">
      <c r="B24">
        <v>7</v>
      </c>
      <c r="C24">
        <f>$I$13+B24</f>
        <v>39948</v>
      </c>
      <c r="E24">
        <f>VLOOKUP(D24,Fertilizantes!$A$49:$E$123,2,FALSE)*$C$14</f>
        <v>0</v>
      </c>
      <c r="F24">
        <f>VLOOKUP(D24,Fertilizantes!$A$49:$E$123,4,FALSE)</f>
        <v>0</v>
      </c>
      <c r="G24">
        <f>IF($C$14*ReDiarioFert!C13&lt;=0,"0",$C$14*ReDiarioFert!C13)</f>
        <v>1.442389803312915</v>
      </c>
      <c r="I24">
        <f>$C$14*ReDiarioFert!E13</f>
        <v>1.8602263548721307</v>
      </c>
      <c r="K24">
        <f>$C$14*ReDiarioFert!G13</f>
        <v>5.447583874015748</v>
      </c>
      <c r="M24">
        <f>$C$14*ReDiarioFert!I13</f>
        <v>3.0301663093082443</v>
      </c>
      <c r="O24">
        <f>$C$14*ReDiarioFert!K13</f>
        <v>6.245958362157075</v>
      </c>
      <c r="Q24">
        <f>$C$14*ReDiarioFert!M13</f>
        <v>33.38758243902439</v>
      </c>
      <c r="T24">
        <f>((G24/100)*$G$176+(I24/100)*$G$177+(K24/100)*$G$178+(M24/100)*$G$179+(O24/100)*$G$180+(Q24)*$G$181+(S24*$G$182)+(E24*(VLOOKUP(D24,Fertilizantes!$A$49:$E$123,3,FALSE))))</f>
        <v>189.25760651842157</v>
      </c>
    </row>
    <row r="25">
      <c r="A25">
        <v>2</v>
      </c>
      <c r="B25">
        <v>8</v>
      </c>
      <c r="C25">
        <f>$I$13+B25</f>
        <v>39949</v>
      </c>
      <c r="E25">
        <f>VLOOKUP(D25,Fertilizantes!$A$49:$E$123,2,FALSE)*$C$14</f>
        <v>0</v>
      </c>
      <c r="F25">
        <f>VLOOKUP(D25,Fertilizantes!$A$49:$E$123,4,FALSE)</f>
        <v>0</v>
      </c>
      <c r="G25">
        <f>IF($C$14*ReDiarioFert!C14&lt;=0,"0",$C$14*ReDiarioFert!C14)</f>
        <v>1.442389803312915</v>
      </c>
      <c r="I25">
        <f>$C$14*ReDiarioFert!E14</f>
        <v>1.8602263548721307</v>
      </c>
      <c r="K25">
        <f>$C$14*ReDiarioFert!G14</f>
        <v>5.447583874015748</v>
      </c>
      <c r="M25">
        <f>$C$14*ReDiarioFert!I14</f>
        <v>3.0301663093082443</v>
      </c>
      <c r="O25">
        <f>$C$14*ReDiarioFert!K14</f>
        <v>6.245958362157075</v>
      </c>
      <c r="Q25">
        <f>$C$14*ReDiarioFert!M14</f>
        <v>33.38758243902439</v>
      </c>
      <c r="S25">
        <f>$C$14*Main!$D$63</f>
        <v>26.879999999999995</v>
      </c>
      <c r="T25">
        <f>((G25/100)*$G$176+(I25/100)*$G$177+(K25/100)*$G$178+(M25/100)*$G$179+(O25/100)*$G$180+(Q25)*$G$181+(S25*$G$182)+(E25*(VLOOKUP(D25,Fertilizantes!$A$49:$E$123,3,FALSE))))</f>
        <v>264.52160651842155</v>
      </c>
    </row>
    <row r="26">
      <c r="B26">
        <v>9</v>
      </c>
      <c r="C26">
        <f>$I$13+B26</f>
        <v>39950</v>
      </c>
      <c r="E26">
        <f>VLOOKUP(D26,Fertilizantes!$A$49:$E$123,2,FALSE)*$C$14</f>
        <v>0</v>
      </c>
      <c r="F26">
        <f>VLOOKUP(D26,Fertilizantes!$A$49:$E$123,4,FALSE)</f>
        <v>0</v>
      </c>
      <c r="G26">
        <f>IF($C$14*ReDiarioFert!C15&lt;=0,"0",$C$14*ReDiarioFert!C15)</f>
        <v>1.442389803312915</v>
      </c>
      <c r="I26">
        <f>$C$14*ReDiarioFert!E15</f>
        <v>1.8602263548721307</v>
      </c>
      <c r="K26">
        <f>$C$14*ReDiarioFert!G15</f>
        <v>5.447583874015748</v>
      </c>
      <c r="M26">
        <f>$C$14*ReDiarioFert!I15</f>
        <v>3.0301663093082443</v>
      </c>
      <c r="O26">
        <f>$C$14*ReDiarioFert!K15</f>
        <v>6.245958362157075</v>
      </c>
      <c r="Q26">
        <f>$C$14*ReDiarioFert!M15</f>
        <v>33.38758243902439</v>
      </c>
      <c r="T26">
        <f>((G26/100)*$G$176+(I26/100)*$G$177+(K26/100)*$G$178+(M26/100)*$G$179+(O26/100)*$G$180+(Q26)*$G$181+(S26*$G$182)+(E26*(VLOOKUP(D26,Fertilizantes!$A$49:$E$123,3,FALSE))))</f>
        <v>189.25760651842157</v>
      </c>
    </row>
    <row r="27">
      <c r="B27">
        <v>10</v>
      </c>
      <c r="C27">
        <f>$I$13+B27</f>
        <v>39951</v>
      </c>
      <c r="E27">
        <f>VLOOKUP(D27,Fertilizantes!$A$49:$E$123,2,FALSE)*$C$14</f>
        <v>0</v>
      </c>
      <c r="F27">
        <f>VLOOKUP(D27,Fertilizantes!$A$49:$E$123,4,FALSE)</f>
        <v>0</v>
      </c>
      <c r="G27">
        <f>IF($C$14*ReDiarioFert!C16&lt;=0,"0",$C$14*ReDiarioFert!C16)</f>
        <v>1.442389803312915</v>
      </c>
      <c r="I27">
        <f>$C$14*ReDiarioFert!E16</f>
        <v>1.8602263548721307</v>
      </c>
      <c r="K27">
        <f>$C$14*ReDiarioFert!G16</f>
        <v>5.447583874015748</v>
      </c>
      <c r="M27">
        <f>$C$14*ReDiarioFert!I16</f>
        <v>3.0301663093082443</v>
      </c>
      <c r="O27">
        <f>$C$14*ReDiarioFert!K16</f>
        <v>6.245958362157075</v>
      </c>
      <c r="Q27">
        <f>$C$14*ReDiarioFert!M16</f>
        <v>33.38758243902439</v>
      </c>
      <c r="S27">
        <f>Main!$H$82</f>
        <v>0</v>
      </c>
      <c r="T27">
        <f>((G27/100)*$G$176+(I27/100)*$G$177+(K27/100)*$G$178+(M27/100)*$G$179+(O27/100)*$G$180+(Q27)*$G$181+(S27*$G$182)+(E27*(VLOOKUP(D27,Fertilizantes!$A$49:$E$123,3,FALSE))))</f>
        <v>189.25760651842157</v>
      </c>
    </row>
    <row r="28">
      <c r="B28">
        <v>11</v>
      </c>
      <c r="C28">
        <f>$I$13+B28</f>
        <v>39952</v>
      </c>
      <c r="E28">
        <f>VLOOKUP(D28,Fertilizantes!$A$49:$E$123,2,FALSE)*$C$14</f>
        <v>0</v>
      </c>
      <c r="F28">
        <f>VLOOKUP(D28,Fertilizantes!$A$49:$E$123,4,FALSE)</f>
        <v>0</v>
      </c>
      <c r="G28">
        <f>IF($C$14*ReDiarioFert!C17&lt;=0,"0",$C$14*ReDiarioFert!C17)</f>
        <v>2.5241821557976</v>
      </c>
      <c r="I28">
        <f>$C$14*ReDiarioFert!E17</f>
        <v>3.255396121026229</v>
      </c>
      <c r="K28">
        <f>$C$14*ReDiarioFert!G17</f>
        <v>9.533271779527558</v>
      </c>
      <c r="M28">
        <f>$C$14*ReDiarioFert!I17</f>
        <v>5.302791041289427</v>
      </c>
      <c r="O28">
        <f>$C$14*ReDiarioFert!K17</f>
        <v>10.930427133774879</v>
      </c>
      <c r="Q28">
        <f>$C$14*ReDiarioFert!M17</f>
        <v>60.09777951219512</v>
      </c>
      <c r="T28">
        <f>((G28/100)*$G$176+(I28/100)*$G$177+(K28/100)*$G$178+(M28/100)*$G$179+(O28/100)*$G$180+(Q28)*$G$181+(S28*$G$182)+(E28*(VLOOKUP(D28,Fertilizantes!$A$49:$E$123,3,FALSE))))</f>
        <v>331.26759181699384</v>
      </c>
    </row>
    <row r="29">
      <c r="B29">
        <v>12</v>
      </c>
      <c r="C29">
        <f>$I$13+B29</f>
        <v>39953</v>
      </c>
      <c r="E29">
        <f>VLOOKUP(D29,Fertilizantes!$A$49:$E$123,2,FALSE)*$C$14</f>
        <v>0</v>
      </c>
      <c r="F29">
        <f>VLOOKUP(D29,Fertilizantes!$A$49:$E$123,4,FALSE)</f>
        <v>0</v>
      </c>
      <c r="G29">
        <f>IF($C$14*ReDiarioFert!C18&lt;=0,"0",$C$14*ReDiarioFert!C18)</f>
        <v>2.5241821557976</v>
      </c>
      <c r="I29">
        <f>$C$14*ReDiarioFert!E18</f>
        <v>3.255396121026229</v>
      </c>
      <c r="K29">
        <f>$C$14*ReDiarioFert!G18</f>
        <v>9.533271779527558</v>
      </c>
      <c r="M29">
        <f>$C$14*ReDiarioFert!I18</f>
        <v>5.302791041289427</v>
      </c>
      <c r="O29">
        <f>$C$14*ReDiarioFert!K18</f>
        <v>10.930427133774879</v>
      </c>
      <c r="Q29">
        <f>$C$14*ReDiarioFert!M18</f>
        <v>60.09777951219512</v>
      </c>
      <c r="T29">
        <f>((G29/100)*$G$176+(I29/100)*$G$177+(K29/100)*$G$178+(M29/100)*$G$179+(O29/100)*$G$180+(Q29)*$G$181+(S29*$G$182)+(E29*(VLOOKUP(D29,Fertilizantes!$A$49:$E$123,3,FALSE))))</f>
        <v>331.26759181699384</v>
      </c>
    </row>
    <row r="30">
      <c r="B30">
        <v>13</v>
      </c>
      <c r="C30">
        <f>$I$13+B30</f>
        <v>39954</v>
      </c>
      <c r="E30">
        <f>VLOOKUP(D30,Fertilizantes!$A$49:$E$123,2,FALSE)*$C$14</f>
        <v>0</v>
      </c>
      <c r="F30">
        <f>VLOOKUP(D30,Fertilizantes!$A$49:$E$123,4,FALSE)</f>
        <v>0</v>
      </c>
      <c r="G30">
        <f>IF($C$14*ReDiarioFert!C19&lt;=0,"0",$C$14*ReDiarioFert!C19)</f>
        <v>2.5241821557976</v>
      </c>
      <c r="I30">
        <f>$C$14*ReDiarioFert!E19</f>
        <v>3.255396121026229</v>
      </c>
      <c r="K30">
        <f>$C$14*ReDiarioFert!G19</f>
        <v>9.533271779527558</v>
      </c>
      <c r="M30">
        <f>$C$14*ReDiarioFert!I19</f>
        <v>5.302791041289427</v>
      </c>
      <c r="O30">
        <f>$C$14*ReDiarioFert!K19</f>
        <v>10.930427133774879</v>
      </c>
      <c r="Q30">
        <f>$C$14*ReDiarioFert!M19</f>
        <v>60.09777951219512</v>
      </c>
      <c r="T30">
        <f>((G30/100)*$G$176+(I30/100)*$G$177+(K30/100)*$G$178+(M30/100)*$G$179+(O30/100)*$G$180+(Q30)*$G$181+(S30*$G$182)+(E30*(VLOOKUP(D30,Fertilizantes!$A$49:$E$123,3,FALSE))))</f>
        <v>331.26759181699384</v>
      </c>
    </row>
    <row r="31">
      <c r="B31">
        <v>14</v>
      </c>
      <c r="C31">
        <f>$I$13+B31</f>
        <v>39955</v>
      </c>
      <c r="E31">
        <f>VLOOKUP(D31,Fertilizantes!$A$49:$E$123,2,FALSE)*$C$14</f>
        <v>0</v>
      </c>
      <c r="F31">
        <f>VLOOKUP(D31,Fertilizantes!$A$49:$E$123,4,FALSE)</f>
        <v>0</v>
      </c>
      <c r="G31">
        <f>IF($C$14*ReDiarioFert!C20&lt;=0,"0",$C$14*ReDiarioFert!C20)</f>
        <v>2.5241821557976</v>
      </c>
      <c r="I31">
        <f>$C$14*ReDiarioFert!E20</f>
        <v>3.255396121026229</v>
      </c>
      <c r="K31">
        <f>$C$14*ReDiarioFert!G20</f>
        <v>9.533271779527558</v>
      </c>
      <c r="M31">
        <f>$C$14*ReDiarioFert!I20</f>
        <v>5.302791041289427</v>
      </c>
      <c r="O31">
        <f>$C$14*ReDiarioFert!K20</f>
        <v>10.930427133774879</v>
      </c>
      <c r="Q31">
        <f>$C$14*ReDiarioFert!M20</f>
        <v>60.09777951219512</v>
      </c>
      <c r="T31">
        <f>((G31/100)*$G$176+(I31/100)*$G$177+(K31/100)*$G$178+(M31/100)*$G$179+(O31/100)*$G$180+(Q31)*$G$181+(S31*$G$182)+(E31*(VLOOKUP(D31,Fertilizantes!$A$49:$E$123,3,FALSE))))</f>
        <v>331.26759181699384</v>
      </c>
    </row>
    <row r="32">
      <c r="A32">
        <v>3</v>
      </c>
      <c r="B32">
        <v>15</v>
      </c>
      <c r="C32">
        <f>$I$13+B32</f>
        <v>39956</v>
      </c>
      <c r="E32">
        <f>VLOOKUP(D32,Fertilizantes!$A$49:$E$123,2,FALSE)*$C$14</f>
        <v>0</v>
      </c>
      <c r="F32">
        <f>VLOOKUP(D32,Fertilizantes!$A$49:$E$123,4,FALSE)</f>
        <v>0</v>
      </c>
      <c r="G32">
        <f>IF($C$14*ReDiarioFert!C21&lt;=0,"0",$C$14*ReDiarioFert!C21)</f>
        <v>2.5241821557976</v>
      </c>
      <c r="I32">
        <f>$C$14*ReDiarioFert!E21</f>
        <v>3.255396121026229</v>
      </c>
      <c r="K32">
        <f>$C$14*ReDiarioFert!G21</f>
        <v>9.533271779527558</v>
      </c>
      <c r="M32">
        <f>$C$14*ReDiarioFert!I21</f>
        <v>5.302791041289427</v>
      </c>
      <c r="O32">
        <f>$C$14*ReDiarioFert!K21</f>
        <v>10.930427133774879</v>
      </c>
      <c r="Q32">
        <f>$C$14*ReDiarioFert!M21</f>
        <v>60.09777951219512</v>
      </c>
      <c r="S32">
        <f>$C$14*Main!$D$63</f>
        <v>26.879999999999995</v>
      </c>
      <c r="T32">
        <f>((G32/100)*$G$176+(I32/100)*$G$177+(K32/100)*$G$178+(M32/100)*$G$179+(O32/100)*$G$180+(Q32)*$G$181+(S32*$G$182)+(E32*(VLOOKUP(D32,Fertilizantes!$A$49:$E$123,3,FALSE))))</f>
        <v>406.5315918169938</v>
      </c>
    </row>
    <row r="33">
      <c r="B33">
        <v>16</v>
      </c>
      <c r="C33">
        <f>$I$13+B33</f>
        <v>39957</v>
      </c>
      <c r="E33">
        <f>VLOOKUP(D33,Fertilizantes!$A$49:$E$123,2,FALSE)*$C$14</f>
        <v>0</v>
      </c>
      <c r="F33">
        <f>VLOOKUP(D33,Fertilizantes!$A$49:$E$123,4,FALSE)</f>
        <v>0</v>
      </c>
      <c r="G33">
        <f>IF($C$14*ReDiarioFert!C22&lt;=0,"0",$C$14*ReDiarioFert!C22)</f>
        <v>2.5241821557976</v>
      </c>
      <c r="I33">
        <f>$C$14*ReDiarioFert!E22</f>
        <v>3.255396121026229</v>
      </c>
      <c r="K33">
        <f>$C$14*ReDiarioFert!G22</f>
        <v>9.533271779527558</v>
      </c>
      <c r="M33">
        <f>$C$14*ReDiarioFert!I22</f>
        <v>5.302791041289427</v>
      </c>
      <c r="O33">
        <f>$C$14*ReDiarioFert!K22</f>
        <v>10.930427133774879</v>
      </c>
      <c r="Q33">
        <f>$C$14*ReDiarioFert!M22</f>
        <v>60.09777951219512</v>
      </c>
      <c r="T33">
        <f>((G33/100)*$G$176+(I33/100)*$G$177+(K33/100)*$G$178+(M33/100)*$G$179+(O33/100)*$G$180+(Q33)*$G$181+(S33*$G$182)+(E33*(VLOOKUP(D33,Fertilizantes!$A$49:$E$123,3,FALSE))))</f>
        <v>331.26759181699384</v>
      </c>
    </row>
    <row r="34">
      <c r="B34">
        <v>17</v>
      </c>
      <c r="C34">
        <f>$I$13+B34</f>
        <v>39958</v>
      </c>
      <c r="E34">
        <f>VLOOKUP(D34,Fertilizantes!$A$49:$E$123,2,FALSE)*$C$14</f>
        <v>0</v>
      </c>
      <c r="F34">
        <f>VLOOKUP(D34,Fertilizantes!$A$49:$E$123,4,FALSE)</f>
        <v>0</v>
      </c>
      <c r="G34">
        <f>IF($C$14*ReDiarioFert!C23&lt;=0,"0",$C$14*ReDiarioFert!C23)</f>
        <v>2.5241821557976</v>
      </c>
      <c r="I34">
        <f>$C$14*ReDiarioFert!E23</f>
        <v>3.255396121026229</v>
      </c>
      <c r="K34">
        <f>$C$14*ReDiarioFert!G23</f>
        <v>9.533271779527558</v>
      </c>
      <c r="M34">
        <f>$C$14*ReDiarioFert!I23</f>
        <v>5.302791041289427</v>
      </c>
      <c r="O34">
        <f>$C$14*ReDiarioFert!K23</f>
        <v>10.930427133774879</v>
      </c>
      <c r="Q34">
        <f>$C$14*ReDiarioFert!M23</f>
        <v>60.09777951219512</v>
      </c>
      <c r="T34">
        <f>((G34/100)*$G$176+(I34/100)*$G$177+(K34/100)*$G$178+(M34/100)*$G$179+(O34/100)*$G$180+(Q34)*$G$181+(S34*$G$182)+(E34*(VLOOKUP(D34,Fertilizantes!$A$49:$E$123,3,FALSE))))</f>
        <v>331.26759181699384</v>
      </c>
    </row>
    <row r="35">
      <c r="B35">
        <v>18</v>
      </c>
      <c r="C35">
        <f>$I$13+B35</f>
        <v>39959</v>
      </c>
      <c r="E35">
        <f>VLOOKUP(D35,Fertilizantes!$A$49:$E$123,2,FALSE)*$C$14</f>
        <v>0</v>
      </c>
      <c r="F35">
        <f>VLOOKUP(D35,Fertilizantes!$A$49:$E$123,4,FALSE)</f>
        <v>0</v>
      </c>
      <c r="G35">
        <f>IF($C$14*ReDiarioFert!C24&lt;=0,"0",$C$14*ReDiarioFert!C24)</f>
        <v>3.605974508282286</v>
      </c>
      <c r="I35">
        <f>$C$14*ReDiarioFert!E24</f>
        <v>4.650565887180328</v>
      </c>
      <c r="K35">
        <f>$C$14*ReDiarioFert!G24</f>
        <v>13.618959685039371</v>
      </c>
      <c r="M35">
        <f>$C$14*ReDiarioFert!I24</f>
        <v>7.575415773270611</v>
      </c>
      <c r="O35">
        <f>$C$14*ReDiarioFert!K24</f>
        <v>15.614895905392688</v>
      </c>
      <c r="Q35">
        <f>$C$14*ReDiarioFert!M24</f>
        <v>80.12993560975609</v>
      </c>
      <c r="T35">
        <f>((G35/100)*$G$176+(I35/100)*$G$177+(K35/100)*$G$178+(M35/100)*$G$179+(O35/100)*$G$180+(Q35)*$G$181+(S35*$G$182)+(E35*(VLOOKUP(D35,Fertilizantes!$A$49:$E$123,3,FALSE))))</f>
        <v>473.0104554765418</v>
      </c>
    </row>
    <row r="36">
      <c r="B36">
        <v>19</v>
      </c>
      <c r="C36">
        <f>$I$13+B36</f>
        <v>39960</v>
      </c>
      <c r="E36">
        <f>VLOOKUP(D36,Fertilizantes!$A$49:$E$123,2,FALSE)*$C$14</f>
        <v>0</v>
      </c>
      <c r="F36">
        <f>VLOOKUP(D36,Fertilizantes!$A$49:$E$123,4,FALSE)</f>
        <v>0</v>
      </c>
      <c r="G36">
        <f>IF($C$14*ReDiarioFert!C25&lt;=0,"0",$C$14*ReDiarioFert!C25)</f>
        <v>3.605974508282286</v>
      </c>
      <c r="I36">
        <f>$C$14*ReDiarioFert!E25</f>
        <v>4.650565887180328</v>
      </c>
      <c r="K36">
        <f>$C$14*ReDiarioFert!G25</f>
        <v>13.618959685039371</v>
      </c>
      <c r="M36">
        <f>$C$14*ReDiarioFert!I25</f>
        <v>7.575415773270611</v>
      </c>
      <c r="O36">
        <f>$C$14*ReDiarioFert!K25</f>
        <v>15.614895905392688</v>
      </c>
      <c r="Q36">
        <f>$C$14*ReDiarioFert!M25</f>
        <v>80.12993560975609</v>
      </c>
      <c r="T36">
        <f>((G36/100)*$G$176+(I36/100)*$G$177+(K36/100)*$G$178+(M36/100)*$G$179+(O36/100)*$G$180+(Q36)*$G$181+(S36*$G$182)+(E36*(VLOOKUP(D36,Fertilizantes!$A$49:$E$123,3,FALSE))))</f>
        <v>473.0104554765418</v>
      </c>
    </row>
    <row r="37">
      <c r="B37">
        <v>20</v>
      </c>
      <c r="C37">
        <f>$I$13+B37</f>
        <v>39961</v>
      </c>
      <c r="E37">
        <f>VLOOKUP(D37,Fertilizantes!$A$49:$E$123,2,FALSE)*$C$14</f>
        <v>0</v>
      </c>
      <c r="F37">
        <f>VLOOKUP(D37,Fertilizantes!$A$49:$E$123,4,FALSE)</f>
        <v>0</v>
      </c>
      <c r="G37">
        <f>IF($C$14*ReDiarioFert!C26&lt;=0,"0",$C$14*ReDiarioFert!C26)</f>
        <v>3.605974508282286</v>
      </c>
      <c r="I37">
        <f>$C$14*ReDiarioFert!E26</f>
        <v>4.650565887180328</v>
      </c>
      <c r="K37">
        <f>$C$14*ReDiarioFert!G26</f>
        <v>13.618959685039371</v>
      </c>
      <c r="M37">
        <f>$C$14*ReDiarioFert!I26</f>
        <v>7.575415773270611</v>
      </c>
      <c r="O37">
        <f>$C$14*ReDiarioFert!K26</f>
        <v>15.614895905392688</v>
      </c>
      <c r="Q37">
        <f>$C$14*ReDiarioFert!M26</f>
        <v>80.12993560975609</v>
      </c>
      <c r="T37">
        <f>((G37/100)*$G$176+(I37/100)*$G$177+(K37/100)*$G$178+(M37/100)*$G$179+(O37/100)*$G$180+(Q37)*$G$181+(S37*$G$182)+(E37*(VLOOKUP(D37,Fertilizantes!$A$49:$E$123,3,FALSE))))</f>
        <v>473.0104554765418</v>
      </c>
    </row>
    <row r="38">
      <c r="B38">
        <v>21</v>
      </c>
      <c r="C38">
        <f>$I$13+B38</f>
        <v>39962</v>
      </c>
      <c r="E38">
        <f>VLOOKUP(D38,Fertilizantes!$A$49:$E$123,2,FALSE)*$C$14</f>
        <v>0</v>
      </c>
      <c r="F38">
        <f>VLOOKUP(D38,Fertilizantes!$A$49:$E$123,4,FALSE)</f>
        <v>0</v>
      </c>
      <c r="G38">
        <f>IF($C$14*ReDiarioFert!C27&lt;=0,"0",$C$14*ReDiarioFert!C27)</f>
        <v>3.605974508282286</v>
      </c>
      <c r="I38">
        <f>$C$14*ReDiarioFert!E27</f>
        <v>4.650565887180328</v>
      </c>
      <c r="K38">
        <f>$C$14*ReDiarioFert!G27</f>
        <v>13.618959685039371</v>
      </c>
      <c r="M38">
        <f>$C$14*ReDiarioFert!I27</f>
        <v>7.575415773270611</v>
      </c>
      <c r="O38">
        <f>$C$14*ReDiarioFert!K27</f>
        <v>15.614895905392688</v>
      </c>
      <c r="Q38">
        <f>$C$14*ReDiarioFert!M27</f>
        <v>80.12993560975609</v>
      </c>
      <c r="T38">
        <f>((G38/100)*$G$176+(I38/100)*$G$177+(K38/100)*$G$178+(M38/100)*$G$179+(O38/100)*$G$180+(Q38)*$G$181+(S38*$G$182)+(E38*(VLOOKUP(D38,Fertilizantes!$A$49:$E$123,3,FALSE))))</f>
        <v>473.0104554765418</v>
      </c>
    </row>
    <row r="39">
      <c r="A39">
        <v>4</v>
      </c>
      <c r="B39">
        <v>22</v>
      </c>
      <c r="C39">
        <f>$I$13+B39</f>
        <v>39963</v>
      </c>
      <c r="E39">
        <f>VLOOKUP(D39,Fertilizantes!$A$49:$E$123,2,FALSE)*$C$14</f>
        <v>0</v>
      </c>
      <c r="F39">
        <f>VLOOKUP(D39,Fertilizantes!$A$49:$E$123,4,FALSE)</f>
        <v>0</v>
      </c>
      <c r="G39">
        <f>IF($C$14*ReDiarioFert!C28&lt;=0,"0",$C$14*ReDiarioFert!C28)</f>
        <v>3.605974508282286</v>
      </c>
      <c r="I39">
        <f>$C$14*ReDiarioFert!E28</f>
        <v>4.650565887180328</v>
      </c>
      <c r="K39">
        <f>$C$14*ReDiarioFert!G28</f>
        <v>13.618959685039371</v>
      </c>
      <c r="M39">
        <f>$C$14*ReDiarioFert!I28</f>
        <v>7.575415773270611</v>
      </c>
      <c r="O39">
        <f>$C$14*ReDiarioFert!K28</f>
        <v>15.614895905392688</v>
      </c>
      <c r="Q39">
        <f>$C$14*ReDiarioFert!M28</f>
        <v>80.12993560975609</v>
      </c>
      <c r="S39">
        <f>$C$14*Main!$D$63</f>
        <v>26.879999999999995</v>
      </c>
      <c r="T39">
        <f>((G39/100)*$G$176+(I39/100)*$G$177+(K39/100)*$G$178+(M39/100)*$G$179+(O39/100)*$G$180+(Q39)*$G$181+(S39*$G$182)+(E39*(VLOOKUP(D39,Fertilizantes!$A$49:$E$123,3,FALSE))))</f>
        <v>548.2744554765418</v>
      </c>
    </row>
    <row r="40">
      <c r="B40">
        <v>23</v>
      </c>
      <c r="C40">
        <f>$I$13+B40</f>
        <v>39964</v>
      </c>
      <c r="E40">
        <f>VLOOKUP(D40,Fertilizantes!$A$49:$E$123,2,FALSE)*$C$14</f>
        <v>0</v>
      </c>
      <c r="F40">
        <f>VLOOKUP(D40,Fertilizantes!$A$49:$E$123,4,FALSE)</f>
        <v>0</v>
      </c>
      <c r="G40">
        <f>IF($C$14*ReDiarioFert!C29&lt;=0,"0",$C$14*ReDiarioFert!C29)</f>
        <v>3.605974508282286</v>
      </c>
      <c r="I40">
        <f>$C$14*ReDiarioFert!E29</f>
        <v>4.650565887180328</v>
      </c>
      <c r="K40">
        <f>$C$14*ReDiarioFert!G29</f>
        <v>13.618959685039371</v>
      </c>
      <c r="M40">
        <f>$C$14*ReDiarioFert!I29</f>
        <v>7.575415773270611</v>
      </c>
      <c r="O40">
        <f>$C$14*ReDiarioFert!K29</f>
        <v>15.614895905392688</v>
      </c>
      <c r="Q40">
        <f>$C$14*ReDiarioFert!M29</f>
        <v>80.12993560975609</v>
      </c>
      <c r="T40">
        <f>((G40/100)*$G$176+(I40/100)*$G$177+(K40/100)*$G$178+(M40/100)*$G$179+(O40/100)*$G$180+(Q40)*$G$181+(S40*$G$182)+(E40*(VLOOKUP(D40,Fertilizantes!$A$49:$E$123,3,FALSE))))</f>
        <v>473.0104554765418</v>
      </c>
    </row>
    <row r="41">
      <c r="B41">
        <v>24</v>
      </c>
      <c r="C41">
        <f>$I$13+B41</f>
        <v>39965</v>
      </c>
      <c r="E41">
        <f>VLOOKUP(D41,Fertilizantes!$A$49:$E$123,2,FALSE)*$C$14</f>
        <v>0</v>
      </c>
      <c r="F41">
        <f>VLOOKUP(D41,Fertilizantes!$A$49:$E$123,4,FALSE)</f>
        <v>0</v>
      </c>
      <c r="G41">
        <f>IF($C$14*ReDiarioFert!C30&lt;=0,"0",$C$14*ReDiarioFert!C30)</f>
        <v>3.605974508282286</v>
      </c>
      <c r="I41">
        <f>$C$14*ReDiarioFert!E30</f>
        <v>4.650565887180328</v>
      </c>
      <c r="K41">
        <f>$C$14*ReDiarioFert!G30</f>
        <v>13.618959685039371</v>
      </c>
      <c r="M41">
        <f>$C$14*ReDiarioFert!I30</f>
        <v>7.575415773270611</v>
      </c>
      <c r="O41">
        <f>$C$14*ReDiarioFert!K30</f>
        <v>15.614895905392688</v>
      </c>
      <c r="Q41">
        <f>$C$14*ReDiarioFert!M30</f>
        <v>80.12993560975609</v>
      </c>
      <c r="S41">
        <f>Main!$H$82</f>
        <v>0</v>
      </c>
      <c r="T41">
        <f>((G41/100)*$G$176+(I41/100)*$G$177+(K41/100)*$G$178+(M41/100)*$G$179+(O41/100)*$G$180+(Q41)*$G$181+(S41*$G$182)+(E41*(VLOOKUP(D41,Fertilizantes!$A$49:$E$123,3,FALSE))))</f>
        <v>473.0104554765418</v>
      </c>
    </row>
    <row r="42">
      <c r="B42">
        <v>25</v>
      </c>
      <c r="C42">
        <f>$I$13+B42</f>
        <v>39966</v>
      </c>
      <c r="E42">
        <f>VLOOKUP(D42,Fertilizantes!$A$49:$E$123,2,FALSE)*$C$14</f>
        <v>0</v>
      </c>
      <c r="F42">
        <f>VLOOKUP(D42,Fertilizantes!$A$49:$E$123,4,FALSE)</f>
        <v>0</v>
      </c>
      <c r="G42">
        <f>IF($C$14*ReDiarioFert!C31&lt;=0,"0",$C$14*ReDiarioFert!C31)</f>
        <v>3.605974508282286</v>
      </c>
      <c r="I42">
        <f>$C$14*ReDiarioFert!E31</f>
        <v>4.650565887180328</v>
      </c>
      <c r="K42">
        <f>$C$14*ReDiarioFert!G31</f>
        <v>13.618959685039371</v>
      </c>
      <c r="M42">
        <f>$C$14*ReDiarioFert!I31</f>
        <v>7.575415773270611</v>
      </c>
      <c r="O42">
        <f>$C$14*ReDiarioFert!K31</f>
        <v>15.614895905392688</v>
      </c>
      <c r="Q42">
        <f>$C$14*ReDiarioFert!M31</f>
        <v>80.12993560975609</v>
      </c>
      <c r="T42">
        <f>((G42/100)*$G$176+(I42/100)*$G$177+(K42/100)*$G$178+(M42/100)*$G$179+(O42/100)*$G$180+(Q42)*$G$181+(S42*$G$182)+(E42*(VLOOKUP(D42,Fertilizantes!$A$49:$E$123,3,FALSE))))</f>
        <v>473.0104554765418</v>
      </c>
    </row>
    <row r="43">
      <c r="B43">
        <v>26</v>
      </c>
      <c r="C43">
        <f>$I$13+B43</f>
        <v>39967</v>
      </c>
      <c r="E43">
        <f>VLOOKUP(D43,Fertilizantes!$A$49:$E$123,2,FALSE)*$C$14</f>
        <v>0</v>
      </c>
      <c r="F43">
        <f>VLOOKUP(D43,Fertilizantes!$A$49:$E$123,4,FALSE)</f>
        <v>0</v>
      </c>
      <c r="G43">
        <f>IF($C$14*ReDiarioFert!C32&lt;=0,"0",$C$14*ReDiarioFert!C32)</f>
        <v>3.605974508282286</v>
      </c>
      <c r="I43">
        <f>$C$14*ReDiarioFert!E32</f>
        <v>4.650565887180328</v>
      </c>
      <c r="K43">
        <f>$C$14*ReDiarioFert!G32</f>
        <v>13.618959685039371</v>
      </c>
      <c r="M43">
        <f>$C$14*ReDiarioFert!I32</f>
        <v>7.575415773270611</v>
      </c>
      <c r="O43">
        <f>$C$14*ReDiarioFert!K32</f>
        <v>15.614895905392688</v>
      </c>
      <c r="Q43">
        <f>$C$14*ReDiarioFert!M32</f>
        <v>80.12993560975609</v>
      </c>
      <c r="T43">
        <f>((G43/100)*$G$176+(I43/100)*$G$177+(K43/100)*$G$178+(M43/100)*$G$179+(O43/100)*$G$180+(Q43)*$G$181+(S43*$G$182)+(E43*(VLOOKUP(D43,Fertilizantes!$A$49:$E$123,3,FALSE))))</f>
        <v>473.0104554765418</v>
      </c>
    </row>
    <row r="44">
      <c r="B44">
        <v>27</v>
      </c>
      <c r="C44">
        <f>$I$13+B44</f>
        <v>39968</v>
      </c>
      <c r="E44">
        <f>VLOOKUP(D44,Fertilizantes!$A$49:$E$123,2,FALSE)*$C$14</f>
        <v>0</v>
      </c>
      <c r="F44">
        <f>VLOOKUP(D44,Fertilizantes!$A$49:$E$123,4,FALSE)</f>
        <v>0</v>
      </c>
      <c r="G44">
        <f>IF($C$14*ReDiarioFert!C33&lt;=0,"0",$C$14*ReDiarioFert!C33)</f>
        <v>3.605974508282286</v>
      </c>
      <c r="I44">
        <f>$C$14*ReDiarioFert!E33</f>
        <v>4.650565887180328</v>
      </c>
      <c r="K44">
        <f>$C$14*ReDiarioFert!G33</f>
        <v>13.618959685039371</v>
      </c>
      <c r="M44">
        <f>$C$14*ReDiarioFert!I33</f>
        <v>7.575415773270611</v>
      </c>
      <c r="O44">
        <f>$C$14*ReDiarioFert!K33</f>
        <v>15.614895905392688</v>
      </c>
      <c r="Q44">
        <f>$C$14*ReDiarioFert!M33</f>
        <v>80.12993560975609</v>
      </c>
      <c r="T44">
        <f>((G44/100)*$G$176+(I44/100)*$G$177+(K44/100)*$G$178+(M44/100)*$G$179+(O44/100)*$G$180+(Q44)*$G$181+(S44*$G$182)+(E44*(VLOOKUP(D44,Fertilizantes!$A$49:$E$123,3,FALSE))))</f>
        <v>473.0104554765418</v>
      </c>
    </row>
    <row r="45">
      <c r="B45">
        <v>28</v>
      </c>
      <c r="C45">
        <f>$I$13+B45</f>
        <v>39969</v>
      </c>
      <c r="E45">
        <f>VLOOKUP(D45,Fertilizantes!$A$49:$E$123,2,FALSE)*$C$14</f>
        <v>0</v>
      </c>
      <c r="F45">
        <f>VLOOKUP(D45,Fertilizantes!$A$49:$E$123,4,FALSE)</f>
        <v>0</v>
      </c>
      <c r="G45">
        <f>IF($C$14*ReDiarioFert!C34&lt;=0,"0",$C$14*ReDiarioFert!C34)</f>
        <v>3.605974508282286</v>
      </c>
      <c r="I45">
        <f>$C$14*ReDiarioFert!E34</f>
        <v>4.650565887180328</v>
      </c>
      <c r="K45">
        <f>$C$14*ReDiarioFert!G34</f>
        <v>13.618959685039371</v>
      </c>
      <c r="M45">
        <f>$C$14*ReDiarioFert!I34</f>
        <v>7.575415773270611</v>
      </c>
      <c r="O45">
        <f>$C$14*ReDiarioFert!K34</f>
        <v>15.614895905392688</v>
      </c>
      <c r="Q45">
        <f>$C$14*ReDiarioFert!M34</f>
        <v>80.12993560975609</v>
      </c>
      <c r="S45">
        <f>Main!$H$84</f>
        <v>0</v>
      </c>
      <c r="T45">
        <f>((G45/100)*$G$176+(I45/100)*$G$177+(K45/100)*$G$178+(M45/100)*$G$179+(O45/100)*$G$180+(Q45)*$G$181+(S45*$G$182)+(E45*(VLOOKUP(D45,Fertilizantes!$A$49:$E$123,3,FALSE))))</f>
        <v>473.0104554765418</v>
      </c>
    </row>
    <row r="46">
      <c r="A46">
        <v>5</v>
      </c>
      <c r="B46">
        <v>29</v>
      </c>
      <c r="C46">
        <f>$I$13+B46</f>
        <v>39970</v>
      </c>
      <c r="D46">
        <f>Main!$H$87</f>
        <v>0</v>
      </c>
      <c r="E46">
        <f>VLOOKUP(D46,Fertilizantes!$A$49:$E$123,2,FALSE)*$C$14</f>
        <v>0</v>
      </c>
      <c r="F46">
        <f>VLOOKUP(D46,Fertilizantes!$A$49:$E$123,4,FALSE)</f>
        <v>0</v>
      </c>
      <c r="G46">
        <f>IF($C$14*ReDiarioFert!C35&lt;=0,"0",$C$14*ReDiarioFert!C35)</f>
        <v>3.605974508282286</v>
      </c>
      <c r="I46">
        <f>$C$14*ReDiarioFert!E35</f>
        <v>4.650565887180328</v>
      </c>
      <c r="K46">
        <f>$C$14*ReDiarioFert!G35</f>
        <v>13.618959685039371</v>
      </c>
      <c r="M46">
        <f>$C$14*ReDiarioFert!I35</f>
        <v>7.575415773270611</v>
      </c>
      <c r="O46">
        <f>$C$14*ReDiarioFert!K35</f>
        <v>15.614895905392688</v>
      </c>
      <c r="Q46">
        <f>$C$14*ReDiarioFert!M35</f>
        <v>80.12993560975609</v>
      </c>
      <c r="S46">
        <f>$C$14*Main!$D$63</f>
        <v>26.879999999999995</v>
      </c>
      <c r="T46">
        <f>((G46/100)*$G$176+(I46/100)*$G$177+(K46/100)*$G$178+(M46/100)*$G$179+(O46/100)*$G$180+(Q46)*$G$181+(S46*$G$182)+(E46*(VLOOKUP(D46,Fertilizantes!$A$49:$E$123,3,FALSE))))</f>
        <v>548.2744554765418</v>
      </c>
    </row>
    <row r="47">
      <c r="B47">
        <v>30</v>
      </c>
      <c r="C47">
        <f>$I$13+B47</f>
        <v>39971</v>
      </c>
      <c r="E47">
        <f>VLOOKUP(D47,Fertilizantes!$A$49:$E$123,2,FALSE)*$C$14</f>
        <v>0</v>
      </c>
      <c r="F47">
        <f>VLOOKUP(D47,Fertilizantes!$A$49:$E$123,4,FALSE)</f>
        <v>0</v>
      </c>
      <c r="G47">
        <f>IF($C$14*ReDiarioFert!C36&lt;=0,"0",$C$14*ReDiarioFert!C36)</f>
        <v>3.605974508282286</v>
      </c>
      <c r="I47">
        <f>$C$14*ReDiarioFert!E36</f>
        <v>4.650565887180328</v>
      </c>
      <c r="K47">
        <f>$C$14*ReDiarioFert!G36</f>
        <v>13.618959685039371</v>
      </c>
      <c r="M47">
        <f>$C$14*ReDiarioFert!I36</f>
        <v>7.575415773270611</v>
      </c>
      <c r="O47">
        <f>$C$14*ReDiarioFert!K36</f>
        <v>15.614895905392688</v>
      </c>
      <c r="Q47">
        <f>$C$14*ReDiarioFert!M36</f>
        <v>80.12993560975609</v>
      </c>
      <c r="T47">
        <f>((G47/100)*$G$176+(I47/100)*$G$177+(K47/100)*$G$178+(M47/100)*$G$179+(O47/100)*$G$180+(Q47)*$G$181+(S47*$G$182)+(E47*(VLOOKUP(D47,Fertilizantes!$A$49:$E$123,3,FALSE))))</f>
        <v>473.0104554765418</v>
      </c>
    </row>
    <row r="48">
      <c r="B48">
        <v>31</v>
      </c>
      <c r="C48">
        <f>$I$13+B48</f>
        <v>39972</v>
      </c>
      <c r="E48">
        <f>VLOOKUP(D48,Fertilizantes!$A$49:$E$123,2,FALSE)*$C$14</f>
        <v>0</v>
      </c>
      <c r="F48">
        <f>VLOOKUP(D48,Fertilizantes!$A$49:$E$123,4,FALSE)</f>
        <v>0</v>
      </c>
      <c r="G48">
        <f>IF($C$14*ReDiarioFert!C37&lt;=0,"0",$C$14*ReDiarioFert!C37)</f>
        <v>3.605974508282286</v>
      </c>
      <c r="I48">
        <f>$C$14*ReDiarioFert!E37</f>
        <v>4.650565887180328</v>
      </c>
      <c r="K48">
        <f>$C$14*ReDiarioFert!G37</f>
        <v>13.618959685039371</v>
      </c>
      <c r="M48">
        <f>$C$14*ReDiarioFert!I37</f>
        <v>7.575415773270611</v>
      </c>
      <c r="O48">
        <f>$C$14*ReDiarioFert!K37</f>
        <v>15.614895905392688</v>
      </c>
      <c r="Q48">
        <f>$C$14*ReDiarioFert!M37</f>
        <v>80.12993560975609</v>
      </c>
      <c r="T48">
        <f>((G48/100)*$G$176+(I48/100)*$G$177+(K48/100)*$G$178+(M48/100)*$G$179+(O48/100)*$G$180+(Q48)*$G$181+(S48*$G$182)+(E48*(VLOOKUP(D48,Fertilizantes!$A$49:$E$123,3,FALSE))))</f>
        <v>473.0104554765418</v>
      </c>
    </row>
    <row r="49">
      <c r="B49">
        <v>32</v>
      </c>
      <c r="C49">
        <f>$I$13+B49</f>
        <v>39973</v>
      </c>
      <c r="E49">
        <f>VLOOKUP(D49,Fertilizantes!$A$49:$E$123,2,FALSE)*$C$14</f>
        <v>0</v>
      </c>
      <c r="F49">
        <f>VLOOKUP(D49,Fertilizantes!$A$49:$E$123,4,FALSE)</f>
        <v>0</v>
      </c>
      <c r="G49">
        <f>IF($C$14*ReDiarioFert!C38&lt;=0,"0",$C$14*ReDiarioFert!C38)</f>
        <v>3.605974508282286</v>
      </c>
      <c r="I49">
        <f>$C$14*ReDiarioFert!E38</f>
        <v>4.650565887180328</v>
      </c>
      <c r="K49">
        <f>$C$14*ReDiarioFert!G38</f>
        <v>13.618959685039371</v>
      </c>
      <c r="M49">
        <f>$C$14*ReDiarioFert!I38</f>
        <v>7.575415773270611</v>
      </c>
      <c r="O49">
        <f>$C$14*ReDiarioFert!K38</f>
        <v>15.614895905392688</v>
      </c>
      <c r="Q49">
        <f>$C$14*ReDiarioFert!M38</f>
        <v>80.12993560975609</v>
      </c>
      <c r="T49">
        <f>((G49/100)*$G$176+(I49/100)*$G$177+(K49/100)*$G$178+(M49/100)*$G$179+(O49/100)*$G$180+(Q49)*$G$181+(S49*$G$182)+(E49*(VLOOKUP(D49,Fertilizantes!$A$49:$E$123,3,FALSE))))</f>
        <v>473.0104554765418</v>
      </c>
    </row>
    <row r="50">
      <c r="B50">
        <v>33</v>
      </c>
      <c r="C50">
        <f>$I$13+B50</f>
        <v>39974</v>
      </c>
      <c r="E50">
        <f>VLOOKUP(D50,Fertilizantes!$A$49:$E$123,2,FALSE)*$C$14</f>
        <v>0</v>
      </c>
      <c r="F50">
        <f>VLOOKUP(D50,Fertilizantes!$A$49:$E$123,4,FALSE)</f>
        <v>0</v>
      </c>
      <c r="G50">
        <f>IF($C$14*ReDiarioFert!C39&lt;=0,"0",$C$14*ReDiarioFert!C39)</f>
        <v>5.76955921325166</v>
      </c>
      <c r="I50">
        <f>$C$14*ReDiarioFert!E39</f>
        <v>7.440905419488523</v>
      </c>
      <c r="K50">
        <f>$C$14*ReDiarioFert!G39</f>
        <v>21.79033549606299</v>
      </c>
      <c r="M50">
        <f>$C$14*ReDiarioFert!I39</f>
        <v>12.120665237232977</v>
      </c>
      <c r="O50">
        <f>$C$14*ReDiarioFert!K39</f>
        <v>24.9838334486283</v>
      </c>
      <c r="Q50">
        <f>$C$14*ReDiarioFert!M39</f>
        <v>113.5181736585366</v>
      </c>
      <c r="T50">
        <f>((G50/100)*$G$176+(I50/100)*$G$177+(K50/100)*$G$178+(M50/100)*$G$179+(O50/100)*$G$180+(Q50)*$G$181+(S50*$G$182)+(E50*(VLOOKUP(D50,Fertilizantes!$A$49:$E$123,3,FALSE))))</f>
        <v>756.2291398297839</v>
      </c>
    </row>
    <row r="51">
      <c r="B51">
        <v>34</v>
      </c>
      <c r="C51">
        <f>$I$13+B51</f>
        <v>39975</v>
      </c>
      <c r="E51">
        <f>VLOOKUP(D51,Fertilizantes!$A$49:$E$123,2,FALSE)*$C$14</f>
        <v>0</v>
      </c>
      <c r="F51">
        <f>VLOOKUP(D51,Fertilizantes!$A$49:$E$123,4,FALSE)</f>
        <v>0</v>
      </c>
      <c r="G51">
        <f>IF($C$14*ReDiarioFert!C40&lt;=0,"0",$C$14*ReDiarioFert!C40)</f>
        <v>5.76955921325166</v>
      </c>
      <c r="I51">
        <f>$C$14*ReDiarioFert!E40</f>
        <v>7.440905419488523</v>
      </c>
      <c r="K51">
        <f>$C$14*ReDiarioFert!G40</f>
        <v>21.79033549606299</v>
      </c>
      <c r="M51">
        <f>$C$14*ReDiarioFert!I40</f>
        <v>12.120665237232977</v>
      </c>
      <c r="O51">
        <f>$C$14*ReDiarioFert!K40</f>
        <v>24.9838334486283</v>
      </c>
      <c r="Q51">
        <f>$C$14*ReDiarioFert!M40</f>
        <v>113.5181736585366</v>
      </c>
      <c r="T51">
        <f>((G51/100)*$G$176+(I51/100)*$G$177+(K51/100)*$G$178+(M51/100)*$G$179+(O51/100)*$G$180+(Q51)*$G$181+(S51*$G$182)+(E51*(VLOOKUP(D51,Fertilizantes!$A$49:$E$123,3,FALSE))))</f>
        <v>756.2291398297839</v>
      </c>
    </row>
    <row r="52">
      <c r="B52">
        <v>35</v>
      </c>
      <c r="C52">
        <f>$I$13+B52</f>
        <v>39976</v>
      </c>
      <c r="E52">
        <f>VLOOKUP(D52,Fertilizantes!$A$49:$E$123,2,FALSE)*$C$14</f>
        <v>0</v>
      </c>
      <c r="F52">
        <f>VLOOKUP(D52,Fertilizantes!$A$49:$E$123,4,FALSE)</f>
        <v>0</v>
      </c>
      <c r="G52">
        <f>IF($C$14*ReDiarioFert!C41&lt;=0,"0",$C$14*ReDiarioFert!C41)</f>
        <v>5.76955921325166</v>
      </c>
      <c r="I52">
        <f>$C$14*ReDiarioFert!E41</f>
        <v>7.440905419488523</v>
      </c>
      <c r="K52">
        <f>$C$14*ReDiarioFert!G41</f>
        <v>21.79033549606299</v>
      </c>
      <c r="M52">
        <f>$C$14*ReDiarioFert!I41</f>
        <v>12.120665237232977</v>
      </c>
      <c r="O52">
        <f>$C$14*ReDiarioFert!K41</f>
        <v>24.9838334486283</v>
      </c>
      <c r="Q52">
        <f>$C$14*ReDiarioFert!M41</f>
        <v>113.5181736585366</v>
      </c>
      <c r="S52">
        <f>Main!$H$85</f>
        <v>0</v>
      </c>
      <c r="T52">
        <f>((G52/100)*$G$176+(I52/100)*$G$177+(K52/100)*$G$178+(M52/100)*$G$179+(O52/100)*$G$180+(Q52)*$G$181+(S52*$G$182)+(E52*(VLOOKUP(D52,Fertilizantes!$A$49:$E$123,3,FALSE))))</f>
        <v>756.2291398297839</v>
      </c>
    </row>
    <row r="53">
      <c r="A53">
        <v>6</v>
      </c>
      <c r="B53">
        <v>36</v>
      </c>
      <c r="C53">
        <f>$I$13+B53</f>
        <v>39977</v>
      </c>
      <c r="E53">
        <f>VLOOKUP(D53,Fertilizantes!$A$49:$E$123,2,FALSE)*$C$14</f>
        <v>0</v>
      </c>
      <c r="F53">
        <f>VLOOKUP(D53,Fertilizantes!$A$49:$E$123,4,FALSE)</f>
        <v>0</v>
      </c>
      <c r="G53">
        <f>IF($C$14*ReDiarioFert!C42&lt;=0,"0",$C$14*ReDiarioFert!C42)</f>
        <v>5.76955921325166</v>
      </c>
      <c r="I53">
        <f>$C$14*ReDiarioFert!E42</f>
        <v>7.440905419488523</v>
      </c>
      <c r="K53">
        <f>$C$14*ReDiarioFert!G42</f>
        <v>21.79033549606299</v>
      </c>
      <c r="M53">
        <f>$C$14*ReDiarioFert!I42</f>
        <v>12.120665237232977</v>
      </c>
      <c r="O53">
        <f>$C$14*ReDiarioFert!K42</f>
        <v>24.9838334486283</v>
      </c>
      <c r="Q53">
        <f>$C$14*ReDiarioFert!M42</f>
        <v>113.5181736585366</v>
      </c>
      <c r="S53">
        <f>$C$14*Main!$D$63</f>
        <v>26.879999999999995</v>
      </c>
      <c r="T53">
        <f>((G53/100)*$G$176+(I53/100)*$G$177+(K53/100)*$G$178+(M53/100)*$G$179+(O53/100)*$G$180+(Q53)*$G$181+(S53*$G$182)+(E53*(VLOOKUP(D53,Fertilizantes!$A$49:$E$123,3,FALSE))))</f>
        <v>831.4931398297839</v>
      </c>
    </row>
    <row r="54">
      <c r="B54">
        <v>37</v>
      </c>
      <c r="C54">
        <f>$I$13+B54</f>
        <v>39978</v>
      </c>
      <c r="E54">
        <f>VLOOKUP(D54,Fertilizantes!$A$49:$E$123,2,FALSE)*$C$14</f>
        <v>0</v>
      </c>
      <c r="F54">
        <f>VLOOKUP(D54,Fertilizantes!$A$49:$E$123,4,FALSE)</f>
        <v>0</v>
      </c>
      <c r="G54">
        <f>IF($C$14*ReDiarioFert!C43&lt;=0,"0",$C$14*ReDiarioFert!C43)</f>
        <v>5.76955921325166</v>
      </c>
      <c r="I54">
        <f>$C$14*ReDiarioFert!E43</f>
        <v>7.440905419488523</v>
      </c>
      <c r="K54">
        <f>$C$14*ReDiarioFert!G43</f>
        <v>21.79033549606299</v>
      </c>
      <c r="M54">
        <f>$C$14*ReDiarioFert!I43</f>
        <v>12.120665237232977</v>
      </c>
      <c r="O54">
        <f>$C$14*ReDiarioFert!K43</f>
        <v>24.9838334486283</v>
      </c>
      <c r="Q54">
        <f>$C$14*ReDiarioFert!M43</f>
        <v>113.5181736585366</v>
      </c>
      <c r="T54">
        <f>((G54/100)*$G$176+(I54/100)*$G$177+(K54/100)*$G$178+(M54/100)*$G$179+(O54/100)*$G$180+(Q54)*$G$181+(S54*$G$182)+(E54*(VLOOKUP(D54,Fertilizantes!$A$49:$E$123,3,FALSE))))</f>
        <v>756.2291398297839</v>
      </c>
    </row>
    <row r="55">
      <c r="B55">
        <v>38</v>
      </c>
      <c r="C55">
        <f>$I$13+B55</f>
        <v>39979</v>
      </c>
      <c r="E55">
        <f>VLOOKUP(D55,Fertilizantes!$A$49:$E$123,2,FALSE)*$C$14</f>
        <v>0</v>
      </c>
      <c r="F55">
        <f>VLOOKUP(D55,Fertilizantes!$A$49:$E$123,4,FALSE)</f>
        <v>0</v>
      </c>
      <c r="G55">
        <f>IF($C$14*ReDiarioFert!C44&lt;=0,"0",$C$14*ReDiarioFert!C44)</f>
        <v>5.76955921325166</v>
      </c>
      <c r="I55">
        <f>$C$14*ReDiarioFert!E44</f>
        <v>7.440905419488523</v>
      </c>
      <c r="K55">
        <f>$C$14*ReDiarioFert!G44</f>
        <v>21.79033549606299</v>
      </c>
      <c r="M55">
        <f>$C$14*ReDiarioFert!I44</f>
        <v>12.120665237232977</v>
      </c>
      <c r="O55">
        <f>$C$14*ReDiarioFert!K44</f>
        <v>24.9838334486283</v>
      </c>
      <c r="Q55">
        <f>$C$14*ReDiarioFert!M44</f>
        <v>113.5181736585366</v>
      </c>
      <c r="S55">
        <f>Main!$H$82</f>
        <v>0</v>
      </c>
      <c r="T55">
        <f>((G55/100)*$G$176+(I55/100)*$G$177+(K55/100)*$G$178+(M55/100)*$G$179+(O55/100)*$G$180+(Q55)*$G$181+(S55*$G$182)+(E55*(VLOOKUP(D55,Fertilizantes!$A$49:$E$123,3,FALSE))))</f>
        <v>756.2291398297839</v>
      </c>
    </row>
    <row r="56">
      <c r="B56">
        <v>39</v>
      </c>
      <c r="C56">
        <f>$I$13+B56</f>
        <v>39980</v>
      </c>
      <c r="E56">
        <f>VLOOKUP(D56,Fertilizantes!$A$49:$E$123,2,FALSE)*$C$14</f>
        <v>0</v>
      </c>
      <c r="F56">
        <f>VLOOKUP(D56,Fertilizantes!$A$49:$E$123,4,FALSE)</f>
        <v>0</v>
      </c>
      <c r="G56">
        <f>IF($C$14*ReDiarioFert!C45&lt;=0,"0",$C$14*ReDiarioFert!C45)</f>
        <v>5.76955921325166</v>
      </c>
      <c r="I56">
        <f>$C$14*ReDiarioFert!E45</f>
        <v>7.440905419488523</v>
      </c>
      <c r="K56">
        <f>$C$14*ReDiarioFert!G45</f>
        <v>21.79033549606299</v>
      </c>
      <c r="M56">
        <f>$C$14*ReDiarioFert!I45</f>
        <v>12.120665237232977</v>
      </c>
      <c r="O56">
        <f>$C$14*ReDiarioFert!K45</f>
        <v>24.9838334486283</v>
      </c>
      <c r="Q56">
        <f>$C$14*ReDiarioFert!M45</f>
        <v>113.5181736585366</v>
      </c>
      <c r="T56">
        <f>((G56/100)*$G$176+(I56/100)*$G$177+(K56/100)*$G$178+(M56/100)*$G$179+(O56/100)*$G$180+(Q56)*$G$181+(S56*$G$182)+(E56*(VLOOKUP(D56,Fertilizantes!$A$49:$E$123,3,FALSE))))</f>
        <v>756.2291398297839</v>
      </c>
    </row>
    <row r="57">
      <c r="B57">
        <v>40</v>
      </c>
      <c r="C57">
        <f>$I$13+B57</f>
        <v>39981</v>
      </c>
      <c r="E57">
        <f>VLOOKUP(D57,Fertilizantes!$A$49:$E$123,2,FALSE)*$C$14</f>
        <v>0</v>
      </c>
      <c r="F57">
        <f>VLOOKUP(D57,Fertilizantes!$A$49:$E$123,4,FALSE)</f>
        <v>0</v>
      </c>
      <c r="G57">
        <f>IF($C$14*ReDiarioFert!C46&lt;=0,"0",$C$14*ReDiarioFert!C46)</f>
        <v>5.76955921325166</v>
      </c>
      <c r="I57">
        <f>$C$14*ReDiarioFert!E46</f>
        <v>7.440905419488523</v>
      </c>
      <c r="K57">
        <f>$C$14*ReDiarioFert!G46</f>
        <v>21.79033549606299</v>
      </c>
      <c r="M57">
        <f>$C$14*ReDiarioFert!I46</f>
        <v>12.120665237232977</v>
      </c>
      <c r="O57">
        <f>$C$14*ReDiarioFert!K46</f>
        <v>24.9838334486283</v>
      </c>
      <c r="Q57">
        <f>$C$14*ReDiarioFert!M46</f>
        <v>113.5181736585366</v>
      </c>
      <c r="T57">
        <f>((G57/100)*$G$176+(I57/100)*$G$177+(K57/100)*$G$178+(M57/100)*$G$179+(O57/100)*$G$180+(Q57)*$G$181+(S57*$G$182)+(E57*(VLOOKUP(D57,Fertilizantes!$A$49:$E$123,3,FALSE))))</f>
        <v>756.2291398297839</v>
      </c>
    </row>
    <row r="58">
      <c r="B58">
        <v>41</v>
      </c>
      <c r="C58">
        <f>$I$13+B58</f>
        <v>39982</v>
      </c>
      <c r="E58">
        <f>VLOOKUP(D58,Fertilizantes!$A$49:$E$123,2,FALSE)*$C$14</f>
        <v>0</v>
      </c>
      <c r="F58">
        <f>VLOOKUP(D58,Fertilizantes!$A$49:$E$123,4,FALSE)</f>
        <v>0</v>
      </c>
      <c r="G58">
        <f>IF($C$14*ReDiarioFert!C47&lt;=0,"0",$C$14*ReDiarioFert!C47)</f>
        <v>5.76955921325166</v>
      </c>
      <c r="I58">
        <f>$C$14*ReDiarioFert!E47</f>
        <v>7.440905419488523</v>
      </c>
      <c r="K58">
        <f>$C$14*ReDiarioFert!G47</f>
        <v>21.79033549606299</v>
      </c>
      <c r="M58">
        <f>$C$14*ReDiarioFert!I47</f>
        <v>12.120665237232977</v>
      </c>
      <c r="O58">
        <f>$C$14*ReDiarioFert!K47</f>
        <v>24.9838334486283</v>
      </c>
      <c r="Q58">
        <f>$C$14*ReDiarioFert!M47</f>
        <v>113.5181736585366</v>
      </c>
      <c r="T58">
        <f>((G58/100)*$G$176+(I58/100)*$G$177+(K58/100)*$G$178+(M58/100)*$G$179+(O58/100)*$G$180+(Q58)*$G$181+(S58*$G$182)+(E58*(VLOOKUP(D58,Fertilizantes!$A$49:$E$123,3,FALSE))))</f>
        <v>756.2291398297839</v>
      </c>
    </row>
    <row r="59">
      <c r="B59">
        <v>42</v>
      </c>
      <c r="C59">
        <f>$I$13+B59</f>
        <v>39983</v>
      </c>
      <c r="E59">
        <f>VLOOKUP(D59,Fertilizantes!$A$49:$E$123,2,FALSE)*$C$14</f>
        <v>0</v>
      </c>
      <c r="F59">
        <f>VLOOKUP(D59,Fertilizantes!$A$49:$E$123,4,FALSE)</f>
        <v>0</v>
      </c>
      <c r="G59">
        <f>IF($C$14*ReDiarioFert!C48&lt;=0,"0",$C$14*ReDiarioFert!C48)</f>
        <v>5.76955921325166</v>
      </c>
      <c r="I59">
        <f>$C$14*ReDiarioFert!E48</f>
        <v>7.440905419488523</v>
      </c>
      <c r="K59">
        <f>$C$14*ReDiarioFert!G48</f>
        <v>21.79033549606299</v>
      </c>
      <c r="M59">
        <f>$C$14*ReDiarioFert!I48</f>
        <v>12.120665237232977</v>
      </c>
      <c r="O59">
        <f>$C$14*ReDiarioFert!K48</f>
        <v>24.9838334486283</v>
      </c>
      <c r="Q59">
        <f>$C$14*ReDiarioFert!M48</f>
        <v>113.5181736585366</v>
      </c>
      <c r="T59">
        <f>((G59/100)*$G$176+(I59/100)*$G$177+(K59/100)*$G$178+(M59/100)*$G$179+(O59/100)*$G$180+(Q59)*$G$181+(S59*$G$182)+(E59*(VLOOKUP(D59,Fertilizantes!$A$49:$E$123,3,FALSE))))</f>
        <v>756.2291398297839</v>
      </c>
    </row>
    <row r="60">
      <c r="A60">
        <v>7</v>
      </c>
      <c r="B60">
        <v>43</v>
      </c>
      <c r="C60">
        <f>$I$13+B60</f>
        <v>39984</v>
      </c>
      <c r="E60">
        <f>VLOOKUP(D60,Fertilizantes!$A$49:$E$123,2,FALSE)*$C$14</f>
        <v>0</v>
      </c>
      <c r="F60">
        <f>VLOOKUP(D60,Fertilizantes!$A$49:$E$123,4,FALSE)</f>
        <v>0</v>
      </c>
      <c r="G60">
        <f>IF($C$14*ReDiarioFert!C49&lt;=0,"0",$C$14*ReDiarioFert!C49)</f>
        <v>5.76955921325166</v>
      </c>
      <c r="I60">
        <f>$C$14*ReDiarioFert!E49</f>
        <v>7.440905419488523</v>
      </c>
      <c r="K60">
        <f>$C$14*ReDiarioFert!G49</f>
        <v>21.79033549606299</v>
      </c>
      <c r="M60">
        <f>$C$14*ReDiarioFert!I49</f>
        <v>12.120665237232977</v>
      </c>
      <c r="O60">
        <f>$C$14*ReDiarioFert!K49</f>
        <v>24.9838334486283</v>
      </c>
      <c r="Q60">
        <f>$C$14*ReDiarioFert!M49</f>
        <v>113.5181736585366</v>
      </c>
      <c r="S60">
        <f>$C$14*Main!$D$63</f>
        <v>26.879999999999995</v>
      </c>
      <c r="T60">
        <f>((G60/100)*$G$176+(I60/100)*$G$177+(K60/100)*$G$178+(M60/100)*$G$179+(O60/100)*$G$180+(Q60)*$G$181+(S60*$G$182)+(E60*(VLOOKUP(D60,Fertilizantes!$A$49:$E$123,3,FALSE))))</f>
        <v>831.4931398297839</v>
      </c>
    </row>
    <row r="61">
      <c r="B61">
        <v>44</v>
      </c>
      <c r="C61">
        <f>$I$13+B61</f>
        <v>39985</v>
      </c>
      <c r="E61">
        <f>VLOOKUP(D61,Fertilizantes!$A$49:$E$123,2,FALSE)*$C$14</f>
        <v>0</v>
      </c>
      <c r="F61">
        <f>VLOOKUP(D61,Fertilizantes!$A$49:$E$123,4,FALSE)</f>
        <v>0</v>
      </c>
      <c r="G61">
        <f>IF($C$14*ReDiarioFert!C50&lt;=0,"0",$C$14*ReDiarioFert!C50)</f>
        <v>5.76955921325166</v>
      </c>
      <c r="I61">
        <f>$C$14*ReDiarioFert!E50</f>
        <v>7.440905419488523</v>
      </c>
      <c r="K61">
        <f>$C$14*ReDiarioFert!G50</f>
        <v>21.79033549606299</v>
      </c>
      <c r="M61">
        <f>$C$14*ReDiarioFert!I50</f>
        <v>12.120665237232977</v>
      </c>
      <c r="O61">
        <f>$C$14*ReDiarioFert!K50</f>
        <v>24.9838334486283</v>
      </c>
      <c r="Q61">
        <f>$C$14*ReDiarioFert!M50</f>
        <v>113.5181736585366</v>
      </c>
      <c r="T61">
        <f>((G61/100)*$G$176+(I61/100)*$G$177+(K61/100)*$G$178+(M61/100)*$G$179+(O61/100)*$G$180+(Q61)*$G$181+(S61*$G$182)+(E61*(VLOOKUP(D61,Fertilizantes!$A$49:$E$123,3,FALSE))))</f>
        <v>756.2291398297839</v>
      </c>
    </row>
    <row r="62">
      <c r="B62">
        <v>45</v>
      </c>
      <c r="C62">
        <f>$I$13+B62</f>
        <v>39986</v>
      </c>
      <c r="E62">
        <f>VLOOKUP(D62,Fertilizantes!$A$49:$E$123,2,FALSE)*$C$14</f>
        <v>0</v>
      </c>
      <c r="F62">
        <f>VLOOKUP(D62,Fertilizantes!$A$49:$E$123,4,FALSE)</f>
        <v>0</v>
      </c>
      <c r="G62">
        <f>IF($C$14*ReDiarioFert!C51&lt;=0,"0",$C$14*ReDiarioFert!C51)</f>
        <v>5.76955921325166</v>
      </c>
      <c r="I62">
        <f>$C$14*ReDiarioFert!E51</f>
        <v>7.440905419488523</v>
      </c>
      <c r="K62">
        <f>$C$14*ReDiarioFert!G51</f>
        <v>21.79033549606299</v>
      </c>
      <c r="M62">
        <f>$C$14*ReDiarioFert!I51</f>
        <v>12.120665237232977</v>
      </c>
      <c r="O62">
        <f>$C$14*ReDiarioFert!K51</f>
        <v>24.9838334486283</v>
      </c>
      <c r="Q62">
        <f>$C$14*ReDiarioFert!M51</f>
        <v>113.5181736585366</v>
      </c>
      <c r="T62">
        <f>((G62/100)*$G$176+(I62/100)*$G$177+(K62/100)*$G$178+(M62/100)*$G$179+(O62/100)*$G$180+(Q62)*$G$181+(S62*$G$182)+(E62*(VLOOKUP(D62,Fertilizantes!$A$49:$E$123,3,FALSE))))</f>
        <v>756.2291398297839</v>
      </c>
    </row>
    <row r="63">
      <c r="B63">
        <v>46</v>
      </c>
      <c r="C63">
        <f>$I$13+B63</f>
        <v>39987</v>
      </c>
      <c r="E63">
        <f>VLOOKUP(D63,Fertilizantes!$A$49:$E$123,2,FALSE)*$C$14</f>
        <v>0</v>
      </c>
      <c r="F63">
        <f>VLOOKUP(D63,Fertilizantes!$A$49:$E$123,4,FALSE)</f>
        <v>0</v>
      </c>
      <c r="G63">
        <f>IF($C$14*ReDiarioFert!C52&lt;=0,"0",$C$14*ReDiarioFert!C52)</f>
        <v>7.455755229358918</v>
      </c>
      <c r="I63">
        <f>$C$14*ReDiarioFert!E52</f>
        <v>10.231244951796718</v>
      </c>
      <c r="K63">
        <f>$C$14*ReDiarioFert!G52</f>
        <v>36.61986937532808</v>
      </c>
      <c r="M63">
        <f>$C$14*ReDiarioFert!I52</f>
        <v>20.369451301460973</v>
      </c>
      <c r="O63">
        <f>$C$14*ReDiarioFert!K52</f>
        <v>41.986720101166995</v>
      </c>
      <c r="Q63">
        <f>$C$14*ReDiarioFert!M52</f>
        <v>113.5181736585366</v>
      </c>
      <c r="T63">
        <f>((G63/100)*$G$176+(I63/100)*$G$177+(K63/100)*$G$178+(M63/100)*$G$179+(O63/100)*$G$180+(Q63)*$G$181+(S63*$G$182)+(E63*(VLOOKUP(D63,Fertilizantes!$A$49:$E$123,3,FALSE))))</f>
        <v>1187.9702563056092</v>
      </c>
    </row>
    <row r="64">
      <c r="B64">
        <v>47</v>
      </c>
      <c r="C64">
        <f>$I$13+B64</f>
        <v>39988</v>
      </c>
      <c r="E64">
        <f>VLOOKUP(D64,Fertilizantes!$A$49:$E$123,2,FALSE)*$C$14</f>
        <v>0</v>
      </c>
      <c r="F64">
        <f>VLOOKUP(D64,Fertilizantes!$A$49:$E$123,4,FALSE)</f>
        <v>0</v>
      </c>
      <c r="G64">
        <f>IF($C$14*ReDiarioFert!C53&lt;=0,"0",$C$14*ReDiarioFert!C53)</f>
        <v>7.455755229358918</v>
      </c>
      <c r="I64">
        <f>$C$14*ReDiarioFert!E53</f>
        <v>10.231244951796718</v>
      </c>
      <c r="K64">
        <f>$C$14*ReDiarioFert!G53</f>
        <v>36.61986937532808</v>
      </c>
      <c r="M64">
        <f>$C$14*ReDiarioFert!I53</f>
        <v>20.369451301460973</v>
      </c>
      <c r="O64">
        <f>$C$14*ReDiarioFert!K53</f>
        <v>41.986720101166995</v>
      </c>
      <c r="Q64">
        <f>$C$14*ReDiarioFert!M53</f>
        <v>113.5181736585366</v>
      </c>
      <c r="T64">
        <f>((G64/100)*$G$176+(I64/100)*$G$177+(K64/100)*$G$178+(M64/100)*$G$179+(O64/100)*$G$180+(Q64)*$G$181+(S64*$G$182)+(E64*(VLOOKUP(D64,Fertilizantes!$A$49:$E$123,3,FALSE))))</f>
        <v>1187.9702563056092</v>
      </c>
    </row>
    <row r="65">
      <c r="B65">
        <v>48</v>
      </c>
      <c r="C65">
        <f>$I$13+B65</f>
        <v>39989</v>
      </c>
      <c r="E65">
        <f>VLOOKUP(D65,Fertilizantes!$A$49:$E$123,2,FALSE)*$C$14</f>
        <v>0</v>
      </c>
      <c r="F65">
        <f>VLOOKUP(D65,Fertilizantes!$A$49:$E$123,4,FALSE)</f>
        <v>0</v>
      </c>
      <c r="G65">
        <f>IF($C$14*ReDiarioFert!C54&lt;=0,"0",$C$14*ReDiarioFert!C54)</f>
        <v>7.455755229358918</v>
      </c>
      <c r="I65">
        <f>$C$14*ReDiarioFert!E54</f>
        <v>10.231244951796718</v>
      </c>
      <c r="K65">
        <f>$C$14*ReDiarioFert!G54</f>
        <v>36.61986937532808</v>
      </c>
      <c r="M65">
        <f>$C$14*ReDiarioFert!I54</f>
        <v>20.369451301460973</v>
      </c>
      <c r="O65">
        <f>$C$14*ReDiarioFert!K54</f>
        <v>41.986720101166995</v>
      </c>
      <c r="Q65">
        <f>$C$14*ReDiarioFert!M54</f>
        <v>153.58314146341462</v>
      </c>
      <c r="T65">
        <f>((G65/100)*$G$176+(I65/100)*$G$177+(K65/100)*$G$178+(M65/100)*$G$179+(O65/100)*$G$180+(Q65)*$G$181+(S65*$G$182)+(E65*(VLOOKUP(D65,Fertilizantes!$A$49:$E$123,3,FALSE))))</f>
        <v>1189.5728550178044</v>
      </c>
    </row>
    <row r="66">
      <c r="B66">
        <v>49</v>
      </c>
      <c r="C66">
        <f>$I$13+B66</f>
        <v>39990</v>
      </c>
      <c r="E66">
        <f>VLOOKUP(D66,Fertilizantes!$A$49:$E$123,2,FALSE)*$C$14</f>
        <v>0</v>
      </c>
      <c r="F66">
        <f>VLOOKUP(D66,Fertilizantes!$A$49:$E$123,4,FALSE)</f>
        <v>0</v>
      </c>
      <c r="G66">
        <f>IF($C$14*ReDiarioFert!C55&lt;=0,"0",$C$14*ReDiarioFert!C55)</f>
        <v>7.455755229358918</v>
      </c>
      <c r="I66">
        <f>$C$14*ReDiarioFert!E55</f>
        <v>10.231244951796718</v>
      </c>
      <c r="K66">
        <f>$C$14*ReDiarioFert!G55</f>
        <v>36.61986937532808</v>
      </c>
      <c r="M66">
        <f>$C$14*ReDiarioFert!I55</f>
        <v>20.369451301460973</v>
      </c>
      <c r="O66">
        <f>$C$14*ReDiarioFert!K55</f>
        <v>41.986720101166995</v>
      </c>
      <c r="Q66">
        <f>$C$14*ReDiarioFert!M55</f>
        <v>153.58314146341462</v>
      </c>
      <c r="S66">
        <f>Main!$H$84</f>
        <v>0</v>
      </c>
      <c r="T66">
        <f>((G66/100)*$G$176+(I66/100)*$G$177+(K66/100)*$G$178+(M66/100)*$G$179+(O66/100)*$G$180+(Q66)*$G$181+(S66*$G$182)+(E66*(VLOOKUP(D66,Fertilizantes!$A$49:$E$123,3,FALSE))))</f>
        <v>1189.5728550178044</v>
      </c>
    </row>
    <row r="67">
      <c r="A67">
        <v>8</v>
      </c>
      <c r="B67">
        <v>50</v>
      </c>
      <c r="C67">
        <f>$I$13+B67</f>
        <v>39991</v>
      </c>
      <c r="E67">
        <f>VLOOKUP(D67,Fertilizantes!$A$49:$E$123,2,FALSE)*$C$14</f>
        <v>0</v>
      </c>
      <c r="F67">
        <f>VLOOKUP(D67,Fertilizantes!$A$49:$E$123,4,FALSE)</f>
        <v>0</v>
      </c>
      <c r="G67">
        <f>IF($C$14*ReDiarioFert!C56&lt;=0,"0",$C$14*ReDiarioFert!C56)</f>
        <v>7.455755229358918</v>
      </c>
      <c r="I67">
        <f>$C$14*ReDiarioFert!E56</f>
        <v>10.231244951796718</v>
      </c>
      <c r="K67">
        <f>$C$14*ReDiarioFert!G56</f>
        <v>36.61986937532808</v>
      </c>
      <c r="M67">
        <f>$C$14*ReDiarioFert!I56</f>
        <v>20.369451301460973</v>
      </c>
      <c r="O67">
        <f>$C$14*ReDiarioFert!K56</f>
        <v>41.986720101166995</v>
      </c>
      <c r="Q67">
        <f>$C$14*ReDiarioFert!M56</f>
        <v>153.58314146341462</v>
      </c>
      <c r="S67">
        <f>$C$14*Main!$D$63</f>
        <v>26.879999999999995</v>
      </c>
      <c r="T67">
        <f>((G67/100)*$G$176+(I67/100)*$G$177+(K67/100)*$G$178+(M67/100)*$G$179+(O67/100)*$G$180+(Q67)*$G$181+(S67*$G$182)+(E67*(VLOOKUP(D67,Fertilizantes!$A$49:$E$123,3,FALSE))))</f>
        <v>1264.8368550178043</v>
      </c>
    </row>
    <row r="68">
      <c r="B68">
        <v>51</v>
      </c>
      <c r="C68">
        <f>$I$13+B68</f>
        <v>39992</v>
      </c>
      <c r="E68">
        <f>VLOOKUP(D68,Fertilizantes!$A$49:$E$123,2,FALSE)*$C$14</f>
        <v>0</v>
      </c>
      <c r="F68">
        <f>VLOOKUP(D68,Fertilizantes!$A$49:$E$123,4,FALSE)</f>
        <v>0</v>
      </c>
      <c r="G68">
        <f>IF($C$14*ReDiarioFert!C57&lt;=0,"0",$C$14*ReDiarioFert!C57)</f>
        <v>7.455755229358918</v>
      </c>
      <c r="I68">
        <f>$C$14*ReDiarioFert!E57</f>
        <v>10.231244951796718</v>
      </c>
      <c r="K68">
        <f>$C$14*ReDiarioFert!G57</f>
        <v>36.61986937532808</v>
      </c>
      <c r="M68">
        <f>$C$14*ReDiarioFert!I57</f>
        <v>20.369451301460973</v>
      </c>
      <c r="O68">
        <f>$C$14*ReDiarioFert!K57</f>
        <v>41.986720101166995</v>
      </c>
      <c r="Q68">
        <f>$C$14*ReDiarioFert!M57</f>
        <v>153.58314146341462</v>
      </c>
      <c r="T68">
        <f>((G68/100)*$G$176+(I68/100)*$G$177+(K68/100)*$G$178+(M68/100)*$G$179+(O68/100)*$G$180+(Q68)*$G$181+(S68*$G$182)+(E68*(VLOOKUP(D68,Fertilizantes!$A$49:$E$123,3,FALSE))))</f>
        <v>1189.5728550178044</v>
      </c>
    </row>
    <row r="69">
      <c r="B69">
        <v>52</v>
      </c>
      <c r="C69">
        <f>$I$13+B69</f>
        <v>39993</v>
      </c>
      <c r="E69">
        <f>VLOOKUP(D69,Fertilizantes!$A$49:$E$123,2,FALSE)*$C$14</f>
        <v>0</v>
      </c>
      <c r="F69">
        <f>VLOOKUP(D69,Fertilizantes!$A$49:$E$123,4,FALSE)</f>
        <v>0</v>
      </c>
      <c r="G69">
        <f>IF($C$14*ReDiarioFert!C58&lt;=0,"0",$C$14*ReDiarioFert!C58)</f>
        <v>7.455755229358918</v>
      </c>
      <c r="I69">
        <f>$C$14*ReDiarioFert!E58</f>
        <v>10.231244951796718</v>
      </c>
      <c r="K69">
        <f>$C$14*ReDiarioFert!G58</f>
        <v>36.61986937532808</v>
      </c>
      <c r="M69">
        <f>$C$14*ReDiarioFert!I58</f>
        <v>20.369451301460973</v>
      </c>
      <c r="O69">
        <f>$C$14*ReDiarioFert!K58</f>
        <v>41.986720101166995</v>
      </c>
      <c r="Q69">
        <f>$C$14*ReDiarioFert!M58</f>
        <v>153.58314146341462</v>
      </c>
      <c r="T69">
        <f>((G69/100)*$G$176+(I69/100)*$G$177+(K69/100)*$G$178+(M69/100)*$G$179+(O69/100)*$G$180+(Q69)*$G$181+(S69*$G$182)+(E69*(VLOOKUP(D69,Fertilizantes!$A$49:$E$123,3,FALSE))))</f>
        <v>1189.5728550178044</v>
      </c>
    </row>
    <row r="70">
      <c r="B70">
        <v>53</v>
      </c>
      <c r="C70">
        <f>$I$13+B70</f>
        <v>39994</v>
      </c>
      <c r="E70">
        <f>VLOOKUP(D70,Fertilizantes!$A$49:$E$123,2,FALSE)*$C$14</f>
        <v>0</v>
      </c>
      <c r="F70">
        <f>VLOOKUP(D70,Fertilizantes!$A$49:$E$123,4,FALSE)</f>
        <v>0</v>
      </c>
      <c r="G70">
        <f>IF($C$14*ReDiarioFert!C59&lt;=0,"0",$C$14*ReDiarioFert!C59)</f>
        <v>7.455755229358918</v>
      </c>
      <c r="I70">
        <f>$C$14*ReDiarioFert!E59</f>
        <v>10.231244951796718</v>
      </c>
      <c r="K70">
        <f>$C$14*ReDiarioFert!G59</f>
        <v>36.61986937532808</v>
      </c>
      <c r="M70">
        <f>$C$14*ReDiarioFert!I59</f>
        <v>20.369451301460973</v>
      </c>
      <c r="O70">
        <f>$C$14*ReDiarioFert!K59</f>
        <v>41.986720101166995</v>
      </c>
      <c r="Q70">
        <f>$C$14*ReDiarioFert!M59</f>
        <v>153.58314146341462</v>
      </c>
      <c r="T70">
        <f>((G70/100)*$G$176+(I70/100)*$G$177+(K70/100)*$G$178+(M70/100)*$G$179+(O70/100)*$G$180+(Q70)*$G$181+(S70*$G$182)+(E70*(VLOOKUP(D70,Fertilizantes!$A$49:$E$123,3,FALSE))))</f>
        <v>1189.5728550178044</v>
      </c>
    </row>
    <row r="71">
      <c r="B71">
        <v>54</v>
      </c>
      <c r="C71">
        <f>$I$13+B71</f>
        <v>39995</v>
      </c>
      <c r="E71">
        <f>VLOOKUP(D71,Fertilizantes!$A$49:$E$123,2,FALSE)*$C$14</f>
        <v>0</v>
      </c>
      <c r="F71">
        <f>VLOOKUP(D71,Fertilizantes!$A$49:$E$123,4,FALSE)</f>
        <v>0</v>
      </c>
      <c r="G71">
        <f>IF($C$14*ReDiarioFert!C60&lt;=0,"0",$C$14*ReDiarioFert!C60)</f>
        <v>7.455755229358918</v>
      </c>
      <c r="I71">
        <f>$C$14*ReDiarioFert!E60</f>
        <v>10.231244951796718</v>
      </c>
      <c r="K71">
        <f>$C$14*ReDiarioFert!G60</f>
        <v>36.61986937532808</v>
      </c>
      <c r="M71">
        <f>$C$14*ReDiarioFert!I60</f>
        <v>20.369451301460973</v>
      </c>
      <c r="O71">
        <f>$C$14*ReDiarioFert!K60</f>
        <v>41.986720101166995</v>
      </c>
      <c r="Q71">
        <f>$C$14*ReDiarioFert!M60</f>
        <v>153.58314146341462</v>
      </c>
      <c r="T71">
        <f>((G71/100)*$G$176+(I71/100)*$G$177+(K71/100)*$G$178+(M71/100)*$G$179+(O71/100)*$G$180+(Q71)*$G$181+(S71*$G$182)+(E71*(VLOOKUP(D71,Fertilizantes!$A$49:$E$123,3,FALSE))))</f>
        <v>1189.5728550178044</v>
      </c>
    </row>
    <row r="72">
      <c r="B72">
        <v>55</v>
      </c>
      <c r="C72">
        <f>$I$13+B72</f>
        <v>39996</v>
      </c>
      <c r="E72">
        <f>VLOOKUP(D72,Fertilizantes!$A$49:$E$123,2,FALSE)*$C$14</f>
        <v>0</v>
      </c>
      <c r="F72">
        <f>VLOOKUP(D72,Fertilizantes!$A$49:$E$123,4,FALSE)</f>
        <v>0</v>
      </c>
      <c r="G72">
        <f>IF($C$14*ReDiarioFert!C61&lt;=0,"0",$C$14*ReDiarioFert!C61)</f>
        <v>7.455755229358918</v>
      </c>
      <c r="I72">
        <f>$C$14*ReDiarioFert!E61</f>
        <v>10.231244951796718</v>
      </c>
      <c r="K72">
        <f>$C$14*ReDiarioFert!G61</f>
        <v>36.61986937532808</v>
      </c>
      <c r="M72">
        <f>$C$14*ReDiarioFert!I61</f>
        <v>20.369451301460973</v>
      </c>
      <c r="O72">
        <f>$C$14*ReDiarioFert!K61</f>
        <v>41.986720101166995</v>
      </c>
      <c r="Q72">
        <f>$C$14*ReDiarioFert!M61</f>
        <v>153.58314146341462</v>
      </c>
      <c r="T72">
        <f>((G72/100)*$G$176+(I72/100)*$G$177+(K72/100)*$G$178+(M72/100)*$G$179+(O72/100)*$G$180+(Q72)*$G$181+(S72*$G$182)+(E72*(VLOOKUP(D72,Fertilizantes!$A$49:$E$123,3,FALSE))))</f>
        <v>1189.5728550178044</v>
      </c>
    </row>
    <row r="73">
      <c r="B73">
        <v>56</v>
      </c>
      <c r="C73">
        <f>$I$13+B73</f>
        <v>39997</v>
      </c>
      <c r="E73">
        <f>VLOOKUP(D73,Fertilizantes!$A$49:$E$123,2,FALSE)*$C$14</f>
        <v>0</v>
      </c>
      <c r="F73">
        <f>VLOOKUP(D73,Fertilizantes!$A$49:$E$123,4,FALSE)</f>
        <v>0</v>
      </c>
      <c r="G73">
        <f>IF($C$14*ReDiarioFert!C62&lt;=0,"0",$C$14*ReDiarioFert!C62)</f>
        <v>7.455755229358918</v>
      </c>
      <c r="I73">
        <f>$C$14*ReDiarioFert!E62</f>
        <v>10.231244951796718</v>
      </c>
      <c r="K73">
        <f>$C$14*ReDiarioFert!G62</f>
        <v>36.61986937532808</v>
      </c>
      <c r="M73">
        <f>$C$14*ReDiarioFert!I62</f>
        <v>20.369451301460973</v>
      </c>
      <c r="O73">
        <f>$C$14*ReDiarioFert!K62</f>
        <v>41.986720101166995</v>
      </c>
      <c r="Q73">
        <f>$C$14*ReDiarioFert!M62</f>
        <v>153.58314146341462</v>
      </c>
      <c r="T73">
        <f>((G73/100)*$G$176+(I73/100)*$G$177+(K73/100)*$G$178+(M73/100)*$G$179+(O73/100)*$G$180+(Q73)*$G$181+(S73*$G$182)+(E73*(VLOOKUP(D73,Fertilizantes!$A$49:$E$123,3,FALSE))))</f>
        <v>1189.5728550178044</v>
      </c>
    </row>
    <row r="74">
      <c r="A74">
        <v>9</v>
      </c>
      <c r="B74">
        <v>57</v>
      </c>
      <c r="C74">
        <f>$I$13+B74</f>
        <v>39998</v>
      </c>
      <c r="D74">
        <f>Main!$H$86</f>
        <v>0</v>
      </c>
      <c r="E74">
        <f>VLOOKUP(D74,Fertilizantes!$A$49:$E$123,2,FALSE)*$C$14</f>
        <v>0</v>
      </c>
      <c r="F74">
        <f>VLOOKUP(D74,Fertilizantes!$A$49:$E$123,4,FALSE)</f>
        <v>0</v>
      </c>
      <c r="G74">
        <f>IF($C$14*ReDiarioFert!C63&lt;=0,"0",$C$14*ReDiarioFert!C63)</f>
        <v>7.455755229358918</v>
      </c>
      <c r="I74">
        <f>$C$14*ReDiarioFert!E63</f>
        <v>10.231244951796718</v>
      </c>
      <c r="K74">
        <f>$C$14*ReDiarioFert!G63</f>
        <v>36.61986937532808</v>
      </c>
      <c r="M74">
        <f>$C$14*ReDiarioFert!I63</f>
        <v>20.369451301460973</v>
      </c>
      <c r="O74">
        <f>$C$14*ReDiarioFert!K63</f>
        <v>41.986720101166995</v>
      </c>
      <c r="Q74">
        <f>$C$14*ReDiarioFert!M63</f>
        <v>153.58314146341462</v>
      </c>
      <c r="S74">
        <f>$C$14*Main!$D$63</f>
        <v>26.879999999999995</v>
      </c>
      <c r="T74">
        <f>((G74/100)*$G$176+(I74/100)*$G$177+(K74/100)*$G$178+(M74/100)*$G$179+(O74/100)*$G$180+(Q74)*$G$181+(S74*$G$182)+(E74*(VLOOKUP(D74,Fertilizantes!$A$49:$E$123,3,FALSE))))</f>
        <v>1264.8368550178043</v>
      </c>
    </row>
    <row r="75">
      <c r="B75">
        <v>58</v>
      </c>
      <c r="C75">
        <f>$I$13+B75</f>
        <v>39999</v>
      </c>
      <c r="E75">
        <f>VLOOKUP(D75,Fertilizantes!$A$49:$E$123,2,FALSE)*$C$14</f>
        <v>0</v>
      </c>
      <c r="F75">
        <f>VLOOKUP(D75,Fertilizantes!$A$49:$E$123,4,FALSE)</f>
        <v>0</v>
      </c>
      <c r="G75">
        <f>IF($C$14*ReDiarioFert!C64&lt;=0,"0",$C$14*ReDiarioFert!C64)</f>
        <v>7.455755229358918</v>
      </c>
      <c r="I75">
        <f>$C$14*ReDiarioFert!E64</f>
        <v>10.231244951796718</v>
      </c>
      <c r="K75">
        <f>$C$14*ReDiarioFert!G64</f>
        <v>36.61986937532808</v>
      </c>
      <c r="M75">
        <f>$C$14*ReDiarioFert!I64</f>
        <v>20.369451301460973</v>
      </c>
      <c r="O75">
        <f>$C$14*ReDiarioFert!K64</f>
        <v>41.986720101166995</v>
      </c>
      <c r="Q75">
        <f>$C$14*ReDiarioFert!M64</f>
        <v>153.58314146341462</v>
      </c>
      <c r="T75">
        <f>((G75/100)*$G$176+(I75/100)*$G$177+(K75/100)*$G$178+(M75/100)*$G$179+(O75/100)*$G$180+(Q75)*$G$181+(S75*$G$182)+(E75*(VLOOKUP(D75,Fertilizantes!$A$49:$E$123,3,FALSE))))</f>
        <v>1189.5728550178044</v>
      </c>
    </row>
    <row r="76">
      <c r="B76">
        <v>59</v>
      </c>
      <c r="C76">
        <f>$I$13+B76</f>
        <v>40000</v>
      </c>
      <c r="E76">
        <f>VLOOKUP(D76,Fertilizantes!$A$49:$E$123,2,FALSE)*$C$14</f>
        <v>0</v>
      </c>
      <c r="F76">
        <f>VLOOKUP(D76,Fertilizantes!$A$49:$E$123,4,FALSE)</f>
        <v>0</v>
      </c>
      <c r="G76">
        <f>IF($C$14*ReDiarioFert!C65&lt;=0,"0",$C$14*ReDiarioFert!C65)</f>
        <v>7.455755229358918</v>
      </c>
      <c r="I76">
        <f>$C$14*ReDiarioFert!E65</f>
        <v>10.231244951796718</v>
      </c>
      <c r="K76">
        <f>$C$14*ReDiarioFert!G65</f>
        <v>36.61986937532808</v>
      </c>
      <c r="M76">
        <f>$C$14*ReDiarioFert!I65</f>
        <v>20.369451301460973</v>
      </c>
      <c r="O76">
        <f>$C$14*ReDiarioFert!K65</f>
        <v>41.986720101166995</v>
      </c>
      <c r="Q76">
        <f>$C$14*ReDiarioFert!M65</f>
        <v>153.58314146341462</v>
      </c>
      <c r="T76">
        <f>((G76/100)*$G$176+(I76/100)*$G$177+(K76/100)*$G$178+(M76/100)*$G$179+(O76/100)*$G$180+(Q76)*$G$181+(S76*$G$182)+(E76*(VLOOKUP(D76,Fertilizantes!$A$49:$E$123,3,FALSE))))</f>
        <v>1189.5728550178044</v>
      </c>
    </row>
    <row r="77">
      <c r="B77">
        <v>60</v>
      </c>
      <c r="C77">
        <f>$I$13+B77</f>
        <v>40001</v>
      </c>
      <c r="E77">
        <f>VLOOKUP(D77,Fertilizantes!$A$49:$E$123,2,FALSE)*$C$14</f>
        <v>0</v>
      </c>
      <c r="F77">
        <f>VLOOKUP(D77,Fertilizantes!$A$49:$E$123,4,FALSE)</f>
        <v>0</v>
      </c>
      <c r="G77">
        <f>IF($C$14*ReDiarioFert!C66&lt;=0,"0",$C$14*ReDiarioFert!C66)</f>
        <v>7.455755229358918</v>
      </c>
      <c r="I77">
        <f>$C$14*ReDiarioFert!E66</f>
        <v>10.231244951796718</v>
      </c>
      <c r="K77">
        <f>$C$14*ReDiarioFert!G66</f>
        <v>36.61986937532808</v>
      </c>
      <c r="M77">
        <f>$C$14*ReDiarioFert!I66</f>
        <v>20.369451301460973</v>
      </c>
      <c r="O77">
        <f>$C$14*ReDiarioFert!K66</f>
        <v>41.986720101166995</v>
      </c>
      <c r="Q77">
        <f>$C$14*ReDiarioFert!M66</f>
        <v>153.58314146341462</v>
      </c>
      <c r="T77">
        <f>((G77/100)*$G$176+(I77/100)*$G$177+(K77/100)*$G$178+(M77/100)*$G$179+(O77/100)*$G$180+(Q77)*$G$181+(S77*$G$182)+(E77*(VLOOKUP(D77,Fertilizantes!$A$49:$E$123,3,FALSE))))</f>
        <v>1189.5728550178044</v>
      </c>
    </row>
    <row r="78">
      <c r="B78">
        <v>61</v>
      </c>
      <c r="C78">
        <f>$I$13+B78</f>
        <v>40002</v>
      </c>
      <c r="E78">
        <f>VLOOKUP(D78,Fertilizantes!$A$49:$E$123,2,FALSE)*$C$14</f>
        <v>0</v>
      </c>
      <c r="F78">
        <f>VLOOKUP(D78,Fertilizantes!$A$49:$E$123,4,FALSE)</f>
        <v>0</v>
      </c>
      <c r="G78">
        <f>IF($C$14*ReDiarioFert!C67&lt;=0,"0",$C$14*ReDiarioFert!C67)</f>
        <v>7.455755229358918</v>
      </c>
      <c r="I78">
        <f>$C$14*ReDiarioFert!E67</f>
        <v>10.231244951796718</v>
      </c>
      <c r="K78">
        <f>$C$14*ReDiarioFert!G67</f>
        <v>36.61986937532808</v>
      </c>
      <c r="M78">
        <f>$C$14*ReDiarioFert!I67</f>
        <v>20.369451301460973</v>
      </c>
      <c r="O78">
        <f>$C$14*ReDiarioFert!K67</f>
        <v>41.986720101166995</v>
      </c>
      <c r="Q78">
        <f>$C$14*ReDiarioFert!M67</f>
        <v>153.58314146341462</v>
      </c>
      <c r="T78">
        <f>((G78/100)*$G$176+(I78/100)*$G$177+(K78/100)*$G$178+(M78/100)*$G$179+(O78/100)*$G$180+(Q78)*$G$181+(S78*$G$182)+(E78*(VLOOKUP(D78,Fertilizantes!$A$49:$E$123,3,FALSE))))</f>
        <v>1189.5728550178044</v>
      </c>
    </row>
    <row r="79">
      <c r="B79">
        <v>62</v>
      </c>
      <c r="C79">
        <f>$I$13+B79</f>
        <v>40003</v>
      </c>
      <c r="E79">
        <f>VLOOKUP(D79,Fertilizantes!$A$49:$E$123,2,FALSE)*$C$14</f>
        <v>0</v>
      </c>
      <c r="F79">
        <f>VLOOKUP(D79,Fertilizantes!$A$49:$E$123,4,FALSE)</f>
        <v>0</v>
      </c>
      <c r="G79">
        <f>IF($C$14*ReDiarioFert!C68&lt;=0,"0",$C$14*ReDiarioFert!C68)</f>
        <v>7.455755229358918</v>
      </c>
      <c r="I79">
        <f>$C$14*ReDiarioFert!E68</f>
        <v>10.231244951796718</v>
      </c>
      <c r="K79">
        <f>$C$14*ReDiarioFert!G68</f>
        <v>36.61986937532808</v>
      </c>
      <c r="M79">
        <f>$C$14*ReDiarioFert!I68</f>
        <v>20.369451301460973</v>
      </c>
      <c r="O79">
        <f>$C$14*ReDiarioFert!K68</f>
        <v>41.986720101166995</v>
      </c>
      <c r="Q79">
        <f>$C$14*ReDiarioFert!M68</f>
        <v>153.58314146341462</v>
      </c>
      <c r="T79">
        <f>((G79/100)*$G$176+(I79/100)*$G$177+(K79/100)*$G$178+(M79/100)*$G$179+(O79/100)*$G$180+(Q79)*$G$181+(S79*$G$182)+(E79*(VLOOKUP(D79,Fertilizantes!$A$49:$E$123,3,FALSE))))</f>
        <v>1189.5728550178044</v>
      </c>
    </row>
    <row r="80">
      <c r="B80">
        <v>63</v>
      </c>
      <c r="C80">
        <f>$I$13+B80</f>
        <v>40004</v>
      </c>
      <c r="E80">
        <f>VLOOKUP(D80,Fertilizantes!$A$49:$E$123,2,FALSE)*$C$14</f>
        <v>0</v>
      </c>
      <c r="F80">
        <f>VLOOKUP(D80,Fertilizantes!$A$49:$E$123,4,FALSE)</f>
        <v>0</v>
      </c>
      <c r="G80">
        <f>IF($C$14*ReDiarioFert!C69&lt;=0,"0",$C$14*ReDiarioFert!C69)</f>
        <v>7.455755229358918</v>
      </c>
      <c r="I80">
        <f>$C$14*ReDiarioFert!E69</f>
        <v>10.231244951796718</v>
      </c>
      <c r="K80">
        <f>$C$14*ReDiarioFert!G69</f>
        <v>36.61986937532808</v>
      </c>
      <c r="M80">
        <f>$C$14*ReDiarioFert!I69</f>
        <v>20.369451301460973</v>
      </c>
      <c r="O80">
        <f>$C$14*ReDiarioFert!K69</f>
        <v>41.986720101166995</v>
      </c>
      <c r="Q80">
        <f>$C$14*ReDiarioFert!M69</f>
        <v>193.64876487804878</v>
      </c>
      <c r="S80">
        <f>Main!$H$85</f>
        <v>0</v>
      </c>
      <c r="T80">
        <f>((G80/100)*$G$176+(I80/100)*$G$177+(K80/100)*$G$178+(M80/100)*$G$179+(O80/100)*$G$180+(Q80)*$G$181+(S80*$G$182)+(E80*(VLOOKUP(D80,Fertilizantes!$A$49:$E$123,3,FALSE))))</f>
        <v>1191.1754799543896</v>
      </c>
    </row>
    <row r="81">
      <c r="A81">
        <v>10</v>
      </c>
      <c r="B81">
        <v>64</v>
      </c>
      <c r="C81">
        <f>$I$13+B81</f>
        <v>40005</v>
      </c>
      <c r="E81">
        <f>VLOOKUP(D81,Fertilizantes!$A$49:$E$123,2,FALSE)*$C$14</f>
        <v>0</v>
      </c>
      <c r="F81">
        <f>VLOOKUP(D81,Fertilizantes!$A$49:$E$123,4,FALSE)</f>
        <v>0</v>
      </c>
      <c r="G81">
        <f>IF($C$14*ReDiarioFert!C70&lt;=0,"0",$C$14*ReDiarioFert!C70)</f>
        <v>4.762645133607624</v>
      </c>
      <c r="I81">
        <f>$C$14*ReDiarioFert!E70</f>
        <v>8.681056322736612</v>
      </c>
      <c r="K81">
        <f>$C$14*ReDiarioFert!G70</f>
        <v>47.4545084136483</v>
      </c>
      <c r="M81">
        <f>$C$14*ReDiarioFert!I70</f>
        <v>26.396115405529592</v>
      </c>
      <c r="O81">
        <f>$C$14*ReDiarioFert!K70</f>
        <v>54.409237288123855</v>
      </c>
      <c r="Q81">
        <f>$C$14*ReDiarioFert!M70</f>
        <v>193.64876487804878</v>
      </c>
      <c r="S81">
        <f>$C$14*Main!$D$63</f>
        <v>26.879999999999995</v>
      </c>
      <c r="T81">
        <f>((G81/100)*$G$176+(I81/100)*$G$177+(K81/100)*$G$178+(M81/100)*$G$179+(O81/100)*$G$180+(Q81)*$G$181+(S81*$G$182)+(E81*(VLOOKUP(D81,Fertilizantes!$A$49:$E$123,3,FALSE))))</f>
        <v>1453.4629189477234</v>
      </c>
    </row>
    <row r="82">
      <c r="B82">
        <v>65</v>
      </c>
      <c r="C82">
        <f>$I$13+B82</f>
        <v>40006</v>
      </c>
      <c r="E82">
        <f>VLOOKUP(D82,Fertilizantes!$A$49:$E$123,2,FALSE)*$C$14</f>
        <v>0</v>
      </c>
      <c r="F82">
        <f>VLOOKUP(D82,Fertilizantes!$A$49:$E$123,4,FALSE)</f>
        <v>0</v>
      </c>
      <c r="G82">
        <f>IF($C$14*ReDiarioFert!C71&lt;=0,"0",$C$14*ReDiarioFert!C71)</f>
        <v>4.762645133607624</v>
      </c>
      <c r="I82">
        <f>$C$14*ReDiarioFert!E71</f>
        <v>8.681056322736612</v>
      </c>
      <c r="K82">
        <f>$C$14*ReDiarioFert!G71</f>
        <v>47.4545084136483</v>
      </c>
      <c r="M82">
        <f>$C$14*ReDiarioFert!I71</f>
        <v>26.396115405529592</v>
      </c>
      <c r="O82">
        <f>$C$14*ReDiarioFert!K71</f>
        <v>54.409237288123855</v>
      </c>
      <c r="Q82">
        <f>$C$14*ReDiarioFert!M71</f>
        <v>193.64876487804878</v>
      </c>
      <c r="T82">
        <f>((G82/100)*$G$176+(I82/100)*$G$177+(K82/100)*$G$178+(M82/100)*$G$179+(O82/100)*$G$180+(Q82)*$G$181+(S82*$G$182)+(E82*(VLOOKUP(D82,Fertilizantes!$A$49:$E$123,3,FALSE))))</f>
        <v>1378.1989189477235</v>
      </c>
    </row>
    <row r="83">
      <c r="B83">
        <v>66</v>
      </c>
      <c r="C83">
        <f>$I$13+B83</f>
        <v>40007</v>
      </c>
      <c r="E83">
        <f>VLOOKUP(D83,Fertilizantes!$A$49:$E$123,2,FALSE)*$C$14</f>
        <v>0</v>
      </c>
      <c r="F83">
        <f>VLOOKUP(D83,Fertilizantes!$A$49:$E$123,4,FALSE)</f>
        <v>0</v>
      </c>
      <c r="G83">
        <f>IF($C$14*ReDiarioFert!C72&lt;=0,"0",$C$14*ReDiarioFert!C72)</f>
        <v>4.762645133607624</v>
      </c>
      <c r="I83">
        <f>$C$14*ReDiarioFert!E72</f>
        <v>8.681056322736612</v>
      </c>
      <c r="K83">
        <f>$C$14*ReDiarioFert!G72</f>
        <v>47.4545084136483</v>
      </c>
      <c r="M83">
        <f>$C$14*ReDiarioFert!I72</f>
        <v>26.396115405529592</v>
      </c>
      <c r="O83">
        <f>$C$14*ReDiarioFert!K72</f>
        <v>54.409237288123855</v>
      </c>
      <c r="Q83">
        <f>$C$14*ReDiarioFert!M72</f>
        <v>193.64876487804878</v>
      </c>
      <c r="T83">
        <f>((G83/100)*$G$176+(I83/100)*$G$177+(K83/100)*$G$178+(M83/100)*$G$179+(O83/100)*$G$180+(Q83)*$G$181+(S83*$G$182)+(E83*(VLOOKUP(D83,Fertilizantes!$A$49:$E$123,3,FALSE))))</f>
        <v>1378.1989189477235</v>
      </c>
    </row>
    <row r="84">
      <c r="B84">
        <v>67</v>
      </c>
      <c r="C84">
        <f>$I$13+B84</f>
        <v>40008</v>
      </c>
      <c r="E84">
        <f>VLOOKUP(D84,Fertilizantes!$A$49:$E$123,2,FALSE)*$C$14</f>
        <v>0</v>
      </c>
      <c r="F84">
        <f>VLOOKUP(D84,Fertilizantes!$A$49:$E$123,4,FALSE)</f>
        <v>0</v>
      </c>
      <c r="G84">
        <f>IF($C$14*ReDiarioFert!C73&lt;=0,"0",$C$14*ReDiarioFert!C73)</f>
        <v>4.762645133607624</v>
      </c>
      <c r="I84">
        <f>$C$14*ReDiarioFert!E73</f>
        <v>8.681056322736612</v>
      </c>
      <c r="K84">
        <f>$C$14*ReDiarioFert!G73</f>
        <v>47.4545084136483</v>
      </c>
      <c r="M84">
        <f>$C$14*ReDiarioFert!I73</f>
        <v>26.396115405529592</v>
      </c>
      <c r="O84">
        <f>$C$14*ReDiarioFert!K73</f>
        <v>54.409237288123855</v>
      </c>
      <c r="Q84">
        <f>$C$14*ReDiarioFert!M73</f>
        <v>193.64876487804878</v>
      </c>
      <c r="T84">
        <f>((G84/100)*$G$176+(I84/100)*$G$177+(K84/100)*$G$178+(M84/100)*$G$179+(O84/100)*$G$180+(Q84)*$G$181+(S84*$G$182)+(E84*(VLOOKUP(D84,Fertilizantes!$A$49:$E$123,3,FALSE))))</f>
        <v>1378.1989189477235</v>
      </c>
    </row>
    <row r="85">
      <c r="B85">
        <v>68</v>
      </c>
      <c r="C85">
        <f>$I$13+B85</f>
        <v>40009</v>
      </c>
      <c r="E85">
        <f>VLOOKUP(D85,Fertilizantes!$A$49:$E$123,2,FALSE)*$C$14</f>
        <v>0</v>
      </c>
      <c r="F85">
        <f>VLOOKUP(D85,Fertilizantes!$A$49:$E$123,4,FALSE)</f>
        <v>0</v>
      </c>
      <c r="G85">
        <f>IF($C$14*ReDiarioFert!C74&lt;=0,"0",$C$14*ReDiarioFert!C74)</f>
        <v>4.762645133607624</v>
      </c>
      <c r="I85">
        <f>$C$14*ReDiarioFert!E74</f>
        <v>8.681056322736612</v>
      </c>
      <c r="K85">
        <f>$C$14*ReDiarioFert!G74</f>
        <v>47.4545084136483</v>
      </c>
      <c r="M85">
        <f>$C$14*ReDiarioFert!I74</f>
        <v>26.396115405529592</v>
      </c>
      <c r="O85">
        <f>$C$14*ReDiarioFert!K74</f>
        <v>54.409237288123855</v>
      </c>
      <c r="Q85">
        <f>$C$14*ReDiarioFert!M74</f>
        <v>193.64876487804878</v>
      </c>
      <c r="T85">
        <f>((G85/100)*$G$176+(I85/100)*$G$177+(K85/100)*$G$178+(M85/100)*$G$179+(O85/100)*$G$180+(Q85)*$G$181+(S85*$G$182)+(E85*(VLOOKUP(D85,Fertilizantes!$A$49:$E$123,3,FALSE))))</f>
        <v>1378.1989189477235</v>
      </c>
    </row>
    <row r="86">
      <c r="B86">
        <v>69</v>
      </c>
      <c r="C86">
        <f>$I$13+B86</f>
        <v>40010</v>
      </c>
      <c r="E86">
        <f>VLOOKUP(D86,Fertilizantes!$A$49:$E$123,2,FALSE)*$C$14</f>
        <v>0</v>
      </c>
      <c r="F86">
        <f>VLOOKUP(D86,Fertilizantes!$A$49:$E$123,4,FALSE)</f>
        <v>0</v>
      </c>
      <c r="G86">
        <f>IF($C$14*ReDiarioFert!C75&lt;=0,"0",$C$14*ReDiarioFert!C75)</f>
        <v>4.762645133607624</v>
      </c>
      <c r="I86">
        <f>$C$14*ReDiarioFert!E75</f>
        <v>8.681056322736612</v>
      </c>
      <c r="K86">
        <f>$C$14*ReDiarioFert!G75</f>
        <v>47.4545084136483</v>
      </c>
      <c r="M86">
        <f>$C$14*ReDiarioFert!I75</f>
        <v>26.396115405529592</v>
      </c>
      <c r="O86">
        <f>$C$14*ReDiarioFert!K75</f>
        <v>54.409237288123855</v>
      </c>
      <c r="Q86">
        <f>$C$14*ReDiarioFert!M75</f>
        <v>193.64876487804878</v>
      </c>
      <c r="T86">
        <f>((G86/100)*$G$176+(I86/100)*$G$177+(K86/100)*$G$178+(M86/100)*$G$179+(O86/100)*$G$180+(Q86)*$G$181+(S86*$G$182)+(E86*(VLOOKUP(D86,Fertilizantes!$A$49:$E$123,3,FALSE))))</f>
        <v>1378.1989189477235</v>
      </c>
    </row>
    <row r="87">
      <c r="B87">
        <v>70</v>
      </c>
      <c r="C87">
        <f>$I$13+B87</f>
        <v>40011</v>
      </c>
      <c r="E87">
        <f>VLOOKUP(D87,Fertilizantes!$A$49:$E$123,2,FALSE)*$C$14</f>
        <v>0</v>
      </c>
      <c r="F87">
        <f>VLOOKUP(D87,Fertilizantes!$A$49:$E$123,4,FALSE)</f>
        <v>0</v>
      </c>
      <c r="G87">
        <f>IF($C$14*ReDiarioFert!C76&lt;=0,"0",$C$14*ReDiarioFert!C76)</f>
        <v>4.762645133607624</v>
      </c>
      <c r="I87">
        <f>$C$14*ReDiarioFert!E76</f>
        <v>8.681056322736612</v>
      </c>
      <c r="K87">
        <f>$C$14*ReDiarioFert!G76</f>
        <v>47.4545084136483</v>
      </c>
      <c r="M87">
        <f>$C$14*ReDiarioFert!I76</f>
        <v>26.396115405529592</v>
      </c>
      <c r="O87">
        <f>$C$14*ReDiarioFert!K76</f>
        <v>54.409237288123855</v>
      </c>
      <c r="Q87">
        <f>$C$14*ReDiarioFert!M76</f>
        <v>193.64876487804878</v>
      </c>
      <c r="S87">
        <f>Main!$H$84</f>
        <v>0</v>
      </c>
      <c r="T87">
        <f>((G87/100)*$G$176+(I87/100)*$G$177+(K87/100)*$G$178+(M87/100)*$G$179+(O87/100)*$G$180+(Q87)*$G$181+(S87*$G$182)+(E87*(VLOOKUP(D87,Fertilizantes!$A$49:$E$123,3,FALSE))))</f>
        <v>1378.1989189477235</v>
      </c>
    </row>
    <row r="88">
      <c r="A88">
        <v>11</v>
      </c>
      <c r="B88">
        <v>71</v>
      </c>
      <c r="C88">
        <f>$I$13+B88</f>
        <v>40012</v>
      </c>
      <c r="E88">
        <f>VLOOKUP(D88,Fertilizantes!$A$49:$E$123,2,FALSE)*$C$14</f>
        <v>0</v>
      </c>
      <c r="F88">
        <f>VLOOKUP(D88,Fertilizantes!$A$49:$E$123,4,FALSE)</f>
        <v>0</v>
      </c>
      <c r="G88">
        <f>IF($C$14*ReDiarioFert!C77&lt;=0,"0",$C$14*ReDiarioFert!C77)</f>
        <v>4.762645133607624</v>
      </c>
      <c r="I88">
        <f>$C$14*ReDiarioFert!E77</f>
        <v>8.681056322736612</v>
      </c>
      <c r="K88">
        <f>$C$14*ReDiarioFert!G77</f>
        <v>47.4545084136483</v>
      </c>
      <c r="M88">
        <f>$C$14*ReDiarioFert!I77</f>
        <v>26.396115405529592</v>
      </c>
      <c r="O88">
        <f>$C$14*ReDiarioFert!K77</f>
        <v>54.409237288123855</v>
      </c>
      <c r="Q88">
        <f>$C$14*ReDiarioFert!M77</f>
        <v>193.64876487804878</v>
      </c>
      <c r="S88">
        <f>$C$14*Main!$D$63</f>
        <v>26.879999999999995</v>
      </c>
      <c r="T88">
        <f>((G88/100)*$G$176+(I88/100)*$G$177+(K88/100)*$G$178+(M88/100)*$G$179+(O88/100)*$G$180+(Q88)*$G$181+(S88*$G$182)+(E88*(VLOOKUP(D88,Fertilizantes!$A$49:$E$123,3,FALSE))))</f>
        <v>1453.4629189477234</v>
      </c>
    </row>
    <row r="89">
      <c r="B89">
        <v>72</v>
      </c>
      <c r="C89">
        <f>$I$13+B89</f>
        <v>40013</v>
      </c>
      <c r="E89">
        <f>VLOOKUP(D89,Fertilizantes!$A$49:$E$123,2,FALSE)*$C$14</f>
        <v>0</v>
      </c>
      <c r="F89">
        <f>VLOOKUP(D89,Fertilizantes!$A$49:$E$123,4,FALSE)</f>
        <v>0</v>
      </c>
      <c r="G89">
        <f>IF($C$14*ReDiarioFert!C78&lt;=0,"0",$C$14*ReDiarioFert!C78)</f>
        <v>4.762645133607624</v>
      </c>
      <c r="I89">
        <f>$C$14*ReDiarioFert!E78</f>
        <v>8.681056322736612</v>
      </c>
      <c r="K89">
        <f>$C$14*ReDiarioFert!G78</f>
        <v>47.4545084136483</v>
      </c>
      <c r="M89">
        <f>$C$14*ReDiarioFert!I78</f>
        <v>26.396115405529592</v>
      </c>
      <c r="O89">
        <f>$C$14*ReDiarioFert!K78</f>
        <v>54.409237288123855</v>
      </c>
      <c r="Q89">
        <f>$C$14*ReDiarioFert!M78</f>
        <v>193.64876487804878</v>
      </c>
      <c r="T89">
        <f>((G89/100)*$G$176+(I89/100)*$G$177+(K89/100)*$G$178+(M89/100)*$G$179+(O89/100)*$G$180+(Q89)*$G$181+(S89*$G$182)+(E89*(VLOOKUP(D89,Fertilizantes!$A$49:$E$123,3,FALSE))))</f>
        <v>1378.1989189477235</v>
      </c>
    </row>
    <row r="90">
      <c r="B90">
        <v>73</v>
      </c>
      <c r="C90">
        <f>$I$13+B90</f>
        <v>40014</v>
      </c>
      <c r="E90">
        <f>VLOOKUP(D90,Fertilizantes!$A$49:$E$123,2,FALSE)*$C$14</f>
        <v>0</v>
      </c>
      <c r="F90">
        <f>VLOOKUP(D90,Fertilizantes!$A$49:$E$123,4,FALSE)</f>
        <v>0</v>
      </c>
      <c r="G90">
        <f>IF($C$14*ReDiarioFert!C79&lt;=0,"0",$C$14*ReDiarioFert!C79)</f>
        <v>4.762645133607624</v>
      </c>
      <c r="I90">
        <f>$C$14*ReDiarioFert!E79</f>
        <v>8.681056322736612</v>
      </c>
      <c r="K90">
        <f>$C$14*ReDiarioFert!G79</f>
        <v>47.4545084136483</v>
      </c>
      <c r="M90">
        <f>$C$14*ReDiarioFert!I79</f>
        <v>26.396115405529592</v>
      </c>
      <c r="O90">
        <f>$C$14*ReDiarioFert!K79</f>
        <v>54.409237288123855</v>
      </c>
      <c r="Q90">
        <f>$C$14*ReDiarioFert!M79</f>
        <v>193.64876487804878</v>
      </c>
      <c r="T90">
        <f>((G90/100)*$G$176+(I90/100)*$G$177+(K90/100)*$G$178+(M90/100)*$G$179+(O90/100)*$G$180+(Q90)*$G$181+(S90*$G$182)+(E90*(VLOOKUP(D90,Fertilizantes!$A$49:$E$123,3,FALSE))))</f>
        <v>1378.1989189477235</v>
      </c>
    </row>
    <row r="91">
      <c r="B91">
        <v>74</v>
      </c>
      <c r="C91">
        <f>$I$13+B91</f>
        <v>40015</v>
      </c>
      <c r="E91">
        <f>VLOOKUP(D91,Fertilizantes!$A$49:$E$123,2,FALSE)*$C$14</f>
        <v>0</v>
      </c>
      <c r="F91">
        <f>VLOOKUP(D91,Fertilizantes!$A$49:$E$123,4,FALSE)</f>
        <v>0</v>
      </c>
      <c r="G91">
        <f>IF($C$14*ReDiarioFert!C80&lt;=0,"0",$C$14*ReDiarioFert!C80)</f>
        <v>4.762645133607624</v>
      </c>
      <c r="I91">
        <f>$C$14*ReDiarioFert!E80</f>
        <v>8.681056322736612</v>
      </c>
      <c r="K91">
        <f>$C$14*ReDiarioFert!G80</f>
        <v>47.4545084136483</v>
      </c>
      <c r="M91">
        <f>$C$14*ReDiarioFert!I80</f>
        <v>26.396115405529592</v>
      </c>
      <c r="O91">
        <f>$C$14*ReDiarioFert!K80</f>
        <v>54.409237288123855</v>
      </c>
      <c r="Q91">
        <f>$C$14*ReDiarioFert!M80</f>
        <v>193.64876487804878</v>
      </c>
      <c r="T91">
        <f>((G91/100)*$G$176+(I91/100)*$G$177+(K91/100)*$G$178+(M91/100)*$G$179+(O91/100)*$G$180+(Q91)*$G$181+(S91*$G$182)+(E91*(VLOOKUP(D91,Fertilizantes!$A$49:$E$123,3,FALSE))))</f>
        <v>1378.1989189477235</v>
      </c>
    </row>
    <row r="92">
      <c r="B92">
        <v>75</v>
      </c>
      <c r="C92">
        <f>$I$13+B92</f>
        <v>40016</v>
      </c>
      <c r="E92">
        <f>VLOOKUP(D92,Fertilizantes!$A$49:$E$123,2,FALSE)*$C$14</f>
        <v>0</v>
      </c>
      <c r="F92">
        <f>VLOOKUP(D92,Fertilizantes!$A$49:$E$123,4,FALSE)</f>
        <v>0</v>
      </c>
      <c r="G92">
        <f>IF($C$14*ReDiarioFert!C81&lt;=0,"0",$C$14*ReDiarioFert!C81)</f>
        <v>4.762645133607624</v>
      </c>
      <c r="I92">
        <f>$C$14*ReDiarioFert!E81</f>
        <v>8.681056322736612</v>
      </c>
      <c r="K92">
        <f>$C$14*ReDiarioFert!G81</f>
        <v>47.4545084136483</v>
      </c>
      <c r="M92">
        <f>$C$14*ReDiarioFert!I81</f>
        <v>26.396115405529592</v>
      </c>
      <c r="O92">
        <f>$C$14*ReDiarioFert!K81</f>
        <v>54.409237288123855</v>
      </c>
      <c r="Q92">
        <f>$C$14*ReDiarioFert!M81</f>
        <v>193.64876487804878</v>
      </c>
      <c r="T92">
        <f>((G92/100)*$G$176+(I92/100)*$G$177+(K92/100)*$G$178+(M92/100)*$G$179+(O92/100)*$G$180+(Q92)*$G$181+(S92*$G$182)+(E92*(VLOOKUP(D92,Fertilizantes!$A$49:$E$123,3,FALSE))))</f>
        <v>1378.1989189477235</v>
      </c>
    </row>
    <row r="93">
      <c r="B93">
        <v>76</v>
      </c>
      <c r="C93">
        <f>$I$13+B93</f>
        <v>40017</v>
      </c>
      <c r="E93">
        <f>VLOOKUP(D93,Fertilizantes!$A$49:$E$123,2,FALSE)*$C$14</f>
        <v>0</v>
      </c>
      <c r="F93">
        <f>VLOOKUP(D93,Fertilizantes!$A$49:$E$123,4,FALSE)</f>
        <v>0</v>
      </c>
      <c r="G93">
        <f>IF($C$14*ReDiarioFert!C82&lt;=0,"0",$C$14*ReDiarioFert!C82)</f>
        <v>4.762645133607624</v>
      </c>
      <c r="I93">
        <f>$C$14*ReDiarioFert!E82</f>
        <v>8.681056322736612</v>
      </c>
      <c r="K93">
        <f>$C$14*ReDiarioFert!G82</f>
        <v>47.4545084136483</v>
      </c>
      <c r="M93">
        <f>$C$14*ReDiarioFert!I82</f>
        <v>26.396115405529592</v>
      </c>
      <c r="O93">
        <f>$C$14*ReDiarioFert!K82</f>
        <v>54.409237288123855</v>
      </c>
      <c r="Q93">
        <f>$C$14*ReDiarioFert!M82</f>
        <v>193.64876487804878</v>
      </c>
      <c r="T93">
        <f>((G93/100)*$G$176+(I93/100)*$G$177+(K93/100)*$G$178+(M93/100)*$G$179+(O93/100)*$G$180+(Q93)*$G$181+(S93*$G$182)+(E93*(VLOOKUP(D93,Fertilizantes!$A$49:$E$123,3,FALSE))))</f>
        <v>1378.1989189477235</v>
      </c>
    </row>
    <row r="94">
      <c r="B94">
        <v>77</v>
      </c>
      <c r="C94">
        <f>$I$13+B94</f>
        <v>40018</v>
      </c>
      <c r="E94">
        <f>VLOOKUP(D94,Fertilizantes!$A$49:$E$123,2,FALSE)*$C$14</f>
        <v>0</v>
      </c>
      <c r="F94">
        <f>VLOOKUP(D94,Fertilizantes!$A$49:$E$123,4,FALSE)</f>
        <v>0</v>
      </c>
      <c r="G94">
        <f>IF($C$14*ReDiarioFert!C83&lt;=0,"0",$C$14*ReDiarioFert!C83)</f>
        <v>4.762645133607624</v>
      </c>
      <c r="I94">
        <f>$C$14*ReDiarioFert!E83</f>
        <v>8.681056322736612</v>
      </c>
      <c r="K94">
        <f>$C$14*ReDiarioFert!G83</f>
        <v>47.4545084136483</v>
      </c>
      <c r="M94">
        <f>$C$14*ReDiarioFert!I83</f>
        <v>26.396115405529592</v>
      </c>
      <c r="O94">
        <f>$C$14*ReDiarioFert!K83</f>
        <v>54.409237288123855</v>
      </c>
      <c r="Q94">
        <f>$C$14*ReDiarioFert!M83</f>
        <v>193.64876487804878</v>
      </c>
      <c r="T94">
        <f>((G94/100)*$G$176+(I94/100)*$G$177+(K94/100)*$G$178+(M94/100)*$G$179+(O94/100)*$G$180+(Q94)*$G$181+(S94*$G$182)+(E94*(VLOOKUP(D94,Fertilizantes!$A$49:$E$123,3,FALSE))))</f>
        <v>1378.1989189477235</v>
      </c>
    </row>
    <row r="95">
      <c r="A95">
        <v>12</v>
      </c>
      <c r="B95">
        <v>78</v>
      </c>
      <c r="C95">
        <f>$I$13+B95</f>
        <v>40019</v>
      </c>
      <c r="E95">
        <f>VLOOKUP(D95,Fertilizantes!$A$49:$E$123,2,FALSE)*$C$14</f>
        <v>0</v>
      </c>
      <c r="F95">
        <f>VLOOKUP(D95,Fertilizantes!$A$49:$E$123,4,FALSE)</f>
        <v>0</v>
      </c>
      <c r="G95">
        <f>IF($C$14*ReDiarioFert!C84&lt;=0,"0",$C$14*ReDiarioFert!C84)</f>
        <v>4.762645133607624</v>
      </c>
      <c r="I95">
        <f>$C$14*ReDiarioFert!E84</f>
        <v>8.681056322736612</v>
      </c>
      <c r="K95">
        <f>$C$14*ReDiarioFert!G84</f>
        <v>47.4545084136483</v>
      </c>
      <c r="M95">
        <f>$C$14*ReDiarioFert!I84</f>
        <v>26.396115405529592</v>
      </c>
      <c r="O95">
        <f>$C$14*ReDiarioFert!K84</f>
        <v>54.409237288123855</v>
      </c>
      <c r="Q95">
        <f>$C$14*ReDiarioFert!M84</f>
        <v>193.64876487804878</v>
      </c>
      <c r="S95">
        <f>$C$14*Main!$D$63</f>
        <v>26.879999999999995</v>
      </c>
      <c r="T95">
        <f>((G95/100)*$G$176+(I95/100)*$G$177+(K95/100)*$G$178+(M95/100)*$G$179+(O95/100)*$G$180+(Q95)*$G$181+(S95*$G$182)+(E95*(VLOOKUP(D95,Fertilizantes!$A$49:$E$123,3,FALSE))))</f>
        <v>1453.4629189477234</v>
      </c>
    </row>
    <row r="96">
      <c r="B96">
        <v>79</v>
      </c>
      <c r="C96">
        <f>$I$13+B96</f>
        <v>40020</v>
      </c>
      <c r="E96">
        <f>VLOOKUP(D96,Fertilizantes!$A$49:$E$123,2,FALSE)*$C$14</f>
        <v>0</v>
      </c>
      <c r="F96">
        <f>VLOOKUP(D96,Fertilizantes!$A$49:$E$123,4,FALSE)</f>
        <v>0</v>
      </c>
      <c r="G96">
        <f>IF($C$14*ReDiarioFert!C85&lt;=0,"0",$C$14*ReDiarioFert!C85)</f>
        <v>4.762645133607624</v>
      </c>
      <c r="I96">
        <f>$C$14*ReDiarioFert!E85</f>
        <v>8.681056322736612</v>
      </c>
      <c r="K96">
        <f>$C$14*ReDiarioFert!G85</f>
        <v>47.4545084136483</v>
      </c>
      <c r="M96">
        <f>$C$14*ReDiarioFert!I85</f>
        <v>26.396115405529592</v>
      </c>
      <c r="O96">
        <f>$C$14*ReDiarioFert!K85</f>
        <v>54.409237288123855</v>
      </c>
      <c r="Q96">
        <f>$C$14*ReDiarioFert!M85</f>
        <v>193.64876487804878</v>
      </c>
      <c r="T96">
        <f>((G96/100)*$G$176+(I96/100)*$G$177+(K96/100)*$G$178+(M96/100)*$G$179+(O96/100)*$G$180+(Q96)*$G$181+(S96*$G$182)+(E96*(VLOOKUP(D96,Fertilizantes!$A$49:$E$123,3,FALSE))))</f>
        <v>1378.1989189477235</v>
      </c>
    </row>
    <row r="97">
      <c r="B97">
        <v>80</v>
      </c>
      <c r="C97">
        <f>$I$13+B97</f>
        <v>40021</v>
      </c>
      <c r="E97">
        <f>VLOOKUP(D97,Fertilizantes!$A$49:$E$123,2,FALSE)*$C$14</f>
        <v>0</v>
      </c>
      <c r="F97">
        <f>VLOOKUP(D97,Fertilizantes!$A$49:$E$123,4,FALSE)</f>
        <v>0</v>
      </c>
      <c r="G97">
        <f>IF($C$14*ReDiarioFert!C86&lt;=0,"0",$C$14*ReDiarioFert!C86)</f>
        <v>4.762645133607624</v>
      </c>
      <c r="I97">
        <f>$C$14*ReDiarioFert!E86</f>
        <v>8.681056322736612</v>
      </c>
      <c r="K97">
        <f>$C$14*ReDiarioFert!G86</f>
        <v>47.4545084136483</v>
      </c>
      <c r="M97">
        <f>$C$14*ReDiarioFert!I86</f>
        <v>26.396115405529592</v>
      </c>
      <c r="O97">
        <f>$C$14*ReDiarioFert!K86</f>
        <v>54.409237288123855</v>
      </c>
      <c r="Q97">
        <f>$C$14*ReDiarioFert!M86</f>
        <v>193.64876487804878</v>
      </c>
      <c r="T97">
        <f>((G97/100)*$G$176+(I97/100)*$G$177+(K97/100)*$G$178+(M97/100)*$G$179+(O97/100)*$G$180+(Q97)*$G$181+(S97*$G$182)+(E97*(VLOOKUP(D97,Fertilizantes!$A$49:$E$123,3,FALSE))))</f>
        <v>1378.1989189477235</v>
      </c>
    </row>
    <row r="98">
      <c r="B98">
        <v>81</v>
      </c>
      <c r="C98">
        <f>$I$13+B98</f>
        <v>40022</v>
      </c>
      <c r="E98">
        <f>VLOOKUP(D98,Fertilizantes!$A$49:$E$123,2,FALSE)*$C$14</f>
        <v>0</v>
      </c>
      <c r="F98">
        <f>VLOOKUP(D98,Fertilizantes!$A$49:$E$123,4,FALSE)</f>
        <v>0</v>
      </c>
      <c r="G98">
        <f>IF($C$14*ReDiarioFert!C87&lt;=0,"0",$C$14*ReDiarioFert!C87)</f>
        <v>1.977019970175256</v>
      </c>
      <c r="I98">
        <f>$C$14*ReDiarioFert!E87</f>
        <v>10.541282677608741</v>
      </c>
      <c r="K98">
        <f>$C$14*ReDiarioFert!G87</f>
        <v>51.44940325459318</v>
      </c>
      <c r="M98">
        <f>$C$14*ReDiarioFert!I87</f>
        <v>28.618237365688973</v>
      </c>
      <c r="O98">
        <f>$C$14*ReDiarioFert!K87</f>
        <v>58.9896067537057</v>
      </c>
      <c r="Q98">
        <f>$C$14*ReDiarioFert!M87</f>
        <v>233.71373268292683</v>
      </c>
      <c r="T98">
        <f>((G98/100)*$G$176+(I98/100)*$G$177+(K98/100)*$G$178+(M98/100)*$G$179+(O98/100)*$G$180+(Q98)*$G$181+(S98*$G$182)+(E98*(VLOOKUP(D98,Fertilizantes!$A$49:$E$123,3,FALSE))))</f>
        <v>1508.1678688472175</v>
      </c>
    </row>
    <row r="99">
      <c r="B99">
        <v>82</v>
      </c>
      <c r="C99">
        <f>$I$13+B99</f>
        <v>40023</v>
      </c>
      <c r="E99">
        <f>VLOOKUP(D99,Fertilizantes!$A$49:$E$123,2,FALSE)*$C$14</f>
        <v>0</v>
      </c>
      <c r="F99">
        <f>VLOOKUP(D99,Fertilizantes!$A$49:$E$123,4,FALSE)</f>
        <v>0</v>
      </c>
      <c r="G99">
        <f>IF($C$14*ReDiarioFert!C88&lt;=0,"0",$C$14*ReDiarioFert!C88)</f>
        <v>1.977019970175256</v>
      </c>
      <c r="I99">
        <f>$C$14*ReDiarioFert!E88</f>
        <v>10.541282677608741</v>
      </c>
      <c r="K99">
        <f>$C$14*ReDiarioFert!G88</f>
        <v>51.44940325459318</v>
      </c>
      <c r="M99">
        <f>$C$14*ReDiarioFert!I88</f>
        <v>28.618237365688973</v>
      </c>
      <c r="O99">
        <f>$C$14*ReDiarioFert!K88</f>
        <v>58.9896067537057</v>
      </c>
      <c r="Q99">
        <f>$C$14*ReDiarioFert!M88</f>
        <v>233.71373268292683</v>
      </c>
      <c r="T99">
        <f>((G99/100)*$G$176+(I99/100)*$G$177+(K99/100)*$G$178+(M99/100)*$G$179+(O99/100)*$G$180+(Q99)*$G$181+(S99*$G$182)+(E99*(VLOOKUP(D99,Fertilizantes!$A$49:$E$123,3,FALSE))))</f>
        <v>1508.1678688472175</v>
      </c>
    </row>
    <row r="100">
      <c r="B100">
        <v>83</v>
      </c>
      <c r="C100">
        <f>$I$13+B100</f>
        <v>40024</v>
      </c>
      <c r="E100">
        <f>VLOOKUP(D100,Fertilizantes!$A$49:$E$123,2,FALSE)*$C$14</f>
        <v>0</v>
      </c>
      <c r="F100">
        <f>VLOOKUP(D100,Fertilizantes!$A$49:$E$123,4,FALSE)</f>
        <v>0</v>
      </c>
      <c r="G100">
        <f>IF($C$14*ReDiarioFert!C89&lt;=0,"0",$C$14*ReDiarioFert!C89)</f>
        <v>1.977019970175256</v>
      </c>
      <c r="I100">
        <f>$C$14*ReDiarioFert!E89</f>
        <v>10.541282677608741</v>
      </c>
      <c r="K100">
        <f>$C$14*ReDiarioFert!G89</f>
        <v>51.44940325459318</v>
      </c>
      <c r="M100">
        <f>$C$14*ReDiarioFert!I89</f>
        <v>28.618237365688973</v>
      </c>
      <c r="O100">
        <f>$C$14*ReDiarioFert!K89</f>
        <v>58.9896067537057</v>
      </c>
      <c r="Q100">
        <f>$C$14*ReDiarioFert!M89</f>
        <v>233.71373268292683</v>
      </c>
      <c r="T100">
        <f>((G100/100)*$G$176+(I100/100)*$G$177+(K100/100)*$G$178+(M100/100)*$G$179+(O100/100)*$G$180+(Q100)*$G$181+(S100*$G$182)+(E100*(VLOOKUP(D100,Fertilizantes!$A$49:$E$123,3,FALSE))))</f>
        <v>1508.1678688472175</v>
      </c>
    </row>
    <row r="101">
      <c r="B101">
        <v>84</v>
      </c>
      <c r="C101">
        <f>$I$13+B101</f>
        <v>40025</v>
      </c>
      <c r="E101">
        <f>VLOOKUP(D101,Fertilizantes!$A$49:$E$123,2,FALSE)*$C$14</f>
        <v>0</v>
      </c>
      <c r="F101">
        <f>VLOOKUP(D101,Fertilizantes!$A$49:$E$123,4,FALSE)</f>
        <v>0</v>
      </c>
      <c r="G101">
        <f>IF($C$14*ReDiarioFert!C90&lt;=0,"0",$C$14*ReDiarioFert!C90)</f>
        <v>1.977019970175256</v>
      </c>
      <c r="I101">
        <f>$C$14*ReDiarioFert!E90</f>
        <v>10.541282677608741</v>
      </c>
      <c r="K101">
        <f>$C$14*ReDiarioFert!G90</f>
        <v>51.44940325459318</v>
      </c>
      <c r="M101">
        <f>$C$14*ReDiarioFert!I90</f>
        <v>28.618237365688973</v>
      </c>
      <c r="O101">
        <f>$C$14*ReDiarioFert!K90</f>
        <v>58.9896067537057</v>
      </c>
      <c r="Q101">
        <f>$C$14*ReDiarioFert!M90</f>
        <v>233.71373268292683</v>
      </c>
      <c r="T101">
        <f>((G101/100)*$G$176+(I101/100)*$G$177+(K101/100)*$G$178+(M101/100)*$G$179+(O101/100)*$G$180+(Q101)*$G$181+(S101*$G$182)+(E101*(VLOOKUP(D101,Fertilizantes!$A$49:$E$123,3,FALSE))))</f>
        <v>1508.1678688472175</v>
      </c>
    </row>
    <row r="102" ht="18" customHeight="1">
      <c r="A102">
        <v>13</v>
      </c>
      <c r="B102">
        <v>85</v>
      </c>
      <c r="C102">
        <f>$I$13+B102</f>
        <v>40026</v>
      </c>
      <c r="D102">
        <f>Main!$H$87</f>
        <v>0</v>
      </c>
      <c r="E102">
        <f>VLOOKUP(D102,Fertilizantes!$A$49:$E$123,2,FALSE)*$C$14</f>
        <v>0</v>
      </c>
      <c r="F102">
        <f>VLOOKUP(D102,Fertilizantes!$A$49:$E$123,4,FALSE)</f>
        <v>0</v>
      </c>
      <c r="G102">
        <f>IF($C$14*ReDiarioFert!C91&lt;=0,"0",$C$14*ReDiarioFert!C91)</f>
        <v>1.977019970175256</v>
      </c>
      <c r="I102">
        <f>$C$14*ReDiarioFert!E91</f>
        <v>10.541282677608741</v>
      </c>
      <c r="K102">
        <f>$C$14*ReDiarioFert!G91</f>
        <v>51.44940325459318</v>
      </c>
      <c r="M102">
        <f>$C$14*ReDiarioFert!I91</f>
        <v>28.618237365688973</v>
      </c>
      <c r="O102">
        <f>$C$14*ReDiarioFert!K91</f>
        <v>58.9896067537057</v>
      </c>
      <c r="Q102">
        <f>$C$14*ReDiarioFert!M91</f>
        <v>233.71373268292683</v>
      </c>
      <c r="S102">
        <f>$C$14*Main!$D$63</f>
        <v>26.879999999999995</v>
      </c>
      <c r="T102">
        <f>((G102/100)*$G$176+(I102/100)*$G$177+(K102/100)*$G$178+(M102/100)*$G$179+(O102/100)*$G$180+(Q102)*$G$181+(S102*$G$182)+(E102*(VLOOKUP(D102,Fertilizantes!$A$49:$E$123,3,FALSE))))</f>
        <v>1583.4318688472174</v>
      </c>
    </row>
    <row r="103" ht="18" customHeight="1">
      <c r="B103">
        <v>86</v>
      </c>
      <c r="C103">
        <f>$I$13+B103</f>
        <v>40027</v>
      </c>
      <c r="E103">
        <f>VLOOKUP(D103,Fertilizantes!$A$49:$E$123,2,FALSE)*$C$14</f>
        <v>0</v>
      </c>
      <c r="F103">
        <f>VLOOKUP(D103,Fertilizantes!$A$49:$E$123,4,FALSE)</f>
        <v>0</v>
      </c>
      <c r="G103">
        <f>IF($C$14*ReDiarioFert!C92&lt;=0,"0",$C$14*ReDiarioFert!C92)</f>
        <v>1.977019970175256</v>
      </c>
      <c r="I103">
        <f>$C$14*ReDiarioFert!E92</f>
        <v>10.541282677608741</v>
      </c>
      <c r="K103">
        <f>$C$14*ReDiarioFert!G92</f>
        <v>51.44940325459318</v>
      </c>
      <c r="M103">
        <f>$C$14*ReDiarioFert!I92</f>
        <v>28.618237365688973</v>
      </c>
      <c r="O103">
        <f>$C$14*ReDiarioFert!K92</f>
        <v>58.9896067537057</v>
      </c>
      <c r="Q103">
        <f>$C$14*ReDiarioFert!M92</f>
        <v>233.71373268292683</v>
      </c>
      <c r="T103">
        <f>((G103/100)*$G$176+(I103/100)*$G$177+(K103/100)*$G$178+(M103/100)*$G$179+(O103/100)*$G$180+(Q103)*$G$181+(S103*$G$182)+(E103*(VLOOKUP(D103,Fertilizantes!$A$49:$E$123,3,FALSE))))</f>
        <v>1508.1678688472175</v>
      </c>
    </row>
    <row r="104" ht="18" customHeight="1">
      <c r="B104">
        <v>87</v>
      </c>
      <c r="C104">
        <f>$I$13+B104</f>
        <v>40028</v>
      </c>
      <c r="E104">
        <f>VLOOKUP(D104,Fertilizantes!$A$49:$E$123,2,FALSE)*$C$14</f>
        <v>0</v>
      </c>
      <c r="F104">
        <f>VLOOKUP(D104,Fertilizantes!$A$49:$E$123,4,FALSE)</f>
        <v>0</v>
      </c>
      <c r="G104">
        <f>IF($C$14*ReDiarioFert!C93&lt;=0,"0",$C$14*ReDiarioFert!C93)</f>
        <v>1.977019970175256</v>
      </c>
      <c r="I104">
        <f>$C$14*ReDiarioFert!E93</f>
        <v>10.541282677608741</v>
      </c>
      <c r="K104">
        <f>$C$14*ReDiarioFert!G93</f>
        <v>51.44940325459318</v>
      </c>
      <c r="M104">
        <f>$C$14*ReDiarioFert!I93</f>
        <v>28.618237365688973</v>
      </c>
      <c r="O104">
        <f>$C$14*ReDiarioFert!K93</f>
        <v>58.9896067537057</v>
      </c>
      <c r="Q104">
        <f>$C$14*ReDiarioFert!M93</f>
        <v>233.71373268292683</v>
      </c>
      <c r="T104">
        <f>((G104/100)*$G$176+(I104/100)*$G$177+(K104/100)*$G$178+(M104/100)*$G$179+(O104/100)*$G$180+(Q104)*$G$181+(S104*$G$182)+(E104*(VLOOKUP(D104,Fertilizantes!$A$49:$E$123,3,FALSE))))</f>
        <v>1508.1678688472175</v>
      </c>
    </row>
    <row r="105" ht="18" customHeight="1">
      <c r="B105">
        <v>88</v>
      </c>
      <c r="C105">
        <f>$I$13+B105</f>
        <v>40029</v>
      </c>
      <c r="E105">
        <f>VLOOKUP(D105,Fertilizantes!$A$49:$E$123,2,FALSE)*$C$14</f>
        <v>0</v>
      </c>
      <c r="F105">
        <f>VLOOKUP(D105,Fertilizantes!$A$49:$E$123,4,FALSE)</f>
        <v>0</v>
      </c>
      <c r="G105">
        <f>IF($C$14*ReDiarioFert!C94&lt;=0,"0",$C$14*ReDiarioFert!C94)</f>
        <v>1.977019970175256</v>
      </c>
      <c r="I105">
        <f>$C$14*ReDiarioFert!E94</f>
        <v>10.541282677608741</v>
      </c>
      <c r="K105">
        <f>$C$14*ReDiarioFert!G94</f>
        <v>51.44940325459318</v>
      </c>
      <c r="M105">
        <f>$C$14*ReDiarioFert!I94</f>
        <v>28.618237365688973</v>
      </c>
      <c r="O105">
        <f>$C$14*ReDiarioFert!K94</f>
        <v>58.9896067537057</v>
      </c>
      <c r="Q105">
        <f>$C$14*ReDiarioFert!M94</f>
        <v>233.71373268292683</v>
      </c>
      <c r="T105">
        <f>((G105/100)*$G$176+(I105/100)*$G$177+(K105/100)*$G$178+(M105/100)*$G$179+(O105/100)*$G$180+(Q105)*$G$181+(S105*$G$182)+(E105*(VLOOKUP(D105,Fertilizantes!$A$49:$E$123,3,FALSE))))</f>
        <v>1508.1678688472175</v>
      </c>
    </row>
    <row r="106" ht="18" customHeight="1">
      <c r="B106">
        <v>89</v>
      </c>
      <c r="C106">
        <f>$I$13+B106</f>
        <v>40030</v>
      </c>
      <c r="E106">
        <f>VLOOKUP(D106,Fertilizantes!$A$49:$E$123,2,FALSE)*$C$14</f>
        <v>0</v>
      </c>
      <c r="F106">
        <f>VLOOKUP(D106,Fertilizantes!$A$49:$E$123,4,FALSE)</f>
        <v>0</v>
      </c>
      <c r="G106">
        <f>IF($C$14*ReDiarioFert!C95&lt;=0,"0",$C$14*ReDiarioFert!C95)</f>
        <v>1.977019970175256</v>
      </c>
      <c r="I106">
        <f>$C$14*ReDiarioFert!E95</f>
        <v>10.541282677608741</v>
      </c>
      <c r="K106">
        <f>$C$14*ReDiarioFert!G95</f>
        <v>51.44940325459318</v>
      </c>
      <c r="M106">
        <f>$C$14*ReDiarioFert!I95</f>
        <v>28.618237365688973</v>
      </c>
      <c r="O106">
        <f>$C$14*ReDiarioFert!K95</f>
        <v>58.9896067537057</v>
      </c>
      <c r="Q106">
        <f>$C$14*ReDiarioFert!M95</f>
        <v>233.71373268292683</v>
      </c>
      <c r="T106">
        <f>((G106/100)*$G$176+(I106/100)*$G$177+(K106/100)*$G$178+(M106/100)*$G$179+(O106/100)*$G$180+(Q106)*$G$181+(S106*$G$182)+(E106*(VLOOKUP(D106,Fertilizantes!$A$49:$E$123,3,FALSE))))</f>
        <v>1508.1678688472175</v>
      </c>
    </row>
    <row r="107" ht="18" customHeight="1">
      <c r="B107">
        <v>90</v>
      </c>
      <c r="C107">
        <f>$I$13+B107</f>
        <v>40031</v>
      </c>
      <c r="E107">
        <f>VLOOKUP(D107,Fertilizantes!$A$49:$E$123,2,FALSE)*$C$14</f>
        <v>0</v>
      </c>
      <c r="F107">
        <f>VLOOKUP(D107,Fertilizantes!$A$49:$E$123,4,FALSE)</f>
        <v>0</v>
      </c>
      <c r="G107">
        <f>IF($C$14*ReDiarioFert!C96&lt;=0,"0",$C$14*ReDiarioFert!C96)</f>
        <v>1.977019970175256</v>
      </c>
      <c r="I107">
        <f>$C$14*ReDiarioFert!E96</f>
        <v>10.541282677608741</v>
      </c>
      <c r="K107">
        <f>$C$14*ReDiarioFert!G96</f>
        <v>51.44940325459318</v>
      </c>
      <c r="M107">
        <f>$C$14*ReDiarioFert!I96</f>
        <v>28.618237365688973</v>
      </c>
      <c r="O107">
        <f>$C$14*ReDiarioFert!K96</f>
        <v>58.9896067537057</v>
      </c>
      <c r="Q107">
        <f>$C$14*ReDiarioFert!M96</f>
        <v>233.71373268292683</v>
      </c>
      <c r="T107">
        <f>((G107/100)*$G$176+(I107/100)*$G$177+(K107/100)*$G$178+(M107/100)*$G$179+(O107/100)*$G$180+(Q107)*$G$181+(S107*$G$182)+(E107*(VLOOKUP(D107,Fertilizantes!$A$49:$E$123,3,FALSE))))</f>
        <v>1508.1678688472175</v>
      </c>
    </row>
    <row r="108" ht="18" customHeight="1">
      <c r="B108">
        <v>91</v>
      </c>
      <c r="C108">
        <f>$I$13+B108</f>
        <v>40032</v>
      </c>
      <c r="E108">
        <f>VLOOKUP(D108,Fertilizantes!$A$49:$E$123,2,FALSE)*$C$14</f>
        <v>0</v>
      </c>
      <c r="F108">
        <f>VLOOKUP(D108,Fertilizantes!$A$49:$E$123,4,FALSE)</f>
        <v>0</v>
      </c>
      <c r="G108">
        <f>IF($C$14*ReDiarioFert!C97&lt;=0,"0",$C$14*ReDiarioFert!C97)</f>
        <v>1.977019970175256</v>
      </c>
      <c r="I108">
        <f>$C$14*ReDiarioFert!E97</f>
        <v>10.541282677608741</v>
      </c>
      <c r="K108">
        <f>$C$14*ReDiarioFert!G97</f>
        <v>51.44940325459318</v>
      </c>
      <c r="M108">
        <f>$C$14*ReDiarioFert!I97</f>
        <v>28.618237365688973</v>
      </c>
      <c r="O108">
        <f>$C$14*ReDiarioFert!K97</f>
        <v>58.9896067537057</v>
      </c>
      <c r="Q108">
        <f>$C$14*ReDiarioFert!M97</f>
        <v>233.71373268292683</v>
      </c>
      <c r="S108">
        <f>Main!$H$84</f>
        <v>0</v>
      </c>
      <c r="T108">
        <f>((G108/100)*$G$176+(I108/100)*$G$177+(K108/100)*$G$178+(M108/100)*$G$179+(O108/100)*$G$180+(Q108)*$G$181+(S108*$G$182)+(E108*(VLOOKUP(D108,Fertilizantes!$A$49:$E$123,3,FALSE))))</f>
        <v>1508.1678688472175</v>
      </c>
    </row>
    <row r="109">
      <c r="A109">
        <v>14</v>
      </c>
      <c r="B109">
        <v>92</v>
      </c>
      <c r="C109">
        <f>$I$13+B109</f>
        <v>40033</v>
      </c>
      <c r="E109">
        <f>VLOOKUP(D109,Fertilizantes!$A$49:$E$123,2,FALSE)*$C$14</f>
        <v>0</v>
      </c>
      <c r="F109">
        <f>VLOOKUP(D109,Fertilizantes!$A$49:$E$123,4,FALSE)</f>
        <v>0</v>
      </c>
      <c r="G109">
        <f>IF($C$14*ReDiarioFert!C98&lt;=0,"0",$C$14*ReDiarioFert!C98)</f>
        <v>1.977019970175256</v>
      </c>
      <c r="I109">
        <f>$C$14*ReDiarioFert!E98</f>
        <v>10.541282677608741</v>
      </c>
      <c r="K109">
        <f>$C$14*ReDiarioFert!G98</f>
        <v>51.44940325459318</v>
      </c>
      <c r="M109">
        <f>$C$14*ReDiarioFert!I98</f>
        <v>28.618237365688973</v>
      </c>
      <c r="O109">
        <f>$C$14*ReDiarioFert!K98</f>
        <v>58.9896067537057</v>
      </c>
      <c r="Q109">
        <f>$C$14*ReDiarioFert!M98</f>
        <v>233.71373268292683</v>
      </c>
      <c r="S109">
        <f>$C$14*Main!$D$63</f>
        <v>26.879999999999995</v>
      </c>
      <c r="T109">
        <f>((G109/100)*$G$176+(I109/100)*$G$177+(K109/100)*$G$178+(M109/100)*$G$179+(O109/100)*$G$180+(Q109)*$G$181+(S109*$G$182)+(E109*(VLOOKUP(D109,Fertilizantes!$A$49:$E$123,3,FALSE))))</f>
        <v>1583.4318688472174</v>
      </c>
    </row>
    <row r="110">
      <c r="B110">
        <v>93</v>
      </c>
      <c r="C110">
        <f>$I$13+B110</f>
        <v>40034</v>
      </c>
      <c r="E110">
        <f>VLOOKUP(D110,Fertilizantes!$A$49:$E$123,2,FALSE)*$C$14</f>
        <v>0</v>
      </c>
      <c r="F110">
        <f>VLOOKUP(D110,Fertilizantes!$A$49:$E$123,4,FALSE)</f>
        <v>0</v>
      </c>
      <c r="G110">
        <f>IF($C$14*ReDiarioFert!C99&lt;=0,"0",$C$14*ReDiarioFert!C99)</f>
        <v>1.977019970175256</v>
      </c>
      <c r="I110">
        <f>$C$14*ReDiarioFert!E99</f>
        <v>10.541282677608741</v>
      </c>
      <c r="K110">
        <f>$C$14*ReDiarioFert!G99</f>
        <v>51.44940325459318</v>
      </c>
      <c r="M110">
        <f>$C$14*ReDiarioFert!I99</f>
        <v>28.618237365688973</v>
      </c>
      <c r="O110">
        <f>$C$14*ReDiarioFert!K99</f>
        <v>58.9896067537057</v>
      </c>
      <c r="Q110">
        <f>$C$14*ReDiarioFert!M99</f>
        <v>233.71373268292683</v>
      </c>
      <c r="T110">
        <f>((G110/100)*$G$176+(I110/100)*$G$177+(K110/100)*$G$178+(M110/100)*$G$179+(O110/100)*$G$180+(Q110)*$G$181+(S110*$G$182)+(E110*(VLOOKUP(D110,Fertilizantes!$A$49:$E$123,3,FALSE))))</f>
        <v>1508.1678688472175</v>
      </c>
    </row>
    <row r="111">
      <c r="B111">
        <v>94</v>
      </c>
      <c r="C111">
        <f>$I$13+B111</f>
        <v>40035</v>
      </c>
      <c r="E111">
        <f>VLOOKUP(D111,Fertilizantes!$A$49:$E$123,2,FALSE)*$C$14</f>
        <v>0</v>
      </c>
      <c r="F111">
        <f>VLOOKUP(D111,Fertilizantes!$A$49:$E$123,4,FALSE)</f>
        <v>0</v>
      </c>
      <c r="G111">
        <f>IF($C$14*ReDiarioFert!C100&lt;=0,"0",$C$14*ReDiarioFert!C100)</f>
        <v>1.977019970175256</v>
      </c>
      <c r="I111">
        <f>$C$14*ReDiarioFert!E100</f>
        <v>10.541282677608741</v>
      </c>
      <c r="K111">
        <f>$C$14*ReDiarioFert!G100</f>
        <v>51.44940325459318</v>
      </c>
      <c r="M111">
        <f>$C$14*ReDiarioFert!I100</f>
        <v>28.618237365688973</v>
      </c>
      <c r="O111">
        <f>$C$14*ReDiarioFert!K100</f>
        <v>58.9896067537057</v>
      </c>
      <c r="Q111">
        <f>$C$14*ReDiarioFert!M100</f>
        <v>233.71373268292683</v>
      </c>
      <c r="T111">
        <f>((G111/100)*$G$176+(I111/100)*$G$177+(K111/100)*$G$178+(M111/100)*$G$179+(O111/100)*$G$180+(Q111)*$G$181+(S111*$G$182)+(E111*(VLOOKUP(D111,Fertilizantes!$A$49:$E$123,3,FALSE))))</f>
        <v>1508.1678688472175</v>
      </c>
    </row>
    <row r="112">
      <c r="B112">
        <v>95</v>
      </c>
      <c r="C112">
        <f>$I$13+B112</f>
        <v>40036</v>
      </c>
      <c r="E112">
        <f>VLOOKUP(D112,Fertilizantes!$A$49:$E$123,2,FALSE)*$C$14</f>
        <v>0</v>
      </c>
      <c r="F112">
        <f>VLOOKUP(D112,Fertilizantes!$A$49:$E$123,4,FALSE)</f>
        <v>0</v>
      </c>
      <c r="G112">
        <f>IF($C$14*ReDiarioFert!C101&lt;=0,"0",$C$14*ReDiarioFert!C101)</f>
        <v>1.977019970175256</v>
      </c>
      <c r="I112">
        <f>$C$14*ReDiarioFert!E101</f>
        <v>10.541282677608741</v>
      </c>
      <c r="K112">
        <f>$C$14*ReDiarioFert!G101</f>
        <v>51.44940325459318</v>
      </c>
      <c r="M112">
        <f>$C$14*ReDiarioFert!I101</f>
        <v>28.618237365688973</v>
      </c>
      <c r="O112">
        <f>$C$14*ReDiarioFert!K101</f>
        <v>58.9896067537057</v>
      </c>
      <c r="Q112">
        <f>$C$14*ReDiarioFert!M101</f>
        <v>233.71373268292683</v>
      </c>
      <c r="T112">
        <f>((G112/100)*$G$176+(I112/100)*$G$177+(K112/100)*$G$178+(M112/100)*$G$179+(O112/100)*$G$180+(Q112)*$G$181+(S112*$G$182)+(E112*(VLOOKUP(D112,Fertilizantes!$A$49:$E$123,3,FALSE))))</f>
        <v>1508.1678688472175</v>
      </c>
    </row>
    <row r="113">
      <c r="B113">
        <v>96</v>
      </c>
      <c r="C113">
        <f>$I$13+B113</f>
        <v>40037</v>
      </c>
      <c r="E113">
        <f>VLOOKUP(D113,Fertilizantes!$A$49:$E$123,2,FALSE)*$C$14</f>
        <v>0</v>
      </c>
      <c r="F113">
        <f>VLOOKUP(D113,Fertilizantes!$A$49:$E$123,4,FALSE)</f>
        <v>0</v>
      </c>
      <c r="G113">
        <f>IF($C$14*ReDiarioFert!C102&lt;=0,"0",$C$14*ReDiarioFert!C102)</f>
        <v>1.977019970175256</v>
      </c>
      <c r="I113">
        <f>$C$14*ReDiarioFert!E102</f>
        <v>10.541282677608741</v>
      </c>
      <c r="K113">
        <f>$C$14*ReDiarioFert!G102</f>
        <v>51.44940325459318</v>
      </c>
      <c r="M113">
        <f>$C$14*ReDiarioFert!I102</f>
        <v>28.618237365688973</v>
      </c>
      <c r="O113">
        <f>$C$14*ReDiarioFert!K102</f>
        <v>58.9896067537057</v>
      </c>
      <c r="Q113">
        <f>$C$14*ReDiarioFert!M102</f>
        <v>233.71373268292683</v>
      </c>
      <c r="T113">
        <f>((G113/100)*$G$176+(I113/100)*$G$177+(K113/100)*$G$178+(M113/100)*$G$179+(O113/100)*$G$180+(Q113)*$G$181+(S113*$G$182)+(E113*(VLOOKUP(D113,Fertilizantes!$A$49:$E$123,3,FALSE))))</f>
        <v>1508.1678688472175</v>
      </c>
    </row>
    <row r="114">
      <c r="B114">
        <v>97</v>
      </c>
      <c r="C114">
        <f>$I$13+B114</f>
        <v>40038</v>
      </c>
      <c r="E114">
        <f>VLOOKUP(D114,Fertilizantes!$A$49:$E$123,2,FALSE)*$C$14</f>
        <v>0</v>
      </c>
      <c r="F114">
        <f>VLOOKUP(D114,Fertilizantes!$A$49:$E$123,4,FALSE)</f>
        <v>0</v>
      </c>
      <c r="G114">
        <f>IF($C$14*ReDiarioFert!C103&lt;=0,"0",$C$14*ReDiarioFert!C103)</f>
        <v>1.977019970175256</v>
      </c>
      <c r="I114">
        <f>$C$14*ReDiarioFert!E103</f>
        <v>10.541282677608741</v>
      </c>
      <c r="K114">
        <f>$C$14*ReDiarioFert!G103</f>
        <v>51.44940325459318</v>
      </c>
      <c r="M114">
        <f>$C$14*ReDiarioFert!I103</f>
        <v>28.618237365688973</v>
      </c>
      <c r="O114">
        <f>$C$14*ReDiarioFert!K103</f>
        <v>58.9896067537057</v>
      </c>
      <c r="Q114">
        <f>$C$14*ReDiarioFert!M103</f>
        <v>233.71373268292683</v>
      </c>
      <c r="T114">
        <f>((G114/100)*$G$176+(I114/100)*$G$177+(K114/100)*$G$178+(M114/100)*$G$179+(O114/100)*$G$180+(Q114)*$G$181+(S114*$G$182)+(E114*(VLOOKUP(D114,Fertilizantes!$A$49:$E$123,3,FALSE))))</f>
        <v>1508.1678688472175</v>
      </c>
    </row>
    <row r="115">
      <c r="B115">
        <v>98</v>
      </c>
      <c r="C115">
        <f>$I$13+B115</f>
        <v>40039</v>
      </c>
      <c r="E115">
        <f>VLOOKUP(D115,Fertilizantes!$A$49:$E$123,2,FALSE)*$C$14</f>
        <v>0</v>
      </c>
      <c r="F115">
        <f>VLOOKUP(D115,Fertilizantes!$A$49:$E$123,4,FALSE)</f>
        <v>0</v>
      </c>
      <c r="G115">
        <f>IF($C$14*ReDiarioFert!C104&lt;=0,"0",$C$14*ReDiarioFert!C104)</f>
        <v>1.977019970175256</v>
      </c>
      <c r="I115">
        <f>$C$14*ReDiarioFert!E104</f>
        <v>10.541282677608741</v>
      </c>
      <c r="K115">
        <f>$C$14*ReDiarioFert!G104</f>
        <v>51.44940325459318</v>
      </c>
      <c r="M115">
        <f>$C$14*ReDiarioFert!I104</f>
        <v>28.618237365688973</v>
      </c>
      <c r="O115">
        <f>$C$14*ReDiarioFert!K104</f>
        <v>58.9896067537057</v>
      </c>
      <c r="Q115">
        <f>$C$14*ReDiarioFert!M104</f>
        <v>233.71373268292683</v>
      </c>
      <c r="S115">
        <f>Main!$H$85</f>
        <v>0</v>
      </c>
      <c r="T115">
        <f>((G115/100)*$G$176+(I115/100)*$G$177+(K115/100)*$G$178+(M115/100)*$G$179+(O115/100)*$G$180+(Q115)*$G$181+(S115*$G$182)+(E115*(VLOOKUP(D115,Fertilizantes!$A$49:$E$123,3,FALSE))))</f>
        <v>1508.1678688472175</v>
      </c>
    </row>
    <row r="116">
      <c r="A116">
        <v>15</v>
      </c>
      <c r="B116">
        <v>99</v>
      </c>
      <c r="C116">
        <f>$I$13+B116</f>
        <v>40040</v>
      </c>
      <c r="E116">
        <f>VLOOKUP(D116,Fertilizantes!$A$49:$E$123,2,FALSE)*$C$14</f>
        <v>0</v>
      </c>
      <c r="F116">
        <f>VLOOKUP(D116,Fertilizantes!$A$49:$E$123,4,FALSE)</f>
        <v>0</v>
      </c>
      <c r="G116">
        <f>IF($C$14*ReDiarioFert!C105&lt;=0,"0",$C$14*ReDiarioFert!C105)</f>
        <v>1.977019970175256</v>
      </c>
      <c r="I116">
        <f>$C$14*ReDiarioFert!E105</f>
        <v>10.541282677608741</v>
      </c>
      <c r="K116">
        <f>$C$14*ReDiarioFert!G105</f>
        <v>51.44940325459318</v>
      </c>
      <c r="M116">
        <f>$C$14*ReDiarioFert!I105</f>
        <v>28.618237365688973</v>
      </c>
      <c r="O116">
        <f>$C$14*ReDiarioFert!K105</f>
        <v>58.9896067537057</v>
      </c>
      <c r="Q116">
        <f>$C$14*ReDiarioFert!M105</f>
        <v>233.71373268292683</v>
      </c>
      <c r="S116">
        <f>$C$14*Main!$D$63</f>
        <v>26.879999999999995</v>
      </c>
      <c r="T116">
        <f>((G116/100)*$G$176+(I116/100)*$G$177+(K116/100)*$G$178+(M116/100)*$G$179+(O116/100)*$G$180+(Q116)*$G$181+(S116*$G$182)+(E116*(VLOOKUP(D116,Fertilizantes!$A$49:$E$123,3,FALSE))))</f>
        <v>1583.4318688472174</v>
      </c>
    </row>
    <row r="117">
      <c r="B117">
        <v>100</v>
      </c>
      <c r="C117">
        <f>$I$13+B117</f>
        <v>40041</v>
      </c>
      <c r="E117">
        <f>VLOOKUP(D117,Fertilizantes!$A$49:$E$123,2,FALSE)*$C$14</f>
        <v>0</v>
      </c>
      <c r="F117">
        <f>VLOOKUP(D117,Fertilizantes!$A$49:$E$123,4,FALSE)</f>
        <v>0</v>
      </c>
      <c r="G117">
        <f>IF($C$14*ReDiarioFert!C106&lt;=0,"0",$C$14*ReDiarioFert!C106)</f>
        <v>1.977019970175256</v>
      </c>
      <c r="I117">
        <f>$C$14*ReDiarioFert!E106</f>
        <v>10.541282677608741</v>
      </c>
      <c r="K117">
        <f>$C$14*ReDiarioFert!G106</f>
        <v>51.44940325459318</v>
      </c>
      <c r="M117">
        <f>$C$14*ReDiarioFert!I106</f>
        <v>28.618237365688973</v>
      </c>
      <c r="O117">
        <f>$C$14*ReDiarioFert!K106</f>
        <v>58.9896067537057</v>
      </c>
      <c r="Q117">
        <f>$C$14*ReDiarioFert!M106</f>
        <v>233.71373268292683</v>
      </c>
      <c r="T117">
        <f>((G117/100)*$G$176+(I117/100)*$G$177+(K117/100)*$G$178+(M117/100)*$G$179+(O117/100)*$G$180+(Q117)*$G$181+(S117*$G$182)+(E117*(VLOOKUP(D117,Fertilizantes!$A$49:$E$123,3,FALSE))))</f>
        <v>1508.1678688472175</v>
      </c>
    </row>
    <row r="118">
      <c r="B118">
        <v>101</v>
      </c>
      <c r="C118">
        <f>$I$13+B118</f>
        <v>40042</v>
      </c>
      <c r="E118">
        <f>VLOOKUP(D118,Fertilizantes!$A$49:$E$123,2,FALSE)*$C$14</f>
        <v>0</v>
      </c>
      <c r="F118">
        <f>VLOOKUP(D118,Fertilizantes!$A$49:$E$123,4,FALSE)</f>
        <v>0</v>
      </c>
      <c r="G118">
        <f>IF($C$14*ReDiarioFert!C107&lt;=0,"0",$C$14*ReDiarioFert!C107)</f>
        <v>1.977019970175256</v>
      </c>
      <c r="I118">
        <f>$C$14*ReDiarioFert!E107</f>
        <v>10.541282677608741</v>
      </c>
      <c r="K118">
        <f>$C$14*ReDiarioFert!G107</f>
        <v>51.44940325459318</v>
      </c>
      <c r="M118">
        <f>$C$14*ReDiarioFert!I107</f>
        <v>28.618237365688973</v>
      </c>
      <c r="O118">
        <f>$C$14*ReDiarioFert!K107</f>
        <v>58.9896067537057</v>
      </c>
      <c r="Q118">
        <f>$C$14*ReDiarioFert!M107</f>
        <v>233.71373268292683</v>
      </c>
      <c r="T118">
        <f>((G118/100)*$G$176+(I118/100)*$G$177+(K118/100)*$G$178+(M118/100)*$G$179+(O118/100)*$G$180+(Q118)*$G$181+(S118*$G$182)+(E118*(VLOOKUP(D118,Fertilizantes!$A$49:$E$123,3,FALSE))))</f>
        <v>1508.1678688472175</v>
      </c>
    </row>
    <row r="119">
      <c r="B119">
        <v>102</v>
      </c>
      <c r="C119">
        <f>$I$13+B119</f>
        <v>40043</v>
      </c>
      <c r="E119">
        <f>VLOOKUP(D119,Fertilizantes!$A$49:$E$123,2,FALSE)*$C$14</f>
        <v>0</v>
      </c>
      <c r="F119">
        <f>VLOOKUP(D119,Fertilizantes!$A$49:$E$123,4,FALSE)</f>
        <v>0</v>
      </c>
      <c r="G119">
        <f>IF($C$14*ReDiarioFert!C108&lt;=0,"0",$C$14*ReDiarioFert!C108)</f>
        <v>1.977019970175256</v>
      </c>
      <c r="I119">
        <f>$C$14*ReDiarioFert!E108</f>
        <v>10.541282677608741</v>
      </c>
      <c r="K119">
        <f>$C$14*ReDiarioFert!G108</f>
        <v>51.44940325459318</v>
      </c>
      <c r="M119">
        <f>$C$14*ReDiarioFert!I108</f>
        <v>28.618237365688973</v>
      </c>
      <c r="O119">
        <f>$C$14*ReDiarioFert!K108</f>
        <v>58.9896067537057</v>
      </c>
      <c r="Q119">
        <f>$C$14*ReDiarioFert!M108</f>
        <v>233.71373268292683</v>
      </c>
      <c r="T119">
        <f>((G119/100)*$G$176+(I119/100)*$G$177+(K119/100)*$G$178+(M119/100)*$G$179+(O119/100)*$G$180+(Q119)*$G$181+(S119*$G$182)+(E119*(VLOOKUP(D119,Fertilizantes!$A$49:$E$123,3,FALSE))))</f>
        <v>1508.1678688472175</v>
      </c>
    </row>
    <row r="120">
      <c r="B120">
        <v>103</v>
      </c>
      <c r="C120">
        <f>$I$13+B120</f>
        <v>40044</v>
      </c>
      <c r="E120">
        <f>VLOOKUP(D120,Fertilizantes!$A$49:$E$123,2,FALSE)*$C$14</f>
        <v>0</v>
      </c>
      <c r="F120">
        <f>VLOOKUP(D120,Fertilizantes!$A$49:$E$123,4,FALSE)</f>
        <v>0</v>
      </c>
      <c r="G120">
        <f>IF($C$14*ReDiarioFert!C109&lt;=0,"0",$C$14*ReDiarioFert!C109)</f>
        <v>1.977019970175256</v>
      </c>
      <c r="I120">
        <f>$C$14*ReDiarioFert!E109</f>
        <v>10.541282677608741</v>
      </c>
      <c r="K120">
        <f>$C$14*ReDiarioFert!G109</f>
        <v>51.44940325459318</v>
      </c>
      <c r="M120">
        <f>$C$14*ReDiarioFert!I109</f>
        <v>28.618237365688973</v>
      </c>
      <c r="O120">
        <f>$C$14*ReDiarioFert!K109</f>
        <v>58.9896067537057</v>
      </c>
      <c r="Q120">
        <f>$C$14*ReDiarioFert!M109</f>
        <v>233.71373268292683</v>
      </c>
      <c r="T120">
        <f>((G120/100)*$G$176+(I120/100)*$G$177+(K120/100)*$G$178+(M120/100)*$G$179+(O120/100)*$G$180+(Q120)*$G$181+(S120*$G$182)+(E120*(VLOOKUP(D120,Fertilizantes!$A$49:$E$123,3,FALSE))))</f>
        <v>1508.1678688472175</v>
      </c>
    </row>
    <row r="121">
      <c r="B121">
        <v>104</v>
      </c>
      <c r="C121">
        <f>$I$13+B121</f>
        <v>40045</v>
      </c>
      <c r="E121">
        <f>VLOOKUP(D121,Fertilizantes!$A$49:$E$123,2,FALSE)*$C$14</f>
        <v>0</v>
      </c>
      <c r="F121">
        <f>VLOOKUP(D121,Fertilizantes!$A$49:$E$123,4,FALSE)</f>
        <v>0</v>
      </c>
      <c r="G121">
        <f>IF($C$14*ReDiarioFert!C110&lt;=0,"0",$C$14*ReDiarioFert!C110)</f>
        <v>1.977019970175256</v>
      </c>
      <c r="I121">
        <f>$C$14*ReDiarioFert!E110</f>
        <v>10.541282677608741</v>
      </c>
      <c r="K121">
        <f>$C$14*ReDiarioFert!G110</f>
        <v>51.44940325459318</v>
      </c>
      <c r="M121">
        <f>$C$14*ReDiarioFert!I110</f>
        <v>28.618237365688973</v>
      </c>
      <c r="O121">
        <f>$C$14*ReDiarioFert!K110</f>
        <v>58.9896067537057</v>
      </c>
      <c r="Q121">
        <f>$C$14*ReDiarioFert!M110</f>
        <v>233.71373268292683</v>
      </c>
      <c r="T121">
        <f>((G121/100)*$G$176+(I121/100)*$G$177+(K121/100)*$G$178+(M121/100)*$G$179+(O121/100)*$G$180+(Q121)*$G$181+(S121*$G$182)+(E121*(VLOOKUP(D121,Fertilizantes!$A$49:$E$123,3,FALSE))))</f>
        <v>1508.1678688472175</v>
      </c>
    </row>
    <row r="122">
      <c r="B122">
        <v>105</v>
      </c>
      <c r="C122">
        <f>$I$13+B122</f>
        <v>40046</v>
      </c>
      <c r="E122">
        <f>VLOOKUP(D122,Fertilizantes!$A$49:$E$123,2,FALSE)*$C$14</f>
        <v>0</v>
      </c>
      <c r="F122">
        <f>VLOOKUP(D122,Fertilizantes!$A$49:$E$123,4,FALSE)</f>
        <v>0</v>
      </c>
      <c r="G122">
        <f>IF($C$14*ReDiarioFert!C111&lt;=0,"0",$C$14*ReDiarioFert!C111)</f>
        <v>1.977019970175256</v>
      </c>
      <c r="I122">
        <f>$C$14*ReDiarioFert!E111</f>
        <v>10.541282677608741</v>
      </c>
      <c r="K122">
        <f>$C$14*ReDiarioFert!G111</f>
        <v>51.44940325459318</v>
      </c>
      <c r="M122">
        <f>$C$14*ReDiarioFert!I111</f>
        <v>28.618237365688973</v>
      </c>
      <c r="O122">
        <f>$C$14*ReDiarioFert!K111</f>
        <v>58.9896067537057</v>
      </c>
      <c r="Q122">
        <f>$C$14*ReDiarioFert!M111</f>
        <v>233.71373268292683</v>
      </c>
      <c r="T122">
        <f>((G122/100)*$G$176+(I122/100)*$G$177+(K122/100)*$G$178+(M122/100)*$G$179+(O122/100)*$G$180+(Q122)*$G$181+(S122*$G$182)+(E122*(VLOOKUP(D122,Fertilizantes!$A$49:$E$123,3,FALSE))))</f>
        <v>1508.1678688472175</v>
      </c>
    </row>
    <row r="123">
      <c r="A123">
        <v>16</v>
      </c>
      <c r="B123">
        <v>106</v>
      </c>
      <c r="C123">
        <f>$I$13+B123</f>
        <v>40047</v>
      </c>
      <c r="E123">
        <f>VLOOKUP(D123,Fertilizantes!$A$49:$E$123,2,FALSE)*$C$14</f>
        <v>0</v>
      </c>
      <c r="F123">
        <f>VLOOKUP(D123,Fertilizantes!$A$49:$E$123,4,FALSE)</f>
        <v>0</v>
      </c>
      <c r="G123">
        <f>IF($C$14*ReDiarioFert!C112&lt;=0,"0",$C$14*ReDiarioFert!C112)</f>
        <v>1.977019970175256</v>
      </c>
      <c r="I123">
        <f>$C$14*ReDiarioFert!E112</f>
        <v>10.541282677608741</v>
      </c>
      <c r="K123">
        <f>$C$14*ReDiarioFert!G112</f>
        <v>51.44940325459318</v>
      </c>
      <c r="M123">
        <f>$C$14*ReDiarioFert!I112</f>
        <v>28.618237365688973</v>
      </c>
      <c r="O123">
        <f>$C$14*ReDiarioFert!K112</f>
        <v>58.9896067537057</v>
      </c>
      <c r="Q123">
        <f>$C$14*ReDiarioFert!M112</f>
        <v>233.71373268292683</v>
      </c>
      <c r="S123">
        <f>$C$14*Main!$D$63</f>
        <v>26.879999999999995</v>
      </c>
      <c r="T123">
        <f>((G123/100)*$G$176+(I123/100)*$G$177+(K123/100)*$G$178+(M123/100)*$G$179+(O123/100)*$G$180+(Q123)*$G$181+(S123*$G$182)+(E123*(VLOOKUP(D123,Fertilizantes!$A$49:$E$123,3,FALSE))))</f>
        <v>1583.4318688472174</v>
      </c>
    </row>
    <row r="124">
      <c r="B124">
        <v>107</v>
      </c>
      <c r="C124">
        <f>$I$13+B124</f>
        <v>40048</v>
      </c>
      <c r="E124">
        <f>VLOOKUP(D124,Fertilizantes!$A$49:$E$123,2,FALSE)*$C$14</f>
        <v>0</v>
      </c>
      <c r="F124">
        <f>VLOOKUP(D124,Fertilizantes!$A$49:$E$123,4,FALSE)</f>
        <v>0</v>
      </c>
      <c r="G124">
        <f>IF($C$14*ReDiarioFert!C113&lt;=0,"0",$C$14*ReDiarioFert!C113)</f>
        <v>1.977019970175256</v>
      </c>
      <c r="I124">
        <f>$C$14*ReDiarioFert!E113</f>
        <v>10.541282677608741</v>
      </c>
      <c r="K124">
        <f>$C$14*ReDiarioFert!G113</f>
        <v>51.44940325459318</v>
      </c>
      <c r="M124">
        <f>$C$14*ReDiarioFert!I113</f>
        <v>28.618237365688973</v>
      </c>
      <c r="O124">
        <f>$C$14*ReDiarioFert!K113</f>
        <v>58.9896067537057</v>
      </c>
      <c r="Q124">
        <f>$C$14*ReDiarioFert!M113</f>
        <v>233.71373268292683</v>
      </c>
      <c r="T124">
        <f>((G124/100)*$G$176+(I124/100)*$G$177+(K124/100)*$G$178+(M124/100)*$G$179+(O124/100)*$G$180+(Q124)*$G$181+(S124*$G$182)+(E124*(VLOOKUP(D124,Fertilizantes!$A$49:$E$123,3,FALSE))))</f>
        <v>1508.1678688472175</v>
      </c>
    </row>
    <row r="125">
      <c r="B125">
        <v>108</v>
      </c>
      <c r="C125">
        <f>$I$13+B125</f>
        <v>40049</v>
      </c>
      <c r="E125">
        <f>VLOOKUP(D125,Fertilizantes!$A$49:$E$123,2,FALSE)*$C$14</f>
        <v>0</v>
      </c>
      <c r="F125">
        <f>VLOOKUP(D125,Fertilizantes!$A$49:$E$123,4,FALSE)</f>
        <v>0</v>
      </c>
      <c r="G125">
        <f>IF($C$14*ReDiarioFert!C114&lt;=0,"0",$C$14*ReDiarioFert!C114)</f>
        <v>1.977019970175256</v>
      </c>
      <c r="I125">
        <f>$C$14*ReDiarioFert!E114</f>
        <v>10.541282677608741</v>
      </c>
      <c r="K125">
        <f>$C$14*ReDiarioFert!G114</f>
        <v>51.44940325459318</v>
      </c>
      <c r="M125">
        <f>$C$14*ReDiarioFert!I114</f>
        <v>28.618237365688973</v>
      </c>
      <c r="O125">
        <f>$C$14*ReDiarioFert!K114</f>
        <v>58.9896067537057</v>
      </c>
      <c r="Q125">
        <f>$C$14*ReDiarioFert!M114</f>
        <v>233.71373268292683</v>
      </c>
      <c r="T125">
        <f>((G125/100)*$G$176+(I125/100)*$G$177+(K125/100)*$G$178+(M125/100)*$G$179+(O125/100)*$G$180+(Q125)*$G$181+(S125*$G$182)+(E125*(VLOOKUP(D125,Fertilizantes!$A$49:$E$123,3,FALSE))))</f>
        <v>1508.1678688472175</v>
      </c>
    </row>
    <row r="126">
      <c r="B126">
        <v>109</v>
      </c>
      <c r="C126">
        <f>$I$13+B126</f>
        <v>40050</v>
      </c>
      <c r="E126">
        <f>VLOOKUP(D126,Fertilizantes!$A$49:$E$123,2,FALSE)*$C$14</f>
        <v>0</v>
      </c>
      <c r="F126">
        <f>VLOOKUP(D126,Fertilizantes!$A$49:$E$123,4,FALSE)</f>
        <v>0</v>
      </c>
      <c r="G126">
        <f>IF($C$14*ReDiarioFert!C115&lt;=0,"0",$C$14*ReDiarioFert!C115)</f>
        <v>1.977019970175256</v>
      </c>
      <c r="I126">
        <f>$C$14*ReDiarioFert!E115</f>
        <v>10.541282677608741</v>
      </c>
      <c r="K126">
        <f>$C$14*ReDiarioFert!G115</f>
        <v>51.44940325459318</v>
      </c>
      <c r="M126">
        <f>$C$14*ReDiarioFert!I115</f>
        <v>28.618237365688973</v>
      </c>
      <c r="O126">
        <f>$C$14*ReDiarioFert!K115</f>
        <v>58.9896067537057</v>
      </c>
      <c r="Q126">
        <f>$C$14*ReDiarioFert!M115</f>
        <v>233.71373268292683</v>
      </c>
      <c r="T126">
        <f>((G126/100)*$G$176+(I126/100)*$G$177+(K126/100)*$G$178+(M126/100)*$G$179+(O126/100)*$G$180+(Q126)*$G$181+(S126*$G$182)+(E126*(VLOOKUP(D126,Fertilizantes!$A$49:$E$123,3,FALSE))))</f>
        <v>1508.1678688472175</v>
      </c>
    </row>
    <row r="127">
      <c r="B127">
        <v>110</v>
      </c>
      <c r="C127">
        <f>$I$13+B127</f>
        <v>40051</v>
      </c>
      <c r="E127">
        <f>VLOOKUP(D127,Fertilizantes!$A$49:$E$123,2,FALSE)*$C$14</f>
        <v>0</v>
      </c>
      <c r="F127">
        <f>VLOOKUP(D127,Fertilizantes!$A$49:$E$123,4,FALSE)</f>
        <v>0</v>
      </c>
      <c r="G127">
        <f>IF($C$14*ReDiarioFert!C116&lt;=0,"0",$C$14*ReDiarioFert!C116)</f>
        <v>1.977019970175256</v>
      </c>
      <c r="I127">
        <f>$C$14*ReDiarioFert!E116</f>
        <v>10.541282677608741</v>
      </c>
      <c r="K127">
        <f>$C$14*ReDiarioFert!G116</f>
        <v>51.44940325459318</v>
      </c>
      <c r="M127">
        <f>$C$14*ReDiarioFert!I116</f>
        <v>28.618237365688973</v>
      </c>
      <c r="O127">
        <f>$C$14*ReDiarioFert!K116</f>
        <v>58.9896067537057</v>
      </c>
      <c r="Q127">
        <f>$C$14*ReDiarioFert!M116</f>
        <v>233.71373268292683</v>
      </c>
      <c r="T127">
        <f>((G127/100)*$G$176+(I127/100)*$G$177+(K127/100)*$G$178+(M127/100)*$G$179+(O127/100)*$G$180+(Q127)*$G$181+(S127*$G$182)+(E127*(VLOOKUP(D127,Fertilizantes!$A$49:$E$123,3,FALSE))))</f>
        <v>1508.1678688472175</v>
      </c>
    </row>
    <row r="128">
      <c r="B128">
        <v>111</v>
      </c>
      <c r="C128">
        <f>$I$13+B128</f>
        <v>40052</v>
      </c>
      <c r="E128">
        <f>VLOOKUP(D128,Fertilizantes!$A$49:$E$123,2,FALSE)*$C$14</f>
        <v>0</v>
      </c>
      <c r="F128">
        <f>VLOOKUP(D128,Fertilizantes!$A$49:$E$123,4,FALSE)</f>
        <v>0</v>
      </c>
      <c r="G128">
        <f>IF($C$14*ReDiarioFert!C117&lt;=0,"0",$C$14*ReDiarioFert!C117)</f>
        <v>1.977019970175256</v>
      </c>
      <c r="I128">
        <f>$C$14*ReDiarioFert!E117</f>
        <v>10.541282677608741</v>
      </c>
      <c r="K128">
        <f>$C$14*ReDiarioFert!G117</f>
        <v>51.44940325459318</v>
      </c>
      <c r="M128">
        <f>$C$14*ReDiarioFert!I117</f>
        <v>28.618237365688973</v>
      </c>
      <c r="O128">
        <f>$C$14*ReDiarioFert!K117</f>
        <v>58.9896067537057</v>
      </c>
      <c r="Q128">
        <f>$C$14*ReDiarioFert!M117</f>
        <v>233.71373268292683</v>
      </c>
      <c r="T128">
        <f>((G128/100)*$G$176+(I128/100)*$G$177+(K128/100)*$G$178+(M128/100)*$G$179+(O128/100)*$G$180+(Q128)*$G$181+(S128*$G$182)+(E128*(VLOOKUP(D128,Fertilizantes!$A$49:$E$123,3,FALSE))))</f>
        <v>1508.1678688472175</v>
      </c>
    </row>
    <row r="129">
      <c r="B129">
        <v>112</v>
      </c>
      <c r="C129">
        <f>$I$13+B129</f>
        <v>40053</v>
      </c>
      <c r="E129">
        <f>VLOOKUP(D129,Fertilizantes!$A$49:$E$123,2,FALSE)*$C$14</f>
        <v>0</v>
      </c>
      <c r="F129">
        <f>VLOOKUP(D129,Fertilizantes!$A$49:$E$123,4,FALSE)</f>
        <v>0</v>
      </c>
      <c r="G129">
        <f>IF($C$14*ReDiarioFert!C118&lt;=0,"0",$C$14*ReDiarioFert!C118)</f>
        <v>1.977019970175256</v>
      </c>
      <c r="I129">
        <f>$C$14*ReDiarioFert!E118</f>
        <v>10.541282677608741</v>
      </c>
      <c r="K129">
        <f>$C$14*ReDiarioFert!G118</f>
        <v>51.44940325459318</v>
      </c>
      <c r="M129">
        <f>$C$14*ReDiarioFert!I118</f>
        <v>28.618237365688973</v>
      </c>
      <c r="O129">
        <f>$C$14*ReDiarioFert!K118</f>
        <v>58.9896067537057</v>
      </c>
      <c r="Q129">
        <f>$C$14*ReDiarioFert!M118</f>
        <v>233.71373268292683</v>
      </c>
      <c r="S129">
        <f>Main!$H$84</f>
        <v>0</v>
      </c>
      <c r="T129">
        <f>((G129/100)*$G$176+(I129/100)*$G$177+(K129/100)*$G$178+(M129/100)*$G$179+(O129/100)*$G$180+(Q129)*$G$181+(S129*$G$182)+(E129*(VLOOKUP(D129,Fertilizantes!$A$49:$E$123,3,FALSE))))</f>
        <v>1508.1678688472175</v>
      </c>
    </row>
    <row r="130">
      <c r="A130">
        <v>17</v>
      </c>
      <c r="B130">
        <v>113</v>
      </c>
      <c r="C130">
        <f>$I$13+B130</f>
        <v>40054</v>
      </c>
      <c r="D130">
        <f>Main!$H$86</f>
        <v>0</v>
      </c>
      <c r="E130">
        <f>VLOOKUP(D130,Fertilizantes!$A$49:$E$123,2,FALSE)*$C$14</f>
        <v>0</v>
      </c>
      <c r="F130">
        <f>VLOOKUP(D130,Fertilizantes!$A$49:$E$123,4,FALSE)</f>
        <v>0</v>
      </c>
      <c r="G130">
        <f>IF($C$14*ReDiarioFert!C119&lt;=0,"0",$C$14*ReDiarioFert!C119)</f>
        <v>1.977019970175256</v>
      </c>
      <c r="I130">
        <f>$C$14*ReDiarioFert!E119</f>
        <v>10.541282677608741</v>
      </c>
      <c r="K130">
        <f>$C$14*ReDiarioFert!G119</f>
        <v>51.44940325459318</v>
      </c>
      <c r="M130">
        <f>$C$14*ReDiarioFert!I119</f>
        <v>28.618237365688973</v>
      </c>
      <c r="O130">
        <f>$C$14*ReDiarioFert!K119</f>
        <v>58.9896067537057</v>
      </c>
      <c r="Q130">
        <f>$C$14*ReDiarioFert!M119</f>
        <v>233.71373268292683</v>
      </c>
      <c r="S130">
        <f>$C$14*Main!$D$63</f>
        <v>26.879999999999995</v>
      </c>
      <c r="T130">
        <f>((G130/100)*$G$176+(I130/100)*$G$177+(K130/100)*$G$178+(M130/100)*$G$179+(O130/100)*$G$180+(Q130)*$G$181+(S130*$G$182)+(E130*(VLOOKUP(D130,Fertilizantes!$A$49:$E$123,3,FALSE))))</f>
        <v>1583.4318688472174</v>
      </c>
    </row>
    <row r="131">
      <c r="B131">
        <v>114</v>
      </c>
      <c r="C131">
        <f>$I$13+B131</f>
        <v>40055</v>
      </c>
      <c r="E131">
        <f>VLOOKUP(D131,Fertilizantes!$A$49:$E$123,2,FALSE)*$C$14</f>
        <v>0</v>
      </c>
      <c r="F131">
        <f>VLOOKUP(D131,Fertilizantes!$A$49:$E$123,4,FALSE)</f>
        <v>0</v>
      </c>
      <c r="G131">
        <f>IF($C$14*ReDiarioFert!C120&lt;=0,"0",$C$14*ReDiarioFert!C120)</f>
        <v>1.977019970175256</v>
      </c>
      <c r="I131">
        <f>$C$14*ReDiarioFert!E120</f>
        <v>10.541282677608741</v>
      </c>
      <c r="K131">
        <f>$C$14*ReDiarioFert!G120</f>
        <v>51.44940325459318</v>
      </c>
      <c r="M131">
        <f>$C$14*ReDiarioFert!I120</f>
        <v>28.618237365688973</v>
      </c>
      <c r="O131">
        <f>$C$14*ReDiarioFert!K120</f>
        <v>58.9896067537057</v>
      </c>
      <c r="Q131">
        <f>$C$14*ReDiarioFert!M120</f>
        <v>233.71373268292683</v>
      </c>
      <c r="T131">
        <f>((G131/100)*$G$176+(I131/100)*$G$177+(K131/100)*$G$178+(M131/100)*$G$179+(O131/100)*$G$180+(Q131)*$G$181+(S131*$G$182)+(E131*(VLOOKUP(D131,Fertilizantes!$A$49:$E$123,3,FALSE))))</f>
        <v>1508.1678688472175</v>
      </c>
    </row>
    <row r="132">
      <c r="B132">
        <v>115</v>
      </c>
      <c r="C132">
        <f>$I$13+B132</f>
        <v>40056</v>
      </c>
      <c r="E132">
        <f>VLOOKUP(D132,Fertilizantes!$A$49:$E$123,2,FALSE)*$C$14</f>
        <v>0</v>
      </c>
      <c r="F132">
        <f>VLOOKUP(D132,Fertilizantes!$A$49:$E$123,4,FALSE)</f>
        <v>0</v>
      </c>
      <c r="G132">
        <f>IF($C$14*ReDiarioFert!C121&lt;=0,"0",$C$14*ReDiarioFert!C121)</f>
        <v>1.977019970175256</v>
      </c>
      <c r="I132">
        <f>$C$14*ReDiarioFert!E121</f>
        <v>10.541282677608741</v>
      </c>
      <c r="K132">
        <f>$C$14*ReDiarioFert!G121</f>
        <v>51.44940325459318</v>
      </c>
      <c r="M132">
        <f>$C$14*ReDiarioFert!I121</f>
        <v>28.618237365688973</v>
      </c>
      <c r="O132">
        <f>$C$14*ReDiarioFert!K121</f>
        <v>58.9896067537057</v>
      </c>
      <c r="Q132">
        <f>$C$14*ReDiarioFert!M121</f>
        <v>233.71373268292683</v>
      </c>
      <c r="T132">
        <f>((G132/100)*$G$176+(I132/100)*$G$177+(K132/100)*$G$178+(M132/100)*$G$179+(O132/100)*$G$180+(Q132)*$G$181+(S132*$G$182)+(E132*(VLOOKUP(D132,Fertilizantes!$A$49:$E$123,3,FALSE))))</f>
        <v>1508.1678688472175</v>
      </c>
    </row>
    <row r="133">
      <c r="B133">
        <v>116</v>
      </c>
      <c r="C133">
        <f>$I$13+B133</f>
        <v>40057</v>
      </c>
      <c r="E133">
        <f>VLOOKUP(D133,Fertilizantes!$A$49:$E$123,2,FALSE)*$C$14</f>
        <v>0</v>
      </c>
      <c r="F133">
        <f>VLOOKUP(D133,Fertilizantes!$A$49:$E$123,4,FALSE)</f>
        <v>0</v>
      </c>
      <c r="G133">
        <f>IF($C$14*ReDiarioFert!C122&lt;=0,"0",$C$14*ReDiarioFert!C122)</f>
        <v>1.977019970175256</v>
      </c>
      <c r="I133">
        <f>$C$14*ReDiarioFert!E122</f>
        <v>10.541282677608741</v>
      </c>
      <c r="K133">
        <f>$C$14*ReDiarioFert!G122</f>
        <v>51.44940325459318</v>
      </c>
      <c r="M133">
        <f>$C$14*ReDiarioFert!I122</f>
        <v>28.618237365688973</v>
      </c>
      <c r="O133">
        <f>$C$14*ReDiarioFert!K122</f>
        <v>58.9896067537057</v>
      </c>
      <c r="Q133">
        <f>$C$14*ReDiarioFert!M122</f>
        <v>233.71373268292683</v>
      </c>
      <c r="T133">
        <f>((G133/100)*$G$176+(I133/100)*$G$177+(K133/100)*$G$178+(M133/100)*$G$179+(O133/100)*$G$180+(Q133)*$G$181+(S133*$G$182)+(E133*(VLOOKUP(D133,Fertilizantes!$A$49:$E$123,3,FALSE))))</f>
        <v>1508.1678688472175</v>
      </c>
    </row>
    <row r="134">
      <c r="B134">
        <v>117</v>
      </c>
      <c r="C134">
        <f>$I$13+B134</f>
        <v>40058</v>
      </c>
      <c r="E134">
        <f>VLOOKUP(D134,Fertilizantes!$A$49:$E$123,2,FALSE)*$C$14</f>
        <v>0</v>
      </c>
      <c r="F134">
        <f>VLOOKUP(D134,Fertilizantes!$A$49:$E$123,4,FALSE)</f>
        <v>0</v>
      </c>
      <c r="G134">
        <f>IF($C$14*ReDiarioFert!C123&lt;=0,"0",$C$14*ReDiarioFert!C123)</f>
        <v>1.977019970175256</v>
      </c>
      <c r="I134">
        <f>$C$14*ReDiarioFert!E123</f>
        <v>10.541282677608741</v>
      </c>
      <c r="K134">
        <f>$C$14*ReDiarioFert!G123</f>
        <v>51.44940325459318</v>
      </c>
      <c r="M134">
        <f>$C$14*ReDiarioFert!I123</f>
        <v>28.618237365688973</v>
      </c>
      <c r="O134">
        <f>$C$14*ReDiarioFert!K123</f>
        <v>58.9896067537057</v>
      </c>
      <c r="Q134">
        <f>$C$14*ReDiarioFert!M123</f>
        <v>233.71373268292683</v>
      </c>
      <c r="T134">
        <f>((G134/100)*$G$176+(I134/100)*$G$177+(K134/100)*$G$178+(M134/100)*$G$179+(O134/100)*$G$180+(Q134)*$G$181+(S134*$G$182)+(E134*(VLOOKUP(D134,Fertilizantes!$A$49:$E$123,3,FALSE))))</f>
        <v>1508.1678688472175</v>
      </c>
    </row>
    <row r="135">
      <c r="B135">
        <v>118</v>
      </c>
      <c r="C135">
        <f>$I$13+B135</f>
        <v>40059</v>
      </c>
      <c r="E135">
        <f>VLOOKUP(D135,Fertilizantes!$A$49:$E$123,2,FALSE)*$C$14</f>
        <v>0</v>
      </c>
      <c r="F135">
        <f>VLOOKUP(D135,Fertilizantes!$A$49:$E$123,4,FALSE)</f>
        <v>0</v>
      </c>
      <c r="G135">
        <f>IF($C$14*ReDiarioFert!C124&lt;=0,"0",$C$14*ReDiarioFert!C124)</f>
        <v>1.977019970175256</v>
      </c>
      <c r="I135">
        <f>$C$14*ReDiarioFert!E124</f>
        <v>10.541282677608741</v>
      </c>
      <c r="K135">
        <f>$C$14*ReDiarioFert!G124</f>
        <v>51.44940325459318</v>
      </c>
      <c r="M135">
        <f>$C$14*ReDiarioFert!I124</f>
        <v>28.618237365688973</v>
      </c>
      <c r="O135">
        <f>$C$14*ReDiarioFert!K124</f>
        <v>58.9896067537057</v>
      </c>
      <c r="Q135">
        <f>$C$14*ReDiarioFert!M124</f>
        <v>233.71373268292683</v>
      </c>
      <c r="T135">
        <f>((G135/100)*$G$176+(I135/100)*$G$177+(K135/100)*$G$178+(M135/100)*$G$179+(O135/100)*$G$180+(Q135)*$G$181+(S135*$G$182)+(E135*(VLOOKUP(D135,Fertilizantes!$A$49:$E$123,3,FALSE))))</f>
        <v>1508.1678688472175</v>
      </c>
    </row>
    <row r="136">
      <c r="B136">
        <v>119</v>
      </c>
      <c r="C136">
        <f>$I$13+B136</f>
        <v>40060</v>
      </c>
      <c r="E136">
        <f>VLOOKUP(D136,Fertilizantes!$A$49:$E$123,2,FALSE)*$C$14</f>
        <v>0</v>
      </c>
      <c r="F136">
        <f>VLOOKUP(D136,Fertilizantes!$A$49:$E$123,4,FALSE)</f>
        <v>0</v>
      </c>
      <c r="G136">
        <f>IF($C$14*ReDiarioFert!C125&lt;=0,"0",$C$14*ReDiarioFert!C125)</f>
        <v>1.977019970175256</v>
      </c>
      <c r="I136">
        <f>$C$14*ReDiarioFert!E125</f>
        <v>10.541282677608741</v>
      </c>
      <c r="K136">
        <f>$C$14*ReDiarioFert!G125</f>
        <v>51.44940325459318</v>
      </c>
      <c r="M136">
        <f>$C$14*ReDiarioFert!I125</f>
        <v>28.618237365688973</v>
      </c>
      <c r="O136">
        <f>$C$14*ReDiarioFert!K125</f>
        <v>58.9896067537057</v>
      </c>
      <c r="Q136">
        <f>$C$14*ReDiarioFert!M125</f>
        <v>233.71373268292683</v>
      </c>
      <c r="T136">
        <f>((G136/100)*$G$176+(I136/100)*$G$177+(K136/100)*$G$178+(M136/100)*$G$179+(O136/100)*$G$180+(Q136)*$G$181+(S136*$G$182)+(E136*(VLOOKUP(D136,Fertilizantes!$A$49:$E$123,3,FALSE))))</f>
        <v>1508.1678688472175</v>
      </c>
    </row>
    <row r="137">
      <c r="A137">
        <v>18</v>
      </c>
      <c r="B137">
        <v>120</v>
      </c>
      <c r="C137">
        <f>$I$13+B137</f>
        <v>40061</v>
      </c>
      <c r="E137">
        <f>VLOOKUP(D137,Fertilizantes!$A$49:$E$123,2,FALSE)*$C$14</f>
        <v>0</v>
      </c>
      <c r="F137">
        <f>VLOOKUP(D137,Fertilizantes!$A$49:$E$123,4,FALSE)</f>
        <v>0</v>
      </c>
      <c r="G137">
        <f>IF($C$14*ReDiarioFert!C126&lt;=0,"0",$C$14*ReDiarioFert!C126)</f>
        <v>1.977019970175256</v>
      </c>
      <c r="I137">
        <f>$C$14*ReDiarioFert!E126</f>
        <v>10.541282677608741</v>
      </c>
      <c r="K137">
        <f>$C$14*ReDiarioFert!G126</f>
        <v>51.44940325459318</v>
      </c>
      <c r="M137">
        <f>$C$14*ReDiarioFert!I126</f>
        <v>28.618237365688973</v>
      </c>
      <c r="O137">
        <f>$C$14*ReDiarioFert!K126</f>
        <v>58.9896067537057</v>
      </c>
      <c r="Q137">
        <f>$C$14*ReDiarioFert!M126</f>
        <v>233.71373268292683</v>
      </c>
      <c r="S137">
        <f>$C$14*Main!$D$63</f>
        <v>26.879999999999995</v>
      </c>
      <c r="T137">
        <f>((G137/100)*$G$176+(I137/100)*$G$177+(K137/100)*$G$178+(M137/100)*$G$179+(O137/100)*$G$180+(Q137)*$G$181+(S137*$G$182)+(E137*(VLOOKUP(D137,Fertilizantes!$A$49:$E$123,3,FALSE))))</f>
        <v>1583.4318688472174</v>
      </c>
    </row>
    <row r="138">
      <c r="B138">
        <v>121</v>
      </c>
      <c r="C138">
        <f>$I$13+B138</f>
        <v>40062</v>
      </c>
      <c r="E138">
        <f>VLOOKUP(D138,Fertilizantes!$A$49:$E$123,2,FALSE)*$C$14</f>
        <v>0</v>
      </c>
      <c r="F138">
        <f>VLOOKUP(D138,Fertilizantes!$A$49:$E$123,4,FALSE)</f>
        <v>0</v>
      </c>
      <c r="G138">
        <f>IF($C$14*ReDiarioFert!C127&lt;=0,"0",$C$14*ReDiarioFert!C127)</f>
        <v>1.977019970175256</v>
      </c>
      <c r="I138">
        <f>$C$14*ReDiarioFert!E127</f>
        <v>10.541282677608741</v>
      </c>
      <c r="K138">
        <f>$C$14*ReDiarioFert!G127</f>
        <v>51.44940325459318</v>
      </c>
      <c r="M138">
        <f>$C$14*ReDiarioFert!I127</f>
        <v>28.618237365688973</v>
      </c>
      <c r="O138">
        <f>$C$14*ReDiarioFert!K127</f>
        <v>58.9896067537057</v>
      </c>
      <c r="Q138">
        <f>$C$14*ReDiarioFert!M127</f>
        <v>233.71373268292683</v>
      </c>
      <c r="T138">
        <f>((G138/100)*$G$176+(I138/100)*$G$177+(K138/100)*$G$178+(M138/100)*$G$179+(O138/100)*$G$180+(Q138)*$G$181+(S138*$G$182)+(E138*(VLOOKUP(D138,Fertilizantes!$A$49:$E$123,3,FALSE))))</f>
        <v>1508.1678688472175</v>
      </c>
    </row>
    <row r="139">
      <c r="B139">
        <v>122</v>
      </c>
      <c r="C139">
        <f>$I$13+B139</f>
        <v>40063</v>
      </c>
      <c r="E139">
        <f>VLOOKUP(D139,Fertilizantes!$A$49:$E$123,2,FALSE)*$C$14</f>
        <v>0</v>
      </c>
      <c r="F139">
        <f>VLOOKUP(D139,Fertilizantes!$A$49:$E$123,4,FALSE)</f>
        <v>0</v>
      </c>
      <c r="G139">
        <f>IF($C$14*ReDiarioFert!C128&lt;=0,"0",$C$14*ReDiarioFert!C128)</f>
        <v>1.977019970175256</v>
      </c>
      <c r="I139">
        <f>$C$14*ReDiarioFert!E128</f>
        <v>10.541282677608741</v>
      </c>
      <c r="K139">
        <f>$C$14*ReDiarioFert!G128</f>
        <v>51.44940325459318</v>
      </c>
      <c r="M139">
        <f>$C$14*ReDiarioFert!I128</f>
        <v>28.618237365688973</v>
      </c>
      <c r="O139">
        <f>$C$14*ReDiarioFert!K128</f>
        <v>58.9896067537057</v>
      </c>
      <c r="Q139">
        <f>$C$14*ReDiarioFert!M128</f>
        <v>233.71373268292683</v>
      </c>
      <c r="T139">
        <f>((G139/100)*$G$176+(I139/100)*$G$177+(K139/100)*$G$178+(M139/100)*$G$179+(O139/100)*$G$180+(Q139)*$G$181+(S139*$G$182)+(E139*(VLOOKUP(D139,Fertilizantes!$A$49:$E$123,3,FALSE))))</f>
        <v>1508.1678688472175</v>
      </c>
    </row>
    <row r="140">
      <c r="B140">
        <v>123</v>
      </c>
      <c r="C140">
        <f>$I$13+B140</f>
        <v>40064</v>
      </c>
      <c r="E140">
        <f>VLOOKUP(D140,Fertilizantes!$A$49:$E$123,2,FALSE)*$C$14</f>
        <v>0</v>
      </c>
      <c r="F140">
        <f>VLOOKUP(D140,Fertilizantes!$A$49:$E$123,4,FALSE)</f>
        <v>0</v>
      </c>
      <c r="G140">
        <f>IF($C$14*ReDiarioFert!C129&lt;=0,"0",$C$14*ReDiarioFert!C129)</f>
        <v>1.977019970175256</v>
      </c>
      <c r="I140">
        <f>$C$14*ReDiarioFert!E129</f>
        <v>10.541282677608741</v>
      </c>
      <c r="K140">
        <f>$C$14*ReDiarioFert!G129</f>
        <v>51.44940325459318</v>
      </c>
      <c r="M140">
        <f>$C$14*ReDiarioFert!I129</f>
        <v>28.618237365688973</v>
      </c>
      <c r="O140">
        <f>$C$14*ReDiarioFert!K129</f>
        <v>58.9896067537057</v>
      </c>
      <c r="Q140">
        <f>$C$14*ReDiarioFert!M129</f>
        <v>233.71373268292683</v>
      </c>
      <c r="T140">
        <f>((G140/100)*$G$176+(I140/100)*$G$177+(K140/100)*$G$178+(M140/100)*$G$179+(O140/100)*$G$180+(Q140)*$G$181+(S140*$G$182)+(E140*(VLOOKUP(D140,Fertilizantes!$A$49:$E$123,3,FALSE))))</f>
        <v>1508.1678688472175</v>
      </c>
    </row>
    <row r="141">
      <c r="B141">
        <v>124</v>
      </c>
      <c r="C141">
        <f>$I$13+B141</f>
        <v>40065</v>
      </c>
      <c r="E141">
        <f>VLOOKUP(D141,Fertilizantes!$A$49:$E$123,2,FALSE)*$C$14</f>
        <v>0</v>
      </c>
      <c r="F141">
        <f>VLOOKUP(D141,Fertilizantes!$A$49:$E$123,4,FALSE)</f>
        <v>0</v>
      </c>
      <c r="G141">
        <f>IF($C$14*ReDiarioFert!C130&lt;=0,"0",$C$14*ReDiarioFert!C130)</f>
        <v>1.977019970175256</v>
      </c>
      <c r="I141">
        <f>$C$14*ReDiarioFert!E130</f>
        <v>10.541282677608741</v>
      </c>
      <c r="K141">
        <f>$C$14*ReDiarioFert!G130</f>
        <v>51.44940325459318</v>
      </c>
      <c r="M141">
        <f>$C$14*ReDiarioFert!I130</f>
        <v>28.618237365688973</v>
      </c>
      <c r="O141">
        <f>$C$14*ReDiarioFert!K130</f>
        <v>58.9896067537057</v>
      </c>
      <c r="Q141">
        <f>$C$14*ReDiarioFert!M130</f>
        <v>233.71373268292683</v>
      </c>
      <c r="T141">
        <f>((G141/100)*$G$176+(I141/100)*$G$177+(K141/100)*$G$178+(M141/100)*$G$179+(O141/100)*$G$180+(Q141)*$G$181+(S141*$G$182)+(E141*(VLOOKUP(D141,Fertilizantes!$A$49:$E$123,3,FALSE))))</f>
        <v>1508.1678688472175</v>
      </c>
    </row>
    <row r="142">
      <c r="B142">
        <v>125</v>
      </c>
      <c r="C142">
        <f>$I$13+B142</f>
        <v>40066</v>
      </c>
      <c r="E142">
        <f>VLOOKUP(D142,Fertilizantes!$A$49:$E$123,2,FALSE)*$C$14</f>
        <v>0</v>
      </c>
      <c r="F142">
        <f>VLOOKUP(D142,Fertilizantes!$A$49:$E$123,4,FALSE)</f>
        <v>0</v>
      </c>
      <c r="G142">
        <f>IF($C$14*ReDiarioFert!C131&lt;=0,"0",$C$14*ReDiarioFert!C131)</f>
        <v>1.977019970175256</v>
      </c>
      <c r="I142">
        <f>$C$14*ReDiarioFert!E131</f>
        <v>10.541282677608741</v>
      </c>
      <c r="K142">
        <f>$C$14*ReDiarioFert!G131</f>
        <v>51.44940325459318</v>
      </c>
      <c r="M142">
        <f>$C$14*ReDiarioFert!I131</f>
        <v>28.618237365688973</v>
      </c>
      <c r="O142">
        <f>$C$14*ReDiarioFert!K131</f>
        <v>58.9896067537057</v>
      </c>
      <c r="Q142">
        <f>$C$14*ReDiarioFert!M131</f>
        <v>233.71373268292683</v>
      </c>
      <c r="T142">
        <f>((G142/100)*$G$176+(I142/100)*$G$177+(K142/100)*$G$178+(M142/100)*$G$179+(O142/100)*$G$180+(Q142)*$G$181+(S142*$G$182)+(E142*(VLOOKUP(D142,Fertilizantes!$A$49:$E$123,3,FALSE))))</f>
        <v>1508.1678688472175</v>
      </c>
    </row>
    <row r="143">
      <c r="B143">
        <v>126</v>
      </c>
      <c r="C143">
        <f>$I$13+B143</f>
        <v>40067</v>
      </c>
      <c r="E143">
        <f>VLOOKUP(D143,Fertilizantes!$A$49:$E$123,2,FALSE)*$C$14</f>
        <v>0</v>
      </c>
      <c r="F143">
        <f>VLOOKUP(D143,Fertilizantes!$A$49:$E$123,4,FALSE)</f>
        <v>0</v>
      </c>
      <c r="G143">
        <f>IF($C$14*ReDiarioFert!C132&lt;=0,"0",$C$14*ReDiarioFert!C132)</f>
        <v>1.977019970175256</v>
      </c>
      <c r="I143">
        <f>$C$14*ReDiarioFert!E132</f>
        <v>10.541282677608741</v>
      </c>
      <c r="K143">
        <f>$C$14*ReDiarioFert!G132</f>
        <v>51.44940325459318</v>
      </c>
      <c r="M143">
        <f>$C$14*ReDiarioFert!I132</f>
        <v>28.618237365688973</v>
      </c>
      <c r="O143">
        <f>$C$14*ReDiarioFert!K132</f>
        <v>58.9896067537057</v>
      </c>
      <c r="Q143">
        <f>$C$14*ReDiarioFert!M132</f>
        <v>233.71373268292683</v>
      </c>
      <c r="T143">
        <f>((G143/100)*$G$176+(I143/100)*$G$177+(K143/100)*$G$178+(M143/100)*$G$179+(O143/100)*$G$180+(Q143)*$G$181+(S143*$G$182)+(E143*(VLOOKUP(D143,Fertilizantes!$A$49:$E$123,3,FALSE))))</f>
        <v>1508.1678688472175</v>
      </c>
    </row>
    <row r="144">
      <c r="A144">
        <v>19</v>
      </c>
      <c r="B144">
        <v>127</v>
      </c>
      <c r="C144">
        <f>$I$13+B144</f>
        <v>40068</v>
      </c>
      <c r="E144">
        <f>VLOOKUP(D144,Fertilizantes!$A$49:$E$123,2,FALSE)*$C$14</f>
        <v>0</v>
      </c>
      <c r="F144">
        <f>VLOOKUP(D144,Fertilizantes!$A$49:$E$123,4,FALSE)</f>
        <v>0</v>
      </c>
      <c r="G144">
        <f>IF($C$14*ReDiarioFert!C133&lt;=0,"0",$C$14*ReDiarioFert!C133)</f>
        <v>1.977019970175256</v>
      </c>
      <c r="I144">
        <f>$C$14*ReDiarioFert!E133</f>
        <v>10.541282677608741</v>
      </c>
      <c r="K144">
        <f>$C$14*ReDiarioFert!G133</f>
        <v>51.44940325459318</v>
      </c>
      <c r="M144">
        <f>$C$14*ReDiarioFert!I133</f>
        <v>28.618237365688973</v>
      </c>
      <c r="O144">
        <f>$C$14*ReDiarioFert!K133</f>
        <v>58.9896067537057</v>
      </c>
      <c r="Q144">
        <f>$C$14*ReDiarioFert!M133</f>
        <v>233.71373268292683</v>
      </c>
      <c r="S144">
        <f>$C$14*Main!$D$63</f>
        <v>26.879999999999995</v>
      </c>
      <c r="T144">
        <f>((G144/100)*$G$176+(I144/100)*$G$177+(K144/100)*$G$178+(M144/100)*$G$179+(O144/100)*$G$180+(Q144)*$G$181+(S144*$G$182)+(E144*(VLOOKUP(D144,Fertilizantes!$A$49:$E$123,3,FALSE))))</f>
        <v>1583.4318688472174</v>
      </c>
    </row>
    <row r="145">
      <c r="B145">
        <v>128</v>
      </c>
      <c r="C145">
        <f>$I$13+B145</f>
        <v>40069</v>
      </c>
      <c r="E145">
        <f>VLOOKUP(D145,Fertilizantes!$A$49:$E$123,2,FALSE)*$C$14</f>
        <v>0</v>
      </c>
      <c r="F145">
        <f>VLOOKUP(D145,Fertilizantes!$A$49:$E$123,4,FALSE)</f>
        <v>0</v>
      </c>
      <c r="G145">
        <f>IF($C$14*ReDiarioFert!C134&lt;=0,"0",$C$14*ReDiarioFert!C134)</f>
        <v>1.977019970175256</v>
      </c>
      <c r="I145">
        <f>$C$14*ReDiarioFert!E134</f>
        <v>10.541282677608741</v>
      </c>
      <c r="K145">
        <f>$C$14*ReDiarioFert!G134</f>
        <v>51.44940325459318</v>
      </c>
      <c r="M145">
        <f>$C$14*ReDiarioFert!I134</f>
        <v>28.618237365688973</v>
      </c>
      <c r="O145">
        <f>$C$14*ReDiarioFert!K134</f>
        <v>58.9896067537057</v>
      </c>
      <c r="Q145">
        <f>$C$14*ReDiarioFert!M134</f>
        <v>233.71373268292683</v>
      </c>
      <c r="T145">
        <f>((G145/100)*$G$176+(I145/100)*$G$177+(K145/100)*$G$178+(M145/100)*$G$179+(O145/100)*$G$180+(Q145)*$G$181+(S145*$G$182)+(E145*(VLOOKUP(D145,Fertilizantes!$A$49:$E$123,3,FALSE))))</f>
        <v>1508.1678688472175</v>
      </c>
    </row>
    <row r="146">
      <c r="B146">
        <v>129</v>
      </c>
      <c r="C146">
        <f>$I$13+B146</f>
        <v>40070</v>
      </c>
      <c r="E146">
        <f>VLOOKUP(D146,Fertilizantes!$A$49:$E$123,2,FALSE)*$C$14</f>
        <v>0</v>
      </c>
      <c r="F146">
        <f>VLOOKUP(D146,Fertilizantes!$A$49:$E$123,4,FALSE)</f>
        <v>0</v>
      </c>
      <c r="G146">
        <f>IF($C$14*ReDiarioFert!C135&lt;=0,"0",$C$14*ReDiarioFert!C135)</f>
        <v>1.977019970175256</v>
      </c>
      <c r="I146">
        <f>$C$14*ReDiarioFert!E135</f>
        <v>10.541282677608741</v>
      </c>
      <c r="K146">
        <f>$C$14*ReDiarioFert!G135</f>
        <v>51.44940325459318</v>
      </c>
      <c r="M146">
        <f>$C$14*ReDiarioFert!I135</f>
        <v>28.618237365688973</v>
      </c>
      <c r="O146">
        <f>$C$14*ReDiarioFert!K135</f>
        <v>58.9896067537057</v>
      </c>
      <c r="Q146">
        <f>$C$14*ReDiarioFert!M135</f>
        <v>233.71373268292683</v>
      </c>
      <c r="T146">
        <f>((G146/100)*$G$176+(I146/100)*$G$177+(K146/100)*$G$178+(M146/100)*$G$179+(O146/100)*$G$180+(Q146)*$G$181+(S146*$G$182)+(E146*(VLOOKUP(D146,Fertilizantes!$A$49:$E$123,3,FALSE))))</f>
        <v>1508.1678688472175</v>
      </c>
    </row>
    <row r="147">
      <c r="B147">
        <v>130</v>
      </c>
      <c r="C147">
        <f>$I$13+B147</f>
        <v>40071</v>
      </c>
      <c r="E147">
        <f>VLOOKUP(D147,Fertilizantes!$A$49:$E$123,2,FALSE)*$C$14</f>
        <v>0</v>
      </c>
      <c r="F147">
        <f>VLOOKUP(D147,Fertilizantes!$A$49:$E$123,4,FALSE)</f>
        <v>0</v>
      </c>
      <c r="G147">
        <f>IF($C$14*ReDiarioFert!C136&lt;=0,"0",$C$14*ReDiarioFert!C136)</f>
        <v>1.977019970175256</v>
      </c>
      <c r="I147">
        <f>$C$14*ReDiarioFert!E136</f>
        <v>10.541282677608741</v>
      </c>
      <c r="K147">
        <f>$C$14*ReDiarioFert!G136</f>
        <v>51.44940325459318</v>
      </c>
      <c r="M147">
        <f>$C$14*ReDiarioFert!I136</f>
        <v>28.618237365688973</v>
      </c>
      <c r="O147">
        <f>$C$14*ReDiarioFert!K136</f>
        <v>58.9896067537057</v>
      </c>
      <c r="Q147">
        <f>$C$14*ReDiarioFert!M136</f>
        <v>233.71373268292683</v>
      </c>
      <c r="T147">
        <f>((G147/100)*$G$176+(I147/100)*$G$177+(K147/100)*$G$178+(M147/100)*$G$179+(O147/100)*$G$180+(Q147)*$G$181+(S147*$G$182)+(E147*(VLOOKUP(D147,Fertilizantes!$A$49:$E$123,3,FALSE))))</f>
        <v>1508.1678688472175</v>
      </c>
    </row>
    <row r="148">
      <c r="B148">
        <v>131</v>
      </c>
      <c r="C148">
        <f>$I$13+B148</f>
        <v>40072</v>
      </c>
      <c r="E148">
        <f>VLOOKUP(D148,Fertilizantes!$A$49:$E$123,2,FALSE)*$C$14</f>
        <v>0</v>
      </c>
      <c r="F148">
        <f>VLOOKUP(D148,Fertilizantes!$A$49:$E$123,4,FALSE)</f>
        <v>0</v>
      </c>
      <c r="G148">
        <f>IF($C$14*ReDiarioFert!C137&lt;=0,"0",$C$14*ReDiarioFert!C137)</f>
        <v>1.977019970175256</v>
      </c>
      <c r="I148">
        <f>$C$14*ReDiarioFert!E137</f>
        <v>10.541282677608741</v>
      </c>
      <c r="K148">
        <f>$C$14*ReDiarioFert!G137</f>
        <v>51.44940325459318</v>
      </c>
      <c r="M148">
        <f>$C$14*ReDiarioFert!I137</f>
        <v>28.618237365688973</v>
      </c>
      <c r="O148">
        <f>$C$14*ReDiarioFert!K137</f>
        <v>58.9896067537057</v>
      </c>
      <c r="Q148">
        <f>$C$14*ReDiarioFert!M137</f>
        <v>233.71373268292683</v>
      </c>
      <c r="T148">
        <f>((G148/100)*$G$176+(I148/100)*$G$177+(K148/100)*$G$178+(M148/100)*$G$179+(O148/100)*$G$180+(Q148)*$G$181+(S148*$G$182)+(E148*(VLOOKUP(D148,Fertilizantes!$A$49:$E$123,3,FALSE))))</f>
        <v>1508.1678688472175</v>
      </c>
    </row>
    <row r="149">
      <c r="B149">
        <v>132</v>
      </c>
      <c r="C149">
        <f>$I$13+B149</f>
        <v>40073</v>
      </c>
      <c r="E149">
        <f>VLOOKUP(D149,Fertilizantes!$A$49:$E$123,2,FALSE)*$C$14</f>
        <v>0</v>
      </c>
      <c r="F149">
        <f>VLOOKUP(D149,Fertilizantes!$A$49:$E$123,4,FALSE)</f>
        <v>0</v>
      </c>
      <c r="G149">
        <f>IF($C$14*ReDiarioFert!C138&lt;=0,"0",$C$14*ReDiarioFert!C138)</f>
        <v>1.977019970175256</v>
      </c>
      <c r="I149">
        <f>$C$14*ReDiarioFert!E138</f>
        <v>10.541282677608741</v>
      </c>
      <c r="K149">
        <f>$C$14*ReDiarioFert!G138</f>
        <v>51.44940325459318</v>
      </c>
      <c r="M149">
        <f>$C$14*ReDiarioFert!I138</f>
        <v>28.618237365688973</v>
      </c>
      <c r="O149">
        <f>$C$14*ReDiarioFert!K138</f>
        <v>58.9896067537057</v>
      </c>
      <c r="Q149">
        <f>$C$14*ReDiarioFert!M138</f>
        <v>233.71373268292683</v>
      </c>
      <c r="T149">
        <f>((G149/100)*$G$176+(I149/100)*$G$177+(K149/100)*$G$178+(M149/100)*$G$179+(O149/100)*$G$180+(Q149)*$G$181+(S149*$G$182)+(E149*(VLOOKUP(D149,Fertilizantes!$A$49:$E$123,3,FALSE))))</f>
        <v>1508.1678688472175</v>
      </c>
    </row>
    <row r="150">
      <c r="B150">
        <v>133</v>
      </c>
      <c r="C150">
        <f>$I$13+B150</f>
        <v>40074</v>
      </c>
      <c r="E150">
        <f>VLOOKUP(D150,Fertilizantes!$A$49:$E$123,2,FALSE)*$C$14</f>
        <v>0</v>
      </c>
      <c r="F150">
        <f>VLOOKUP(D150,Fertilizantes!$A$49:$E$123,4,FALSE)</f>
        <v>0</v>
      </c>
      <c r="G150">
        <f>IF($C$14*ReDiarioFert!C139&lt;=0,"0",$C$14*ReDiarioFert!C139)</f>
        <v>1.977019970175256</v>
      </c>
      <c r="I150">
        <f>$C$14*ReDiarioFert!E139</f>
        <v>10.541282677608741</v>
      </c>
      <c r="K150">
        <f>$C$14*ReDiarioFert!G139</f>
        <v>51.44940325459318</v>
      </c>
      <c r="M150">
        <f>$C$14*ReDiarioFert!I139</f>
        <v>28.618237365688973</v>
      </c>
      <c r="O150">
        <f>$C$14*ReDiarioFert!K139</f>
        <v>58.9896067537057</v>
      </c>
      <c r="Q150">
        <f>$C$14*ReDiarioFert!M139</f>
        <v>233.71373268292683</v>
      </c>
      <c r="S150">
        <f>Main!$H$85</f>
        <v>0</v>
      </c>
      <c r="T150">
        <f>((G150/100)*$G$176+(I150/100)*$G$177+(K150/100)*$G$178+(M150/100)*$G$179+(O150/100)*$G$180+(Q150)*$G$181+(S150*$G$182)+(E150*(VLOOKUP(D150,Fertilizantes!$A$49:$E$123,3,FALSE))))</f>
        <v>1508.1678688472175</v>
      </c>
    </row>
    <row r="151">
      <c r="A151">
        <v>20</v>
      </c>
      <c r="B151">
        <v>134</v>
      </c>
      <c r="C151">
        <f>$I$13+B151</f>
        <v>40075</v>
      </c>
      <c r="E151">
        <f>VLOOKUP(D151,Fertilizantes!$A$49:$E$123,2,FALSE)*$C$14</f>
        <v>0</v>
      </c>
      <c r="F151">
        <f>VLOOKUP(D151,Fertilizantes!$A$49:$E$123,4,FALSE)</f>
        <v>0</v>
      </c>
      <c r="G151">
        <f>IF($C$14*ReDiarioFert!C140&lt;=0,"0",$C$14*ReDiarioFert!C140)</f>
        <v>1.977019970175256</v>
      </c>
      <c r="I151">
        <f>$C$14*ReDiarioFert!E140</f>
        <v>10.541282677608741</v>
      </c>
      <c r="K151">
        <f>$C$14*ReDiarioFert!G140</f>
        <v>51.44940325459318</v>
      </c>
      <c r="M151">
        <f>$C$14*ReDiarioFert!I140</f>
        <v>28.618237365688973</v>
      </c>
      <c r="O151">
        <f>$C$14*ReDiarioFert!K140</f>
        <v>58.9896067537057</v>
      </c>
      <c r="Q151">
        <f>$C$14*ReDiarioFert!M140</f>
        <v>233.71373268292683</v>
      </c>
      <c r="S151">
        <f>$C$14*Main!$D$63</f>
        <v>26.879999999999995</v>
      </c>
      <c r="T151">
        <f>((G151/100)*$G$176+(I151/100)*$G$177+(K151/100)*$G$178+(M151/100)*$G$179+(O151/100)*$G$180+(Q151)*$G$181+(S151*$G$182)+(E151*(VLOOKUP(D151,Fertilizantes!$A$49:$E$123,3,FALSE))))</f>
        <v>1583.4318688472174</v>
      </c>
    </row>
    <row r="152">
      <c r="B152">
        <v>135</v>
      </c>
      <c r="C152">
        <f>$I$13+B152</f>
        <v>40076</v>
      </c>
      <c r="E152">
        <f>VLOOKUP(D152,Fertilizantes!$A$49:$E$123,2,FALSE)*$C$14</f>
        <v>0</v>
      </c>
      <c r="F152">
        <f>VLOOKUP(D152,Fertilizantes!$A$49:$E$123,4,FALSE)</f>
        <v>0</v>
      </c>
      <c r="G152">
        <f>IF($C$14*ReDiarioFert!C141&lt;=0,"0",$C$14*ReDiarioFert!C141)</f>
        <v>1.977019970175256</v>
      </c>
      <c r="I152">
        <f>$C$14*ReDiarioFert!E141</f>
        <v>10.541282677608741</v>
      </c>
      <c r="K152">
        <f>$C$14*ReDiarioFert!G141</f>
        <v>51.44940325459318</v>
      </c>
      <c r="M152">
        <f>$C$14*ReDiarioFert!I141</f>
        <v>28.618237365688973</v>
      </c>
      <c r="O152">
        <f>$C$14*ReDiarioFert!K141</f>
        <v>58.9896067537057</v>
      </c>
      <c r="Q152">
        <f>$C$14*ReDiarioFert!M141</f>
        <v>233.71373268292683</v>
      </c>
      <c r="T152">
        <f>((G152/100)*$G$176+(I152/100)*$G$177+(K152/100)*$G$178+(M152/100)*$G$179+(O152/100)*$G$180+(Q152)*$G$181+(S152*$G$182)+(E152*(VLOOKUP(D152,Fertilizantes!$A$49:$E$123,3,FALSE))))</f>
        <v>1508.1678688472175</v>
      </c>
    </row>
    <row r="153">
      <c r="B153">
        <v>136</v>
      </c>
      <c r="C153">
        <f>$I$13+B153</f>
        <v>40077</v>
      </c>
      <c r="E153">
        <f>VLOOKUP(D153,Fertilizantes!$A$49:$E$123,2,FALSE)*$C$14</f>
        <v>0</v>
      </c>
      <c r="F153">
        <f>VLOOKUP(D153,Fertilizantes!$A$49:$E$123,4,FALSE)</f>
        <v>0</v>
      </c>
      <c r="G153">
        <f>IF($C$14*ReDiarioFert!C142&lt;=0,"0",$C$14*ReDiarioFert!C142)</f>
        <v>1.977019970175256</v>
      </c>
      <c r="I153">
        <f>$C$14*ReDiarioFert!E142</f>
        <v>10.541282677608741</v>
      </c>
      <c r="K153">
        <f>$C$14*ReDiarioFert!G142</f>
        <v>51.44940325459318</v>
      </c>
      <c r="M153">
        <f>$C$14*ReDiarioFert!I142</f>
        <v>28.618237365688973</v>
      </c>
      <c r="O153">
        <f>$C$14*ReDiarioFert!K142</f>
        <v>58.9896067537057</v>
      </c>
      <c r="Q153">
        <f>$C$14*ReDiarioFert!M142</f>
        <v>233.71373268292683</v>
      </c>
      <c r="S153">
        <f>Main!$H$84</f>
        <v>0</v>
      </c>
      <c r="T153">
        <f>((G153/100)*$G$176+(I153/100)*$G$177+(K153/100)*$G$178+(M153/100)*$G$179+(O153/100)*$G$180+(Q153)*$G$181+(S153*$G$182)+(E153*(VLOOKUP(D153,Fertilizantes!$A$49:$E$123,3,FALSE))))</f>
        <v>1508.1678688472175</v>
      </c>
    </row>
    <row r="154">
      <c r="B154">
        <v>137</v>
      </c>
      <c r="C154">
        <f>$I$13+B154</f>
        <v>40078</v>
      </c>
      <c r="E154">
        <f>VLOOKUP(D154,Fertilizantes!$A$49:$E$123,2,FALSE)*$C$14</f>
        <v>0</v>
      </c>
      <c r="F154">
        <f>VLOOKUP(D154,Fertilizantes!$A$49:$E$123,4,FALSE)</f>
        <v>0</v>
      </c>
      <c r="G154">
        <f>IF($C$14*ReDiarioFert!C143&lt;=0,"0",$C$14*ReDiarioFert!C143)</f>
        <v>1.977019970175256</v>
      </c>
      <c r="I154">
        <f>$C$14*ReDiarioFert!E143</f>
        <v>10.541282677608741</v>
      </c>
      <c r="K154">
        <f>$C$14*ReDiarioFert!G143</f>
        <v>51.44940325459318</v>
      </c>
      <c r="M154">
        <f>$C$14*ReDiarioFert!I143</f>
        <v>28.618237365688973</v>
      </c>
      <c r="O154">
        <f>$C$14*ReDiarioFert!K143</f>
        <v>58.9896067537057</v>
      </c>
      <c r="Q154">
        <f>$C$14*ReDiarioFert!M143</f>
        <v>233.71373268292683</v>
      </c>
      <c r="T154">
        <f>((G154/100)*$G$176+(I154/100)*$G$177+(K154/100)*$G$178+(M154/100)*$G$179+(O154/100)*$G$180+(Q154)*$G$181+(S154*$G$182)+(E154*(VLOOKUP(D154,Fertilizantes!$A$49:$E$123,3,FALSE))))</f>
        <v>1508.1678688472175</v>
      </c>
    </row>
    <row r="155">
      <c r="B155">
        <v>138</v>
      </c>
      <c r="C155">
        <f>$I$13+B155</f>
        <v>40079</v>
      </c>
      <c r="E155">
        <f>VLOOKUP(D155,Fertilizantes!$A$49:$E$123,2,FALSE)*$C$14</f>
        <v>0</v>
      </c>
      <c r="F155">
        <f>VLOOKUP(D155,Fertilizantes!$A$49:$E$123,4,FALSE)</f>
        <v>0</v>
      </c>
      <c r="G155">
        <f>IF($C$14*ReDiarioFert!C144&lt;=0,"0",$C$14*ReDiarioFert!C144)</f>
        <v>1.977019970175256</v>
      </c>
      <c r="I155">
        <f>$C$14*ReDiarioFert!E144</f>
        <v>10.541282677608741</v>
      </c>
      <c r="K155">
        <f>$C$14*ReDiarioFert!G144</f>
        <v>51.44940325459318</v>
      </c>
      <c r="M155">
        <f>$C$14*ReDiarioFert!I144</f>
        <v>28.618237365688973</v>
      </c>
      <c r="O155">
        <f>$C$14*ReDiarioFert!K144</f>
        <v>58.9896067537057</v>
      </c>
      <c r="Q155">
        <f>$C$14*ReDiarioFert!M144</f>
        <v>233.71373268292683</v>
      </c>
      <c r="T155">
        <f>((G155/100)*$G$176+(I155/100)*$G$177+(K155/100)*$G$178+(M155/100)*$G$179+(O155/100)*$G$180+(Q155)*$G$181+(S155*$G$182)+(E155*(VLOOKUP(D155,Fertilizantes!$A$49:$E$123,3,FALSE))))</f>
        <v>1508.1678688472175</v>
      </c>
    </row>
    <row r="156">
      <c r="B156">
        <v>139</v>
      </c>
      <c r="C156">
        <f>$I$13+B156</f>
        <v>40080</v>
      </c>
      <c r="E156">
        <f>VLOOKUP(D156,Fertilizantes!$A$49:$E$123,2,FALSE)*$C$14</f>
        <v>0</v>
      </c>
      <c r="F156">
        <f>VLOOKUP(D156,Fertilizantes!$A$49:$E$123,4,FALSE)</f>
        <v>0</v>
      </c>
      <c r="G156">
        <f>IF($C$14*ReDiarioFert!C145&lt;=0,"0",$C$14*ReDiarioFert!C145)</f>
        <v>1.977019970175256</v>
      </c>
      <c r="I156">
        <f>$C$14*ReDiarioFert!E145</f>
        <v>10.541282677608741</v>
      </c>
      <c r="K156">
        <f>$C$14*ReDiarioFert!G145</f>
        <v>51.44940325459318</v>
      </c>
      <c r="M156">
        <f>$C$14*ReDiarioFert!I145</f>
        <v>28.618237365688973</v>
      </c>
      <c r="O156">
        <f>$C$14*ReDiarioFert!K145</f>
        <v>58.9896067537057</v>
      </c>
      <c r="Q156">
        <f>$C$14*ReDiarioFert!M145</f>
        <v>233.71373268292683</v>
      </c>
      <c r="T156">
        <f>((G156/100)*$G$176+(I156/100)*$G$177+(K156/100)*$G$178+(M156/100)*$G$179+(O156/100)*$G$180+(Q156)*$G$181+(S156*$G$182)+(E156*(VLOOKUP(D156,Fertilizantes!$A$49:$E$123,3,FALSE))))</f>
        <v>1508.1678688472175</v>
      </c>
    </row>
    <row r="157">
      <c r="B157">
        <v>140</v>
      </c>
      <c r="C157">
        <f>$I$13+B157</f>
        <v>40081</v>
      </c>
      <c r="E157">
        <f>VLOOKUP(D157,Fertilizantes!$A$49:$E$123,2,FALSE)*$C$14</f>
        <v>0</v>
      </c>
      <c r="F157">
        <f>VLOOKUP(D157,Fertilizantes!$A$49:$E$123,4,FALSE)</f>
        <v>0</v>
      </c>
      <c r="G157">
        <f>IF($C$14*ReDiarioFert!C146&lt;=0,"0",$C$14*ReDiarioFert!C146)</f>
        <v>1.977019970175256</v>
      </c>
      <c r="I157">
        <f>$C$14*ReDiarioFert!E146</f>
        <v>10.541282677608741</v>
      </c>
      <c r="K157">
        <f>$C$14*ReDiarioFert!G146</f>
        <v>51.44940325459318</v>
      </c>
      <c r="M157">
        <f>$C$14*ReDiarioFert!I146</f>
        <v>28.618237365688973</v>
      </c>
      <c r="O157">
        <f>$C$14*ReDiarioFert!K146</f>
        <v>58.9896067537057</v>
      </c>
      <c r="Q157">
        <f>$C$14*ReDiarioFert!M146</f>
        <v>233.71373268292683</v>
      </c>
      <c r="T157">
        <f>((G157/100)*$G$176+(I157/100)*$G$177+(K157/100)*$G$178+(M157/100)*$G$179+(O157/100)*$G$180+(Q157)*$G$181+(S157*$G$182)+(E157*(VLOOKUP(D157,Fertilizantes!$A$49:$E$123,3,FALSE))))</f>
        <v>1508.1678688472175</v>
      </c>
    </row>
    <row r="158">
      <c r="A158">
        <v>21</v>
      </c>
      <c r="B158">
        <v>141</v>
      </c>
      <c r="C158">
        <f>$I$13+B158</f>
        <v>40082</v>
      </c>
      <c r="D158">
        <f>Main!$H$87</f>
        <v>0</v>
      </c>
      <c r="E158">
        <f>VLOOKUP(D158,Fertilizantes!$A$49:$E$123,2,FALSE)*$C$14</f>
        <v>0</v>
      </c>
      <c r="F158">
        <f>VLOOKUP(D158,Fertilizantes!$A$49:$E$123,4,FALSE)</f>
        <v>0</v>
      </c>
      <c r="G158">
        <f>IF($C$14*ReDiarioFert!C147&lt;=0,"0",$C$14*ReDiarioFert!C147)</f>
        <v>1.977019970175256</v>
      </c>
      <c r="I158">
        <f>$C$14*ReDiarioFert!E147</f>
        <v>10.541282677608741</v>
      </c>
      <c r="K158">
        <f>$C$14*ReDiarioFert!G147</f>
        <v>51.44940325459318</v>
      </c>
      <c r="M158">
        <f>$C$14*ReDiarioFert!I147</f>
        <v>28.618237365688973</v>
      </c>
      <c r="O158">
        <f>$C$14*ReDiarioFert!K147</f>
        <v>58.9896067537057</v>
      </c>
      <c r="Q158">
        <f>$C$14*ReDiarioFert!M147</f>
        <v>233.71373268292683</v>
      </c>
      <c r="S158">
        <f>$C$14*Main!$D$63</f>
        <v>26.879999999999995</v>
      </c>
      <c r="T158">
        <f>((G158/100)*$G$176+(I158/100)*$G$177+(K158/100)*$G$178+(M158/100)*$G$179+(O158/100)*$G$180+(Q158)*$G$181+(S158*$G$182)+(E158*(VLOOKUP(D158,Fertilizantes!$A$49:$E$123,3,FALSE))))</f>
        <v>1583.4318688472174</v>
      </c>
    </row>
    <row r="159">
      <c r="B159">
        <v>142</v>
      </c>
      <c r="C159">
        <f>$I$13+B159</f>
        <v>40083</v>
      </c>
      <c r="E159">
        <f>VLOOKUP(D159,Fertilizantes!$A$49:$E$123,2,FALSE)*$C$14</f>
        <v>0</v>
      </c>
      <c r="F159">
        <f>VLOOKUP(D159,Fertilizantes!$A$49:$E$123,4,FALSE)</f>
        <v>0</v>
      </c>
      <c r="G159">
        <f>IF($C$14*ReDiarioFert!C148&lt;=0,"0",$C$14*ReDiarioFert!C148)</f>
        <v>1.977019970175256</v>
      </c>
      <c r="I159">
        <f>$C$14*ReDiarioFert!E148</f>
        <v>10.541282677608741</v>
      </c>
      <c r="K159">
        <f>$C$14*ReDiarioFert!G148</f>
        <v>51.44940325459318</v>
      </c>
      <c r="M159">
        <f>$C$14*ReDiarioFert!I148</f>
        <v>28.618237365688973</v>
      </c>
      <c r="O159">
        <f>$C$14*ReDiarioFert!K148</f>
        <v>58.9896067537057</v>
      </c>
      <c r="Q159">
        <f>$C$14*ReDiarioFert!M148</f>
        <v>233.71373268292683</v>
      </c>
      <c r="T159">
        <f>((G159/100)*$G$176+(I159/100)*$G$177+(K159/100)*$G$178+(M159/100)*$G$179+(O159/100)*$G$180+(Q159)*$G$181+(S159*$G$182)+(E159*(VLOOKUP(D159,Fertilizantes!$A$49:$E$123,3,FALSE))))</f>
        <v>1508.1678688472175</v>
      </c>
    </row>
    <row r="160">
      <c r="B160">
        <v>143</v>
      </c>
      <c r="C160">
        <f>$I$13+B160</f>
        <v>40084</v>
      </c>
      <c r="E160">
        <f>VLOOKUP(D160,Fertilizantes!$A$49:$E$123,2,FALSE)*$C$14</f>
        <v>0</v>
      </c>
      <c r="F160">
        <f>VLOOKUP(D160,Fertilizantes!$A$49:$E$123,4,FALSE)</f>
        <v>0</v>
      </c>
      <c r="G160">
        <f>IF($C$14*ReDiarioFert!C149&lt;=0,"0",$C$14*ReDiarioFert!C149)</f>
        <v>1.977019970175256</v>
      </c>
      <c r="I160">
        <f>$C$14*ReDiarioFert!E149</f>
        <v>10.541282677608741</v>
      </c>
      <c r="K160">
        <f>$C$14*ReDiarioFert!G149</f>
        <v>51.44940325459318</v>
      </c>
      <c r="M160">
        <f>$C$14*ReDiarioFert!I149</f>
        <v>28.618237365688973</v>
      </c>
      <c r="O160">
        <f>$C$14*ReDiarioFert!K149</f>
        <v>58.9896067537057</v>
      </c>
      <c r="Q160">
        <f>$C$14*ReDiarioFert!M149</f>
        <v>233.71373268292683</v>
      </c>
      <c r="T160">
        <f>((G160/100)*$G$176+(I160/100)*$G$177+(K160/100)*$G$178+(M160/100)*$G$179+(O160/100)*$G$180+(Q160)*$G$181+(S160*$G$182)+(E160*(VLOOKUP(D160,Fertilizantes!$A$49:$E$123,3,FALSE))))</f>
        <v>1508.1678688472175</v>
      </c>
    </row>
    <row r="161">
      <c r="B161">
        <v>144</v>
      </c>
      <c r="C161">
        <f>$I$13+B161</f>
        <v>40085</v>
      </c>
      <c r="E161">
        <f>VLOOKUP(D161,Fertilizantes!$A$49:$E$123,2,FALSE)*$C$14</f>
        <v>0</v>
      </c>
      <c r="F161">
        <f>VLOOKUP(D161,Fertilizantes!$A$49:$E$123,4,FALSE)</f>
        <v>0</v>
      </c>
      <c r="G161">
        <f>IF($C$14*ReDiarioFert!C150&lt;=0,"0",$C$14*ReDiarioFert!C150)</f>
        <v>1.977019970175256</v>
      </c>
      <c r="I161">
        <f>$C$14*ReDiarioFert!E150</f>
        <v>10.541282677608741</v>
      </c>
      <c r="K161">
        <f>$C$14*ReDiarioFert!G150</f>
        <v>51.44940325459318</v>
      </c>
      <c r="M161">
        <f>$C$14*ReDiarioFert!I150</f>
        <v>28.618237365688973</v>
      </c>
      <c r="O161">
        <f>$C$14*ReDiarioFert!K150</f>
        <v>58.9896067537057</v>
      </c>
      <c r="Q161">
        <f>$C$14*ReDiarioFert!M150</f>
        <v>233.71373268292683</v>
      </c>
      <c r="T161">
        <f>((G161/100)*$G$176+(I161/100)*$G$177+(K161/100)*$G$178+(M161/100)*$G$179+(O161/100)*$G$180+(Q161)*$G$181+(S161*$G$182)+(E161*(VLOOKUP(D161,Fertilizantes!$A$49:$E$123,3,FALSE))))</f>
        <v>1508.1678688472175</v>
      </c>
    </row>
    <row r="162">
      <c r="B162">
        <v>145</v>
      </c>
      <c r="C162">
        <f>$I$13+B162</f>
        <v>40086</v>
      </c>
      <c r="E162">
        <f>VLOOKUP(D162,Fertilizantes!$A$49:$E$123,2,FALSE)*$C$14</f>
        <v>0</v>
      </c>
      <c r="F162">
        <f>VLOOKUP(D162,Fertilizantes!$A$49:$E$123,4,FALSE)</f>
        <v>0</v>
      </c>
      <c r="G162">
        <f>IF($C$14*ReDiarioFert!C151&lt;=0,"0",$C$14*ReDiarioFert!C151)</f>
        <v>1.977019970175256</v>
      </c>
      <c r="I162">
        <f>$C$14*ReDiarioFert!E151</f>
        <v>10.541282677608741</v>
      </c>
      <c r="K162">
        <f>$C$14*ReDiarioFert!G151</f>
        <v>51.44940325459318</v>
      </c>
      <c r="M162">
        <f>$C$14*ReDiarioFert!I151</f>
        <v>28.618237365688973</v>
      </c>
      <c r="O162">
        <f>$C$14*ReDiarioFert!K151</f>
        <v>58.9896067537057</v>
      </c>
      <c r="Q162">
        <f>$C$14*ReDiarioFert!M151</f>
        <v>233.71373268292683</v>
      </c>
      <c r="T162">
        <f>((G162/100)*$G$176+(I162/100)*$G$177+(K162/100)*$G$178+(M162/100)*$G$179+(O162/100)*$G$180+(Q162)*$G$181+(S162*$G$182)+(E162*(VLOOKUP(D162,Fertilizantes!$A$49:$E$123,3,FALSE))))</f>
        <v>1508.1678688472175</v>
      </c>
    </row>
    <row r="163">
      <c r="B163">
        <v>146</v>
      </c>
      <c r="C163">
        <f>$I$13+B163</f>
        <v>40087</v>
      </c>
      <c r="E163">
        <f>VLOOKUP(D163,Fertilizantes!$A$49:$E$123,2,FALSE)*$C$14</f>
        <v>0</v>
      </c>
      <c r="F163">
        <f>VLOOKUP(D163,Fertilizantes!$A$49:$E$123,4,FALSE)</f>
        <v>0</v>
      </c>
      <c r="G163">
        <f>IF($C$14*ReDiarioFert!C152&lt;=0,"0",$C$14*ReDiarioFert!C152)</f>
        <v>1.977019970175256</v>
      </c>
      <c r="I163">
        <f>$C$14*ReDiarioFert!E152</f>
        <v>10.541282677608741</v>
      </c>
      <c r="K163">
        <f>$C$14*ReDiarioFert!G152</f>
        <v>51.44940325459318</v>
      </c>
      <c r="M163">
        <f>$C$14*ReDiarioFert!I152</f>
        <v>28.618237365688973</v>
      </c>
      <c r="O163">
        <f>$C$14*ReDiarioFert!K152</f>
        <v>58.9896067537057</v>
      </c>
      <c r="Q163">
        <f>$C$14*ReDiarioFert!M152</f>
        <v>233.71373268292683</v>
      </c>
      <c r="T163">
        <f>((G163/100)*$G$176+(I163/100)*$G$177+(K163/100)*$G$178+(M163/100)*$G$179+(O163/100)*$G$180+(Q163)*$G$181+(S163*$G$182)+(E163*(VLOOKUP(D163,Fertilizantes!$A$49:$E$123,3,FALSE))))</f>
        <v>1508.1678688472175</v>
      </c>
    </row>
    <row r="164">
      <c r="B164">
        <v>147</v>
      </c>
      <c r="C164">
        <f>$I$13+B164</f>
        <v>40088</v>
      </c>
      <c r="E164">
        <f>VLOOKUP(D164,Fertilizantes!$A$49:$E$123,2,FALSE)*$C$14</f>
        <v>0</v>
      </c>
      <c r="F164">
        <f>VLOOKUP(D164,Fertilizantes!$A$49:$E$123,4,FALSE)</f>
        <v>0</v>
      </c>
      <c r="G164">
        <f>IF($C$14*ReDiarioFert!C153&lt;=0,"0",$C$14*ReDiarioFert!C153)</f>
        <v>1.977019970175256</v>
      </c>
      <c r="I164">
        <f>$C$14*ReDiarioFert!E153</f>
        <v>10.541282677608741</v>
      </c>
      <c r="K164">
        <f>$C$14*ReDiarioFert!G153</f>
        <v>51.44940325459318</v>
      </c>
      <c r="M164">
        <f>$C$14*ReDiarioFert!I153</f>
        <v>28.618237365688973</v>
      </c>
      <c r="O164">
        <f>$C$14*ReDiarioFert!K153</f>
        <v>58.9896067537057</v>
      </c>
      <c r="Q164">
        <f>$C$14*ReDiarioFert!M153</f>
        <v>233.71373268292683</v>
      </c>
      <c r="T164">
        <f>((G164/100)*$G$176+(I164/100)*$G$177+(K164/100)*$G$178+(M164/100)*$G$179+(O164/100)*$G$180+(Q164)*$G$181+(S164*$G$182)+(E164*(VLOOKUP(D164,Fertilizantes!$A$49:$E$123,3,FALSE))))</f>
        <v>1508.1678688472175</v>
      </c>
    </row>
    <row r="165">
      <c r="A165">
        <v>22</v>
      </c>
      <c r="B165">
        <v>148</v>
      </c>
      <c r="C165">
        <f>$I$13+B165</f>
        <v>40089</v>
      </c>
      <c r="E165">
        <f>VLOOKUP(D165,Fertilizantes!$A$49:$E$123,2,FALSE)*$C$14</f>
        <v>0</v>
      </c>
      <c r="F165">
        <f>VLOOKUP(D165,Fertilizantes!$A$49:$E$123,4,FALSE)</f>
        <v>0</v>
      </c>
      <c r="G165">
        <f>IF($C$14*ReDiarioFert!C154&lt;=0,"0",$C$14*ReDiarioFert!C154)</f>
        <v>1.977019970175256</v>
      </c>
      <c r="I165">
        <f>$C$14*ReDiarioFert!E154</f>
        <v>10.541282677608741</v>
      </c>
      <c r="K165">
        <f>$C$14*ReDiarioFert!G154</f>
        <v>51.44940325459318</v>
      </c>
      <c r="M165">
        <f>$C$14*ReDiarioFert!I154</f>
        <v>28.618237365688973</v>
      </c>
      <c r="O165">
        <f>$C$14*ReDiarioFert!K154</f>
        <v>58.9896067537057</v>
      </c>
      <c r="Q165">
        <f>$C$14*ReDiarioFert!M154</f>
        <v>233.71373268292683</v>
      </c>
      <c r="S165">
        <f>$C$14*Main!$D$63</f>
        <v>26.879999999999995</v>
      </c>
      <c r="T165">
        <f>((G165/100)*$G$176+(I165/100)*$G$177+(K165/100)*$G$178+(M165/100)*$G$179+(O165/100)*$G$180+(Q165)*$G$181+(S165*$G$182)+(E165*(VLOOKUP(D165,Fertilizantes!$A$49:$E$123,3,FALSE))))</f>
        <v>1583.4318688472174</v>
      </c>
    </row>
    <row r="166">
      <c r="B166">
        <v>149</v>
      </c>
      <c r="C166">
        <f>$I$13+B166</f>
        <v>40090</v>
      </c>
      <c r="E166">
        <f>VLOOKUP(D166,Fertilizantes!$A$49:$E$123,2,FALSE)*$C$14</f>
        <v>0</v>
      </c>
      <c r="F166">
        <f>VLOOKUP(D166,Fertilizantes!$A$49:$E$123,4,FALSE)</f>
        <v>0</v>
      </c>
      <c r="G166">
        <f>IF($C$14*ReDiarioFert!C155&lt;=0,"0",$C$14*ReDiarioFert!C155)</f>
        <v>1.977019970175256</v>
      </c>
      <c r="I166">
        <f>$C$14*ReDiarioFert!E155</f>
        <v>10.541282677608741</v>
      </c>
      <c r="K166">
        <f>$C$14*ReDiarioFert!G155</f>
        <v>51.44940325459318</v>
      </c>
      <c r="M166">
        <f>$C$14*ReDiarioFert!I155</f>
        <v>28.618237365688973</v>
      </c>
      <c r="O166">
        <f>$C$14*ReDiarioFert!K155</f>
        <v>58.9896067537057</v>
      </c>
      <c r="Q166">
        <f>$C$14*ReDiarioFert!M155</f>
        <v>233.71373268292683</v>
      </c>
      <c r="T166">
        <f>((G166/100)*$G$176+(I166/100)*$G$177+(K166/100)*$G$178+(M166/100)*$G$179+(O166/100)*$G$180+(Q166)*$G$181+(S166*$G$182)+(E166*(VLOOKUP(D166,Fertilizantes!$A$49:$E$123,3,FALSE))))</f>
        <v>1508.1678688472175</v>
      </c>
    </row>
    <row r="167">
      <c r="B167">
        <v>150</v>
      </c>
      <c r="C167">
        <f>$I$13+B167</f>
        <v>40091</v>
      </c>
      <c r="E167">
        <f>VLOOKUP(D167,Fertilizantes!$A$49:$E$123,2,FALSE)*$C$14</f>
        <v>0</v>
      </c>
      <c r="F167">
        <f>VLOOKUP(D167,Fertilizantes!$A$49:$E$123,4,FALSE)</f>
        <v>0</v>
      </c>
      <c r="G167">
        <f>IF($C$14*ReDiarioFert!C156&lt;=0,"0",$C$14*ReDiarioFert!C156)</f>
        <v>1.977019970175256</v>
      </c>
      <c r="I167">
        <f>$C$14*ReDiarioFert!E156</f>
        <v>10.541282677608741</v>
      </c>
      <c r="K167">
        <f>$C$14*ReDiarioFert!G156</f>
        <v>51.44940325459318</v>
      </c>
      <c r="M167">
        <f>$C$14*ReDiarioFert!I156</f>
        <v>28.618237365688973</v>
      </c>
      <c r="O167">
        <f>$C$14*ReDiarioFert!K156</f>
        <v>58.9896067537057</v>
      </c>
      <c r="Q167">
        <f>$C$14*ReDiarioFert!M156</f>
        <v>233.71373268292683</v>
      </c>
      <c r="T167">
        <f>((G167/100)*$G$176+(I167/100)*$G$177+(K167/100)*$G$178+(M167/100)*$G$179+(O167/100)*$G$180+(Q167)*$G$181+(S167*$G$182)+(E167*(VLOOKUP(D167,Fertilizantes!$A$49:$E$123,3,FALSE))))</f>
        <v>1508.1678688472175</v>
      </c>
    </row>
    <row r="168">
      <c r="B168">
        <v>151</v>
      </c>
      <c r="C168">
        <f>$I$13+B168</f>
        <v>40092</v>
      </c>
      <c r="E168">
        <f>VLOOKUP(D168,Fertilizantes!$A$49:$E$123,2,FALSE)*$C$14</f>
        <v>0</v>
      </c>
      <c r="F168">
        <f>VLOOKUP(D168,Fertilizantes!$A$49:$E$123,4,FALSE)</f>
        <v>0</v>
      </c>
      <c r="G168">
        <f>IF($C$14*ReDiarioFert!C157&lt;=0,"0",$C$14*ReDiarioFert!C157)</f>
        <v>1.977019970175256</v>
      </c>
      <c r="I168">
        <f>$C$14*ReDiarioFert!E157</f>
        <v>10.541282677608741</v>
      </c>
      <c r="K168">
        <f>$C$14*ReDiarioFert!G157</f>
        <v>51.44940325459318</v>
      </c>
      <c r="M168">
        <f>$C$14*ReDiarioFert!I157</f>
        <v>28.618237365688973</v>
      </c>
      <c r="O168">
        <f>$C$14*ReDiarioFert!K157</f>
        <v>58.9896067537057</v>
      </c>
      <c r="Q168">
        <f>$C$14*ReDiarioFert!M157</f>
        <v>233.71373268292683</v>
      </c>
      <c r="T168">
        <f>((G168/100)*$G$176+(I168/100)*$G$177+(K168/100)*$G$178+(M168/100)*$G$179+(O168/100)*$G$180+(Q168)*$G$181+(S168*$G$182)+(E168*(VLOOKUP(D168,Fertilizantes!$A$49:$E$123,3,FALSE))))</f>
        <v>1508.1678688472175</v>
      </c>
    </row>
    <row r="169">
      <c r="B169">
        <v>152</v>
      </c>
      <c r="C169">
        <f>$I$13+B169</f>
        <v>40093</v>
      </c>
      <c r="E169">
        <f>VLOOKUP(D169,Fertilizantes!$A$49:$E$123,2,FALSE)*$C$14</f>
        <v>0</v>
      </c>
      <c r="F169">
        <f>VLOOKUP(D169,Fertilizantes!$A$49:$E$123,4,FALSE)</f>
        <v>0</v>
      </c>
      <c r="G169">
        <f>IF($C$14*ReDiarioFert!C158&lt;=0,"0",$C$14*ReDiarioFert!C158)</f>
        <v>1.977019970175256</v>
      </c>
      <c r="I169">
        <f>$C$14*ReDiarioFert!E158</f>
        <v>10.541282677608741</v>
      </c>
      <c r="K169">
        <f>$C$14*ReDiarioFert!G158</f>
        <v>51.44940325459318</v>
      </c>
      <c r="M169">
        <f>$C$14*ReDiarioFert!I158</f>
        <v>28.618237365688973</v>
      </c>
      <c r="O169">
        <f>$C$14*ReDiarioFert!K158</f>
        <v>58.9896067537057</v>
      </c>
      <c r="Q169">
        <f>$C$14*ReDiarioFert!M158</f>
        <v>233.71373268292683</v>
      </c>
      <c r="T169">
        <f>((G169/100)*$G$176+(I169/100)*$G$177+(K169/100)*$G$178+(M169/100)*$G$179+(O169/100)*$G$180+(Q169)*$G$181+(S169*$G$182)+(E169*(VLOOKUP(D169,Fertilizantes!$A$49:$E$123,3,FALSE))))</f>
        <v>1508.1678688472175</v>
      </c>
    </row>
    <row r="170">
      <c r="B170">
        <v>153</v>
      </c>
      <c r="C170">
        <f>$I$13+B170</f>
        <v>40094</v>
      </c>
      <c r="E170">
        <f>VLOOKUP(D170,Fertilizantes!$A$49:$E$123,2,FALSE)*$C$14</f>
        <v>0</v>
      </c>
      <c r="F170">
        <f>VLOOKUP(D170,Fertilizantes!$A$49:$E$123,4,FALSE)</f>
        <v>0</v>
      </c>
      <c r="G170">
        <f>IF($C$14*ReDiarioFert!C159&lt;=0,"0",$C$14*ReDiarioFert!C159)</f>
        <v>1.977019970175256</v>
      </c>
      <c r="I170">
        <f>$C$14*ReDiarioFert!E159</f>
        <v>10.541282677608741</v>
      </c>
      <c r="K170">
        <f>$C$14*ReDiarioFert!G159</f>
        <v>51.44940325459318</v>
      </c>
      <c r="M170">
        <f>$C$14*ReDiarioFert!I159</f>
        <v>28.618237365688973</v>
      </c>
      <c r="O170">
        <f>$C$14*ReDiarioFert!K159</f>
        <v>58.9896067537057</v>
      </c>
      <c r="Q170">
        <f>$C$14*ReDiarioFert!M159</f>
        <v>233.71373268292683</v>
      </c>
      <c r="T170">
        <f>((G170/100)*$G$176+(I170/100)*$G$177+(K170/100)*$G$178+(M170/100)*$G$179+(O170/100)*$G$180+(Q170)*$G$181+(S170*$G$182)+(E170*(VLOOKUP(D170,Fertilizantes!$A$49:$E$123,3,FALSE))))</f>
        <v>1508.1678688472175</v>
      </c>
    </row>
    <row r="171">
      <c r="B171">
        <v>154</v>
      </c>
      <c r="C171">
        <f>$I$13+B171</f>
        <v>40095</v>
      </c>
      <c r="E171">
        <f>VLOOKUP(D171,Fertilizantes!$A$49:$E$123,2,FALSE)*$C$14</f>
        <v>0</v>
      </c>
      <c r="F171">
        <f>VLOOKUP(D171,Fertilizantes!$A$49:$E$123,4,FALSE)</f>
        <v>0</v>
      </c>
      <c r="G171">
        <f>IF($C$14*ReDiarioFert!C160&lt;=0,"0",$C$14*ReDiarioFert!C160)</f>
        <v>1.977019970175256</v>
      </c>
      <c r="I171">
        <f>$C$14*ReDiarioFert!E160</f>
        <v>10.541282677608741</v>
      </c>
      <c r="K171">
        <f>$C$14*ReDiarioFert!G160</f>
        <v>51.44940325459318</v>
      </c>
      <c r="M171">
        <f>$C$14*ReDiarioFert!I160</f>
        <v>28.618237365688973</v>
      </c>
      <c r="O171">
        <f>$C$14*ReDiarioFert!K160</f>
        <v>58.9896067537057</v>
      </c>
      <c r="Q171">
        <f>$C$14*ReDiarioFert!M160</f>
        <v>233.71373268292683</v>
      </c>
      <c r="S171">
        <f>Main!$H$84</f>
        <v>0</v>
      </c>
      <c r="T171">
        <f>((G171/100)*$G$176+(I171/100)*$G$177+(K171/100)*$G$178+(M171/100)*$G$179+(O171/100)*$G$180+(Q171)*$G$181+(S171*$G$182)+(E171*(VLOOKUP(D171,Fertilizantes!$A$49:$E$123,3,FALSE))))</f>
        <v>1508.1678688472175</v>
      </c>
    </row>
    <row r="172">
      <c r="C172" t="str">
        <v>Total</v>
      </c>
      <c r="G172">
        <f>SUM(G18:G171)</f>
        <v>522.6550997129777</v>
      </c>
      <c r="I172">
        <f>SUM(I18:I171)</f>
        <v>1319.6755799188682</v>
      </c>
      <c r="K172">
        <f>SUM(K18:K171)</f>
        <v>5881.907630549092</v>
      </c>
      <c r="M172">
        <f>SUM(M18:M171)</f>
        <v>3271.7547354464796</v>
      </c>
      <c r="O172">
        <f>SUM(O18:O171)</f>
        <v>6743.934742464381</v>
      </c>
      <c r="Q172">
        <f>SUM(Q18:Q171)</f>
        <v>26743.523028292617</v>
      </c>
      <c r="S172">
        <f>SUM(S18:S171)</f>
        <v>591.3599999999999</v>
      </c>
      <c r="T172">
        <f>SUM(T18:T171)</f>
        <v>179237.9055924769</v>
      </c>
    </row>
    <row r="173">
      <c r="D173" t="str">
        <v>OJO cualquier cultivo que no se termine la cosecha en el ultimo día del calendario solo seguir repitiendo la ultima aplicación de fertilizante.</v>
      </c>
    </row>
    <row r="174" ht="39.75" customHeight="1">
      <c r="B174" t="str">
        <v>Producto</v>
      </c>
      <c r="F174" t="str">
        <v>Lbs/Ha</v>
      </c>
      <c r="G174" t="str">
        <v>Costo por qq</v>
      </c>
    </row>
    <row r="175" ht="24" customHeight="1">
      <c r="G175" t="str">
        <f>Main!$E$25</f>
        <v>Lempiras</v>
      </c>
    </row>
    <row r="176">
      <c r="B176" t="str">
        <f>Main!D42</f>
        <v>Nitrato de Amonio</v>
      </c>
      <c r="F176">
        <f>G172/C14</f>
        <v>388.88028252453705</v>
      </c>
      <c r="G176">
        <f>Main!D43</f>
        <v>620</v>
      </c>
    </row>
    <row r="177">
      <c r="B177" t="str">
        <f>Main!D32</f>
        <v>MAP 12-61-0</v>
      </c>
      <c r="F177">
        <f>I172/C14</f>
        <v>981.9014731539198</v>
      </c>
      <c r="G177">
        <f>Main!D33</f>
        <v>2900</v>
      </c>
    </row>
    <row r="178">
      <c r="B178" t="str">
        <f>Main!D37</f>
        <v>Sulfato de Potasio</v>
      </c>
      <c r="F178">
        <f>K172/C14</f>
        <v>4376.419367968075</v>
      </c>
      <c r="G178">
        <f>Main!D38</f>
        <v>505</v>
      </c>
    </row>
    <row r="179">
      <c r="B179" t="str">
        <f>Main!D47</f>
        <v>Sulfato de Magnesio</v>
      </c>
      <c r="F179">
        <f>M172/C14</f>
        <v>2434.341321016726</v>
      </c>
      <c r="G179">
        <f>Main!D48</f>
        <v>951</v>
      </c>
    </row>
    <row r="180">
      <c r="B180" t="str">
        <f>Main!D52</f>
        <v>Nitrato de Calcio</v>
      </c>
      <c r="F180">
        <f>O172/C14</f>
        <v>5017.808588143142</v>
      </c>
      <c r="G180">
        <f>Main!D53</f>
        <v>1100</v>
      </c>
    </row>
    <row r="181">
      <c r="B181" t="str">
        <f>Main!D57</f>
        <v>Solubor</v>
      </c>
      <c r="F181">
        <f>Q172/C14</f>
        <v>19898.454634146296</v>
      </c>
      <c r="G181">
        <f>Main!D58</f>
        <v>0.04</v>
      </c>
      <c r="I181" t="str">
        <v xml:space="preserve">Preparado y Autorizado Por </v>
      </c>
    </row>
    <row r="182" ht="18" customHeight="1">
      <c r="B182" t="str">
        <f>Main!D61</f>
        <v>Melaza</v>
      </c>
      <c r="F182">
        <f>S172/C14</f>
        <v>439.99999999999994</v>
      </c>
      <c r="G182">
        <f>Main!D62</f>
        <v>2.8</v>
      </c>
      <c r="I182" t="str">
        <v>MSc Ricardo D. Lardizábal</v>
      </c>
    </row>
    <row r="183">
      <c r="B183" t="str">
        <v>NOTA: El Nitrato de Calcio se debe de diluir en un barril aparte para inyectarse al sistema</v>
      </c>
    </row>
    <row r="185">
      <c r="B185" t="str">
        <v>Abreviaciones usadas</v>
      </c>
    </row>
    <row r="186">
      <c r="B186" t="str">
        <v>Mz.-Manzanas, Ha-Hectáreas, Lbs-Libras, Lts-Litros y DDT-Días después de Trasplante</v>
      </c>
    </row>
  </sheetData>
  <sheetProtection sheet="1"/>
  <mergeCells count="52">
    <mergeCell ref="B186:S186"/>
    <mergeCell ref="A13:B13"/>
    <mergeCell ref="A14:B14"/>
    <mergeCell ref="I13:M13"/>
    <mergeCell ref="I14:M14"/>
    <mergeCell ref="K16:L16"/>
    <mergeCell ref="I181:Q181"/>
    <mergeCell ref="C14:E14"/>
    <mergeCell ref="A16:A17"/>
    <mergeCell ref="B16:B17"/>
    <mergeCell ref="C13:E13"/>
    <mergeCell ref="T16:T17"/>
    <mergeCell ref="M16:N16"/>
    <mergeCell ref="Q16:R16"/>
    <mergeCell ref="O16:P16"/>
    <mergeCell ref="E16:F16"/>
    <mergeCell ref="G182:H182"/>
    <mergeCell ref="B180:E180"/>
    <mergeCell ref="B182:E182"/>
    <mergeCell ref="G180:H180"/>
    <mergeCell ref="G181:H181"/>
    <mergeCell ref="B174:E174"/>
    <mergeCell ref="B183:I184"/>
    <mergeCell ref="I182:Q182"/>
    <mergeCell ref="B185:D185"/>
    <mergeCell ref="G177:H177"/>
    <mergeCell ref="G175:H175"/>
    <mergeCell ref="G176:H176"/>
    <mergeCell ref="B178:E178"/>
    <mergeCell ref="B177:E177"/>
    <mergeCell ref="B176:E176"/>
    <mergeCell ref="B181:E181"/>
    <mergeCell ref="P1:S4"/>
    <mergeCell ref="B179:E179"/>
    <mergeCell ref="F13:H13"/>
    <mergeCell ref="F14:H14"/>
    <mergeCell ref="G16:H16"/>
    <mergeCell ref="I16:J16"/>
    <mergeCell ref="G178:H178"/>
    <mergeCell ref="G179:H179"/>
    <mergeCell ref="G174:H174"/>
    <mergeCell ref="A9:K9"/>
    <mergeCell ref="P5:S7"/>
    <mergeCell ref="I11:M11"/>
    <mergeCell ref="I12:M12"/>
    <mergeCell ref="F11:H11"/>
    <mergeCell ref="C11:E11"/>
    <mergeCell ref="A11:B11"/>
    <mergeCell ref="A12:B12"/>
    <mergeCell ref="C12:E12"/>
    <mergeCell ref="F12:H12"/>
    <mergeCell ref="P9:S12"/>
  </mergeCells>
  <pageMargins left="0" right="0" top="0.2" bottom="0.56" header="0" footer="0.25"/>
  <ignoredErrors>
    <ignoredError numberStoredAsText="1" sqref="A1:Z187"/>
  </ignoredErrors>
  <legacyDrawing r:id="rId1"/>
</worksheet>
</file>

<file path=xl/worksheets/sheet3.xml><?xml version="1.0" encoding="utf-8"?>
<worksheet xmlns="http://schemas.openxmlformats.org/spreadsheetml/2006/main" xmlns:r="http://schemas.openxmlformats.org/officeDocument/2006/relationships">
  <dimension ref="A1:Z187"/>
  <sheetViews>
    <sheetView workbookViewId="0" rightToLeft="0"/>
  </sheetViews>
  <sheetData>
    <row r="1" ht="23.45" customHeight="1">
      <c r="P1" t="str">
        <v>Calendario de Fertilización para Goteo Diario</v>
      </c>
    </row>
    <row r="2" ht="29.25" customHeight="1"/>
    <row r="3" ht="26.25" customHeight="1"/>
    <row r="4" ht="26.25" customHeight="1"/>
    <row r="5" ht="26.25" customHeight="1">
      <c r="P5" t="str">
        <f>Main!$E$21</f>
        <v>Tomate</v>
      </c>
    </row>
    <row r="6" ht="26.25" customHeight="1"/>
    <row r="7" ht="26.25" customHeight="1"/>
    <row r="8" ht="8.45" customHeight="1"/>
    <row r="9" ht="26.25" customHeight="1">
      <c r="A9" t="str">
        <f>Main!$C$13</f>
        <v>"Sin Fertilización Base"</v>
      </c>
      <c r="P9" t="str">
        <f>Main!$G$21</f>
        <v>XP 675</v>
      </c>
    </row>
    <row r="10" ht="4.15" customHeight="1"/>
    <row r="11" ht="20.1" customHeight="1">
      <c r="A11" t="str">
        <v>Productor</v>
      </c>
      <c r="C11" t="str">
        <f>Main!E17</f>
        <v>Alejandro Acosta</v>
      </c>
      <c r="F11" t="str">
        <v>Parcela</v>
      </c>
      <c r="I11" t="str">
        <f>Main!E19</f>
        <v>El Mango</v>
      </c>
    </row>
    <row r="12" ht="20.1" customHeight="1">
      <c r="A12" t="str">
        <v>Zona</v>
      </c>
      <c r="C12" t="str">
        <f>Main!E18</f>
        <v>Cantarranas</v>
      </c>
      <c r="F12" t="str">
        <v>Técnico</v>
      </c>
      <c r="I12" t="str">
        <f>Main!E20</f>
        <v>Marco Nuñez</v>
      </c>
    </row>
    <row r="13" ht="20.1" customHeight="1">
      <c r="A13" t="str">
        <v>Área Mz.</v>
      </c>
      <c r="C13">
        <f>Main!E22</f>
        <v>1.92</v>
      </c>
      <c r="F13" t="str">
        <v>Fecha:</v>
      </c>
      <c r="I13">
        <f>Main!E23</f>
        <v>39941</v>
      </c>
    </row>
    <row r="14" ht="20.1" customHeight="1">
      <c r="A14" t="str">
        <v>Área Ha.</v>
      </c>
      <c r="C14">
        <f>Main!I22</f>
        <v>1.3439999999999999</v>
      </c>
      <c r="F14" t="str">
        <v>Fecha de Cosecha:</v>
      </c>
      <c r="I14">
        <f>I13+Main!E24</f>
        <v>40016</v>
      </c>
    </row>
    <row r="15" ht="19.5" customHeight="1"/>
    <row r="16" ht="28.5" customHeight="1">
      <c r="A16" t="str">
        <v>Semana</v>
      </c>
      <c r="B16" t="str">
        <v>DDT</v>
      </c>
      <c r="C16" t="str">
        <v>FECHA</v>
      </c>
      <c r="E16" t="str">
        <f>Main!$D$42</f>
        <v>Nitrato de Amonio</v>
      </c>
      <c r="G16" t="str">
        <f>Main!$D$32</f>
        <v>MAP 12-61-0</v>
      </c>
      <c r="I16" t="str">
        <f>Main!$D$37</f>
        <v>Sulfato de Potasio</v>
      </c>
      <c r="K16" t="str">
        <f>Main!$D$47</f>
        <v>Sulfato de Magnesio</v>
      </c>
      <c r="M16" t="str">
        <f>Main!$D$52</f>
        <v>Nitrato de Calcio</v>
      </c>
      <c r="O16" t="str">
        <f>Main!$D$57</f>
        <v>Solubor</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t="str">
        <f>Main!E57</f>
        <v>Gramos</v>
      </c>
      <c r="P17" t="str">
        <v>Cambios</v>
      </c>
      <c r="Q17" t="str">
        <f>Main!$E$61</f>
        <v>Lts</v>
      </c>
      <c r="R17" t="str">
        <v>Cambios</v>
      </c>
    </row>
    <row r="18" ht="18.75" customHeight="1">
      <c r="A18">
        <v>1</v>
      </c>
      <c r="B18">
        <v>1</v>
      </c>
      <c r="C18">
        <f>$I$13+B18</f>
        <v>39942</v>
      </c>
      <c r="E18">
        <f>IF($C$14*ReDiarioFert!C7&lt;=0,"0",$C$14*ReDiarioFert!C7)</f>
        <v>1.442389803312915</v>
      </c>
      <c r="G18">
        <f>$C$14*ReDiarioFert!E7</f>
        <v>1.8602263548721307</v>
      </c>
      <c r="I18">
        <f>$C$14*ReDiarioFert!G7</f>
        <v>5.447583874015748</v>
      </c>
      <c r="K18">
        <f>$C$14*ReDiarioFert!I7</f>
        <v>3.0301663093082443</v>
      </c>
      <c r="M18">
        <f>$C$14*ReDiarioFert!K7</f>
        <v>6.245958362157075</v>
      </c>
      <c r="O18">
        <f>$C$14*ReDiarioFert!M7</f>
        <v>33.38758243902439</v>
      </c>
      <c r="Q18">
        <f>$C$14*Main!$D$63</f>
        <v>26.879999999999995</v>
      </c>
      <c r="S18">
        <f>((E18/100)*$G$176+(G18/100)*$G$177+(I18/100)*$G$178+(K18/100)*$G$179+(M18/100)*$G$180+(O18)*$G$181+(Q18*$G$182))</f>
        <v>264.52160651842155</v>
      </c>
    </row>
    <row r="19" ht="18.75" customHeight="1">
      <c r="B19">
        <v>2</v>
      </c>
      <c r="C19">
        <f>$I$13+B19</f>
        <v>39943</v>
      </c>
      <c r="E19">
        <f>IF($C$14*ReDiarioFert!C8&lt;=0,"0",$C$14*ReDiarioFert!C8)</f>
        <v>1.442389803312915</v>
      </c>
      <c r="G19">
        <f>$C$14*ReDiarioFert!E8</f>
        <v>1.8602263548721307</v>
      </c>
      <c r="I19">
        <f>$C$14*ReDiarioFert!G8</f>
        <v>5.447583874015748</v>
      </c>
      <c r="K19">
        <f>$C$14*ReDiarioFert!I8</f>
        <v>3.0301663093082443</v>
      </c>
      <c r="M19">
        <f>$C$14*ReDiarioFert!K8</f>
        <v>6.245958362157075</v>
      </c>
      <c r="O19">
        <f>$C$14*ReDiarioFert!M8</f>
        <v>33.38758243902439</v>
      </c>
      <c r="S19">
        <f>((E19/100)*$G$176+(G19/100)*$G$177+(I19/100)*$G$178+(K19/100)*$G$179+(M19/100)*$G$180+(O19)*$G$181+(Q19*$G$182))</f>
        <v>189.25760651842157</v>
      </c>
    </row>
    <row r="20" ht="18.75" customHeight="1">
      <c r="B20">
        <v>3</v>
      </c>
      <c r="C20">
        <f>$I$13+B20</f>
        <v>39944</v>
      </c>
      <c r="E20">
        <f>IF($C$14*ReDiarioFert!C9&lt;=0,"0",$C$14*ReDiarioFert!C9)</f>
        <v>1.442389803312915</v>
      </c>
      <c r="G20">
        <f>$C$14*ReDiarioFert!E9</f>
        <v>1.8602263548721307</v>
      </c>
      <c r="I20">
        <f>$C$14*ReDiarioFert!G9</f>
        <v>5.447583874015748</v>
      </c>
      <c r="K20">
        <f>$C$14*ReDiarioFert!I9</f>
        <v>3.0301663093082443</v>
      </c>
      <c r="M20">
        <f>$C$14*ReDiarioFert!K9</f>
        <v>6.245958362157075</v>
      </c>
      <c r="O20">
        <f>$C$14*ReDiarioFert!M9</f>
        <v>33.38758243902439</v>
      </c>
      <c r="S20">
        <f>((E20/100)*$G$176+(G20/100)*$G$177+(I20/100)*$G$178+(K20/100)*$G$179+(M20/100)*$G$180+(O20)*$G$181+(Q20*$G$182))</f>
        <v>189.25760651842157</v>
      </c>
    </row>
    <row r="21" ht="18.75" customHeight="1">
      <c r="B21">
        <v>4</v>
      </c>
      <c r="C21">
        <f>$I$13+B21</f>
        <v>39945</v>
      </c>
      <c r="E21">
        <f>IF($C$14*ReDiarioFert!C10&lt;=0,"0",$C$14*ReDiarioFert!C10)</f>
        <v>1.442389803312915</v>
      </c>
      <c r="G21">
        <f>$C$14*ReDiarioFert!E10</f>
        <v>1.8602263548721307</v>
      </c>
      <c r="I21">
        <f>$C$14*ReDiarioFert!G10</f>
        <v>5.447583874015748</v>
      </c>
      <c r="K21">
        <f>$C$14*ReDiarioFert!I10</f>
        <v>3.0301663093082443</v>
      </c>
      <c r="M21">
        <f>$C$14*ReDiarioFert!K10</f>
        <v>6.245958362157075</v>
      </c>
      <c r="O21">
        <f>$C$14*ReDiarioFert!M10</f>
        <v>33.38758243902439</v>
      </c>
      <c r="S21">
        <f>((E21/100)*$G$176+(G21/100)*$G$177+(I21/100)*$G$178+(K21/100)*$G$179+(M21/100)*$G$180+(O21)*$G$181+(Q21*$G$182))</f>
        <v>189.25760651842157</v>
      </c>
    </row>
    <row r="22" ht="18.75" customHeight="1">
      <c r="B22">
        <v>5</v>
      </c>
      <c r="C22">
        <f>$I$13+B22</f>
        <v>39946</v>
      </c>
      <c r="E22">
        <f>IF($C$14*ReDiarioFert!C11&lt;=0,"0",$C$14*ReDiarioFert!C11)</f>
        <v>1.442389803312915</v>
      </c>
      <c r="G22">
        <f>$C$14*ReDiarioFert!E11</f>
        <v>1.8602263548721307</v>
      </c>
      <c r="I22">
        <f>$C$14*ReDiarioFert!G11</f>
        <v>5.447583874015748</v>
      </c>
      <c r="K22">
        <f>$C$14*ReDiarioFert!I11</f>
        <v>3.0301663093082443</v>
      </c>
      <c r="M22">
        <f>$C$14*ReDiarioFert!K11</f>
        <v>6.245958362157075</v>
      </c>
      <c r="O22">
        <f>$C$14*ReDiarioFert!M11</f>
        <v>33.38758243902439</v>
      </c>
      <c r="S22">
        <f>((E22/100)*$G$176+(G22/100)*$G$177+(I22/100)*$G$178+(K22/100)*$G$179+(M22/100)*$G$180+(O22)*$G$181+(Q22*$G$182))</f>
        <v>189.25760651842157</v>
      </c>
    </row>
    <row r="23" ht="18.75" customHeight="1">
      <c r="B23">
        <v>6</v>
      </c>
      <c r="C23">
        <f>$I$13+B23</f>
        <v>39947</v>
      </c>
      <c r="E23">
        <f>IF($C$14*ReDiarioFert!C12&lt;=0,"0",$C$14*ReDiarioFert!C12)</f>
        <v>1.442389803312915</v>
      </c>
      <c r="G23">
        <f>$C$14*ReDiarioFert!E12</f>
        <v>1.8602263548721307</v>
      </c>
      <c r="I23">
        <f>$C$14*ReDiarioFert!G12</f>
        <v>5.447583874015748</v>
      </c>
      <c r="K23">
        <f>$C$14*ReDiarioFert!I12</f>
        <v>3.0301663093082443</v>
      </c>
      <c r="M23">
        <f>$C$14*ReDiarioFert!K12</f>
        <v>6.245958362157075</v>
      </c>
      <c r="O23">
        <f>$C$14*ReDiarioFert!M12</f>
        <v>33.38758243902439</v>
      </c>
      <c r="S23">
        <f>((E23/100)*$G$176+(G23/100)*$G$177+(I23/100)*$G$178+(K23/100)*$G$179+(M23/100)*$G$180+(O23)*$G$181+(Q23*$G$182))</f>
        <v>189.25760651842157</v>
      </c>
    </row>
    <row r="24" ht="18.75" customHeight="1">
      <c r="B24">
        <v>7</v>
      </c>
      <c r="C24">
        <f>$I$13+B24</f>
        <v>39948</v>
      </c>
      <c r="E24">
        <f>IF($C$14*ReDiarioFert!C13&lt;=0,"0",$C$14*ReDiarioFert!C13)</f>
        <v>1.442389803312915</v>
      </c>
      <c r="G24">
        <f>$C$14*ReDiarioFert!E13</f>
        <v>1.8602263548721307</v>
      </c>
      <c r="I24">
        <f>$C$14*ReDiarioFert!G13</f>
        <v>5.447583874015748</v>
      </c>
      <c r="K24">
        <f>$C$14*ReDiarioFert!I13</f>
        <v>3.0301663093082443</v>
      </c>
      <c r="M24">
        <f>$C$14*ReDiarioFert!K13</f>
        <v>6.245958362157075</v>
      </c>
      <c r="O24">
        <f>$C$14*ReDiarioFert!M13</f>
        <v>33.38758243902439</v>
      </c>
      <c r="S24">
        <f>((E24/100)*$G$176+(G24/100)*$G$177+(I24/100)*$G$178+(K24/100)*$G$179+(M24/100)*$G$180+(O24)*$G$181+(Q24*$G$182))</f>
        <v>189.25760651842157</v>
      </c>
    </row>
    <row r="25">
      <c r="A25">
        <v>2</v>
      </c>
      <c r="B25">
        <v>8</v>
      </c>
      <c r="C25">
        <f>$I$13+B25</f>
        <v>39949</v>
      </c>
      <c r="E25">
        <f>IF($C$14*ReDiarioFert!C14&lt;=0,"0",$C$14*ReDiarioFert!C14)</f>
        <v>1.442389803312915</v>
      </c>
      <c r="G25">
        <f>$C$14*ReDiarioFert!E14</f>
        <v>1.8602263548721307</v>
      </c>
      <c r="I25">
        <f>$C$14*ReDiarioFert!G14</f>
        <v>5.447583874015748</v>
      </c>
      <c r="K25">
        <f>$C$14*ReDiarioFert!I14</f>
        <v>3.0301663093082443</v>
      </c>
      <c r="M25">
        <f>$C$14*ReDiarioFert!K14</f>
        <v>6.245958362157075</v>
      </c>
      <c r="O25">
        <f>$C$14*ReDiarioFert!M14</f>
        <v>33.38758243902439</v>
      </c>
      <c r="Q25">
        <f>$C$14*Main!$D$63</f>
        <v>26.879999999999995</v>
      </c>
      <c r="S25">
        <f>((E25/100)*$G$176+(G25/100)*$G$177+(I25/100)*$G$178+(K25/100)*$G$179+(M25/100)*$G$180+(O25)*$G$181+(Q25*$G$182))</f>
        <v>264.52160651842155</v>
      </c>
    </row>
    <row r="26">
      <c r="B26">
        <v>9</v>
      </c>
      <c r="C26">
        <f>$I$13+B26</f>
        <v>39950</v>
      </c>
      <c r="E26">
        <f>IF($C$14*ReDiarioFert!C15&lt;=0,"0",$C$14*ReDiarioFert!C15)</f>
        <v>1.442389803312915</v>
      </c>
      <c r="G26">
        <f>$C$14*ReDiarioFert!E15</f>
        <v>1.8602263548721307</v>
      </c>
      <c r="I26">
        <f>$C$14*ReDiarioFert!G15</f>
        <v>5.447583874015748</v>
      </c>
      <c r="K26">
        <f>$C$14*ReDiarioFert!I15</f>
        <v>3.0301663093082443</v>
      </c>
      <c r="M26">
        <f>$C$14*ReDiarioFert!K15</f>
        <v>6.245958362157075</v>
      </c>
      <c r="O26">
        <f>$C$14*ReDiarioFert!M15</f>
        <v>33.38758243902439</v>
      </c>
      <c r="S26">
        <f>((E26/100)*$G$176+(G26/100)*$G$177+(I26/100)*$G$178+(K26/100)*$G$179+(M26/100)*$G$180+(O26)*$G$181+(Q26*$G$182))</f>
        <v>189.25760651842157</v>
      </c>
    </row>
    <row r="27">
      <c r="B27">
        <v>10</v>
      </c>
      <c r="C27">
        <f>$I$13+B27</f>
        <v>39951</v>
      </c>
      <c r="E27">
        <f>IF($C$14*ReDiarioFert!C16&lt;=0,"0",$C$14*ReDiarioFert!C16)</f>
        <v>1.442389803312915</v>
      </c>
      <c r="G27">
        <f>$C$14*ReDiarioFert!E16</f>
        <v>1.8602263548721307</v>
      </c>
      <c r="I27">
        <f>$C$14*ReDiarioFert!G16</f>
        <v>5.447583874015748</v>
      </c>
      <c r="K27">
        <f>$C$14*ReDiarioFert!I16</f>
        <v>3.0301663093082443</v>
      </c>
      <c r="M27">
        <f>$C$14*ReDiarioFert!K16</f>
        <v>6.245958362157075</v>
      </c>
      <c r="O27">
        <f>$C$14*ReDiarioFert!M16</f>
        <v>33.38758243902439</v>
      </c>
      <c r="S27">
        <f>((E27/100)*$G$176+(G27/100)*$G$177+(I27/100)*$G$178+(K27/100)*$G$179+(M27/100)*$G$180+(O27)*$G$181+(Q27*$G$182))</f>
        <v>189.25760651842157</v>
      </c>
    </row>
    <row r="28">
      <c r="B28">
        <v>11</v>
      </c>
      <c r="C28">
        <f>$I$13+B28</f>
        <v>39952</v>
      </c>
      <c r="E28">
        <f>IF($C$14*ReDiarioFert!C17&lt;=0,"0",$C$14*ReDiarioFert!C17)</f>
        <v>2.5241821557976</v>
      </c>
      <c r="G28">
        <f>$C$14*ReDiarioFert!E17</f>
        <v>3.255396121026229</v>
      </c>
      <c r="I28">
        <f>$C$14*ReDiarioFert!G17</f>
        <v>9.533271779527558</v>
      </c>
      <c r="K28">
        <f>$C$14*ReDiarioFert!I17</f>
        <v>5.302791041289427</v>
      </c>
      <c r="M28">
        <f>$C$14*ReDiarioFert!K17</f>
        <v>10.930427133774879</v>
      </c>
      <c r="O28">
        <f>$C$14*ReDiarioFert!M17</f>
        <v>60.09777951219512</v>
      </c>
      <c r="S28">
        <f>((E28/100)*$G$176+(G28/100)*$G$177+(I28/100)*$G$178+(K28/100)*$G$179+(M28/100)*$G$180+(O28)*$G$181+(Q28*$G$182))</f>
        <v>331.26759181699384</v>
      </c>
    </row>
    <row r="29">
      <c r="B29">
        <v>12</v>
      </c>
      <c r="C29">
        <f>$I$13+B29</f>
        <v>39953</v>
      </c>
      <c r="E29">
        <f>IF($C$14*ReDiarioFert!C18&lt;=0,"0",$C$14*ReDiarioFert!C18)</f>
        <v>2.5241821557976</v>
      </c>
      <c r="G29">
        <f>$C$14*ReDiarioFert!E18</f>
        <v>3.255396121026229</v>
      </c>
      <c r="I29">
        <f>$C$14*ReDiarioFert!G18</f>
        <v>9.533271779527558</v>
      </c>
      <c r="K29">
        <f>$C$14*ReDiarioFert!I18</f>
        <v>5.302791041289427</v>
      </c>
      <c r="M29">
        <f>$C$14*ReDiarioFert!K18</f>
        <v>10.930427133774879</v>
      </c>
      <c r="O29">
        <f>$C$14*ReDiarioFert!M18</f>
        <v>60.09777951219512</v>
      </c>
      <c r="S29">
        <f>((E29/100)*$G$176+(G29/100)*$G$177+(I29/100)*$G$178+(K29/100)*$G$179+(M29/100)*$G$180+(O29)*$G$181+(Q29*$G$182))</f>
        <v>331.26759181699384</v>
      </c>
    </row>
    <row r="30">
      <c r="B30">
        <v>13</v>
      </c>
      <c r="C30">
        <f>$I$13+B30</f>
        <v>39954</v>
      </c>
      <c r="E30">
        <f>IF($C$14*ReDiarioFert!C19&lt;=0,"0",$C$14*ReDiarioFert!C19)</f>
        <v>2.5241821557976</v>
      </c>
      <c r="G30">
        <f>$C$14*ReDiarioFert!E19</f>
        <v>3.255396121026229</v>
      </c>
      <c r="I30">
        <f>$C$14*ReDiarioFert!G19</f>
        <v>9.533271779527558</v>
      </c>
      <c r="K30">
        <f>$C$14*ReDiarioFert!I19</f>
        <v>5.302791041289427</v>
      </c>
      <c r="M30">
        <f>$C$14*ReDiarioFert!K19</f>
        <v>10.930427133774879</v>
      </c>
      <c r="O30">
        <f>$C$14*ReDiarioFert!M19</f>
        <v>60.09777951219512</v>
      </c>
      <c r="S30">
        <f>((E30/100)*$G$176+(G30/100)*$G$177+(I30/100)*$G$178+(K30/100)*$G$179+(M30/100)*$G$180+(O30)*$G$181+(Q30*$G$182))</f>
        <v>331.26759181699384</v>
      </c>
    </row>
    <row r="31">
      <c r="B31">
        <v>14</v>
      </c>
      <c r="C31">
        <f>$I$13+B31</f>
        <v>39955</v>
      </c>
      <c r="E31">
        <f>IF($C$14*ReDiarioFert!C20&lt;=0,"0",$C$14*ReDiarioFert!C20)</f>
        <v>2.5241821557976</v>
      </c>
      <c r="G31">
        <f>$C$14*ReDiarioFert!E20</f>
        <v>3.255396121026229</v>
      </c>
      <c r="I31">
        <f>$C$14*ReDiarioFert!G20</f>
        <v>9.533271779527558</v>
      </c>
      <c r="K31">
        <f>$C$14*ReDiarioFert!I20</f>
        <v>5.302791041289427</v>
      </c>
      <c r="M31">
        <f>$C$14*ReDiarioFert!K20</f>
        <v>10.930427133774879</v>
      </c>
      <c r="O31">
        <f>$C$14*ReDiarioFert!M20</f>
        <v>60.09777951219512</v>
      </c>
      <c r="S31">
        <f>((E31/100)*$G$176+(G31/100)*$G$177+(I31/100)*$G$178+(K31/100)*$G$179+(M31/100)*$G$180+(O31)*$G$181+(Q31*$G$182))</f>
        <v>331.26759181699384</v>
      </c>
    </row>
    <row r="32">
      <c r="A32">
        <v>3</v>
      </c>
      <c r="B32">
        <v>15</v>
      </c>
      <c r="C32">
        <f>$I$13+B32</f>
        <v>39956</v>
      </c>
      <c r="E32">
        <f>IF($C$14*ReDiarioFert!C21&lt;=0,"0",$C$14*ReDiarioFert!C21)</f>
        <v>2.5241821557976</v>
      </c>
      <c r="G32">
        <f>$C$14*ReDiarioFert!E21</f>
        <v>3.255396121026229</v>
      </c>
      <c r="I32">
        <f>$C$14*ReDiarioFert!G21</f>
        <v>9.533271779527558</v>
      </c>
      <c r="K32">
        <f>$C$14*ReDiarioFert!I21</f>
        <v>5.302791041289427</v>
      </c>
      <c r="M32">
        <f>$C$14*ReDiarioFert!K21</f>
        <v>10.930427133774879</v>
      </c>
      <c r="O32">
        <f>$C$14*ReDiarioFert!M21</f>
        <v>60.09777951219512</v>
      </c>
      <c r="Q32">
        <f>$C$14*Main!$D$63</f>
        <v>26.879999999999995</v>
      </c>
      <c r="S32">
        <f>((E32/100)*$G$176+(G32/100)*$G$177+(I32/100)*$G$178+(K32/100)*$G$179+(M32/100)*$G$180+(O32)*$G$181+(Q32*$G$182))</f>
        <v>406.5315918169938</v>
      </c>
    </row>
    <row r="33">
      <c r="B33">
        <v>16</v>
      </c>
      <c r="C33">
        <f>$I$13+B33</f>
        <v>39957</v>
      </c>
      <c r="E33">
        <f>IF($C$14*ReDiarioFert!C22&lt;=0,"0",$C$14*ReDiarioFert!C22)</f>
        <v>2.5241821557976</v>
      </c>
      <c r="G33">
        <f>$C$14*ReDiarioFert!E22</f>
        <v>3.255396121026229</v>
      </c>
      <c r="I33">
        <f>$C$14*ReDiarioFert!G22</f>
        <v>9.533271779527558</v>
      </c>
      <c r="K33">
        <f>$C$14*ReDiarioFert!I22</f>
        <v>5.302791041289427</v>
      </c>
      <c r="M33">
        <f>$C$14*ReDiarioFert!K22</f>
        <v>10.930427133774879</v>
      </c>
      <c r="O33">
        <f>$C$14*ReDiarioFert!M22</f>
        <v>60.09777951219512</v>
      </c>
      <c r="S33">
        <f>((E33/100)*$G$176+(G33/100)*$G$177+(I33/100)*$G$178+(K33/100)*$G$179+(M33/100)*$G$180+(O33)*$G$181+(Q33*$G$182))</f>
        <v>331.26759181699384</v>
      </c>
    </row>
    <row r="34">
      <c r="B34">
        <v>17</v>
      </c>
      <c r="C34">
        <f>$I$13+B34</f>
        <v>39958</v>
      </c>
      <c r="E34">
        <f>IF($C$14*ReDiarioFert!C23&lt;=0,"0",$C$14*ReDiarioFert!C23)</f>
        <v>2.5241821557976</v>
      </c>
      <c r="G34">
        <f>$C$14*ReDiarioFert!E23</f>
        <v>3.255396121026229</v>
      </c>
      <c r="I34">
        <f>$C$14*ReDiarioFert!G23</f>
        <v>9.533271779527558</v>
      </c>
      <c r="K34">
        <f>$C$14*ReDiarioFert!I23</f>
        <v>5.302791041289427</v>
      </c>
      <c r="M34">
        <f>$C$14*ReDiarioFert!K23</f>
        <v>10.930427133774879</v>
      </c>
      <c r="O34">
        <f>$C$14*ReDiarioFert!M23</f>
        <v>60.09777951219512</v>
      </c>
      <c r="S34">
        <f>((E34/100)*$G$176+(G34/100)*$G$177+(I34/100)*$G$178+(K34/100)*$G$179+(M34/100)*$G$180+(O34)*$G$181+(Q34*$G$182))</f>
        <v>331.26759181699384</v>
      </c>
    </row>
    <row r="35">
      <c r="B35">
        <v>18</v>
      </c>
      <c r="C35">
        <f>$I$13+B35</f>
        <v>39959</v>
      </c>
      <c r="E35">
        <f>IF($C$14*ReDiarioFert!C24&lt;=0,"0",$C$14*ReDiarioFert!C24)</f>
        <v>3.605974508282286</v>
      </c>
      <c r="G35">
        <f>$C$14*ReDiarioFert!E24</f>
        <v>4.650565887180328</v>
      </c>
      <c r="I35">
        <f>$C$14*ReDiarioFert!G24</f>
        <v>13.618959685039371</v>
      </c>
      <c r="K35">
        <f>$C$14*ReDiarioFert!I24</f>
        <v>7.575415773270611</v>
      </c>
      <c r="M35">
        <f>$C$14*ReDiarioFert!K24</f>
        <v>15.614895905392688</v>
      </c>
      <c r="O35">
        <f>$C$14*ReDiarioFert!M24</f>
        <v>80.12993560975609</v>
      </c>
      <c r="S35">
        <f>((E35/100)*$G$176+(G35/100)*$G$177+(I35/100)*$G$178+(K35/100)*$G$179+(M35/100)*$G$180+(O35)*$G$181+(Q35*$G$182))</f>
        <v>473.0104554765418</v>
      </c>
    </row>
    <row r="36">
      <c r="B36">
        <v>19</v>
      </c>
      <c r="C36">
        <f>$I$13+B36</f>
        <v>39960</v>
      </c>
      <c r="E36">
        <f>IF($C$14*ReDiarioFert!C25&lt;=0,"0",$C$14*ReDiarioFert!C25)</f>
        <v>3.605974508282286</v>
      </c>
      <c r="G36">
        <f>$C$14*ReDiarioFert!E25</f>
        <v>4.650565887180328</v>
      </c>
      <c r="I36">
        <f>$C$14*ReDiarioFert!G25</f>
        <v>13.618959685039371</v>
      </c>
      <c r="K36">
        <f>$C$14*ReDiarioFert!I25</f>
        <v>7.575415773270611</v>
      </c>
      <c r="M36">
        <f>$C$14*ReDiarioFert!K25</f>
        <v>15.614895905392688</v>
      </c>
      <c r="O36">
        <f>$C$14*ReDiarioFert!M25</f>
        <v>80.12993560975609</v>
      </c>
      <c r="S36">
        <f>((E36/100)*$G$176+(G36/100)*$G$177+(I36/100)*$G$178+(K36/100)*$G$179+(M36/100)*$G$180+(O36)*$G$181+(Q36*$G$182))</f>
        <v>473.0104554765418</v>
      </c>
    </row>
    <row r="37">
      <c r="B37">
        <v>20</v>
      </c>
      <c r="C37">
        <f>$I$13+B37</f>
        <v>39961</v>
      </c>
      <c r="E37">
        <f>IF($C$14*ReDiarioFert!C26&lt;=0,"0",$C$14*ReDiarioFert!C26)</f>
        <v>3.605974508282286</v>
      </c>
      <c r="G37">
        <f>$C$14*ReDiarioFert!E26</f>
        <v>4.650565887180328</v>
      </c>
      <c r="I37">
        <f>$C$14*ReDiarioFert!G26</f>
        <v>13.618959685039371</v>
      </c>
      <c r="K37">
        <f>$C$14*ReDiarioFert!I26</f>
        <v>7.575415773270611</v>
      </c>
      <c r="M37">
        <f>$C$14*ReDiarioFert!K26</f>
        <v>15.614895905392688</v>
      </c>
      <c r="O37">
        <f>$C$14*ReDiarioFert!M26</f>
        <v>80.12993560975609</v>
      </c>
      <c r="S37">
        <f>((E37/100)*$G$176+(G37/100)*$G$177+(I37/100)*$G$178+(K37/100)*$G$179+(M37/100)*$G$180+(O37)*$G$181+(Q37*$G$182))</f>
        <v>473.0104554765418</v>
      </c>
    </row>
    <row r="38">
      <c r="B38">
        <v>21</v>
      </c>
      <c r="C38">
        <f>$I$13+B38</f>
        <v>39962</v>
      </c>
      <c r="E38">
        <f>IF($C$14*ReDiarioFert!C27&lt;=0,"0",$C$14*ReDiarioFert!C27)</f>
        <v>3.605974508282286</v>
      </c>
      <c r="G38">
        <f>$C$14*ReDiarioFert!E27</f>
        <v>4.650565887180328</v>
      </c>
      <c r="I38">
        <f>$C$14*ReDiarioFert!G27</f>
        <v>13.618959685039371</v>
      </c>
      <c r="K38">
        <f>$C$14*ReDiarioFert!I27</f>
        <v>7.575415773270611</v>
      </c>
      <c r="M38">
        <f>$C$14*ReDiarioFert!K27</f>
        <v>15.614895905392688</v>
      </c>
      <c r="O38">
        <f>$C$14*ReDiarioFert!M27</f>
        <v>80.12993560975609</v>
      </c>
      <c r="S38">
        <f>((E38/100)*$G$176+(G38/100)*$G$177+(I38/100)*$G$178+(K38/100)*$G$179+(M38/100)*$G$180+(O38)*$G$181+(Q38*$G$182))</f>
        <v>473.0104554765418</v>
      </c>
    </row>
    <row r="39">
      <c r="A39">
        <v>4</v>
      </c>
      <c r="B39">
        <v>22</v>
      </c>
      <c r="C39">
        <f>$I$13+B39</f>
        <v>39963</v>
      </c>
      <c r="E39">
        <f>IF($C$14*ReDiarioFert!C28&lt;=0,"0",$C$14*ReDiarioFert!C28)</f>
        <v>3.605974508282286</v>
      </c>
      <c r="G39">
        <f>$C$14*ReDiarioFert!E28</f>
        <v>4.650565887180328</v>
      </c>
      <c r="I39">
        <f>$C$14*ReDiarioFert!G28</f>
        <v>13.618959685039371</v>
      </c>
      <c r="K39">
        <f>$C$14*ReDiarioFert!I28</f>
        <v>7.575415773270611</v>
      </c>
      <c r="M39">
        <f>$C$14*ReDiarioFert!K28</f>
        <v>15.614895905392688</v>
      </c>
      <c r="O39">
        <f>$C$14*ReDiarioFert!M28</f>
        <v>80.12993560975609</v>
      </c>
      <c r="Q39">
        <f>$C$14*Main!$D$63</f>
        <v>26.879999999999995</v>
      </c>
      <c r="S39">
        <f>((E39/100)*$G$176+(G39/100)*$G$177+(I39/100)*$G$178+(K39/100)*$G$179+(M39/100)*$G$180+(O39)*$G$181+(Q39*$G$182))</f>
        <v>548.2744554765418</v>
      </c>
    </row>
    <row r="40">
      <c r="B40">
        <v>23</v>
      </c>
      <c r="C40">
        <f>$I$13+B40</f>
        <v>39964</v>
      </c>
      <c r="E40">
        <f>IF($C$14*ReDiarioFert!C29&lt;=0,"0",$C$14*ReDiarioFert!C29)</f>
        <v>3.605974508282286</v>
      </c>
      <c r="G40">
        <f>$C$14*ReDiarioFert!E29</f>
        <v>4.650565887180328</v>
      </c>
      <c r="I40">
        <f>$C$14*ReDiarioFert!G29</f>
        <v>13.618959685039371</v>
      </c>
      <c r="K40">
        <f>$C$14*ReDiarioFert!I29</f>
        <v>7.575415773270611</v>
      </c>
      <c r="M40">
        <f>$C$14*ReDiarioFert!K29</f>
        <v>15.614895905392688</v>
      </c>
      <c r="O40">
        <f>$C$14*ReDiarioFert!M29</f>
        <v>80.12993560975609</v>
      </c>
      <c r="S40">
        <f>((E40/100)*$G$176+(G40/100)*$G$177+(I40/100)*$G$178+(K40/100)*$G$179+(M40/100)*$G$180+(O40)*$G$181+(Q40*$G$182))</f>
        <v>473.0104554765418</v>
      </c>
    </row>
    <row r="41">
      <c r="B41">
        <v>24</v>
      </c>
      <c r="C41">
        <f>$I$13+B41</f>
        <v>39965</v>
      </c>
      <c r="E41">
        <f>IF($C$14*ReDiarioFert!C30&lt;=0,"0",$C$14*ReDiarioFert!C30)</f>
        <v>3.605974508282286</v>
      </c>
      <c r="G41">
        <f>$C$14*ReDiarioFert!E30</f>
        <v>4.650565887180328</v>
      </c>
      <c r="I41">
        <f>$C$14*ReDiarioFert!G30</f>
        <v>13.618959685039371</v>
      </c>
      <c r="K41">
        <f>$C$14*ReDiarioFert!I30</f>
        <v>7.575415773270611</v>
      </c>
      <c r="M41">
        <f>$C$14*ReDiarioFert!K30</f>
        <v>15.614895905392688</v>
      </c>
      <c r="O41">
        <f>$C$14*ReDiarioFert!M30</f>
        <v>80.12993560975609</v>
      </c>
      <c r="S41">
        <f>((E41/100)*$G$176+(G41/100)*$G$177+(I41/100)*$G$178+(K41/100)*$G$179+(M41/100)*$G$180+(O41)*$G$181+(Q41*$G$182))</f>
        <v>473.0104554765418</v>
      </c>
    </row>
    <row r="42">
      <c r="B42">
        <v>25</v>
      </c>
      <c r="C42">
        <f>$I$13+B42</f>
        <v>39966</v>
      </c>
      <c r="E42">
        <f>IF($C$14*ReDiarioFert!C31&lt;=0,"0",$C$14*ReDiarioFert!C31)</f>
        <v>3.605974508282286</v>
      </c>
      <c r="G42">
        <f>$C$14*ReDiarioFert!E31</f>
        <v>4.650565887180328</v>
      </c>
      <c r="I42">
        <f>$C$14*ReDiarioFert!G31</f>
        <v>13.618959685039371</v>
      </c>
      <c r="K42">
        <f>$C$14*ReDiarioFert!I31</f>
        <v>7.575415773270611</v>
      </c>
      <c r="M42">
        <f>$C$14*ReDiarioFert!K31</f>
        <v>15.614895905392688</v>
      </c>
      <c r="O42">
        <f>$C$14*ReDiarioFert!M31</f>
        <v>80.12993560975609</v>
      </c>
      <c r="S42">
        <f>((E42/100)*$G$176+(G42/100)*$G$177+(I42/100)*$G$178+(K42/100)*$G$179+(M42/100)*$G$180+(O42)*$G$181+(Q42*$G$182))</f>
        <v>473.0104554765418</v>
      </c>
    </row>
    <row r="43">
      <c r="B43">
        <v>26</v>
      </c>
      <c r="C43">
        <f>$I$13+B43</f>
        <v>39967</v>
      </c>
      <c r="E43">
        <f>IF($C$14*ReDiarioFert!C32&lt;=0,"0",$C$14*ReDiarioFert!C32)</f>
        <v>3.605974508282286</v>
      </c>
      <c r="G43">
        <f>$C$14*ReDiarioFert!E32</f>
        <v>4.650565887180328</v>
      </c>
      <c r="I43">
        <f>$C$14*ReDiarioFert!G32</f>
        <v>13.618959685039371</v>
      </c>
      <c r="K43">
        <f>$C$14*ReDiarioFert!I32</f>
        <v>7.575415773270611</v>
      </c>
      <c r="M43">
        <f>$C$14*ReDiarioFert!K32</f>
        <v>15.614895905392688</v>
      </c>
      <c r="O43">
        <f>$C$14*ReDiarioFert!M32</f>
        <v>80.12993560975609</v>
      </c>
      <c r="S43">
        <f>((E43/100)*$G$176+(G43/100)*$G$177+(I43/100)*$G$178+(K43/100)*$G$179+(M43/100)*$G$180+(O43)*$G$181+(Q43*$G$182))</f>
        <v>473.0104554765418</v>
      </c>
    </row>
    <row r="44">
      <c r="B44">
        <v>27</v>
      </c>
      <c r="C44">
        <f>$I$13+B44</f>
        <v>39968</v>
      </c>
      <c r="E44">
        <f>IF($C$14*ReDiarioFert!C33&lt;=0,"0",$C$14*ReDiarioFert!C33)</f>
        <v>3.605974508282286</v>
      </c>
      <c r="G44">
        <f>$C$14*ReDiarioFert!E33</f>
        <v>4.650565887180328</v>
      </c>
      <c r="I44">
        <f>$C$14*ReDiarioFert!G33</f>
        <v>13.618959685039371</v>
      </c>
      <c r="K44">
        <f>$C$14*ReDiarioFert!I33</f>
        <v>7.575415773270611</v>
      </c>
      <c r="M44">
        <f>$C$14*ReDiarioFert!K33</f>
        <v>15.614895905392688</v>
      </c>
      <c r="O44">
        <f>$C$14*ReDiarioFert!M33</f>
        <v>80.12993560975609</v>
      </c>
      <c r="S44">
        <f>((E44/100)*$G$176+(G44/100)*$G$177+(I44/100)*$G$178+(K44/100)*$G$179+(M44/100)*$G$180+(O44)*$G$181+(Q44*$G$182))</f>
        <v>473.0104554765418</v>
      </c>
    </row>
    <row r="45">
      <c r="B45">
        <v>28</v>
      </c>
      <c r="C45">
        <f>$I$13+B45</f>
        <v>39969</v>
      </c>
      <c r="E45">
        <f>IF($C$14*ReDiarioFert!C34&lt;=0,"0",$C$14*ReDiarioFert!C34)</f>
        <v>3.605974508282286</v>
      </c>
      <c r="G45">
        <f>$C$14*ReDiarioFert!E34</f>
        <v>4.650565887180328</v>
      </c>
      <c r="I45">
        <f>$C$14*ReDiarioFert!G34</f>
        <v>13.618959685039371</v>
      </c>
      <c r="K45">
        <f>$C$14*ReDiarioFert!I34</f>
        <v>7.575415773270611</v>
      </c>
      <c r="M45">
        <f>$C$14*ReDiarioFert!K34</f>
        <v>15.614895905392688</v>
      </c>
      <c r="O45">
        <f>$C$14*ReDiarioFert!M34</f>
        <v>80.12993560975609</v>
      </c>
      <c r="S45">
        <f>((E45/100)*$G$176+(G45/100)*$G$177+(I45/100)*$G$178+(K45/100)*$G$179+(M45/100)*$G$180+(O45)*$G$181+(Q45*$G$182))</f>
        <v>473.0104554765418</v>
      </c>
    </row>
    <row r="46">
      <c r="A46">
        <v>5</v>
      </c>
      <c r="B46">
        <v>29</v>
      </c>
      <c r="C46">
        <f>$I$13+B46</f>
        <v>39970</v>
      </c>
      <c r="E46">
        <f>IF($C$14*ReDiarioFert!C35&lt;=0,"0",$C$14*ReDiarioFert!C35)</f>
        <v>3.605974508282286</v>
      </c>
      <c r="G46">
        <f>$C$14*ReDiarioFert!E35</f>
        <v>4.650565887180328</v>
      </c>
      <c r="I46">
        <f>$C$14*ReDiarioFert!G35</f>
        <v>13.618959685039371</v>
      </c>
      <c r="K46">
        <f>$C$14*ReDiarioFert!I35</f>
        <v>7.575415773270611</v>
      </c>
      <c r="M46">
        <f>$C$14*ReDiarioFert!K35</f>
        <v>15.614895905392688</v>
      </c>
      <c r="O46">
        <f>$C$14*ReDiarioFert!M35</f>
        <v>80.12993560975609</v>
      </c>
      <c r="Q46">
        <f>$C$14*Main!$D$63</f>
        <v>26.879999999999995</v>
      </c>
      <c r="S46">
        <f>((E46/100)*$G$176+(G46/100)*$G$177+(I46/100)*$G$178+(K46/100)*$G$179+(M46/100)*$G$180+(O46)*$G$181+(Q46*$G$182))</f>
        <v>548.2744554765418</v>
      </c>
    </row>
    <row r="47">
      <c r="B47">
        <v>30</v>
      </c>
      <c r="C47">
        <f>$I$13+B47</f>
        <v>39971</v>
      </c>
      <c r="E47">
        <f>IF($C$14*ReDiarioFert!C36&lt;=0,"0",$C$14*ReDiarioFert!C36)</f>
        <v>3.605974508282286</v>
      </c>
      <c r="G47">
        <f>$C$14*ReDiarioFert!E36</f>
        <v>4.650565887180328</v>
      </c>
      <c r="I47">
        <f>$C$14*ReDiarioFert!G36</f>
        <v>13.618959685039371</v>
      </c>
      <c r="K47">
        <f>$C$14*ReDiarioFert!I36</f>
        <v>7.575415773270611</v>
      </c>
      <c r="M47">
        <f>$C$14*ReDiarioFert!K36</f>
        <v>15.614895905392688</v>
      </c>
      <c r="O47">
        <f>$C$14*ReDiarioFert!M36</f>
        <v>80.12993560975609</v>
      </c>
      <c r="S47">
        <f>((E47/100)*$G$176+(G47/100)*$G$177+(I47/100)*$G$178+(K47/100)*$G$179+(M47/100)*$G$180+(O47)*$G$181+(Q47*$G$182))</f>
        <v>473.0104554765418</v>
      </c>
    </row>
    <row r="48">
      <c r="B48">
        <v>31</v>
      </c>
      <c r="C48">
        <f>$I$13+B48</f>
        <v>39972</v>
      </c>
      <c r="E48">
        <f>IF($C$14*ReDiarioFert!C37&lt;=0,"0",$C$14*ReDiarioFert!C37)</f>
        <v>3.605974508282286</v>
      </c>
      <c r="G48">
        <f>$C$14*ReDiarioFert!E37</f>
        <v>4.650565887180328</v>
      </c>
      <c r="I48">
        <f>$C$14*ReDiarioFert!G37</f>
        <v>13.618959685039371</v>
      </c>
      <c r="K48">
        <f>$C$14*ReDiarioFert!I37</f>
        <v>7.575415773270611</v>
      </c>
      <c r="M48">
        <f>$C$14*ReDiarioFert!K37</f>
        <v>15.614895905392688</v>
      </c>
      <c r="O48">
        <f>$C$14*ReDiarioFert!M37</f>
        <v>80.12993560975609</v>
      </c>
      <c r="S48">
        <f>((E48/100)*$G$176+(G48/100)*$G$177+(I48/100)*$G$178+(K48/100)*$G$179+(M48/100)*$G$180+(O48)*$G$181+(Q48*$G$182))</f>
        <v>473.0104554765418</v>
      </c>
    </row>
    <row r="49">
      <c r="B49">
        <v>32</v>
      </c>
      <c r="C49">
        <f>$I$13+B49</f>
        <v>39973</v>
      </c>
      <c r="E49">
        <f>IF($C$14*ReDiarioFert!C38&lt;=0,"0",$C$14*ReDiarioFert!C38)</f>
        <v>3.605974508282286</v>
      </c>
      <c r="G49">
        <f>$C$14*ReDiarioFert!E38</f>
        <v>4.650565887180328</v>
      </c>
      <c r="I49">
        <f>$C$14*ReDiarioFert!G38</f>
        <v>13.618959685039371</v>
      </c>
      <c r="K49">
        <f>$C$14*ReDiarioFert!I38</f>
        <v>7.575415773270611</v>
      </c>
      <c r="M49">
        <f>$C$14*ReDiarioFert!K38</f>
        <v>15.614895905392688</v>
      </c>
      <c r="O49">
        <f>$C$14*ReDiarioFert!M38</f>
        <v>80.12993560975609</v>
      </c>
      <c r="S49">
        <f>((E49/100)*$G$176+(G49/100)*$G$177+(I49/100)*$G$178+(K49/100)*$G$179+(M49/100)*$G$180+(O49)*$G$181+(Q49*$G$182))</f>
        <v>473.0104554765418</v>
      </c>
    </row>
    <row r="50">
      <c r="B50">
        <v>33</v>
      </c>
      <c r="C50">
        <f>$I$13+B50</f>
        <v>39974</v>
      </c>
      <c r="E50">
        <f>IF($C$14*ReDiarioFert!C39&lt;=0,"0",$C$14*ReDiarioFert!C39)</f>
        <v>5.76955921325166</v>
      </c>
      <c r="G50">
        <f>$C$14*ReDiarioFert!E39</f>
        <v>7.440905419488523</v>
      </c>
      <c r="I50">
        <f>$C$14*ReDiarioFert!G39</f>
        <v>21.79033549606299</v>
      </c>
      <c r="K50">
        <f>$C$14*ReDiarioFert!I39</f>
        <v>12.120665237232977</v>
      </c>
      <c r="M50">
        <f>$C$14*ReDiarioFert!K39</f>
        <v>24.9838334486283</v>
      </c>
      <c r="O50">
        <f>$C$14*ReDiarioFert!M39</f>
        <v>113.5181736585366</v>
      </c>
      <c r="S50">
        <f>((E50/100)*$G$176+(G50/100)*$G$177+(I50/100)*$G$178+(K50/100)*$G$179+(M50/100)*$G$180+(O50)*$G$181+(Q50*$G$182))</f>
        <v>756.2291398297839</v>
      </c>
    </row>
    <row r="51">
      <c r="B51">
        <v>34</v>
      </c>
      <c r="C51">
        <f>$I$13+B51</f>
        <v>39975</v>
      </c>
      <c r="E51">
        <f>IF($C$14*ReDiarioFert!C40&lt;=0,"0",$C$14*ReDiarioFert!C40)</f>
        <v>5.76955921325166</v>
      </c>
      <c r="G51">
        <f>$C$14*ReDiarioFert!E40</f>
        <v>7.440905419488523</v>
      </c>
      <c r="I51">
        <f>$C$14*ReDiarioFert!G40</f>
        <v>21.79033549606299</v>
      </c>
      <c r="K51">
        <f>$C$14*ReDiarioFert!I40</f>
        <v>12.120665237232977</v>
      </c>
      <c r="M51">
        <f>$C$14*ReDiarioFert!K40</f>
        <v>24.9838334486283</v>
      </c>
      <c r="O51">
        <f>$C$14*ReDiarioFert!M40</f>
        <v>113.5181736585366</v>
      </c>
      <c r="S51">
        <f>((E51/100)*$G$176+(G51/100)*$G$177+(I51/100)*$G$178+(K51/100)*$G$179+(M51/100)*$G$180+(O51)*$G$181+(Q51*$G$182))</f>
        <v>756.2291398297839</v>
      </c>
    </row>
    <row r="52">
      <c r="B52">
        <v>35</v>
      </c>
      <c r="C52">
        <f>$I$13+B52</f>
        <v>39976</v>
      </c>
      <c r="E52">
        <f>IF($C$14*ReDiarioFert!C41&lt;=0,"0",$C$14*ReDiarioFert!C41)</f>
        <v>5.76955921325166</v>
      </c>
      <c r="G52">
        <f>$C$14*ReDiarioFert!E41</f>
        <v>7.440905419488523</v>
      </c>
      <c r="I52">
        <f>$C$14*ReDiarioFert!G41</f>
        <v>21.79033549606299</v>
      </c>
      <c r="K52">
        <f>$C$14*ReDiarioFert!I41</f>
        <v>12.120665237232977</v>
      </c>
      <c r="M52">
        <f>$C$14*ReDiarioFert!K41</f>
        <v>24.9838334486283</v>
      </c>
      <c r="O52">
        <f>$C$14*ReDiarioFert!M41</f>
        <v>113.5181736585366</v>
      </c>
      <c r="S52">
        <f>((E52/100)*$G$176+(G52/100)*$G$177+(I52/100)*$G$178+(K52/100)*$G$179+(M52/100)*$G$180+(O52)*$G$181+(Q52*$G$182))</f>
        <v>756.2291398297839</v>
      </c>
    </row>
    <row r="53">
      <c r="A53">
        <v>6</v>
      </c>
      <c r="B53">
        <v>36</v>
      </c>
      <c r="C53">
        <f>$I$13+B53</f>
        <v>39977</v>
      </c>
      <c r="E53">
        <f>IF($C$14*ReDiarioFert!C42&lt;=0,"0",$C$14*ReDiarioFert!C42)</f>
        <v>5.76955921325166</v>
      </c>
      <c r="G53">
        <f>$C$14*ReDiarioFert!E42</f>
        <v>7.440905419488523</v>
      </c>
      <c r="I53">
        <f>$C$14*ReDiarioFert!G42</f>
        <v>21.79033549606299</v>
      </c>
      <c r="K53">
        <f>$C$14*ReDiarioFert!I42</f>
        <v>12.120665237232977</v>
      </c>
      <c r="M53">
        <f>$C$14*ReDiarioFert!K42</f>
        <v>24.9838334486283</v>
      </c>
      <c r="O53">
        <f>$C$14*ReDiarioFert!M42</f>
        <v>113.5181736585366</v>
      </c>
      <c r="Q53">
        <f>$C$14*Main!$D$63</f>
        <v>26.879999999999995</v>
      </c>
      <c r="S53">
        <f>((E53/100)*$G$176+(G53/100)*$G$177+(I53/100)*$G$178+(K53/100)*$G$179+(M53/100)*$G$180+(O53)*$G$181+(Q53*$G$182))</f>
        <v>831.4931398297839</v>
      </c>
    </row>
    <row r="54">
      <c r="B54">
        <v>37</v>
      </c>
      <c r="C54">
        <f>$I$13+B54</f>
        <v>39978</v>
      </c>
      <c r="E54">
        <f>IF($C$14*ReDiarioFert!C43&lt;=0,"0",$C$14*ReDiarioFert!C43)</f>
        <v>5.76955921325166</v>
      </c>
      <c r="G54">
        <f>$C$14*ReDiarioFert!E43</f>
        <v>7.440905419488523</v>
      </c>
      <c r="I54">
        <f>$C$14*ReDiarioFert!G43</f>
        <v>21.79033549606299</v>
      </c>
      <c r="K54">
        <f>$C$14*ReDiarioFert!I43</f>
        <v>12.120665237232977</v>
      </c>
      <c r="M54">
        <f>$C$14*ReDiarioFert!K43</f>
        <v>24.9838334486283</v>
      </c>
      <c r="O54">
        <f>$C$14*ReDiarioFert!M43</f>
        <v>113.5181736585366</v>
      </c>
      <c r="S54">
        <f>((E54/100)*$G$176+(G54/100)*$G$177+(I54/100)*$G$178+(K54/100)*$G$179+(M54/100)*$G$180+(O54)*$G$181+(Q54*$G$182))</f>
        <v>756.2291398297839</v>
      </c>
    </row>
    <row r="55">
      <c r="B55">
        <v>38</v>
      </c>
      <c r="C55">
        <f>$I$13+B55</f>
        <v>39979</v>
      </c>
      <c r="E55">
        <f>IF($C$14*ReDiarioFert!C44&lt;=0,"0",$C$14*ReDiarioFert!C44)</f>
        <v>5.76955921325166</v>
      </c>
      <c r="G55">
        <f>$C$14*ReDiarioFert!E44</f>
        <v>7.440905419488523</v>
      </c>
      <c r="I55">
        <f>$C$14*ReDiarioFert!G44</f>
        <v>21.79033549606299</v>
      </c>
      <c r="K55">
        <f>$C$14*ReDiarioFert!I44</f>
        <v>12.120665237232977</v>
      </c>
      <c r="M55">
        <f>$C$14*ReDiarioFert!K44</f>
        <v>24.9838334486283</v>
      </c>
      <c r="O55">
        <f>$C$14*ReDiarioFert!M44</f>
        <v>113.5181736585366</v>
      </c>
      <c r="S55">
        <f>((E55/100)*$G$176+(G55/100)*$G$177+(I55/100)*$G$178+(K55/100)*$G$179+(M55/100)*$G$180+(O55)*$G$181+(Q55*$G$182))</f>
        <v>756.2291398297839</v>
      </c>
    </row>
    <row r="56">
      <c r="B56">
        <v>39</v>
      </c>
      <c r="C56">
        <f>$I$13+B56</f>
        <v>39980</v>
      </c>
      <c r="E56">
        <f>IF($C$14*ReDiarioFert!C45&lt;=0,"0",$C$14*ReDiarioFert!C45)</f>
        <v>5.76955921325166</v>
      </c>
      <c r="G56">
        <f>$C$14*ReDiarioFert!E45</f>
        <v>7.440905419488523</v>
      </c>
      <c r="I56">
        <f>$C$14*ReDiarioFert!G45</f>
        <v>21.79033549606299</v>
      </c>
      <c r="K56">
        <f>$C$14*ReDiarioFert!I45</f>
        <v>12.120665237232977</v>
      </c>
      <c r="M56">
        <f>$C$14*ReDiarioFert!K45</f>
        <v>24.9838334486283</v>
      </c>
      <c r="O56">
        <f>$C$14*ReDiarioFert!M45</f>
        <v>113.5181736585366</v>
      </c>
      <c r="S56">
        <f>((E56/100)*$G$176+(G56/100)*$G$177+(I56/100)*$G$178+(K56/100)*$G$179+(M56/100)*$G$180+(O56)*$G$181+(Q56*$G$182))</f>
        <v>756.2291398297839</v>
      </c>
    </row>
    <row r="57">
      <c r="B57">
        <v>40</v>
      </c>
      <c r="C57">
        <f>$I$13+B57</f>
        <v>39981</v>
      </c>
      <c r="E57">
        <f>IF($C$14*ReDiarioFert!C46&lt;=0,"0",$C$14*ReDiarioFert!C46)</f>
        <v>5.76955921325166</v>
      </c>
      <c r="G57">
        <f>$C$14*ReDiarioFert!E46</f>
        <v>7.440905419488523</v>
      </c>
      <c r="I57">
        <f>$C$14*ReDiarioFert!G46</f>
        <v>21.79033549606299</v>
      </c>
      <c r="K57">
        <f>$C$14*ReDiarioFert!I46</f>
        <v>12.120665237232977</v>
      </c>
      <c r="M57">
        <f>$C$14*ReDiarioFert!K46</f>
        <v>24.9838334486283</v>
      </c>
      <c r="O57">
        <f>$C$14*ReDiarioFert!M46</f>
        <v>113.5181736585366</v>
      </c>
      <c r="S57">
        <f>((E57/100)*$G$176+(G57/100)*$G$177+(I57/100)*$G$178+(K57/100)*$G$179+(M57/100)*$G$180+(O57)*$G$181+(Q57*$G$182))</f>
        <v>756.2291398297839</v>
      </c>
    </row>
    <row r="58">
      <c r="B58">
        <v>41</v>
      </c>
      <c r="C58">
        <f>$I$13+B58</f>
        <v>39982</v>
      </c>
      <c r="E58">
        <f>IF($C$14*ReDiarioFert!C47&lt;=0,"0",$C$14*ReDiarioFert!C47)</f>
        <v>5.76955921325166</v>
      </c>
      <c r="G58">
        <f>$C$14*ReDiarioFert!E47</f>
        <v>7.440905419488523</v>
      </c>
      <c r="I58">
        <f>$C$14*ReDiarioFert!G47</f>
        <v>21.79033549606299</v>
      </c>
      <c r="K58">
        <f>$C$14*ReDiarioFert!I47</f>
        <v>12.120665237232977</v>
      </c>
      <c r="M58">
        <f>$C$14*ReDiarioFert!K47</f>
        <v>24.9838334486283</v>
      </c>
      <c r="O58">
        <f>$C$14*ReDiarioFert!M47</f>
        <v>113.5181736585366</v>
      </c>
      <c r="S58">
        <f>((E58/100)*$G$176+(G58/100)*$G$177+(I58/100)*$G$178+(K58/100)*$G$179+(M58/100)*$G$180+(O58)*$G$181+(Q58*$G$182))</f>
        <v>756.2291398297839</v>
      </c>
    </row>
    <row r="59">
      <c r="B59">
        <v>42</v>
      </c>
      <c r="C59">
        <f>$I$13+B59</f>
        <v>39983</v>
      </c>
      <c r="E59">
        <f>IF($C$14*ReDiarioFert!C48&lt;=0,"0",$C$14*ReDiarioFert!C48)</f>
        <v>5.76955921325166</v>
      </c>
      <c r="G59">
        <f>$C$14*ReDiarioFert!E48</f>
        <v>7.440905419488523</v>
      </c>
      <c r="I59">
        <f>$C$14*ReDiarioFert!G48</f>
        <v>21.79033549606299</v>
      </c>
      <c r="K59">
        <f>$C$14*ReDiarioFert!I48</f>
        <v>12.120665237232977</v>
      </c>
      <c r="M59">
        <f>$C$14*ReDiarioFert!K48</f>
        <v>24.9838334486283</v>
      </c>
      <c r="O59">
        <f>$C$14*ReDiarioFert!M48</f>
        <v>113.5181736585366</v>
      </c>
      <c r="S59">
        <f>((E59/100)*$G$176+(G59/100)*$G$177+(I59/100)*$G$178+(K59/100)*$G$179+(M59/100)*$G$180+(O59)*$G$181+(Q59*$G$182))</f>
        <v>756.2291398297839</v>
      </c>
    </row>
    <row r="60">
      <c r="A60">
        <v>7</v>
      </c>
      <c r="B60">
        <v>43</v>
      </c>
      <c r="C60">
        <f>$I$13+B60</f>
        <v>39984</v>
      </c>
      <c r="E60">
        <f>IF($C$14*ReDiarioFert!C49&lt;=0,"0",$C$14*ReDiarioFert!C49)</f>
        <v>5.76955921325166</v>
      </c>
      <c r="G60">
        <f>$C$14*ReDiarioFert!E49</f>
        <v>7.440905419488523</v>
      </c>
      <c r="I60">
        <f>$C$14*ReDiarioFert!G49</f>
        <v>21.79033549606299</v>
      </c>
      <c r="K60">
        <f>$C$14*ReDiarioFert!I49</f>
        <v>12.120665237232977</v>
      </c>
      <c r="M60">
        <f>$C$14*ReDiarioFert!K49</f>
        <v>24.9838334486283</v>
      </c>
      <c r="O60">
        <f>$C$14*ReDiarioFert!M49</f>
        <v>113.5181736585366</v>
      </c>
      <c r="Q60">
        <f>$C$14*Main!$D$63</f>
        <v>26.879999999999995</v>
      </c>
      <c r="S60">
        <f>((E60/100)*$G$176+(G60/100)*$G$177+(I60/100)*$G$178+(K60/100)*$G$179+(M60/100)*$G$180+(O60)*$G$181+(Q60*$G$182))</f>
        <v>831.4931398297839</v>
      </c>
    </row>
    <row r="61">
      <c r="B61">
        <v>44</v>
      </c>
      <c r="C61">
        <f>$I$13+B61</f>
        <v>39985</v>
      </c>
      <c r="E61">
        <f>IF($C$14*ReDiarioFert!C50&lt;=0,"0",$C$14*ReDiarioFert!C50)</f>
        <v>5.76955921325166</v>
      </c>
      <c r="G61">
        <f>$C$14*ReDiarioFert!E50</f>
        <v>7.440905419488523</v>
      </c>
      <c r="I61">
        <f>$C$14*ReDiarioFert!G50</f>
        <v>21.79033549606299</v>
      </c>
      <c r="K61">
        <f>$C$14*ReDiarioFert!I50</f>
        <v>12.120665237232977</v>
      </c>
      <c r="M61">
        <f>$C$14*ReDiarioFert!K50</f>
        <v>24.9838334486283</v>
      </c>
      <c r="O61">
        <f>$C$14*ReDiarioFert!M50</f>
        <v>113.5181736585366</v>
      </c>
      <c r="S61">
        <f>((E61/100)*$G$176+(G61/100)*$G$177+(I61/100)*$G$178+(K61/100)*$G$179+(M61/100)*$G$180+(O61)*$G$181+(Q61*$G$182))</f>
        <v>756.2291398297839</v>
      </c>
    </row>
    <row r="62">
      <c r="B62">
        <v>45</v>
      </c>
      <c r="C62">
        <f>$I$13+B62</f>
        <v>39986</v>
      </c>
      <c r="E62">
        <f>IF($C$14*ReDiarioFert!C51&lt;=0,"0",$C$14*ReDiarioFert!C51)</f>
        <v>5.76955921325166</v>
      </c>
      <c r="G62">
        <f>$C$14*ReDiarioFert!E51</f>
        <v>7.440905419488523</v>
      </c>
      <c r="I62">
        <f>$C$14*ReDiarioFert!G51</f>
        <v>21.79033549606299</v>
      </c>
      <c r="K62">
        <f>$C$14*ReDiarioFert!I51</f>
        <v>12.120665237232977</v>
      </c>
      <c r="M62">
        <f>$C$14*ReDiarioFert!K51</f>
        <v>24.9838334486283</v>
      </c>
      <c r="O62">
        <f>$C$14*ReDiarioFert!M51</f>
        <v>113.5181736585366</v>
      </c>
      <c r="S62">
        <f>((E62/100)*$G$176+(G62/100)*$G$177+(I62/100)*$G$178+(K62/100)*$G$179+(M62/100)*$G$180+(O62)*$G$181+(Q62*$G$182))</f>
        <v>756.2291398297839</v>
      </c>
    </row>
    <row r="63">
      <c r="B63">
        <v>46</v>
      </c>
      <c r="C63">
        <f>$I$13+B63</f>
        <v>39987</v>
      </c>
      <c r="E63">
        <f>IF($C$14*ReDiarioFert!C52&lt;=0,"0",$C$14*ReDiarioFert!C52)</f>
        <v>7.455755229358918</v>
      </c>
      <c r="G63">
        <f>$C$14*ReDiarioFert!E52</f>
        <v>10.231244951796718</v>
      </c>
      <c r="I63">
        <f>$C$14*ReDiarioFert!G52</f>
        <v>36.61986937532808</v>
      </c>
      <c r="K63">
        <f>$C$14*ReDiarioFert!I52</f>
        <v>20.369451301460973</v>
      </c>
      <c r="M63">
        <f>$C$14*ReDiarioFert!K52</f>
        <v>41.986720101166995</v>
      </c>
      <c r="O63">
        <f>$C$14*ReDiarioFert!M52</f>
        <v>113.5181736585366</v>
      </c>
      <c r="S63">
        <f>((E63/100)*$G$176+(G63/100)*$G$177+(I63/100)*$G$178+(K63/100)*$G$179+(M63/100)*$G$180+(O63)*$G$181+(Q63*$G$182))</f>
        <v>1187.9702563056092</v>
      </c>
    </row>
    <row r="64">
      <c r="B64">
        <v>47</v>
      </c>
      <c r="C64">
        <f>$I$13+B64</f>
        <v>39988</v>
      </c>
      <c r="E64">
        <f>IF($C$14*ReDiarioFert!C53&lt;=0,"0",$C$14*ReDiarioFert!C53)</f>
        <v>7.455755229358918</v>
      </c>
      <c r="G64">
        <f>$C$14*ReDiarioFert!E53</f>
        <v>10.231244951796718</v>
      </c>
      <c r="I64">
        <f>$C$14*ReDiarioFert!G53</f>
        <v>36.61986937532808</v>
      </c>
      <c r="K64">
        <f>$C$14*ReDiarioFert!I53</f>
        <v>20.369451301460973</v>
      </c>
      <c r="M64">
        <f>$C$14*ReDiarioFert!K53</f>
        <v>41.986720101166995</v>
      </c>
      <c r="O64">
        <f>$C$14*ReDiarioFert!M53</f>
        <v>113.5181736585366</v>
      </c>
      <c r="S64">
        <f>((E64/100)*$G$176+(G64/100)*$G$177+(I64/100)*$G$178+(K64/100)*$G$179+(M64/100)*$G$180+(O64)*$G$181+(Q64*$G$182))</f>
        <v>1187.9702563056092</v>
      </c>
    </row>
    <row r="65">
      <c r="B65">
        <v>48</v>
      </c>
      <c r="C65">
        <f>$I$13+B65</f>
        <v>39989</v>
      </c>
      <c r="E65">
        <f>IF($C$14*ReDiarioFert!C54&lt;=0,"0",$C$14*ReDiarioFert!C54)</f>
        <v>7.455755229358918</v>
      </c>
      <c r="G65">
        <f>$C$14*ReDiarioFert!E54</f>
        <v>10.231244951796718</v>
      </c>
      <c r="I65">
        <f>$C$14*ReDiarioFert!G54</f>
        <v>36.61986937532808</v>
      </c>
      <c r="K65">
        <f>$C$14*ReDiarioFert!I54</f>
        <v>20.369451301460973</v>
      </c>
      <c r="M65">
        <f>$C$14*ReDiarioFert!K54</f>
        <v>41.986720101166995</v>
      </c>
      <c r="O65">
        <f>$C$14*ReDiarioFert!M54</f>
        <v>153.58314146341462</v>
      </c>
      <c r="S65">
        <f>((E65/100)*$G$176+(G65/100)*$G$177+(I65/100)*$G$178+(K65/100)*$G$179+(M65/100)*$G$180+(O65)*$G$181+(Q65*$G$182))</f>
        <v>1189.5728550178044</v>
      </c>
    </row>
    <row r="66">
      <c r="B66">
        <v>49</v>
      </c>
      <c r="C66">
        <f>$I$13+B66</f>
        <v>39990</v>
      </c>
      <c r="E66">
        <f>IF($C$14*ReDiarioFert!C55&lt;=0,"0",$C$14*ReDiarioFert!C55)</f>
        <v>7.455755229358918</v>
      </c>
      <c r="G66">
        <f>$C$14*ReDiarioFert!E55</f>
        <v>10.231244951796718</v>
      </c>
      <c r="I66">
        <f>$C$14*ReDiarioFert!G55</f>
        <v>36.61986937532808</v>
      </c>
      <c r="K66">
        <f>$C$14*ReDiarioFert!I55</f>
        <v>20.369451301460973</v>
      </c>
      <c r="M66">
        <f>$C$14*ReDiarioFert!K55</f>
        <v>41.986720101166995</v>
      </c>
      <c r="O66">
        <f>$C$14*ReDiarioFert!M55</f>
        <v>153.58314146341462</v>
      </c>
      <c r="S66">
        <f>((E66/100)*$G$176+(G66/100)*$G$177+(I66/100)*$G$178+(K66/100)*$G$179+(M66/100)*$G$180+(O66)*$G$181+(Q66*$G$182))</f>
        <v>1189.5728550178044</v>
      </c>
    </row>
    <row r="67">
      <c r="A67">
        <v>8</v>
      </c>
      <c r="B67">
        <v>50</v>
      </c>
      <c r="C67">
        <f>$I$13+B67</f>
        <v>39991</v>
      </c>
      <c r="E67">
        <f>IF($C$14*ReDiarioFert!C56&lt;=0,"0",$C$14*ReDiarioFert!C56)</f>
        <v>7.455755229358918</v>
      </c>
      <c r="G67">
        <f>$C$14*ReDiarioFert!E56</f>
        <v>10.231244951796718</v>
      </c>
      <c r="I67">
        <f>$C$14*ReDiarioFert!G56</f>
        <v>36.61986937532808</v>
      </c>
      <c r="K67">
        <f>$C$14*ReDiarioFert!I56</f>
        <v>20.369451301460973</v>
      </c>
      <c r="M67">
        <f>$C$14*ReDiarioFert!K56</f>
        <v>41.986720101166995</v>
      </c>
      <c r="O67">
        <f>$C$14*ReDiarioFert!M56</f>
        <v>153.58314146341462</v>
      </c>
      <c r="Q67">
        <f>$C$14*Main!$D$63</f>
        <v>26.879999999999995</v>
      </c>
      <c r="S67">
        <f>((E67/100)*$G$176+(G67/100)*$G$177+(I67/100)*$G$178+(K67/100)*$G$179+(M67/100)*$G$180+(O67)*$G$181+(Q67*$G$182))</f>
        <v>1264.8368550178043</v>
      </c>
    </row>
    <row r="68">
      <c r="B68">
        <v>51</v>
      </c>
      <c r="C68">
        <f>$I$13+B68</f>
        <v>39992</v>
      </c>
      <c r="E68">
        <f>IF($C$14*ReDiarioFert!C57&lt;=0,"0",$C$14*ReDiarioFert!C57)</f>
        <v>7.455755229358918</v>
      </c>
      <c r="G68">
        <f>$C$14*ReDiarioFert!E57</f>
        <v>10.231244951796718</v>
      </c>
      <c r="I68">
        <f>$C$14*ReDiarioFert!G57</f>
        <v>36.61986937532808</v>
      </c>
      <c r="K68">
        <f>$C$14*ReDiarioFert!I57</f>
        <v>20.369451301460973</v>
      </c>
      <c r="M68">
        <f>$C$14*ReDiarioFert!K57</f>
        <v>41.986720101166995</v>
      </c>
      <c r="O68">
        <f>$C$14*ReDiarioFert!M57</f>
        <v>153.58314146341462</v>
      </c>
      <c r="S68">
        <f>((E68/100)*$G$176+(G68/100)*$G$177+(I68/100)*$G$178+(K68/100)*$G$179+(M68/100)*$G$180+(O68)*$G$181+(Q68*$G$182))</f>
        <v>1189.5728550178044</v>
      </c>
    </row>
    <row r="69">
      <c r="B69">
        <v>52</v>
      </c>
      <c r="C69">
        <f>$I$13+B69</f>
        <v>39993</v>
      </c>
      <c r="E69">
        <f>IF($C$14*ReDiarioFert!C58&lt;=0,"0",$C$14*ReDiarioFert!C58)</f>
        <v>7.455755229358918</v>
      </c>
      <c r="G69">
        <f>$C$14*ReDiarioFert!E58</f>
        <v>10.231244951796718</v>
      </c>
      <c r="I69">
        <f>$C$14*ReDiarioFert!G58</f>
        <v>36.61986937532808</v>
      </c>
      <c r="K69">
        <f>$C$14*ReDiarioFert!I58</f>
        <v>20.369451301460973</v>
      </c>
      <c r="M69">
        <f>$C$14*ReDiarioFert!K58</f>
        <v>41.986720101166995</v>
      </c>
      <c r="O69">
        <f>$C$14*ReDiarioFert!M58</f>
        <v>153.58314146341462</v>
      </c>
      <c r="S69">
        <f>((E69/100)*$G$176+(G69/100)*$G$177+(I69/100)*$G$178+(K69/100)*$G$179+(M69/100)*$G$180+(O69)*$G$181+(Q69*$G$182))</f>
        <v>1189.5728550178044</v>
      </c>
    </row>
    <row r="70">
      <c r="B70">
        <v>53</v>
      </c>
      <c r="C70">
        <f>$I$13+B70</f>
        <v>39994</v>
      </c>
      <c r="E70">
        <f>IF($C$14*ReDiarioFert!C59&lt;=0,"0",$C$14*ReDiarioFert!C59)</f>
        <v>7.455755229358918</v>
      </c>
      <c r="G70">
        <f>$C$14*ReDiarioFert!E59</f>
        <v>10.231244951796718</v>
      </c>
      <c r="I70">
        <f>$C$14*ReDiarioFert!G59</f>
        <v>36.61986937532808</v>
      </c>
      <c r="K70">
        <f>$C$14*ReDiarioFert!I59</f>
        <v>20.369451301460973</v>
      </c>
      <c r="M70">
        <f>$C$14*ReDiarioFert!K59</f>
        <v>41.986720101166995</v>
      </c>
      <c r="O70">
        <f>$C$14*ReDiarioFert!M59</f>
        <v>153.58314146341462</v>
      </c>
      <c r="S70">
        <f>((E70/100)*$G$176+(G70/100)*$G$177+(I70/100)*$G$178+(K70/100)*$G$179+(M70/100)*$G$180+(O70)*$G$181+(Q70*$G$182))</f>
        <v>1189.5728550178044</v>
      </c>
    </row>
    <row r="71">
      <c r="B71">
        <v>54</v>
      </c>
      <c r="C71">
        <f>$I$13+B71</f>
        <v>39995</v>
      </c>
      <c r="E71">
        <f>IF($C$14*ReDiarioFert!C60&lt;=0,"0",$C$14*ReDiarioFert!C60)</f>
        <v>7.455755229358918</v>
      </c>
      <c r="G71">
        <f>$C$14*ReDiarioFert!E60</f>
        <v>10.231244951796718</v>
      </c>
      <c r="I71">
        <f>$C$14*ReDiarioFert!G60</f>
        <v>36.61986937532808</v>
      </c>
      <c r="K71">
        <f>$C$14*ReDiarioFert!I60</f>
        <v>20.369451301460973</v>
      </c>
      <c r="M71">
        <f>$C$14*ReDiarioFert!K60</f>
        <v>41.986720101166995</v>
      </c>
      <c r="O71">
        <f>$C$14*ReDiarioFert!M60</f>
        <v>153.58314146341462</v>
      </c>
      <c r="S71">
        <f>((E71/100)*$G$176+(G71/100)*$G$177+(I71/100)*$G$178+(K71/100)*$G$179+(M71/100)*$G$180+(O71)*$G$181+(Q71*$G$182))</f>
        <v>1189.5728550178044</v>
      </c>
    </row>
    <row r="72">
      <c r="B72">
        <v>55</v>
      </c>
      <c r="C72">
        <f>$I$13+B72</f>
        <v>39996</v>
      </c>
      <c r="E72">
        <f>IF($C$14*ReDiarioFert!C61&lt;=0,"0",$C$14*ReDiarioFert!C61)</f>
        <v>7.455755229358918</v>
      </c>
      <c r="G72">
        <f>$C$14*ReDiarioFert!E61</f>
        <v>10.231244951796718</v>
      </c>
      <c r="I72">
        <f>$C$14*ReDiarioFert!G61</f>
        <v>36.61986937532808</v>
      </c>
      <c r="K72">
        <f>$C$14*ReDiarioFert!I61</f>
        <v>20.369451301460973</v>
      </c>
      <c r="M72">
        <f>$C$14*ReDiarioFert!K61</f>
        <v>41.986720101166995</v>
      </c>
      <c r="O72">
        <f>$C$14*ReDiarioFert!M61</f>
        <v>153.58314146341462</v>
      </c>
      <c r="S72">
        <f>((E72/100)*$G$176+(G72/100)*$G$177+(I72/100)*$G$178+(K72/100)*$G$179+(M72/100)*$G$180+(O72)*$G$181+(Q72*$G$182))</f>
        <v>1189.5728550178044</v>
      </c>
    </row>
    <row r="73">
      <c r="B73">
        <v>56</v>
      </c>
      <c r="C73">
        <f>$I$13+B73</f>
        <v>39997</v>
      </c>
      <c r="E73">
        <f>IF($C$14*ReDiarioFert!C62&lt;=0,"0",$C$14*ReDiarioFert!C62)</f>
        <v>7.455755229358918</v>
      </c>
      <c r="G73">
        <f>$C$14*ReDiarioFert!E62</f>
        <v>10.231244951796718</v>
      </c>
      <c r="I73">
        <f>$C$14*ReDiarioFert!G62</f>
        <v>36.61986937532808</v>
      </c>
      <c r="K73">
        <f>$C$14*ReDiarioFert!I62</f>
        <v>20.369451301460973</v>
      </c>
      <c r="M73">
        <f>$C$14*ReDiarioFert!K62</f>
        <v>41.986720101166995</v>
      </c>
      <c r="O73">
        <f>$C$14*ReDiarioFert!M62</f>
        <v>153.58314146341462</v>
      </c>
      <c r="S73">
        <f>((E73/100)*$G$176+(G73/100)*$G$177+(I73/100)*$G$178+(K73/100)*$G$179+(M73/100)*$G$180+(O73)*$G$181+(Q73*$G$182))</f>
        <v>1189.5728550178044</v>
      </c>
    </row>
    <row r="74">
      <c r="A74">
        <v>9</v>
      </c>
      <c r="B74">
        <v>57</v>
      </c>
      <c r="C74">
        <f>$I$13+B74</f>
        <v>39998</v>
      </c>
      <c r="E74">
        <f>IF($C$14*ReDiarioFert!C63&lt;=0,"0",$C$14*ReDiarioFert!C63)</f>
        <v>7.455755229358918</v>
      </c>
      <c r="G74">
        <f>$C$14*ReDiarioFert!E63</f>
        <v>10.231244951796718</v>
      </c>
      <c r="I74">
        <f>$C$14*ReDiarioFert!G63</f>
        <v>36.61986937532808</v>
      </c>
      <c r="K74">
        <f>$C$14*ReDiarioFert!I63</f>
        <v>20.369451301460973</v>
      </c>
      <c r="M74">
        <f>$C$14*ReDiarioFert!K63</f>
        <v>41.986720101166995</v>
      </c>
      <c r="O74">
        <f>$C$14*ReDiarioFert!M63</f>
        <v>153.58314146341462</v>
      </c>
      <c r="Q74">
        <f>$C$14*Main!$D$63</f>
        <v>26.879999999999995</v>
      </c>
      <c r="S74">
        <f>((E74/100)*$G$176+(G74/100)*$G$177+(I74/100)*$G$178+(K74/100)*$G$179+(M74/100)*$G$180+(O74)*$G$181+(Q74*$G$182))</f>
        <v>1264.8368550178043</v>
      </c>
    </row>
    <row r="75">
      <c r="B75">
        <v>58</v>
      </c>
      <c r="C75">
        <f>$I$13+B75</f>
        <v>39999</v>
      </c>
      <c r="E75">
        <f>IF($C$14*ReDiarioFert!C64&lt;=0,"0",$C$14*ReDiarioFert!C64)</f>
        <v>7.455755229358918</v>
      </c>
      <c r="G75">
        <f>$C$14*ReDiarioFert!E64</f>
        <v>10.231244951796718</v>
      </c>
      <c r="I75">
        <f>$C$14*ReDiarioFert!G64</f>
        <v>36.61986937532808</v>
      </c>
      <c r="K75">
        <f>$C$14*ReDiarioFert!I64</f>
        <v>20.369451301460973</v>
      </c>
      <c r="M75">
        <f>$C$14*ReDiarioFert!K64</f>
        <v>41.986720101166995</v>
      </c>
      <c r="O75">
        <f>$C$14*ReDiarioFert!M64</f>
        <v>153.58314146341462</v>
      </c>
      <c r="S75">
        <f>((E75/100)*$G$176+(G75/100)*$G$177+(I75/100)*$G$178+(K75/100)*$G$179+(M75/100)*$G$180+(O75)*$G$181+(Q75*$G$182))</f>
        <v>1189.5728550178044</v>
      </c>
    </row>
    <row r="76">
      <c r="B76">
        <v>59</v>
      </c>
      <c r="C76">
        <f>$I$13+B76</f>
        <v>40000</v>
      </c>
      <c r="E76">
        <f>IF($C$14*ReDiarioFert!C65&lt;=0,"0",$C$14*ReDiarioFert!C65)</f>
        <v>7.455755229358918</v>
      </c>
      <c r="G76">
        <f>$C$14*ReDiarioFert!E65</f>
        <v>10.231244951796718</v>
      </c>
      <c r="I76">
        <f>$C$14*ReDiarioFert!G65</f>
        <v>36.61986937532808</v>
      </c>
      <c r="K76">
        <f>$C$14*ReDiarioFert!I65</f>
        <v>20.369451301460973</v>
      </c>
      <c r="M76">
        <f>$C$14*ReDiarioFert!K65</f>
        <v>41.986720101166995</v>
      </c>
      <c r="O76">
        <f>$C$14*ReDiarioFert!M65</f>
        <v>153.58314146341462</v>
      </c>
      <c r="S76">
        <f>((E76/100)*$G$176+(G76/100)*$G$177+(I76/100)*$G$178+(K76/100)*$G$179+(M76/100)*$G$180+(O76)*$G$181+(Q76*$G$182))</f>
        <v>1189.5728550178044</v>
      </c>
    </row>
    <row r="77">
      <c r="B77">
        <v>60</v>
      </c>
      <c r="C77">
        <f>$I$13+B77</f>
        <v>40001</v>
      </c>
      <c r="E77">
        <f>IF($C$14*ReDiarioFert!C66&lt;=0,"0",$C$14*ReDiarioFert!C66)</f>
        <v>7.455755229358918</v>
      </c>
      <c r="G77">
        <f>$C$14*ReDiarioFert!E66</f>
        <v>10.231244951796718</v>
      </c>
      <c r="I77">
        <f>$C$14*ReDiarioFert!G66</f>
        <v>36.61986937532808</v>
      </c>
      <c r="K77">
        <f>$C$14*ReDiarioFert!I66</f>
        <v>20.369451301460973</v>
      </c>
      <c r="M77">
        <f>$C$14*ReDiarioFert!K66</f>
        <v>41.986720101166995</v>
      </c>
      <c r="O77">
        <f>$C$14*ReDiarioFert!M66</f>
        <v>153.58314146341462</v>
      </c>
      <c r="S77">
        <f>((E77/100)*$G$176+(G77/100)*$G$177+(I77/100)*$G$178+(K77/100)*$G$179+(M77/100)*$G$180+(O77)*$G$181+(Q77*$G$182))</f>
        <v>1189.5728550178044</v>
      </c>
    </row>
    <row r="78">
      <c r="B78">
        <v>61</v>
      </c>
      <c r="C78">
        <f>$I$13+B78</f>
        <v>40002</v>
      </c>
      <c r="E78">
        <f>IF($C$14*ReDiarioFert!C67&lt;=0,"0",$C$14*ReDiarioFert!C67)</f>
        <v>7.455755229358918</v>
      </c>
      <c r="G78">
        <f>$C$14*ReDiarioFert!E67</f>
        <v>10.231244951796718</v>
      </c>
      <c r="I78">
        <f>$C$14*ReDiarioFert!G67</f>
        <v>36.61986937532808</v>
      </c>
      <c r="K78">
        <f>$C$14*ReDiarioFert!I67</f>
        <v>20.369451301460973</v>
      </c>
      <c r="M78">
        <f>$C$14*ReDiarioFert!K67</f>
        <v>41.986720101166995</v>
      </c>
      <c r="O78">
        <f>$C$14*ReDiarioFert!M67</f>
        <v>153.58314146341462</v>
      </c>
      <c r="S78">
        <f>((E78/100)*$G$176+(G78/100)*$G$177+(I78/100)*$G$178+(K78/100)*$G$179+(M78/100)*$G$180+(O78)*$G$181+(Q78*$G$182))</f>
        <v>1189.5728550178044</v>
      </c>
    </row>
    <row r="79">
      <c r="B79">
        <v>62</v>
      </c>
      <c r="C79">
        <f>$I$13+B79</f>
        <v>40003</v>
      </c>
      <c r="E79">
        <f>IF($C$14*ReDiarioFert!C68&lt;=0,"0",$C$14*ReDiarioFert!C68)</f>
        <v>7.455755229358918</v>
      </c>
      <c r="G79">
        <f>$C$14*ReDiarioFert!E68</f>
        <v>10.231244951796718</v>
      </c>
      <c r="I79">
        <f>$C$14*ReDiarioFert!G68</f>
        <v>36.61986937532808</v>
      </c>
      <c r="K79">
        <f>$C$14*ReDiarioFert!I68</f>
        <v>20.369451301460973</v>
      </c>
      <c r="M79">
        <f>$C$14*ReDiarioFert!K68</f>
        <v>41.986720101166995</v>
      </c>
      <c r="O79">
        <f>$C$14*ReDiarioFert!M68</f>
        <v>153.58314146341462</v>
      </c>
      <c r="S79">
        <f>((E79/100)*$G$176+(G79/100)*$G$177+(I79/100)*$G$178+(K79/100)*$G$179+(M79/100)*$G$180+(O79)*$G$181+(Q79*$G$182))</f>
        <v>1189.5728550178044</v>
      </c>
    </row>
    <row r="80">
      <c r="B80">
        <v>63</v>
      </c>
      <c r="C80">
        <f>$I$13+B80</f>
        <v>40004</v>
      </c>
      <c r="E80">
        <f>IF($C$14*ReDiarioFert!C69&lt;=0,"0",$C$14*ReDiarioFert!C69)</f>
        <v>7.455755229358918</v>
      </c>
      <c r="G80">
        <f>$C$14*ReDiarioFert!E69</f>
        <v>10.231244951796718</v>
      </c>
      <c r="I80">
        <f>$C$14*ReDiarioFert!G69</f>
        <v>36.61986937532808</v>
      </c>
      <c r="K80">
        <f>$C$14*ReDiarioFert!I69</f>
        <v>20.369451301460973</v>
      </c>
      <c r="M80">
        <f>$C$14*ReDiarioFert!K69</f>
        <v>41.986720101166995</v>
      </c>
      <c r="O80">
        <f>$C$14*ReDiarioFert!M69</f>
        <v>193.64876487804878</v>
      </c>
      <c r="S80">
        <f>((E80/100)*$G$176+(G80/100)*$G$177+(I80/100)*$G$178+(K80/100)*$G$179+(M80/100)*$G$180+(O80)*$G$181+(Q80*$G$182))</f>
        <v>1191.1754799543896</v>
      </c>
    </row>
    <row r="81">
      <c r="A81">
        <v>10</v>
      </c>
      <c r="B81">
        <v>64</v>
      </c>
      <c r="C81">
        <f>$I$13+B81</f>
        <v>40005</v>
      </c>
      <c r="E81">
        <f>IF($C$14*ReDiarioFert!C70&lt;=0,"0",$C$14*ReDiarioFert!C70)</f>
        <v>4.762645133607624</v>
      </c>
      <c r="G81">
        <f>$C$14*ReDiarioFert!E70</f>
        <v>8.681056322736612</v>
      </c>
      <c r="I81">
        <f>$C$14*ReDiarioFert!G70</f>
        <v>47.4545084136483</v>
      </c>
      <c r="K81">
        <f>$C$14*ReDiarioFert!I70</f>
        <v>26.396115405529592</v>
      </c>
      <c r="M81">
        <f>$C$14*ReDiarioFert!K70</f>
        <v>54.409237288123855</v>
      </c>
      <c r="O81">
        <f>$C$14*ReDiarioFert!M70</f>
        <v>193.64876487804878</v>
      </c>
      <c r="Q81">
        <f>$C$14*Main!$D$63</f>
        <v>26.879999999999995</v>
      </c>
      <c r="S81">
        <f>((E81/100)*$G$176+(G81/100)*$G$177+(I81/100)*$G$178+(K81/100)*$G$179+(M81/100)*$G$180+(O81)*$G$181+(Q81*$G$182))</f>
        <v>1453.4629189477234</v>
      </c>
    </row>
    <row r="82">
      <c r="B82">
        <v>65</v>
      </c>
      <c r="C82">
        <f>$I$13+B82</f>
        <v>40006</v>
      </c>
      <c r="E82">
        <f>IF($C$14*ReDiarioFert!C71&lt;=0,"0",$C$14*ReDiarioFert!C71)</f>
        <v>4.762645133607624</v>
      </c>
      <c r="G82">
        <f>$C$14*ReDiarioFert!E71</f>
        <v>8.681056322736612</v>
      </c>
      <c r="I82">
        <f>$C$14*ReDiarioFert!G71</f>
        <v>47.4545084136483</v>
      </c>
      <c r="K82">
        <f>$C$14*ReDiarioFert!I71</f>
        <v>26.396115405529592</v>
      </c>
      <c r="M82">
        <f>$C$14*ReDiarioFert!K71</f>
        <v>54.409237288123855</v>
      </c>
      <c r="O82">
        <f>$C$14*ReDiarioFert!M71</f>
        <v>193.64876487804878</v>
      </c>
      <c r="S82">
        <f>((E82/100)*$G$176+(G82/100)*$G$177+(I82/100)*$G$178+(K82/100)*$G$179+(M82/100)*$G$180+(O82)*$G$181+(Q82*$G$182))</f>
        <v>1378.1989189477235</v>
      </c>
    </row>
    <row r="83">
      <c r="B83">
        <v>66</v>
      </c>
      <c r="C83">
        <f>$I$13+B83</f>
        <v>40007</v>
      </c>
      <c r="E83">
        <f>IF($C$14*ReDiarioFert!C72&lt;=0,"0",$C$14*ReDiarioFert!C72)</f>
        <v>4.762645133607624</v>
      </c>
      <c r="G83">
        <f>$C$14*ReDiarioFert!E72</f>
        <v>8.681056322736612</v>
      </c>
      <c r="I83">
        <f>$C$14*ReDiarioFert!G72</f>
        <v>47.4545084136483</v>
      </c>
      <c r="K83">
        <f>$C$14*ReDiarioFert!I72</f>
        <v>26.396115405529592</v>
      </c>
      <c r="M83">
        <f>$C$14*ReDiarioFert!K72</f>
        <v>54.409237288123855</v>
      </c>
      <c r="O83">
        <f>$C$14*ReDiarioFert!M72</f>
        <v>193.64876487804878</v>
      </c>
      <c r="S83">
        <f>((E83/100)*$G$176+(G83/100)*$G$177+(I83/100)*$G$178+(K83/100)*$G$179+(M83/100)*$G$180+(O83)*$G$181+(Q83*$G$182))</f>
        <v>1378.1989189477235</v>
      </c>
    </row>
    <row r="84">
      <c r="B84">
        <v>67</v>
      </c>
      <c r="C84">
        <f>$I$13+B84</f>
        <v>40008</v>
      </c>
      <c r="E84">
        <f>IF($C$14*ReDiarioFert!C73&lt;=0,"0",$C$14*ReDiarioFert!C73)</f>
        <v>4.762645133607624</v>
      </c>
      <c r="G84">
        <f>$C$14*ReDiarioFert!E73</f>
        <v>8.681056322736612</v>
      </c>
      <c r="I84">
        <f>$C$14*ReDiarioFert!G73</f>
        <v>47.4545084136483</v>
      </c>
      <c r="K84">
        <f>$C$14*ReDiarioFert!I73</f>
        <v>26.396115405529592</v>
      </c>
      <c r="M84">
        <f>$C$14*ReDiarioFert!K73</f>
        <v>54.409237288123855</v>
      </c>
      <c r="O84">
        <f>$C$14*ReDiarioFert!M73</f>
        <v>193.64876487804878</v>
      </c>
      <c r="S84">
        <f>((E84/100)*$G$176+(G84/100)*$G$177+(I84/100)*$G$178+(K84/100)*$G$179+(M84/100)*$G$180+(O84)*$G$181+(Q84*$G$182))</f>
        <v>1378.1989189477235</v>
      </c>
    </row>
    <row r="85">
      <c r="B85">
        <v>68</v>
      </c>
      <c r="C85">
        <f>$I$13+B85</f>
        <v>40009</v>
      </c>
      <c r="E85">
        <f>IF($C$14*ReDiarioFert!C74&lt;=0,"0",$C$14*ReDiarioFert!C74)</f>
        <v>4.762645133607624</v>
      </c>
      <c r="G85">
        <f>$C$14*ReDiarioFert!E74</f>
        <v>8.681056322736612</v>
      </c>
      <c r="I85">
        <f>$C$14*ReDiarioFert!G74</f>
        <v>47.4545084136483</v>
      </c>
      <c r="K85">
        <f>$C$14*ReDiarioFert!I74</f>
        <v>26.396115405529592</v>
      </c>
      <c r="M85">
        <f>$C$14*ReDiarioFert!K74</f>
        <v>54.409237288123855</v>
      </c>
      <c r="O85">
        <f>$C$14*ReDiarioFert!M74</f>
        <v>193.64876487804878</v>
      </c>
      <c r="S85">
        <f>((E85/100)*$G$176+(G85/100)*$G$177+(I85/100)*$G$178+(K85/100)*$G$179+(M85/100)*$G$180+(O85)*$G$181+(Q85*$G$182))</f>
        <v>1378.1989189477235</v>
      </c>
    </row>
    <row r="86">
      <c r="B86">
        <v>69</v>
      </c>
      <c r="C86">
        <f>$I$13+B86</f>
        <v>40010</v>
      </c>
      <c r="E86">
        <f>IF($C$14*ReDiarioFert!C75&lt;=0,"0",$C$14*ReDiarioFert!C75)</f>
        <v>4.762645133607624</v>
      </c>
      <c r="G86">
        <f>$C$14*ReDiarioFert!E75</f>
        <v>8.681056322736612</v>
      </c>
      <c r="I86">
        <f>$C$14*ReDiarioFert!G75</f>
        <v>47.4545084136483</v>
      </c>
      <c r="K86">
        <f>$C$14*ReDiarioFert!I75</f>
        <v>26.396115405529592</v>
      </c>
      <c r="M86">
        <f>$C$14*ReDiarioFert!K75</f>
        <v>54.409237288123855</v>
      </c>
      <c r="O86">
        <f>$C$14*ReDiarioFert!M75</f>
        <v>193.64876487804878</v>
      </c>
      <c r="S86">
        <f>((E86/100)*$G$176+(G86/100)*$G$177+(I86/100)*$G$178+(K86/100)*$G$179+(M86/100)*$G$180+(O86)*$G$181+(Q86*$G$182))</f>
        <v>1378.1989189477235</v>
      </c>
    </row>
    <row r="87">
      <c r="B87">
        <v>70</v>
      </c>
      <c r="C87">
        <f>$I$13+B87</f>
        <v>40011</v>
      </c>
      <c r="E87">
        <f>IF($C$14*ReDiarioFert!C76&lt;=0,"0",$C$14*ReDiarioFert!C76)</f>
        <v>4.762645133607624</v>
      </c>
      <c r="G87">
        <f>$C$14*ReDiarioFert!E76</f>
        <v>8.681056322736612</v>
      </c>
      <c r="I87">
        <f>$C$14*ReDiarioFert!G76</f>
        <v>47.4545084136483</v>
      </c>
      <c r="K87">
        <f>$C$14*ReDiarioFert!I76</f>
        <v>26.396115405529592</v>
      </c>
      <c r="M87">
        <f>$C$14*ReDiarioFert!K76</f>
        <v>54.409237288123855</v>
      </c>
      <c r="O87">
        <f>$C$14*ReDiarioFert!M76</f>
        <v>193.64876487804878</v>
      </c>
      <c r="S87">
        <f>((E87/100)*$G$176+(G87/100)*$G$177+(I87/100)*$G$178+(K87/100)*$G$179+(M87/100)*$G$180+(O87)*$G$181+(Q87*$G$182))</f>
        <v>1378.1989189477235</v>
      </c>
    </row>
    <row r="88">
      <c r="A88">
        <v>11</v>
      </c>
      <c r="B88">
        <v>71</v>
      </c>
      <c r="C88">
        <f>$I$13+B88</f>
        <v>40012</v>
      </c>
      <c r="E88">
        <f>IF($C$14*ReDiarioFert!C77&lt;=0,"0",$C$14*ReDiarioFert!C77)</f>
        <v>4.762645133607624</v>
      </c>
      <c r="G88">
        <f>$C$14*ReDiarioFert!E77</f>
        <v>8.681056322736612</v>
      </c>
      <c r="I88">
        <f>$C$14*ReDiarioFert!G77</f>
        <v>47.4545084136483</v>
      </c>
      <c r="K88">
        <f>$C$14*ReDiarioFert!I77</f>
        <v>26.396115405529592</v>
      </c>
      <c r="M88">
        <f>$C$14*ReDiarioFert!K77</f>
        <v>54.409237288123855</v>
      </c>
      <c r="O88">
        <f>$C$14*ReDiarioFert!M77</f>
        <v>193.64876487804878</v>
      </c>
      <c r="Q88">
        <f>$C$14*Main!$D$63</f>
        <v>26.879999999999995</v>
      </c>
      <c r="S88">
        <f>((E88/100)*$G$176+(G88/100)*$G$177+(I88/100)*$G$178+(K88/100)*$G$179+(M88/100)*$G$180+(O88)*$G$181+(Q88*$G$182))</f>
        <v>1453.4629189477234</v>
      </c>
    </row>
    <row r="89">
      <c r="B89">
        <v>72</v>
      </c>
      <c r="C89">
        <f>$I$13+B89</f>
        <v>40013</v>
      </c>
      <c r="E89">
        <f>IF($C$14*ReDiarioFert!C78&lt;=0,"0",$C$14*ReDiarioFert!C78)</f>
        <v>4.762645133607624</v>
      </c>
      <c r="G89">
        <f>$C$14*ReDiarioFert!E78</f>
        <v>8.681056322736612</v>
      </c>
      <c r="I89">
        <f>$C$14*ReDiarioFert!G78</f>
        <v>47.4545084136483</v>
      </c>
      <c r="K89">
        <f>$C$14*ReDiarioFert!I78</f>
        <v>26.396115405529592</v>
      </c>
      <c r="M89">
        <f>$C$14*ReDiarioFert!K78</f>
        <v>54.409237288123855</v>
      </c>
      <c r="O89">
        <f>$C$14*ReDiarioFert!M78</f>
        <v>193.64876487804878</v>
      </c>
      <c r="S89">
        <f>((E89/100)*$G$176+(G89/100)*$G$177+(I89/100)*$G$178+(K89/100)*$G$179+(M89/100)*$G$180+(O89)*$G$181+(Q89*$G$182))</f>
        <v>1378.1989189477235</v>
      </c>
    </row>
    <row r="90">
      <c r="B90">
        <v>73</v>
      </c>
      <c r="C90">
        <f>$I$13+B90</f>
        <v>40014</v>
      </c>
      <c r="E90">
        <f>IF($C$14*ReDiarioFert!C79&lt;=0,"0",$C$14*ReDiarioFert!C79)</f>
        <v>4.762645133607624</v>
      </c>
      <c r="G90">
        <f>$C$14*ReDiarioFert!E79</f>
        <v>8.681056322736612</v>
      </c>
      <c r="I90">
        <f>$C$14*ReDiarioFert!G79</f>
        <v>47.4545084136483</v>
      </c>
      <c r="K90">
        <f>$C$14*ReDiarioFert!I79</f>
        <v>26.396115405529592</v>
      </c>
      <c r="M90">
        <f>$C$14*ReDiarioFert!K79</f>
        <v>54.409237288123855</v>
      </c>
      <c r="O90">
        <f>$C$14*ReDiarioFert!M79</f>
        <v>193.64876487804878</v>
      </c>
      <c r="S90">
        <f>((E90/100)*$G$176+(G90/100)*$G$177+(I90/100)*$G$178+(K90/100)*$G$179+(M90/100)*$G$180+(O90)*$G$181+(Q90*$G$182))</f>
        <v>1378.1989189477235</v>
      </c>
    </row>
    <row r="91">
      <c r="B91">
        <v>74</v>
      </c>
      <c r="C91">
        <f>$I$13+B91</f>
        <v>40015</v>
      </c>
      <c r="E91">
        <f>IF($C$14*ReDiarioFert!C80&lt;=0,"0",$C$14*ReDiarioFert!C80)</f>
        <v>4.762645133607624</v>
      </c>
      <c r="G91">
        <f>$C$14*ReDiarioFert!E80</f>
        <v>8.681056322736612</v>
      </c>
      <c r="I91">
        <f>$C$14*ReDiarioFert!G80</f>
        <v>47.4545084136483</v>
      </c>
      <c r="K91">
        <f>$C$14*ReDiarioFert!I80</f>
        <v>26.396115405529592</v>
      </c>
      <c r="M91">
        <f>$C$14*ReDiarioFert!K80</f>
        <v>54.409237288123855</v>
      </c>
      <c r="O91">
        <f>$C$14*ReDiarioFert!M80</f>
        <v>193.64876487804878</v>
      </c>
      <c r="S91">
        <f>((E91/100)*$G$176+(G91/100)*$G$177+(I91/100)*$G$178+(K91/100)*$G$179+(M91/100)*$G$180+(O91)*$G$181+(Q91*$G$182))</f>
        <v>1378.1989189477235</v>
      </c>
    </row>
    <row r="92">
      <c r="B92">
        <v>75</v>
      </c>
      <c r="C92">
        <f>$I$13+B92</f>
        <v>40016</v>
      </c>
      <c r="E92">
        <f>IF($C$14*ReDiarioFert!C81&lt;=0,"0",$C$14*ReDiarioFert!C81)</f>
        <v>4.762645133607624</v>
      </c>
      <c r="G92">
        <f>$C$14*ReDiarioFert!E81</f>
        <v>8.681056322736612</v>
      </c>
      <c r="I92">
        <f>$C$14*ReDiarioFert!G81</f>
        <v>47.4545084136483</v>
      </c>
      <c r="K92">
        <f>$C$14*ReDiarioFert!I81</f>
        <v>26.396115405529592</v>
      </c>
      <c r="M92">
        <f>$C$14*ReDiarioFert!K81</f>
        <v>54.409237288123855</v>
      </c>
      <c r="O92">
        <f>$C$14*ReDiarioFert!M81</f>
        <v>193.64876487804878</v>
      </c>
      <c r="S92">
        <f>((E92/100)*$G$176+(G92/100)*$G$177+(I92/100)*$G$178+(K92/100)*$G$179+(M92/100)*$G$180+(O92)*$G$181+(Q92*$G$182))</f>
        <v>1378.1989189477235</v>
      </c>
    </row>
    <row r="93">
      <c r="B93">
        <v>76</v>
      </c>
      <c r="C93">
        <f>$I$13+B93</f>
        <v>40017</v>
      </c>
      <c r="E93">
        <f>IF($C$14*ReDiarioFert!C82&lt;=0,"0",$C$14*ReDiarioFert!C82)</f>
        <v>4.762645133607624</v>
      </c>
      <c r="G93">
        <f>$C$14*ReDiarioFert!E82</f>
        <v>8.681056322736612</v>
      </c>
      <c r="I93">
        <f>$C$14*ReDiarioFert!G82</f>
        <v>47.4545084136483</v>
      </c>
      <c r="K93">
        <f>$C$14*ReDiarioFert!I82</f>
        <v>26.396115405529592</v>
      </c>
      <c r="M93">
        <f>$C$14*ReDiarioFert!K82</f>
        <v>54.409237288123855</v>
      </c>
      <c r="O93">
        <f>$C$14*ReDiarioFert!M82</f>
        <v>193.64876487804878</v>
      </c>
      <c r="S93">
        <f>((E93/100)*$G$176+(G93/100)*$G$177+(I93/100)*$G$178+(K93/100)*$G$179+(M93/100)*$G$180+(O93)*$G$181+(Q93*$G$182))</f>
        <v>1378.1989189477235</v>
      </c>
    </row>
    <row r="94">
      <c r="B94">
        <v>77</v>
      </c>
      <c r="C94">
        <f>$I$13+B94</f>
        <v>40018</v>
      </c>
      <c r="E94">
        <f>IF($C$14*ReDiarioFert!C83&lt;=0,"0",$C$14*ReDiarioFert!C83)</f>
        <v>4.762645133607624</v>
      </c>
      <c r="G94">
        <f>$C$14*ReDiarioFert!E83</f>
        <v>8.681056322736612</v>
      </c>
      <c r="I94">
        <f>$C$14*ReDiarioFert!G83</f>
        <v>47.4545084136483</v>
      </c>
      <c r="K94">
        <f>$C$14*ReDiarioFert!I83</f>
        <v>26.396115405529592</v>
      </c>
      <c r="M94">
        <f>$C$14*ReDiarioFert!K83</f>
        <v>54.409237288123855</v>
      </c>
      <c r="O94">
        <f>$C$14*ReDiarioFert!M83</f>
        <v>193.64876487804878</v>
      </c>
      <c r="S94">
        <f>((E94/100)*$G$176+(G94/100)*$G$177+(I94/100)*$G$178+(K94/100)*$G$179+(M94/100)*$G$180+(O94)*$G$181+(Q94*$G$182))</f>
        <v>1378.1989189477235</v>
      </c>
    </row>
    <row r="95">
      <c r="A95">
        <v>12</v>
      </c>
      <c r="B95">
        <v>78</v>
      </c>
      <c r="C95">
        <f>$I$13+B95</f>
        <v>40019</v>
      </c>
      <c r="E95">
        <f>IF($C$14*ReDiarioFert!C84&lt;=0,"0",$C$14*ReDiarioFert!C84)</f>
        <v>4.762645133607624</v>
      </c>
      <c r="G95">
        <f>$C$14*ReDiarioFert!E84</f>
        <v>8.681056322736612</v>
      </c>
      <c r="I95">
        <f>$C$14*ReDiarioFert!G84</f>
        <v>47.4545084136483</v>
      </c>
      <c r="K95">
        <f>$C$14*ReDiarioFert!I84</f>
        <v>26.396115405529592</v>
      </c>
      <c r="M95">
        <f>$C$14*ReDiarioFert!K84</f>
        <v>54.409237288123855</v>
      </c>
      <c r="O95">
        <f>$C$14*ReDiarioFert!M84</f>
        <v>193.64876487804878</v>
      </c>
      <c r="Q95">
        <f>$C$14*Main!$D$63</f>
        <v>26.879999999999995</v>
      </c>
      <c r="S95">
        <f>((E95/100)*$G$176+(G95/100)*$G$177+(I95/100)*$G$178+(K95/100)*$G$179+(M95/100)*$G$180+(O95)*$G$181+(Q95*$G$182))</f>
        <v>1453.4629189477234</v>
      </c>
    </row>
    <row r="96">
      <c r="B96">
        <v>79</v>
      </c>
      <c r="C96">
        <f>$I$13+B96</f>
        <v>40020</v>
      </c>
      <c r="E96">
        <f>IF($C$14*ReDiarioFert!C85&lt;=0,"0",$C$14*ReDiarioFert!C85)</f>
        <v>4.762645133607624</v>
      </c>
      <c r="G96">
        <f>$C$14*ReDiarioFert!E85</f>
        <v>8.681056322736612</v>
      </c>
      <c r="I96">
        <f>$C$14*ReDiarioFert!G85</f>
        <v>47.4545084136483</v>
      </c>
      <c r="K96">
        <f>$C$14*ReDiarioFert!I85</f>
        <v>26.396115405529592</v>
      </c>
      <c r="M96">
        <f>$C$14*ReDiarioFert!K85</f>
        <v>54.409237288123855</v>
      </c>
      <c r="O96">
        <f>$C$14*ReDiarioFert!M85</f>
        <v>193.64876487804878</v>
      </c>
      <c r="S96">
        <f>((E96/100)*$G$176+(G96/100)*$G$177+(I96/100)*$G$178+(K96/100)*$G$179+(M96/100)*$G$180+(O96)*$G$181+(Q96*$G$182))</f>
        <v>1378.1989189477235</v>
      </c>
    </row>
    <row r="97">
      <c r="B97">
        <v>80</v>
      </c>
      <c r="C97">
        <f>$I$13+B97</f>
        <v>40021</v>
      </c>
      <c r="E97">
        <f>IF($C$14*ReDiarioFert!C86&lt;=0,"0",$C$14*ReDiarioFert!C86)</f>
        <v>4.762645133607624</v>
      </c>
      <c r="G97">
        <f>$C$14*ReDiarioFert!E86</f>
        <v>8.681056322736612</v>
      </c>
      <c r="I97">
        <f>$C$14*ReDiarioFert!G86</f>
        <v>47.4545084136483</v>
      </c>
      <c r="K97">
        <f>$C$14*ReDiarioFert!I86</f>
        <v>26.396115405529592</v>
      </c>
      <c r="M97">
        <f>$C$14*ReDiarioFert!K86</f>
        <v>54.409237288123855</v>
      </c>
      <c r="O97">
        <f>$C$14*ReDiarioFert!M86</f>
        <v>193.64876487804878</v>
      </c>
      <c r="S97">
        <f>((E97/100)*$G$176+(G97/100)*$G$177+(I97/100)*$G$178+(K97/100)*$G$179+(M97/100)*$G$180+(O97)*$G$181+(Q97*$G$182))</f>
        <v>1378.1989189477235</v>
      </c>
    </row>
    <row r="98">
      <c r="B98">
        <v>81</v>
      </c>
      <c r="C98">
        <f>$I$13+B98</f>
        <v>40022</v>
      </c>
      <c r="E98">
        <f>IF($C$14*ReDiarioFert!C87&lt;=0,"0",$C$14*ReDiarioFert!C87)</f>
        <v>1.977019970175256</v>
      </c>
      <c r="G98">
        <f>$C$14*ReDiarioFert!E87</f>
        <v>10.541282677608741</v>
      </c>
      <c r="I98">
        <f>$C$14*ReDiarioFert!G87</f>
        <v>51.44940325459318</v>
      </c>
      <c r="K98">
        <f>$C$14*ReDiarioFert!I87</f>
        <v>28.618237365688973</v>
      </c>
      <c r="M98">
        <f>$C$14*ReDiarioFert!K87</f>
        <v>58.9896067537057</v>
      </c>
      <c r="O98">
        <f>$C$14*ReDiarioFert!M87</f>
        <v>233.71373268292683</v>
      </c>
      <c r="S98">
        <f>((E98/100)*$G$176+(G98/100)*$G$177+(I98/100)*$G$178+(K98/100)*$G$179+(M98/100)*$G$180+(O98)*$G$181+(Q98*$G$182))</f>
        <v>1508.1678688472175</v>
      </c>
    </row>
    <row r="99">
      <c r="B99">
        <v>82</v>
      </c>
      <c r="C99">
        <f>$I$13+B99</f>
        <v>40023</v>
      </c>
      <c r="E99">
        <f>IF($C$14*ReDiarioFert!C88&lt;=0,"0",$C$14*ReDiarioFert!C88)</f>
        <v>1.977019970175256</v>
      </c>
      <c r="G99">
        <f>$C$14*ReDiarioFert!E88</f>
        <v>10.541282677608741</v>
      </c>
      <c r="I99">
        <f>$C$14*ReDiarioFert!G88</f>
        <v>51.44940325459318</v>
      </c>
      <c r="K99">
        <f>$C$14*ReDiarioFert!I88</f>
        <v>28.618237365688973</v>
      </c>
      <c r="M99">
        <f>$C$14*ReDiarioFert!K88</f>
        <v>58.9896067537057</v>
      </c>
      <c r="O99">
        <f>$C$14*ReDiarioFert!M88</f>
        <v>233.71373268292683</v>
      </c>
      <c r="S99">
        <f>((E99/100)*$G$176+(G99/100)*$G$177+(I99/100)*$G$178+(K99/100)*$G$179+(M99/100)*$G$180+(O99)*$G$181+(Q99*$G$182))</f>
        <v>1508.1678688472175</v>
      </c>
    </row>
    <row r="100">
      <c r="B100">
        <v>83</v>
      </c>
      <c r="C100">
        <f>$I$13+B100</f>
        <v>40024</v>
      </c>
      <c r="E100">
        <f>IF($C$14*ReDiarioFert!C89&lt;=0,"0",$C$14*ReDiarioFert!C89)</f>
        <v>1.977019970175256</v>
      </c>
      <c r="G100">
        <f>$C$14*ReDiarioFert!E89</f>
        <v>10.541282677608741</v>
      </c>
      <c r="I100">
        <f>$C$14*ReDiarioFert!G89</f>
        <v>51.44940325459318</v>
      </c>
      <c r="K100">
        <f>$C$14*ReDiarioFert!I89</f>
        <v>28.618237365688973</v>
      </c>
      <c r="M100">
        <f>$C$14*ReDiarioFert!K89</f>
        <v>58.9896067537057</v>
      </c>
      <c r="O100">
        <f>$C$14*ReDiarioFert!M89</f>
        <v>233.71373268292683</v>
      </c>
      <c r="S100">
        <f>((E100/100)*$G$176+(G100/100)*$G$177+(I100/100)*$G$178+(K100/100)*$G$179+(M100/100)*$G$180+(O100)*$G$181+(Q100*$G$182))</f>
        <v>1508.1678688472175</v>
      </c>
    </row>
    <row r="101">
      <c r="B101">
        <v>84</v>
      </c>
      <c r="C101">
        <f>$I$13+B101</f>
        <v>40025</v>
      </c>
      <c r="E101">
        <f>IF($C$14*ReDiarioFert!C90&lt;=0,"0",$C$14*ReDiarioFert!C90)</f>
        <v>1.977019970175256</v>
      </c>
      <c r="G101">
        <f>$C$14*ReDiarioFert!E90</f>
        <v>10.541282677608741</v>
      </c>
      <c r="I101">
        <f>$C$14*ReDiarioFert!G90</f>
        <v>51.44940325459318</v>
      </c>
      <c r="K101">
        <f>$C$14*ReDiarioFert!I90</f>
        <v>28.618237365688973</v>
      </c>
      <c r="M101">
        <f>$C$14*ReDiarioFert!K90</f>
        <v>58.9896067537057</v>
      </c>
      <c r="O101">
        <f>$C$14*ReDiarioFert!M90</f>
        <v>233.71373268292683</v>
      </c>
      <c r="S101">
        <f>((E101/100)*$G$176+(G101/100)*$G$177+(I101/100)*$G$178+(K101/100)*$G$179+(M101/100)*$G$180+(O101)*$G$181+(Q101*$G$182))</f>
        <v>1508.1678688472175</v>
      </c>
    </row>
    <row r="102" ht="18" customHeight="1">
      <c r="A102">
        <v>13</v>
      </c>
      <c r="B102">
        <v>85</v>
      </c>
      <c r="C102">
        <f>$I$13+B102</f>
        <v>40026</v>
      </c>
      <c r="E102">
        <f>IF($C$14*ReDiarioFert!C91&lt;=0,"0",$C$14*ReDiarioFert!C91)</f>
        <v>1.977019970175256</v>
      </c>
      <c r="G102">
        <f>$C$14*ReDiarioFert!E91</f>
        <v>10.541282677608741</v>
      </c>
      <c r="I102">
        <f>$C$14*ReDiarioFert!G91</f>
        <v>51.44940325459318</v>
      </c>
      <c r="K102">
        <f>$C$14*ReDiarioFert!I91</f>
        <v>28.618237365688973</v>
      </c>
      <c r="M102">
        <f>$C$14*ReDiarioFert!K91</f>
        <v>58.9896067537057</v>
      </c>
      <c r="O102">
        <f>$C$14*ReDiarioFert!M91</f>
        <v>233.71373268292683</v>
      </c>
      <c r="Q102">
        <f>$C$14*Main!$D$63</f>
        <v>26.879999999999995</v>
      </c>
      <c r="S102">
        <f>((E102/100)*$G$176+(G102/100)*$G$177+(I102/100)*$G$178+(K102/100)*$G$179+(M102/100)*$G$180+(O102)*$G$181+(Q102*$G$182))</f>
        <v>1583.4318688472174</v>
      </c>
    </row>
    <row r="103" ht="18" customHeight="1">
      <c r="B103">
        <v>86</v>
      </c>
      <c r="C103">
        <f>$I$13+B103</f>
        <v>40027</v>
      </c>
      <c r="E103">
        <f>IF($C$14*ReDiarioFert!C92&lt;=0,"0",$C$14*ReDiarioFert!C92)</f>
        <v>1.977019970175256</v>
      </c>
      <c r="G103">
        <f>$C$14*ReDiarioFert!E92</f>
        <v>10.541282677608741</v>
      </c>
      <c r="I103">
        <f>$C$14*ReDiarioFert!G92</f>
        <v>51.44940325459318</v>
      </c>
      <c r="K103">
        <f>$C$14*ReDiarioFert!I92</f>
        <v>28.618237365688973</v>
      </c>
      <c r="M103">
        <f>$C$14*ReDiarioFert!K92</f>
        <v>58.9896067537057</v>
      </c>
      <c r="O103">
        <f>$C$14*ReDiarioFert!M92</f>
        <v>233.71373268292683</v>
      </c>
      <c r="S103">
        <f>((E103/100)*$G$176+(G103/100)*$G$177+(I103/100)*$G$178+(K103/100)*$G$179+(M103/100)*$G$180+(O103)*$G$181+(Q103*$G$182))</f>
        <v>1508.1678688472175</v>
      </c>
    </row>
    <row r="104" ht="18" customHeight="1">
      <c r="B104">
        <v>87</v>
      </c>
      <c r="C104">
        <f>$I$13+B104</f>
        <v>40028</v>
      </c>
      <c r="E104">
        <f>IF($C$14*ReDiarioFert!C93&lt;=0,"0",$C$14*ReDiarioFert!C93)</f>
        <v>1.977019970175256</v>
      </c>
      <c r="G104">
        <f>$C$14*ReDiarioFert!E93</f>
        <v>10.541282677608741</v>
      </c>
      <c r="I104">
        <f>$C$14*ReDiarioFert!G93</f>
        <v>51.44940325459318</v>
      </c>
      <c r="K104">
        <f>$C$14*ReDiarioFert!I93</f>
        <v>28.618237365688973</v>
      </c>
      <c r="M104">
        <f>$C$14*ReDiarioFert!K93</f>
        <v>58.9896067537057</v>
      </c>
      <c r="O104">
        <f>$C$14*ReDiarioFert!M93</f>
        <v>233.71373268292683</v>
      </c>
      <c r="S104">
        <f>((E104/100)*$G$176+(G104/100)*$G$177+(I104/100)*$G$178+(K104/100)*$G$179+(M104/100)*$G$180+(O104)*$G$181+(Q104*$G$182))</f>
        <v>1508.1678688472175</v>
      </c>
    </row>
    <row r="105" ht="18" customHeight="1">
      <c r="B105">
        <v>88</v>
      </c>
      <c r="C105">
        <f>$I$13+B105</f>
        <v>40029</v>
      </c>
      <c r="E105">
        <f>IF($C$14*ReDiarioFert!C94&lt;=0,"0",$C$14*ReDiarioFert!C94)</f>
        <v>1.977019970175256</v>
      </c>
      <c r="G105">
        <f>$C$14*ReDiarioFert!E94</f>
        <v>10.541282677608741</v>
      </c>
      <c r="I105">
        <f>$C$14*ReDiarioFert!G94</f>
        <v>51.44940325459318</v>
      </c>
      <c r="K105">
        <f>$C$14*ReDiarioFert!I94</f>
        <v>28.618237365688973</v>
      </c>
      <c r="M105">
        <f>$C$14*ReDiarioFert!K94</f>
        <v>58.9896067537057</v>
      </c>
      <c r="O105">
        <f>$C$14*ReDiarioFert!M94</f>
        <v>233.71373268292683</v>
      </c>
      <c r="S105">
        <f>((E105/100)*$G$176+(G105/100)*$G$177+(I105/100)*$G$178+(K105/100)*$G$179+(M105/100)*$G$180+(O105)*$G$181+(Q105*$G$182))</f>
        <v>1508.1678688472175</v>
      </c>
    </row>
    <row r="106" ht="18" customHeight="1">
      <c r="B106">
        <v>89</v>
      </c>
      <c r="C106">
        <f>$I$13+B106</f>
        <v>40030</v>
      </c>
      <c r="E106">
        <f>IF($C$14*ReDiarioFert!C95&lt;=0,"0",$C$14*ReDiarioFert!C95)</f>
        <v>1.977019970175256</v>
      </c>
      <c r="G106">
        <f>$C$14*ReDiarioFert!E95</f>
        <v>10.541282677608741</v>
      </c>
      <c r="I106">
        <f>$C$14*ReDiarioFert!G95</f>
        <v>51.44940325459318</v>
      </c>
      <c r="K106">
        <f>$C$14*ReDiarioFert!I95</f>
        <v>28.618237365688973</v>
      </c>
      <c r="M106">
        <f>$C$14*ReDiarioFert!K95</f>
        <v>58.9896067537057</v>
      </c>
      <c r="O106">
        <f>$C$14*ReDiarioFert!M95</f>
        <v>233.71373268292683</v>
      </c>
      <c r="S106">
        <f>((E106/100)*$G$176+(G106/100)*$G$177+(I106/100)*$G$178+(K106/100)*$G$179+(M106/100)*$G$180+(O106)*$G$181+(Q106*$G$182))</f>
        <v>1508.1678688472175</v>
      </c>
    </row>
    <row r="107" ht="18" customHeight="1">
      <c r="B107">
        <v>90</v>
      </c>
      <c r="C107">
        <f>$I$13+B107</f>
        <v>40031</v>
      </c>
      <c r="E107">
        <f>IF($C$14*ReDiarioFert!C96&lt;=0,"0",$C$14*ReDiarioFert!C96)</f>
        <v>1.977019970175256</v>
      </c>
      <c r="G107">
        <f>$C$14*ReDiarioFert!E96</f>
        <v>10.541282677608741</v>
      </c>
      <c r="I107">
        <f>$C$14*ReDiarioFert!G96</f>
        <v>51.44940325459318</v>
      </c>
      <c r="K107">
        <f>$C$14*ReDiarioFert!I96</f>
        <v>28.618237365688973</v>
      </c>
      <c r="M107">
        <f>$C$14*ReDiarioFert!K96</f>
        <v>58.9896067537057</v>
      </c>
      <c r="O107">
        <f>$C$14*ReDiarioFert!M96</f>
        <v>233.71373268292683</v>
      </c>
      <c r="S107">
        <f>((E107/100)*$G$176+(G107/100)*$G$177+(I107/100)*$G$178+(K107/100)*$G$179+(M107/100)*$G$180+(O107)*$G$181+(Q107*$G$182))</f>
        <v>1508.1678688472175</v>
      </c>
    </row>
    <row r="108" ht="18" customHeight="1">
      <c r="B108">
        <v>91</v>
      </c>
      <c r="C108">
        <f>$I$13+B108</f>
        <v>40032</v>
      </c>
      <c r="E108">
        <f>IF($C$14*ReDiarioFert!C97&lt;=0,"0",$C$14*ReDiarioFert!C97)</f>
        <v>1.977019970175256</v>
      </c>
      <c r="G108">
        <f>$C$14*ReDiarioFert!E97</f>
        <v>10.541282677608741</v>
      </c>
      <c r="I108">
        <f>$C$14*ReDiarioFert!G97</f>
        <v>51.44940325459318</v>
      </c>
      <c r="K108">
        <f>$C$14*ReDiarioFert!I97</f>
        <v>28.618237365688973</v>
      </c>
      <c r="M108">
        <f>$C$14*ReDiarioFert!K97</f>
        <v>58.9896067537057</v>
      </c>
      <c r="O108">
        <f>$C$14*ReDiarioFert!M97</f>
        <v>233.71373268292683</v>
      </c>
      <c r="S108">
        <f>((E108/100)*$G$176+(G108/100)*$G$177+(I108/100)*$G$178+(K108/100)*$G$179+(M108/100)*$G$180+(O108)*$G$181+(Q108*$G$182))</f>
        <v>1508.1678688472175</v>
      </c>
    </row>
    <row r="109">
      <c r="A109">
        <v>14</v>
      </c>
      <c r="B109">
        <v>92</v>
      </c>
      <c r="C109">
        <f>$I$13+B109</f>
        <v>40033</v>
      </c>
      <c r="E109">
        <f>IF($C$14*ReDiarioFert!C98&lt;=0,"0",$C$14*ReDiarioFert!C98)</f>
        <v>1.977019970175256</v>
      </c>
      <c r="G109">
        <f>$C$14*ReDiarioFert!E98</f>
        <v>10.541282677608741</v>
      </c>
      <c r="I109">
        <f>$C$14*ReDiarioFert!G98</f>
        <v>51.44940325459318</v>
      </c>
      <c r="K109">
        <f>$C$14*ReDiarioFert!I98</f>
        <v>28.618237365688973</v>
      </c>
      <c r="M109">
        <f>$C$14*ReDiarioFert!K98</f>
        <v>58.9896067537057</v>
      </c>
      <c r="O109">
        <f>$C$14*ReDiarioFert!M98</f>
        <v>233.71373268292683</v>
      </c>
      <c r="Q109">
        <f>$C$14*Main!$D$63</f>
        <v>26.879999999999995</v>
      </c>
      <c r="S109">
        <f>((E109/100)*$G$176+(G109/100)*$G$177+(I109/100)*$G$178+(K109/100)*$G$179+(M109/100)*$G$180+(O109)*$G$181+(Q109*$G$182))</f>
        <v>1583.4318688472174</v>
      </c>
    </row>
    <row r="110">
      <c r="B110">
        <v>93</v>
      </c>
      <c r="C110">
        <f>$I$13+B110</f>
        <v>40034</v>
      </c>
      <c r="E110">
        <f>IF($C$14*ReDiarioFert!C99&lt;=0,"0",$C$14*ReDiarioFert!C99)</f>
        <v>1.977019970175256</v>
      </c>
      <c r="G110">
        <f>$C$14*ReDiarioFert!E99</f>
        <v>10.541282677608741</v>
      </c>
      <c r="I110">
        <f>$C$14*ReDiarioFert!G99</f>
        <v>51.44940325459318</v>
      </c>
      <c r="K110">
        <f>$C$14*ReDiarioFert!I99</f>
        <v>28.618237365688973</v>
      </c>
      <c r="M110">
        <f>$C$14*ReDiarioFert!K99</f>
        <v>58.9896067537057</v>
      </c>
      <c r="O110">
        <f>$C$14*ReDiarioFert!M99</f>
        <v>233.71373268292683</v>
      </c>
      <c r="S110">
        <f>((E110/100)*$G$176+(G110/100)*$G$177+(I110/100)*$G$178+(K110/100)*$G$179+(M110/100)*$G$180+(O110)*$G$181+(Q110*$G$182))</f>
        <v>1508.1678688472175</v>
      </c>
    </row>
    <row r="111">
      <c r="B111">
        <v>94</v>
      </c>
      <c r="C111">
        <f>$I$13+B111</f>
        <v>40035</v>
      </c>
      <c r="E111">
        <f>IF($C$14*ReDiarioFert!C100&lt;=0,"0",$C$14*ReDiarioFert!C100)</f>
        <v>1.977019970175256</v>
      </c>
      <c r="G111">
        <f>$C$14*ReDiarioFert!E100</f>
        <v>10.541282677608741</v>
      </c>
      <c r="I111">
        <f>$C$14*ReDiarioFert!G100</f>
        <v>51.44940325459318</v>
      </c>
      <c r="K111">
        <f>$C$14*ReDiarioFert!I100</f>
        <v>28.618237365688973</v>
      </c>
      <c r="M111">
        <f>$C$14*ReDiarioFert!K100</f>
        <v>58.9896067537057</v>
      </c>
      <c r="O111">
        <f>$C$14*ReDiarioFert!M100</f>
        <v>233.71373268292683</v>
      </c>
      <c r="S111">
        <f>((E111/100)*$G$176+(G111/100)*$G$177+(I111/100)*$G$178+(K111/100)*$G$179+(M111/100)*$G$180+(O111)*$G$181+(Q111*$G$182))</f>
        <v>1508.1678688472175</v>
      </c>
    </row>
    <row r="112">
      <c r="B112">
        <v>95</v>
      </c>
      <c r="C112">
        <f>$I$13+B112</f>
        <v>40036</v>
      </c>
      <c r="E112">
        <f>IF($C$14*ReDiarioFert!C101&lt;=0,"0",$C$14*ReDiarioFert!C101)</f>
        <v>1.977019970175256</v>
      </c>
      <c r="G112">
        <f>$C$14*ReDiarioFert!E101</f>
        <v>10.541282677608741</v>
      </c>
      <c r="I112">
        <f>$C$14*ReDiarioFert!G101</f>
        <v>51.44940325459318</v>
      </c>
      <c r="K112">
        <f>$C$14*ReDiarioFert!I101</f>
        <v>28.618237365688973</v>
      </c>
      <c r="M112">
        <f>$C$14*ReDiarioFert!K101</f>
        <v>58.9896067537057</v>
      </c>
      <c r="O112">
        <f>$C$14*ReDiarioFert!M101</f>
        <v>233.71373268292683</v>
      </c>
      <c r="S112">
        <f>((E112/100)*$G$176+(G112/100)*$G$177+(I112/100)*$G$178+(K112/100)*$G$179+(M112/100)*$G$180+(O112)*$G$181+(Q112*$G$182))</f>
        <v>1508.1678688472175</v>
      </c>
    </row>
    <row r="113">
      <c r="B113">
        <v>96</v>
      </c>
      <c r="C113">
        <f>$I$13+B113</f>
        <v>40037</v>
      </c>
      <c r="E113">
        <f>IF($C$14*ReDiarioFert!C102&lt;=0,"0",$C$14*ReDiarioFert!C102)</f>
        <v>1.977019970175256</v>
      </c>
      <c r="G113">
        <f>$C$14*ReDiarioFert!E102</f>
        <v>10.541282677608741</v>
      </c>
      <c r="I113">
        <f>$C$14*ReDiarioFert!G102</f>
        <v>51.44940325459318</v>
      </c>
      <c r="K113">
        <f>$C$14*ReDiarioFert!I102</f>
        <v>28.618237365688973</v>
      </c>
      <c r="M113">
        <f>$C$14*ReDiarioFert!K102</f>
        <v>58.9896067537057</v>
      </c>
      <c r="O113">
        <f>$C$14*ReDiarioFert!M102</f>
        <v>233.71373268292683</v>
      </c>
      <c r="S113">
        <f>((E113/100)*$G$176+(G113/100)*$G$177+(I113/100)*$G$178+(K113/100)*$G$179+(M113/100)*$G$180+(O113)*$G$181+(Q113*$G$182))</f>
        <v>1508.1678688472175</v>
      </c>
    </row>
    <row r="114">
      <c r="B114">
        <v>97</v>
      </c>
      <c r="C114">
        <f>$I$13+B114</f>
        <v>40038</v>
      </c>
      <c r="E114">
        <f>IF($C$14*ReDiarioFert!C103&lt;=0,"0",$C$14*ReDiarioFert!C103)</f>
        <v>1.977019970175256</v>
      </c>
      <c r="G114">
        <f>$C$14*ReDiarioFert!E103</f>
        <v>10.541282677608741</v>
      </c>
      <c r="I114">
        <f>$C$14*ReDiarioFert!G103</f>
        <v>51.44940325459318</v>
      </c>
      <c r="K114">
        <f>$C$14*ReDiarioFert!I103</f>
        <v>28.618237365688973</v>
      </c>
      <c r="M114">
        <f>$C$14*ReDiarioFert!K103</f>
        <v>58.9896067537057</v>
      </c>
      <c r="O114">
        <f>$C$14*ReDiarioFert!M103</f>
        <v>233.71373268292683</v>
      </c>
      <c r="S114">
        <f>((E114/100)*$G$176+(G114/100)*$G$177+(I114/100)*$G$178+(K114/100)*$G$179+(M114/100)*$G$180+(O114)*$G$181+(Q114*$G$182))</f>
        <v>1508.1678688472175</v>
      </c>
    </row>
    <row r="115">
      <c r="B115">
        <v>98</v>
      </c>
      <c r="C115">
        <f>$I$13+B115</f>
        <v>40039</v>
      </c>
      <c r="E115">
        <f>IF($C$14*ReDiarioFert!C104&lt;=0,"0",$C$14*ReDiarioFert!C104)</f>
        <v>1.977019970175256</v>
      </c>
      <c r="G115">
        <f>$C$14*ReDiarioFert!E104</f>
        <v>10.541282677608741</v>
      </c>
      <c r="I115">
        <f>$C$14*ReDiarioFert!G104</f>
        <v>51.44940325459318</v>
      </c>
      <c r="K115">
        <f>$C$14*ReDiarioFert!I104</f>
        <v>28.618237365688973</v>
      </c>
      <c r="M115">
        <f>$C$14*ReDiarioFert!K104</f>
        <v>58.9896067537057</v>
      </c>
      <c r="O115">
        <f>$C$14*ReDiarioFert!M104</f>
        <v>233.71373268292683</v>
      </c>
      <c r="S115">
        <f>((E115/100)*$G$176+(G115/100)*$G$177+(I115/100)*$G$178+(K115/100)*$G$179+(M115/100)*$G$180+(O115)*$G$181+(Q115*$G$182))</f>
        <v>1508.1678688472175</v>
      </c>
    </row>
    <row r="116">
      <c r="A116">
        <v>15</v>
      </c>
      <c r="B116">
        <v>99</v>
      </c>
      <c r="C116">
        <f>$I$13+B116</f>
        <v>40040</v>
      </c>
      <c r="E116">
        <f>IF($C$14*ReDiarioFert!C105&lt;=0,"0",$C$14*ReDiarioFert!C105)</f>
        <v>1.977019970175256</v>
      </c>
      <c r="G116">
        <f>$C$14*ReDiarioFert!E105</f>
        <v>10.541282677608741</v>
      </c>
      <c r="I116">
        <f>$C$14*ReDiarioFert!G105</f>
        <v>51.44940325459318</v>
      </c>
      <c r="K116">
        <f>$C$14*ReDiarioFert!I105</f>
        <v>28.618237365688973</v>
      </c>
      <c r="M116">
        <f>$C$14*ReDiarioFert!K105</f>
        <v>58.9896067537057</v>
      </c>
      <c r="O116">
        <f>$C$14*ReDiarioFert!M105</f>
        <v>233.71373268292683</v>
      </c>
      <c r="Q116">
        <f>$C$14*Main!$D$63</f>
        <v>26.879999999999995</v>
      </c>
      <c r="S116">
        <f>((E116/100)*$G$176+(G116/100)*$G$177+(I116/100)*$G$178+(K116/100)*$G$179+(M116/100)*$G$180+(O116)*$G$181+(Q116*$G$182))</f>
        <v>1583.4318688472174</v>
      </c>
    </row>
    <row r="117">
      <c r="B117">
        <v>100</v>
      </c>
      <c r="C117">
        <f>$I$13+B117</f>
        <v>40041</v>
      </c>
      <c r="E117">
        <f>IF($C$14*ReDiarioFert!C106&lt;=0,"0",$C$14*ReDiarioFert!C106)</f>
        <v>1.977019970175256</v>
      </c>
      <c r="G117">
        <f>$C$14*ReDiarioFert!E106</f>
        <v>10.541282677608741</v>
      </c>
      <c r="I117">
        <f>$C$14*ReDiarioFert!G106</f>
        <v>51.44940325459318</v>
      </c>
      <c r="K117">
        <f>$C$14*ReDiarioFert!I106</f>
        <v>28.618237365688973</v>
      </c>
      <c r="M117">
        <f>$C$14*ReDiarioFert!K106</f>
        <v>58.9896067537057</v>
      </c>
      <c r="O117">
        <f>$C$14*ReDiarioFert!M106</f>
        <v>233.71373268292683</v>
      </c>
      <c r="S117">
        <f>((E117/100)*$G$176+(G117/100)*$G$177+(I117/100)*$G$178+(K117/100)*$G$179+(M117/100)*$G$180+(O117)*$G$181+(Q117*$G$182))</f>
        <v>1508.1678688472175</v>
      </c>
    </row>
    <row r="118">
      <c r="B118">
        <v>101</v>
      </c>
      <c r="C118">
        <f>$I$13+B118</f>
        <v>40042</v>
      </c>
      <c r="E118">
        <f>IF($C$14*ReDiarioFert!C107&lt;=0,"0",$C$14*ReDiarioFert!C107)</f>
        <v>1.977019970175256</v>
      </c>
      <c r="G118">
        <f>$C$14*ReDiarioFert!E107</f>
        <v>10.541282677608741</v>
      </c>
      <c r="I118">
        <f>$C$14*ReDiarioFert!G107</f>
        <v>51.44940325459318</v>
      </c>
      <c r="K118">
        <f>$C$14*ReDiarioFert!I107</f>
        <v>28.618237365688973</v>
      </c>
      <c r="M118">
        <f>$C$14*ReDiarioFert!K107</f>
        <v>58.9896067537057</v>
      </c>
      <c r="O118">
        <f>$C$14*ReDiarioFert!M107</f>
        <v>233.71373268292683</v>
      </c>
      <c r="S118">
        <f>((E118/100)*$G$176+(G118/100)*$G$177+(I118/100)*$G$178+(K118/100)*$G$179+(M118/100)*$G$180+(O118)*$G$181+(Q118*$G$182))</f>
        <v>1508.1678688472175</v>
      </c>
    </row>
    <row r="119">
      <c r="B119">
        <v>102</v>
      </c>
      <c r="C119">
        <f>$I$13+B119</f>
        <v>40043</v>
      </c>
      <c r="E119">
        <f>IF($C$14*ReDiarioFert!C108&lt;=0,"0",$C$14*ReDiarioFert!C108)</f>
        <v>1.977019970175256</v>
      </c>
      <c r="G119">
        <f>$C$14*ReDiarioFert!E108</f>
        <v>10.541282677608741</v>
      </c>
      <c r="I119">
        <f>$C$14*ReDiarioFert!G108</f>
        <v>51.44940325459318</v>
      </c>
      <c r="K119">
        <f>$C$14*ReDiarioFert!I108</f>
        <v>28.618237365688973</v>
      </c>
      <c r="M119">
        <f>$C$14*ReDiarioFert!K108</f>
        <v>58.9896067537057</v>
      </c>
      <c r="O119">
        <f>$C$14*ReDiarioFert!M108</f>
        <v>233.71373268292683</v>
      </c>
      <c r="S119">
        <f>((E119/100)*$G$176+(G119/100)*$G$177+(I119/100)*$G$178+(K119/100)*$G$179+(M119/100)*$G$180+(O119)*$G$181+(Q119*$G$182))</f>
        <v>1508.1678688472175</v>
      </c>
    </row>
    <row r="120">
      <c r="B120">
        <v>103</v>
      </c>
      <c r="C120">
        <f>$I$13+B120</f>
        <v>40044</v>
      </c>
      <c r="E120">
        <f>IF($C$14*ReDiarioFert!C109&lt;=0,"0",$C$14*ReDiarioFert!C109)</f>
        <v>1.977019970175256</v>
      </c>
      <c r="G120">
        <f>$C$14*ReDiarioFert!E109</f>
        <v>10.541282677608741</v>
      </c>
      <c r="I120">
        <f>$C$14*ReDiarioFert!G109</f>
        <v>51.44940325459318</v>
      </c>
      <c r="K120">
        <f>$C$14*ReDiarioFert!I109</f>
        <v>28.618237365688973</v>
      </c>
      <c r="M120">
        <f>$C$14*ReDiarioFert!K109</f>
        <v>58.9896067537057</v>
      </c>
      <c r="O120">
        <f>$C$14*ReDiarioFert!M109</f>
        <v>233.71373268292683</v>
      </c>
      <c r="S120">
        <f>((E120/100)*$G$176+(G120/100)*$G$177+(I120/100)*$G$178+(K120/100)*$G$179+(M120/100)*$G$180+(O120)*$G$181+(Q120*$G$182))</f>
        <v>1508.1678688472175</v>
      </c>
    </row>
    <row r="121">
      <c r="B121">
        <v>104</v>
      </c>
      <c r="C121">
        <f>$I$13+B121</f>
        <v>40045</v>
      </c>
      <c r="E121">
        <f>IF($C$14*ReDiarioFert!C110&lt;=0,"0",$C$14*ReDiarioFert!C110)</f>
        <v>1.977019970175256</v>
      </c>
      <c r="G121">
        <f>$C$14*ReDiarioFert!E110</f>
        <v>10.541282677608741</v>
      </c>
      <c r="I121">
        <f>$C$14*ReDiarioFert!G110</f>
        <v>51.44940325459318</v>
      </c>
      <c r="K121">
        <f>$C$14*ReDiarioFert!I110</f>
        <v>28.618237365688973</v>
      </c>
      <c r="M121">
        <f>$C$14*ReDiarioFert!K110</f>
        <v>58.9896067537057</v>
      </c>
      <c r="O121">
        <f>$C$14*ReDiarioFert!M110</f>
        <v>233.71373268292683</v>
      </c>
      <c r="S121">
        <f>((E121/100)*$G$176+(G121/100)*$G$177+(I121/100)*$G$178+(K121/100)*$G$179+(M121/100)*$G$180+(O121)*$G$181+(Q121*$G$182))</f>
        <v>1508.1678688472175</v>
      </c>
    </row>
    <row r="122">
      <c r="B122">
        <v>105</v>
      </c>
      <c r="C122">
        <f>$I$13+B122</f>
        <v>40046</v>
      </c>
      <c r="E122">
        <f>IF($C$14*ReDiarioFert!C111&lt;=0,"0",$C$14*ReDiarioFert!C111)</f>
        <v>1.977019970175256</v>
      </c>
      <c r="G122">
        <f>$C$14*ReDiarioFert!E111</f>
        <v>10.541282677608741</v>
      </c>
      <c r="I122">
        <f>$C$14*ReDiarioFert!G111</f>
        <v>51.44940325459318</v>
      </c>
      <c r="K122">
        <f>$C$14*ReDiarioFert!I111</f>
        <v>28.618237365688973</v>
      </c>
      <c r="M122">
        <f>$C$14*ReDiarioFert!K111</f>
        <v>58.9896067537057</v>
      </c>
      <c r="O122">
        <f>$C$14*ReDiarioFert!M111</f>
        <v>233.71373268292683</v>
      </c>
      <c r="S122">
        <f>((E122/100)*$G$176+(G122/100)*$G$177+(I122/100)*$G$178+(K122/100)*$G$179+(M122/100)*$G$180+(O122)*$G$181+(Q122*$G$182))</f>
        <v>1508.1678688472175</v>
      </c>
    </row>
    <row r="123">
      <c r="A123">
        <v>16</v>
      </c>
      <c r="B123">
        <v>106</v>
      </c>
      <c r="C123">
        <f>$I$13+B123</f>
        <v>40047</v>
      </c>
      <c r="E123">
        <f>IF($C$14*ReDiarioFert!C112&lt;=0,"0",$C$14*ReDiarioFert!C112)</f>
        <v>1.977019970175256</v>
      </c>
      <c r="G123">
        <f>$C$14*ReDiarioFert!E112</f>
        <v>10.541282677608741</v>
      </c>
      <c r="I123">
        <f>$C$14*ReDiarioFert!G112</f>
        <v>51.44940325459318</v>
      </c>
      <c r="K123">
        <f>$C$14*ReDiarioFert!I112</f>
        <v>28.618237365688973</v>
      </c>
      <c r="M123">
        <f>$C$14*ReDiarioFert!K112</f>
        <v>58.9896067537057</v>
      </c>
      <c r="O123">
        <f>$C$14*ReDiarioFert!M112</f>
        <v>233.71373268292683</v>
      </c>
      <c r="Q123">
        <f>$C$14*Main!$D$63</f>
        <v>26.879999999999995</v>
      </c>
      <c r="S123">
        <f>((E123/100)*$G$176+(G123/100)*$G$177+(I123/100)*$G$178+(K123/100)*$G$179+(M123/100)*$G$180+(O123)*$G$181+(Q123*$G$182))</f>
        <v>1583.4318688472174</v>
      </c>
    </row>
    <row r="124">
      <c r="B124">
        <v>107</v>
      </c>
      <c r="C124">
        <f>$I$13+B124</f>
        <v>40048</v>
      </c>
      <c r="E124">
        <f>IF($C$14*ReDiarioFert!C113&lt;=0,"0",$C$14*ReDiarioFert!C113)</f>
        <v>1.977019970175256</v>
      </c>
      <c r="G124">
        <f>$C$14*ReDiarioFert!E113</f>
        <v>10.541282677608741</v>
      </c>
      <c r="I124">
        <f>$C$14*ReDiarioFert!G113</f>
        <v>51.44940325459318</v>
      </c>
      <c r="K124">
        <f>$C$14*ReDiarioFert!I113</f>
        <v>28.618237365688973</v>
      </c>
      <c r="M124">
        <f>$C$14*ReDiarioFert!K113</f>
        <v>58.9896067537057</v>
      </c>
      <c r="O124">
        <f>$C$14*ReDiarioFert!M113</f>
        <v>233.71373268292683</v>
      </c>
      <c r="S124">
        <f>((E124/100)*$G$176+(G124/100)*$G$177+(I124/100)*$G$178+(K124/100)*$G$179+(M124/100)*$G$180+(O124)*$G$181+(Q124*$G$182))</f>
        <v>1508.1678688472175</v>
      </c>
    </row>
    <row r="125">
      <c r="B125">
        <v>108</v>
      </c>
      <c r="C125">
        <f>$I$13+B125</f>
        <v>40049</v>
      </c>
      <c r="E125">
        <f>IF($C$14*ReDiarioFert!C114&lt;=0,"0",$C$14*ReDiarioFert!C114)</f>
        <v>1.977019970175256</v>
      </c>
      <c r="G125">
        <f>$C$14*ReDiarioFert!E114</f>
        <v>10.541282677608741</v>
      </c>
      <c r="I125">
        <f>$C$14*ReDiarioFert!G114</f>
        <v>51.44940325459318</v>
      </c>
      <c r="K125">
        <f>$C$14*ReDiarioFert!I114</f>
        <v>28.618237365688973</v>
      </c>
      <c r="M125">
        <f>$C$14*ReDiarioFert!K114</f>
        <v>58.9896067537057</v>
      </c>
      <c r="O125">
        <f>$C$14*ReDiarioFert!M114</f>
        <v>233.71373268292683</v>
      </c>
      <c r="S125">
        <f>((E125/100)*$G$176+(G125/100)*$G$177+(I125/100)*$G$178+(K125/100)*$G$179+(M125/100)*$G$180+(O125)*$G$181+(Q125*$G$182))</f>
        <v>1508.1678688472175</v>
      </c>
    </row>
    <row r="126">
      <c r="B126">
        <v>109</v>
      </c>
      <c r="C126">
        <f>$I$13+B126</f>
        <v>40050</v>
      </c>
      <c r="E126">
        <f>IF($C$14*ReDiarioFert!C115&lt;=0,"0",$C$14*ReDiarioFert!C115)</f>
        <v>1.977019970175256</v>
      </c>
      <c r="G126">
        <f>$C$14*ReDiarioFert!E115</f>
        <v>10.541282677608741</v>
      </c>
      <c r="I126">
        <f>$C$14*ReDiarioFert!G115</f>
        <v>51.44940325459318</v>
      </c>
      <c r="K126">
        <f>$C$14*ReDiarioFert!I115</f>
        <v>28.618237365688973</v>
      </c>
      <c r="M126">
        <f>$C$14*ReDiarioFert!K115</f>
        <v>58.9896067537057</v>
      </c>
      <c r="O126">
        <f>$C$14*ReDiarioFert!M115</f>
        <v>233.71373268292683</v>
      </c>
      <c r="S126">
        <f>((E126/100)*$G$176+(G126/100)*$G$177+(I126/100)*$G$178+(K126/100)*$G$179+(M126/100)*$G$180+(O126)*$G$181+(Q126*$G$182))</f>
        <v>1508.1678688472175</v>
      </c>
    </row>
    <row r="127">
      <c r="B127">
        <v>110</v>
      </c>
      <c r="C127">
        <f>$I$13+B127</f>
        <v>40051</v>
      </c>
      <c r="E127">
        <f>IF($C$14*ReDiarioFert!C116&lt;=0,"0",$C$14*ReDiarioFert!C116)</f>
        <v>1.977019970175256</v>
      </c>
      <c r="G127">
        <f>$C$14*ReDiarioFert!E116</f>
        <v>10.541282677608741</v>
      </c>
      <c r="I127">
        <f>$C$14*ReDiarioFert!G116</f>
        <v>51.44940325459318</v>
      </c>
      <c r="K127">
        <f>$C$14*ReDiarioFert!I116</f>
        <v>28.618237365688973</v>
      </c>
      <c r="M127">
        <f>$C$14*ReDiarioFert!K116</f>
        <v>58.9896067537057</v>
      </c>
      <c r="O127">
        <f>$C$14*ReDiarioFert!M116</f>
        <v>233.71373268292683</v>
      </c>
      <c r="S127">
        <f>((E127/100)*$G$176+(G127/100)*$G$177+(I127/100)*$G$178+(K127/100)*$G$179+(M127/100)*$G$180+(O127)*$G$181+(Q127*$G$182))</f>
        <v>1508.1678688472175</v>
      </c>
    </row>
    <row r="128">
      <c r="B128">
        <v>111</v>
      </c>
      <c r="C128">
        <f>$I$13+B128</f>
        <v>40052</v>
      </c>
      <c r="E128">
        <f>IF($C$14*ReDiarioFert!C117&lt;=0,"0",$C$14*ReDiarioFert!C117)</f>
        <v>1.977019970175256</v>
      </c>
      <c r="G128">
        <f>$C$14*ReDiarioFert!E117</f>
        <v>10.541282677608741</v>
      </c>
      <c r="I128">
        <f>$C$14*ReDiarioFert!G117</f>
        <v>51.44940325459318</v>
      </c>
      <c r="K128">
        <f>$C$14*ReDiarioFert!I117</f>
        <v>28.618237365688973</v>
      </c>
      <c r="M128">
        <f>$C$14*ReDiarioFert!K117</f>
        <v>58.9896067537057</v>
      </c>
      <c r="O128">
        <f>$C$14*ReDiarioFert!M117</f>
        <v>233.71373268292683</v>
      </c>
      <c r="S128">
        <f>((E128/100)*$G$176+(G128/100)*$G$177+(I128/100)*$G$178+(K128/100)*$G$179+(M128/100)*$G$180+(O128)*$G$181+(Q128*$G$182))</f>
        <v>1508.1678688472175</v>
      </c>
    </row>
    <row r="129">
      <c r="B129">
        <v>112</v>
      </c>
      <c r="C129">
        <f>$I$13+B129</f>
        <v>40053</v>
      </c>
      <c r="E129">
        <f>IF($C$14*ReDiarioFert!C118&lt;=0,"0",$C$14*ReDiarioFert!C118)</f>
        <v>1.977019970175256</v>
      </c>
      <c r="G129">
        <f>$C$14*ReDiarioFert!E118</f>
        <v>10.541282677608741</v>
      </c>
      <c r="I129">
        <f>$C$14*ReDiarioFert!G118</f>
        <v>51.44940325459318</v>
      </c>
      <c r="K129">
        <f>$C$14*ReDiarioFert!I118</f>
        <v>28.618237365688973</v>
      </c>
      <c r="M129">
        <f>$C$14*ReDiarioFert!K118</f>
        <v>58.9896067537057</v>
      </c>
      <c r="O129">
        <f>$C$14*ReDiarioFert!M118</f>
        <v>233.71373268292683</v>
      </c>
      <c r="S129">
        <f>((E129/100)*$G$176+(G129/100)*$G$177+(I129/100)*$G$178+(K129/100)*$G$179+(M129/100)*$G$180+(O129)*$G$181+(Q129*$G$182))</f>
        <v>1508.1678688472175</v>
      </c>
    </row>
    <row r="130">
      <c r="A130">
        <v>17</v>
      </c>
      <c r="B130">
        <v>113</v>
      </c>
      <c r="C130">
        <f>$I$13+B130</f>
        <v>40054</v>
      </c>
      <c r="E130">
        <f>IF($C$14*ReDiarioFert!C119&lt;=0,"0",$C$14*ReDiarioFert!C119)</f>
        <v>1.977019970175256</v>
      </c>
      <c r="G130">
        <f>$C$14*ReDiarioFert!E119</f>
        <v>10.541282677608741</v>
      </c>
      <c r="I130">
        <f>$C$14*ReDiarioFert!G119</f>
        <v>51.44940325459318</v>
      </c>
      <c r="K130">
        <f>$C$14*ReDiarioFert!I119</f>
        <v>28.618237365688973</v>
      </c>
      <c r="M130">
        <f>$C$14*ReDiarioFert!K119</f>
        <v>58.9896067537057</v>
      </c>
      <c r="O130">
        <f>$C$14*ReDiarioFert!M119</f>
        <v>233.71373268292683</v>
      </c>
      <c r="Q130">
        <f>$C$14*Main!$D$63</f>
        <v>26.879999999999995</v>
      </c>
      <c r="S130">
        <f>((E130/100)*$G$176+(G130/100)*$G$177+(I130/100)*$G$178+(K130/100)*$G$179+(M130/100)*$G$180+(O130)*$G$181+(Q130*$G$182))</f>
        <v>1583.4318688472174</v>
      </c>
    </row>
    <row r="131">
      <c r="B131">
        <v>114</v>
      </c>
      <c r="C131">
        <f>$I$13+B131</f>
        <v>40055</v>
      </c>
      <c r="E131">
        <f>IF($C$14*ReDiarioFert!C120&lt;=0,"0",$C$14*ReDiarioFert!C120)</f>
        <v>1.977019970175256</v>
      </c>
      <c r="G131">
        <f>$C$14*ReDiarioFert!E120</f>
        <v>10.541282677608741</v>
      </c>
      <c r="I131">
        <f>$C$14*ReDiarioFert!G120</f>
        <v>51.44940325459318</v>
      </c>
      <c r="K131">
        <f>$C$14*ReDiarioFert!I120</f>
        <v>28.618237365688973</v>
      </c>
      <c r="M131">
        <f>$C$14*ReDiarioFert!K120</f>
        <v>58.9896067537057</v>
      </c>
      <c r="O131">
        <f>$C$14*ReDiarioFert!M120</f>
        <v>233.71373268292683</v>
      </c>
      <c r="S131">
        <f>((E131/100)*$G$176+(G131/100)*$G$177+(I131/100)*$G$178+(K131/100)*$G$179+(M131/100)*$G$180+(O131)*$G$181+(Q131*$G$182))</f>
        <v>1508.1678688472175</v>
      </c>
    </row>
    <row r="132">
      <c r="B132">
        <v>115</v>
      </c>
      <c r="C132">
        <f>$I$13+B132</f>
        <v>40056</v>
      </c>
      <c r="E132">
        <f>IF($C$14*ReDiarioFert!C121&lt;=0,"0",$C$14*ReDiarioFert!C121)</f>
        <v>1.977019970175256</v>
      </c>
      <c r="G132">
        <f>$C$14*ReDiarioFert!E121</f>
        <v>10.541282677608741</v>
      </c>
      <c r="I132">
        <f>$C$14*ReDiarioFert!G121</f>
        <v>51.44940325459318</v>
      </c>
      <c r="K132">
        <f>$C$14*ReDiarioFert!I121</f>
        <v>28.618237365688973</v>
      </c>
      <c r="M132">
        <f>$C$14*ReDiarioFert!K121</f>
        <v>58.9896067537057</v>
      </c>
      <c r="O132">
        <f>$C$14*ReDiarioFert!M121</f>
        <v>233.71373268292683</v>
      </c>
      <c r="S132">
        <f>((E132/100)*$G$176+(G132/100)*$G$177+(I132/100)*$G$178+(K132/100)*$G$179+(M132/100)*$G$180+(O132)*$G$181+(Q132*$G$182))</f>
        <v>1508.1678688472175</v>
      </c>
    </row>
    <row r="133">
      <c r="B133">
        <v>116</v>
      </c>
      <c r="C133">
        <f>$I$13+B133</f>
        <v>40057</v>
      </c>
      <c r="E133">
        <f>IF($C$14*ReDiarioFert!C122&lt;=0,"0",$C$14*ReDiarioFert!C122)</f>
        <v>1.977019970175256</v>
      </c>
      <c r="G133">
        <f>$C$14*ReDiarioFert!E122</f>
        <v>10.541282677608741</v>
      </c>
      <c r="I133">
        <f>$C$14*ReDiarioFert!G122</f>
        <v>51.44940325459318</v>
      </c>
      <c r="K133">
        <f>$C$14*ReDiarioFert!I122</f>
        <v>28.618237365688973</v>
      </c>
      <c r="M133">
        <f>$C$14*ReDiarioFert!K122</f>
        <v>58.9896067537057</v>
      </c>
      <c r="O133">
        <f>$C$14*ReDiarioFert!M122</f>
        <v>233.71373268292683</v>
      </c>
      <c r="S133">
        <f>((E133/100)*$G$176+(G133/100)*$G$177+(I133/100)*$G$178+(K133/100)*$G$179+(M133/100)*$G$180+(O133)*$G$181+(Q133*$G$182))</f>
        <v>1508.1678688472175</v>
      </c>
    </row>
    <row r="134">
      <c r="B134">
        <v>117</v>
      </c>
      <c r="C134">
        <f>$I$13+B134</f>
        <v>40058</v>
      </c>
      <c r="E134">
        <f>IF($C$14*ReDiarioFert!C123&lt;=0,"0",$C$14*ReDiarioFert!C123)</f>
        <v>1.977019970175256</v>
      </c>
      <c r="G134">
        <f>$C$14*ReDiarioFert!E123</f>
        <v>10.541282677608741</v>
      </c>
      <c r="I134">
        <f>$C$14*ReDiarioFert!G123</f>
        <v>51.44940325459318</v>
      </c>
      <c r="K134">
        <f>$C$14*ReDiarioFert!I123</f>
        <v>28.618237365688973</v>
      </c>
      <c r="M134">
        <f>$C$14*ReDiarioFert!K123</f>
        <v>58.9896067537057</v>
      </c>
      <c r="O134">
        <f>$C$14*ReDiarioFert!M123</f>
        <v>233.71373268292683</v>
      </c>
      <c r="S134">
        <f>((E134/100)*$G$176+(G134/100)*$G$177+(I134/100)*$G$178+(K134/100)*$G$179+(M134/100)*$G$180+(O134)*$G$181+(Q134*$G$182))</f>
        <v>1508.1678688472175</v>
      </c>
    </row>
    <row r="135">
      <c r="B135">
        <v>118</v>
      </c>
      <c r="C135">
        <f>$I$13+B135</f>
        <v>40059</v>
      </c>
      <c r="E135">
        <f>IF($C$14*ReDiarioFert!C124&lt;=0,"0",$C$14*ReDiarioFert!C124)</f>
        <v>1.977019970175256</v>
      </c>
      <c r="G135">
        <f>$C$14*ReDiarioFert!E124</f>
        <v>10.541282677608741</v>
      </c>
      <c r="I135">
        <f>$C$14*ReDiarioFert!G124</f>
        <v>51.44940325459318</v>
      </c>
      <c r="K135">
        <f>$C$14*ReDiarioFert!I124</f>
        <v>28.618237365688973</v>
      </c>
      <c r="M135">
        <f>$C$14*ReDiarioFert!K124</f>
        <v>58.9896067537057</v>
      </c>
      <c r="O135">
        <f>$C$14*ReDiarioFert!M124</f>
        <v>233.71373268292683</v>
      </c>
      <c r="S135">
        <f>((E135/100)*$G$176+(G135/100)*$G$177+(I135/100)*$G$178+(K135/100)*$G$179+(M135/100)*$G$180+(O135)*$G$181+(Q135*$G$182))</f>
        <v>1508.1678688472175</v>
      </c>
    </row>
    <row r="136">
      <c r="B136">
        <v>119</v>
      </c>
      <c r="C136">
        <f>$I$13+B136</f>
        <v>40060</v>
      </c>
      <c r="E136">
        <f>IF($C$14*ReDiarioFert!C125&lt;=0,"0",$C$14*ReDiarioFert!C125)</f>
        <v>1.977019970175256</v>
      </c>
      <c r="G136">
        <f>$C$14*ReDiarioFert!E125</f>
        <v>10.541282677608741</v>
      </c>
      <c r="I136">
        <f>$C$14*ReDiarioFert!G125</f>
        <v>51.44940325459318</v>
      </c>
      <c r="K136">
        <f>$C$14*ReDiarioFert!I125</f>
        <v>28.618237365688973</v>
      </c>
      <c r="M136">
        <f>$C$14*ReDiarioFert!K125</f>
        <v>58.9896067537057</v>
      </c>
      <c r="O136">
        <f>$C$14*ReDiarioFert!M125</f>
        <v>233.71373268292683</v>
      </c>
      <c r="S136">
        <f>((E136/100)*$G$176+(G136/100)*$G$177+(I136/100)*$G$178+(K136/100)*$G$179+(M136/100)*$G$180+(O136)*$G$181+(Q136*$G$182))</f>
        <v>1508.1678688472175</v>
      </c>
    </row>
    <row r="137">
      <c r="A137">
        <v>18</v>
      </c>
      <c r="B137">
        <v>120</v>
      </c>
      <c r="C137">
        <f>$I$13+B137</f>
        <v>40061</v>
      </c>
      <c r="E137">
        <f>IF($C$14*ReDiarioFert!C126&lt;=0,"0",$C$14*ReDiarioFert!C126)</f>
        <v>1.977019970175256</v>
      </c>
      <c r="G137">
        <f>$C$14*ReDiarioFert!E126</f>
        <v>10.541282677608741</v>
      </c>
      <c r="I137">
        <f>$C$14*ReDiarioFert!G126</f>
        <v>51.44940325459318</v>
      </c>
      <c r="K137">
        <f>$C$14*ReDiarioFert!I126</f>
        <v>28.618237365688973</v>
      </c>
      <c r="M137">
        <f>$C$14*ReDiarioFert!K126</f>
        <v>58.9896067537057</v>
      </c>
      <c r="O137">
        <f>$C$14*ReDiarioFert!M126</f>
        <v>233.71373268292683</v>
      </c>
      <c r="Q137">
        <f>$C$14*Main!$D$63</f>
        <v>26.879999999999995</v>
      </c>
      <c r="S137">
        <f>((E137/100)*$G$176+(G137/100)*$G$177+(I137/100)*$G$178+(K137/100)*$G$179+(M137/100)*$G$180+(O137)*$G$181+(Q137*$G$182))</f>
        <v>1583.4318688472174</v>
      </c>
    </row>
    <row r="138">
      <c r="B138">
        <v>121</v>
      </c>
      <c r="C138">
        <f>$I$13+B138</f>
        <v>40062</v>
      </c>
      <c r="E138">
        <f>IF($C$14*ReDiarioFert!C127&lt;=0,"0",$C$14*ReDiarioFert!C127)</f>
        <v>1.977019970175256</v>
      </c>
      <c r="G138">
        <f>$C$14*ReDiarioFert!E127</f>
        <v>10.541282677608741</v>
      </c>
      <c r="I138">
        <f>$C$14*ReDiarioFert!G127</f>
        <v>51.44940325459318</v>
      </c>
      <c r="K138">
        <f>$C$14*ReDiarioFert!I127</f>
        <v>28.618237365688973</v>
      </c>
      <c r="M138">
        <f>$C$14*ReDiarioFert!K127</f>
        <v>58.9896067537057</v>
      </c>
      <c r="O138">
        <f>$C$14*ReDiarioFert!M127</f>
        <v>233.71373268292683</v>
      </c>
      <c r="S138">
        <f>((E138/100)*$G$176+(G138/100)*$G$177+(I138/100)*$G$178+(K138/100)*$G$179+(M138/100)*$G$180+(O138)*$G$181+(Q138*$G$182))</f>
        <v>1508.1678688472175</v>
      </c>
    </row>
    <row r="139">
      <c r="B139">
        <v>122</v>
      </c>
      <c r="C139">
        <f>$I$13+B139</f>
        <v>40063</v>
      </c>
      <c r="E139">
        <f>IF($C$14*ReDiarioFert!C128&lt;=0,"0",$C$14*ReDiarioFert!C128)</f>
        <v>1.977019970175256</v>
      </c>
      <c r="G139">
        <f>$C$14*ReDiarioFert!E128</f>
        <v>10.541282677608741</v>
      </c>
      <c r="I139">
        <f>$C$14*ReDiarioFert!G128</f>
        <v>51.44940325459318</v>
      </c>
      <c r="K139">
        <f>$C$14*ReDiarioFert!I128</f>
        <v>28.618237365688973</v>
      </c>
      <c r="M139">
        <f>$C$14*ReDiarioFert!K128</f>
        <v>58.9896067537057</v>
      </c>
      <c r="O139">
        <f>$C$14*ReDiarioFert!M128</f>
        <v>233.71373268292683</v>
      </c>
      <c r="S139">
        <f>((E139/100)*$G$176+(G139/100)*$G$177+(I139/100)*$G$178+(K139/100)*$G$179+(M139/100)*$G$180+(O139)*$G$181+(Q139*$G$182))</f>
        <v>1508.1678688472175</v>
      </c>
    </row>
    <row r="140">
      <c r="B140">
        <v>123</v>
      </c>
      <c r="C140">
        <f>$I$13+B140</f>
        <v>40064</v>
      </c>
      <c r="E140">
        <f>IF($C$14*ReDiarioFert!C129&lt;=0,"0",$C$14*ReDiarioFert!C129)</f>
        <v>1.977019970175256</v>
      </c>
      <c r="G140">
        <f>$C$14*ReDiarioFert!E129</f>
        <v>10.541282677608741</v>
      </c>
      <c r="I140">
        <f>$C$14*ReDiarioFert!G129</f>
        <v>51.44940325459318</v>
      </c>
      <c r="K140">
        <f>$C$14*ReDiarioFert!I129</f>
        <v>28.618237365688973</v>
      </c>
      <c r="M140">
        <f>$C$14*ReDiarioFert!K129</f>
        <v>58.9896067537057</v>
      </c>
      <c r="O140">
        <f>$C$14*ReDiarioFert!M129</f>
        <v>233.71373268292683</v>
      </c>
      <c r="S140">
        <f>((E140/100)*$G$176+(G140/100)*$G$177+(I140/100)*$G$178+(K140/100)*$G$179+(M140/100)*$G$180+(O140)*$G$181+(Q140*$G$182))</f>
        <v>1508.1678688472175</v>
      </c>
    </row>
    <row r="141">
      <c r="B141">
        <v>124</v>
      </c>
      <c r="C141">
        <f>$I$13+B141</f>
        <v>40065</v>
      </c>
      <c r="E141">
        <f>IF($C$14*ReDiarioFert!C130&lt;=0,"0",$C$14*ReDiarioFert!C130)</f>
        <v>1.977019970175256</v>
      </c>
      <c r="G141">
        <f>$C$14*ReDiarioFert!E130</f>
        <v>10.541282677608741</v>
      </c>
      <c r="I141">
        <f>$C$14*ReDiarioFert!G130</f>
        <v>51.44940325459318</v>
      </c>
      <c r="K141">
        <f>$C$14*ReDiarioFert!I130</f>
        <v>28.618237365688973</v>
      </c>
      <c r="M141">
        <f>$C$14*ReDiarioFert!K130</f>
        <v>58.9896067537057</v>
      </c>
      <c r="O141">
        <f>$C$14*ReDiarioFert!M130</f>
        <v>233.71373268292683</v>
      </c>
      <c r="S141">
        <f>((E141/100)*$G$176+(G141/100)*$G$177+(I141/100)*$G$178+(K141/100)*$G$179+(M141/100)*$G$180+(O141)*$G$181+(Q141*$G$182))</f>
        <v>1508.1678688472175</v>
      </c>
    </row>
    <row r="142">
      <c r="B142">
        <v>125</v>
      </c>
      <c r="C142">
        <f>$I$13+B142</f>
        <v>40066</v>
      </c>
      <c r="E142">
        <f>IF($C$14*ReDiarioFert!C131&lt;=0,"0",$C$14*ReDiarioFert!C131)</f>
        <v>1.977019970175256</v>
      </c>
      <c r="G142">
        <f>$C$14*ReDiarioFert!E131</f>
        <v>10.541282677608741</v>
      </c>
      <c r="I142">
        <f>$C$14*ReDiarioFert!G131</f>
        <v>51.44940325459318</v>
      </c>
      <c r="K142">
        <f>$C$14*ReDiarioFert!I131</f>
        <v>28.618237365688973</v>
      </c>
      <c r="M142">
        <f>$C$14*ReDiarioFert!K131</f>
        <v>58.9896067537057</v>
      </c>
      <c r="O142">
        <f>$C$14*ReDiarioFert!M131</f>
        <v>233.71373268292683</v>
      </c>
      <c r="S142">
        <f>((E142/100)*$G$176+(G142/100)*$G$177+(I142/100)*$G$178+(K142/100)*$G$179+(M142/100)*$G$180+(O142)*$G$181+(Q142*$G$182))</f>
        <v>1508.1678688472175</v>
      </c>
    </row>
    <row r="143">
      <c r="B143">
        <v>126</v>
      </c>
      <c r="C143">
        <f>$I$13+B143</f>
        <v>40067</v>
      </c>
      <c r="E143">
        <f>IF($C$14*ReDiarioFert!C132&lt;=0,"0",$C$14*ReDiarioFert!C132)</f>
        <v>1.977019970175256</v>
      </c>
      <c r="G143">
        <f>$C$14*ReDiarioFert!E132</f>
        <v>10.541282677608741</v>
      </c>
      <c r="I143">
        <f>$C$14*ReDiarioFert!G132</f>
        <v>51.44940325459318</v>
      </c>
      <c r="K143">
        <f>$C$14*ReDiarioFert!I132</f>
        <v>28.618237365688973</v>
      </c>
      <c r="M143">
        <f>$C$14*ReDiarioFert!K132</f>
        <v>58.9896067537057</v>
      </c>
      <c r="O143">
        <f>$C$14*ReDiarioFert!M132</f>
        <v>233.71373268292683</v>
      </c>
      <c r="S143">
        <f>((E143/100)*$G$176+(G143/100)*$G$177+(I143/100)*$G$178+(K143/100)*$G$179+(M143/100)*$G$180+(O143)*$G$181+(Q143*$G$182))</f>
        <v>1508.1678688472175</v>
      </c>
    </row>
    <row r="144">
      <c r="A144">
        <v>19</v>
      </c>
      <c r="B144">
        <v>127</v>
      </c>
      <c r="C144">
        <f>$I$13+B144</f>
        <v>40068</v>
      </c>
      <c r="E144">
        <f>IF($C$14*ReDiarioFert!C133&lt;=0,"0",$C$14*ReDiarioFert!C133)</f>
        <v>1.977019970175256</v>
      </c>
      <c r="G144">
        <f>$C$14*ReDiarioFert!E133</f>
        <v>10.541282677608741</v>
      </c>
      <c r="I144">
        <f>$C$14*ReDiarioFert!G133</f>
        <v>51.44940325459318</v>
      </c>
      <c r="K144">
        <f>$C$14*ReDiarioFert!I133</f>
        <v>28.618237365688973</v>
      </c>
      <c r="M144">
        <f>$C$14*ReDiarioFert!K133</f>
        <v>58.9896067537057</v>
      </c>
      <c r="O144">
        <f>$C$14*ReDiarioFert!M133</f>
        <v>233.71373268292683</v>
      </c>
      <c r="Q144">
        <f>$C$14*Main!$D$63</f>
        <v>26.879999999999995</v>
      </c>
      <c r="S144">
        <f>((E144/100)*$G$176+(G144/100)*$G$177+(I144/100)*$G$178+(K144/100)*$G$179+(M144/100)*$G$180+(O144)*$G$181+(Q144*$G$182))</f>
        <v>1583.4318688472174</v>
      </c>
    </row>
    <row r="145">
      <c r="B145">
        <v>128</v>
      </c>
      <c r="C145">
        <f>$I$13+B145</f>
        <v>40069</v>
      </c>
      <c r="E145">
        <f>IF($C$14*ReDiarioFert!C134&lt;=0,"0",$C$14*ReDiarioFert!C134)</f>
        <v>1.977019970175256</v>
      </c>
      <c r="G145">
        <f>$C$14*ReDiarioFert!E134</f>
        <v>10.541282677608741</v>
      </c>
      <c r="I145">
        <f>$C$14*ReDiarioFert!G134</f>
        <v>51.44940325459318</v>
      </c>
      <c r="K145">
        <f>$C$14*ReDiarioFert!I134</f>
        <v>28.618237365688973</v>
      </c>
      <c r="M145">
        <f>$C$14*ReDiarioFert!K134</f>
        <v>58.9896067537057</v>
      </c>
      <c r="O145">
        <f>$C$14*ReDiarioFert!M134</f>
        <v>233.71373268292683</v>
      </c>
      <c r="S145">
        <f>((E145/100)*$G$176+(G145/100)*$G$177+(I145/100)*$G$178+(K145/100)*$G$179+(M145/100)*$G$180+(O145)*$G$181+(Q145*$G$182))</f>
        <v>1508.1678688472175</v>
      </c>
    </row>
    <row r="146">
      <c r="B146">
        <v>129</v>
      </c>
      <c r="C146">
        <f>$I$13+B146</f>
        <v>40070</v>
      </c>
      <c r="E146">
        <f>IF($C$14*ReDiarioFert!C135&lt;=0,"0",$C$14*ReDiarioFert!C135)</f>
        <v>1.977019970175256</v>
      </c>
      <c r="G146">
        <f>$C$14*ReDiarioFert!E135</f>
        <v>10.541282677608741</v>
      </c>
      <c r="I146">
        <f>$C$14*ReDiarioFert!G135</f>
        <v>51.44940325459318</v>
      </c>
      <c r="K146">
        <f>$C$14*ReDiarioFert!I135</f>
        <v>28.618237365688973</v>
      </c>
      <c r="M146">
        <f>$C$14*ReDiarioFert!K135</f>
        <v>58.9896067537057</v>
      </c>
      <c r="O146">
        <f>$C$14*ReDiarioFert!M135</f>
        <v>233.71373268292683</v>
      </c>
      <c r="S146">
        <f>((E146/100)*$G$176+(G146/100)*$G$177+(I146/100)*$G$178+(K146/100)*$G$179+(M146/100)*$G$180+(O146)*$G$181+(Q146*$G$182))</f>
        <v>1508.1678688472175</v>
      </c>
    </row>
    <row r="147">
      <c r="B147">
        <v>130</v>
      </c>
      <c r="C147">
        <f>$I$13+B147</f>
        <v>40071</v>
      </c>
      <c r="E147">
        <f>IF($C$14*ReDiarioFert!C136&lt;=0,"0",$C$14*ReDiarioFert!C136)</f>
        <v>1.977019970175256</v>
      </c>
      <c r="G147">
        <f>$C$14*ReDiarioFert!E136</f>
        <v>10.541282677608741</v>
      </c>
      <c r="I147">
        <f>$C$14*ReDiarioFert!G136</f>
        <v>51.44940325459318</v>
      </c>
      <c r="K147">
        <f>$C$14*ReDiarioFert!I136</f>
        <v>28.618237365688973</v>
      </c>
      <c r="M147">
        <f>$C$14*ReDiarioFert!K136</f>
        <v>58.9896067537057</v>
      </c>
      <c r="O147">
        <f>$C$14*ReDiarioFert!M136</f>
        <v>233.71373268292683</v>
      </c>
      <c r="S147">
        <f>((E147/100)*$G$176+(G147/100)*$G$177+(I147/100)*$G$178+(K147/100)*$G$179+(M147/100)*$G$180+(O147)*$G$181+(Q147*$G$182))</f>
        <v>1508.1678688472175</v>
      </c>
    </row>
    <row r="148">
      <c r="B148">
        <v>131</v>
      </c>
      <c r="C148">
        <f>$I$13+B148</f>
        <v>40072</v>
      </c>
      <c r="E148">
        <f>IF($C$14*ReDiarioFert!C137&lt;=0,"0",$C$14*ReDiarioFert!C137)</f>
        <v>1.977019970175256</v>
      </c>
      <c r="G148">
        <f>$C$14*ReDiarioFert!E137</f>
        <v>10.541282677608741</v>
      </c>
      <c r="I148">
        <f>$C$14*ReDiarioFert!G137</f>
        <v>51.44940325459318</v>
      </c>
      <c r="K148">
        <f>$C$14*ReDiarioFert!I137</f>
        <v>28.618237365688973</v>
      </c>
      <c r="M148">
        <f>$C$14*ReDiarioFert!K137</f>
        <v>58.9896067537057</v>
      </c>
      <c r="O148">
        <f>$C$14*ReDiarioFert!M137</f>
        <v>233.71373268292683</v>
      </c>
      <c r="S148">
        <f>((E148/100)*$G$176+(G148/100)*$G$177+(I148/100)*$G$178+(K148/100)*$G$179+(M148/100)*$G$180+(O148)*$G$181+(Q148*$G$182))</f>
        <v>1508.1678688472175</v>
      </c>
    </row>
    <row r="149">
      <c r="B149">
        <v>132</v>
      </c>
      <c r="C149">
        <f>$I$13+B149</f>
        <v>40073</v>
      </c>
      <c r="E149">
        <f>IF($C$14*ReDiarioFert!C138&lt;=0,"0",$C$14*ReDiarioFert!C138)</f>
        <v>1.977019970175256</v>
      </c>
      <c r="G149">
        <f>$C$14*ReDiarioFert!E138</f>
        <v>10.541282677608741</v>
      </c>
      <c r="I149">
        <f>$C$14*ReDiarioFert!G138</f>
        <v>51.44940325459318</v>
      </c>
      <c r="K149">
        <f>$C$14*ReDiarioFert!I138</f>
        <v>28.618237365688973</v>
      </c>
      <c r="M149">
        <f>$C$14*ReDiarioFert!K138</f>
        <v>58.9896067537057</v>
      </c>
      <c r="O149">
        <f>$C$14*ReDiarioFert!M138</f>
        <v>233.71373268292683</v>
      </c>
      <c r="S149">
        <f>((E149/100)*$G$176+(G149/100)*$G$177+(I149/100)*$G$178+(K149/100)*$G$179+(M149/100)*$G$180+(O149)*$G$181+(Q149*$G$182))</f>
        <v>1508.1678688472175</v>
      </c>
    </row>
    <row r="150">
      <c r="B150">
        <v>133</v>
      </c>
      <c r="C150">
        <f>$I$13+B150</f>
        <v>40074</v>
      </c>
      <c r="E150">
        <f>IF($C$14*ReDiarioFert!C139&lt;=0,"0",$C$14*ReDiarioFert!C139)</f>
        <v>1.977019970175256</v>
      </c>
      <c r="G150">
        <f>$C$14*ReDiarioFert!E139</f>
        <v>10.541282677608741</v>
      </c>
      <c r="I150">
        <f>$C$14*ReDiarioFert!G139</f>
        <v>51.44940325459318</v>
      </c>
      <c r="K150">
        <f>$C$14*ReDiarioFert!I139</f>
        <v>28.618237365688973</v>
      </c>
      <c r="M150">
        <f>$C$14*ReDiarioFert!K139</f>
        <v>58.9896067537057</v>
      </c>
      <c r="O150">
        <f>$C$14*ReDiarioFert!M139</f>
        <v>233.71373268292683</v>
      </c>
      <c r="S150">
        <f>((E150/100)*$G$176+(G150/100)*$G$177+(I150/100)*$G$178+(K150/100)*$G$179+(M150/100)*$G$180+(O150)*$G$181+(Q150*$G$182))</f>
        <v>1508.1678688472175</v>
      </c>
    </row>
    <row r="151">
      <c r="A151">
        <v>20</v>
      </c>
      <c r="B151">
        <v>134</v>
      </c>
      <c r="C151">
        <f>$I$13+B151</f>
        <v>40075</v>
      </c>
      <c r="E151">
        <f>IF($C$14*ReDiarioFert!C140&lt;=0,"0",$C$14*ReDiarioFert!C140)</f>
        <v>1.977019970175256</v>
      </c>
      <c r="G151">
        <f>$C$14*ReDiarioFert!E140</f>
        <v>10.541282677608741</v>
      </c>
      <c r="I151">
        <f>$C$14*ReDiarioFert!G140</f>
        <v>51.44940325459318</v>
      </c>
      <c r="K151">
        <f>$C$14*ReDiarioFert!I140</f>
        <v>28.618237365688973</v>
      </c>
      <c r="M151">
        <f>$C$14*ReDiarioFert!K140</f>
        <v>58.9896067537057</v>
      </c>
      <c r="O151">
        <f>$C$14*ReDiarioFert!M140</f>
        <v>233.71373268292683</v>
      </c>
      <c r="Q151">
        <f>$C$14*Main!$D$63</f>
        <v>26.879999999999995</v>
      </c>
      <c r="S151">
        <f>((E151/100)*$G$176+(G151/100)*$G$177+(I151/100)*$G$178+(K151/100)*$G$179+(M151/100)*$G$180+(O151)*$G$181+(Q151*$G$182))</f>
        <v>1583.4318688472174</v>
      </c>
    </row>
    <row r="152">
      <c r="B152">
        <v>135</v>
      </c>
      <c r="C152">
        <f>$I$13+B152</f>
        <v>40076</v>
      </c>
      <c r="E152">
        <f>IF($C$14*ReDiarioFert!C141&lt;=0,"0",$C$14*ReDiarioFert!C141)</f>
        <v>1.977019970175256</v>
      </c>
      <c r="G152">
        <f>$C$14*ReDiarioFert!E141</f>
        <v>10.541282677608741</v>
      </c>
      <c r="I152">
        <f>$C$14*ReDiarioFert!G141</f>
        <v>51.44940325459318</v>
      </c>
      <c r="K152">
        <f>$C$14*ReDiarioFert!I141</f>
        <v>28.618237365688973</v>
      </c>
      <c r="M152">
        <f>$C$14*ReDiarioFert!K141</f>
        <v>58.9896067537057</v>
      </c>
      <c r="O152">
        <f>$C$14*ReDiarioFert!M141</f>
        <v>233.71373268292683</v>
      </c>
      <c r="S152">
        <f>((E152/100)*$G$176+(G152/100)*$G$177+(I152/100)*$G$178+(K152/100)*$G$179+(M152/100)*$G$180+(O152)*$G$181+(Q152*$G$182))</f>
        <v>1508.1678688472175</v>
      </c>
    </row>
    <row r="153">
      <c r="B153">
        <v>136</v>
      </c>
      <c r="C153">
        <f>$I$13+B153</f>
        <v>40077</v>
      </c>
      <c r="E153">
        <f>IF($C$14*ReDiarioFert!C142&lt;=0,"0",$C$14*ReDiarioFert!C142)</f>
        <v>1.977019970175256</v>
      </c>
      <c r="G153">
        <f>$C$14*ReDiarioFert!E142</f>
        <v>10.541282677608741</v>
      </c>
      <c r="I153">
        <f>$C$14*ReDiarioFert!G142</f>
        <v>51.44940325459318</v>
      </c>
      <c r="K153">
        <f>$C$14*ReDiarioFert!I142</f>
        <v>28.618237365688973</v>
      </c>
      <c r="M153">
        <f>$C$14*ReDiarioFert!K142</f>
        <v>58.9896067537057</v>
      </c>
      <c r="O153">
        <f>$C$14*ReDiarioFert!M142</f>
        <v>233.71373268292683</v>
      </c>
      <c r="S153">
        <f>((E153/100)*$G$176+(G153/100)*$G$177+(I153/100)*$G$178+(K153/100)*$G$179+(M153/100)*$G$180+(O153)*$G$181+(Q153*$G$182))</f>
        <v>1508.1678688472175</v>
      </c>
    </row>
    <row r="154">
      <c r="B154">
        <v>137</v>
      </c>
      <c r="C154">
        <f>$I$13+B154</f>
        <v>40078</v>
      </c>
      <c r="E154">
        <f>IF($C$14*ReDiarioFert!C143&lt;=0,"0",$C$14*ReDiarioFert!C143)</f>
        <v>1.977019970175256</v>
      </c>
      <c r="G154">
        <f>$C$14*ReDiarioFert!E143</f>
        <v>10.541282677608741</v>
      </c>
      <c r="I154">
        <f>$C$14*ReDiarioFert!G143</f>
        <v>51.44940325459318</v>
      </c>
      <c r="K154">
        <f>$C$14*ReDiarioFert!I143</f>
        <v>28.618237365688973</v>
      </c>
      <c r="M154">
        <f>$C$14*ReDiarioFert!K143</f>
        <v>58.9896067537057</v>
      </c>
      <c r="O154">
        <f>$C$14*ReDiarioFert!M143</f>
        <v>233.71373268292683</v>
      </c>
      <c r="S154">
        <f>((E154/100)*$G$176+(G154/100)*$G$177+(I154/100)*$G$178+(K154/100)*$G$179+(M154/100)*$G$180+(O154)*$G$181+(Q154*$G$182))</f>
        <v>1508.1678688472175</v>
      </c>
    </row>
    <row r="155">
      <c r="B155">
        <v>138</v>
      </c>
      <c r="C155">
        <f>$I$13+B155</f>
        <v>40079</v>
      </c>
      <c r="E155">
        <f>IF($C$14*ReDiarioFert!C144&lt;=0,"0",$C$14*ReDiarioFert!C144)</f>
        <v>1.977019970175256</v>
      </c>
      <c r="G155">
        <f>$C$14*ReDiarioFert!E144</f>
        <v>10.541282677608741</v>
      </c>
      <c r="I155">
        <f>$C$14*ReDiarioFert!G144</f>
        <v>51.44940325459318</v>
      </c>
      <c r="K155">
        <f>$C$14*ReDiarioFert!I144</f>
        <v>28.618237365688973</v>
      </c>
      <c r="M155">
        <f>$C$14*ReDiarioFert!K144</f>
        <v>58.9896067537057</v>
      </c>
      <c r="O155">
        <f>$C$14*ReDiarioFert!M144</f>
        <v>233.71373268292683</v>
      </c>
      <c r="S155">
        <f>((E155/100)*$G$176+(G155/100)*$G$177+(I155/100)*$G$178+(K155/100)*$G$179+(M155/100)*$G$180+(O155)*$G$181+(Q155*$G$182))</f>
        <v>1508.1678688472175</v>
      </c>
    </row>
    <row r="156">
      <c r="B156">
        <v>139</v>
      </c>
      <c r="C156">
        <f>$I$13+B156</f>
        <v>40080</v>
      </c>
      <c r="E156">
        <f>IF($C$14*ReDiarioFert!C145&lt;=0,"0",$C$14*ReDiarioFert!C145)</f>
        <v>1.977019970175256</v>
      </c>
      <c r="G156">
        <f>$C$14*ReDiarioFert!E145</f>
        <v>10.541282677608741</v>
      </c>
      <c r="I156">
        <f>$C$14*ReDiarioFert!G145</f>
        <v>51.44940325459318</v>
      </c>
      <c r="K156">
        <f>$C$14*ReDiarioFert!I145</f>
        <v>28.618237365688973</v>
      </c>
      <c r="M156">
        <f>$C$14*ReDiarioFert!K145</f>
        <v>58.9896067537057</v>
      </c>
      <c r="O156">
        <f>$C$14*ReDiarioFert!M145</f>
        <v>233.71373268292683</v>
      </c>
      <c r="S156">
        <f>((E156/100)*$G$176+(G156/100)*$G$177+(I156/100)*$G$178+(K156/100)*$G$179+(M156/100)*$G$180+(O156)*$G$181+(Q156*$G$182))</f>
        <v>1508.1678688472175</v>
      </c>
    </row>
    <row r="157">
      <c r="B157">
        <v>140</v>
      </c>
      <c r="C157">
        <f>$I$13+B157</f>
        <v>40081</v>
      </c>
      <c r="E157">
        <f>IF($C$14*ReDiarioFert!C146&lt;=0,"0",$C$14*ReDiarioFert!C146)</f>
        <v>1.977019970175256</v>
      </c>
      <c r="G157">
        <f>$C$14*ReDiarioFert!E146</f>
        <v>10.541282677608741</v>
      </c>
      <c r="I157">
        <f>$C$14*ReDiarioFert!G146</f>
        <v>51.44940325459318</v>
      </c>
      <c r="K157">
        <f>$C$14*ReDiarioFert!I146</f>
        <v>28.618237365688973</v>
      </c>
      <c r="M157">
        <f>$C$14*ReDiarioFert!K146</f>
        <v>58.9896067537057</v>
      </c>
      <c r="O157">
        <f>$C$14*ReDiarioFert!M146</f>
        <v>233.71373268292683</v>
      </c>
      <c r="S157">
        <f>((E157/100)*$G$176+(G157/100)*$G$177+(I157/100)*$G$178+(K157/100)*$G$179+(M157/100)*$G$180+(O157)*$G$181+(Q157*$G$182))</f>
        <v>1508.1678688472175</v>
      </c>
    </row>
    <row r="158">
      <c r="A158">
        <v>21</v>
      </c>
      <c r="B158">
        <v>141</v>
      </c>
      <c r="C158">
        <f>$I$13+B158</f>
        <v>40082</v>
      </c>
      <c r="E158">
        <f>IF($C$14*ReDiarioFert!C147&lt;=0,"0",$C$14*ReDiarioFert!C147)</f>
        <v>1.977019970175256</v>
      </c>
      <c r="G158">
        <f>$C$14*ReDiarioFert!E147</f>
        <v>10.541282677608741</v>
      </c>
      <c r="I158">
        <f>$C$14*ReDiarioFert!G147</f>
        <v>51.44940325459318</v>
      </c>
      <c r="K158">
        <f>$C$14*ReDiarioFert!I147</f>
        <v>28.618237365688973</v>
      </c>
      <c r="M158">
        <f>$C$14*ReDiarioFert!K147</f>
        <v>58.9896067537057</v>
      </c>
      <c r="O158">
        <f>$C$14*ReDiarioFert!M147</f>
        <v>233.71373268292683</v>
      </c>
      <c r="Q158">
        <f>$C$14*Main!$D$63</f>
        <v>26.879999999999995</v>
      </c>
      <c r="S158">
        <f>((E158/100)*$G$176+(G158/100)*$G$177+(I158/100)*$G$178+(K158/100)*$G$179+(M158/100)*$G$180+(O158)*$G$181+(Q158*$G$182))</f>
        <v>1583.4318688472174</v>
      </c>
    </row>
    <row r="159">
      <c r="B159">
        <v>142</v>
      </c>
      <c r="C159">
        <f>$I$13+B159</f>
        <v>40083</v>
      </c>
      <c r="E159">
        <f>IF($C$14*ReDiarioFert!C148&lt;=0,"0",$C$14*ReDiarioFert!C148)</f>
        <v>1.977019970175256</v>
      </c>
      <c r="G159">
        <f>$C$14*ReDiarioFert!E148</f>
        <v>10.541282677608741</v>
      </c>
      <c r="I159">
        <f>$C$14*ReDiarioFert!G148</f>
        <v>51.44940325459318</v>
      </c>
      <c r="K159">
        <f>$C$14*ReDiarioFert!I148</f>
        <v>28.618237365688973</v>
      </c>
      <c r="M159">
        <f>$C$14*ReDiarioFert!K148</f>
        <v>58.9896067537057</v>
      </c>
      <c r="O159">
        <f>$C$14*ReDiarioFert!M148</f>
        <v>233.71373268292683</v>
      </c>
      <c r="S159">
        <f>((E159/100)*$G$176+(G159/100)*$G$177+(I159/100)*$G$178+(K159/100)*$G$179+(M159/100)*$G$180+(O159)*$G$181+(Q159*$G$182))</f>
        <v>1508.1678688472175</v>
      </c>
    </row>
    <row r="160">
      <c r="B160">
        <v>143</v>
      </c>
      <c r="C160">
        <f>$I$13+B160</f>
        <v>40084</v>
      </c>
      <c r="E160">
        <f>IF($C$14*ReDiarioFert!C149&lt;=0,"0",$C$14*ReDiarioFert!C149)</f>
        <v>1.977019970175256</v>
      </c>
      <c r="G160">
        <f>$C$14*ReDiarioFert!E149</f>
        <v>10.541282677608741</v>
      </c>
      <c r="I160">
        <f>$C$14*ReDiarioFert!G149</f>
        <v>51.44940325459318</v>
      </c>
      <c r="K160">
        <f>$C$14*ReDiarioFert!I149</f>
        <v>28.618237365688973</v>
      </c>
      <c r="M160">
        <f>$C$14*ReDiarioFert!K149</f>
        <v>58.9896067537057</v>
      </c>
      <c r="O160">
        <f>$C$14*ReDiarioFert!M149</f>
        <v>233.71373268292683</v>
      </c>
      <c r="S160">
        <f>((E160/100)*$G$176+(G160/100)*$G$177+(I160/100)*$G$178+(K160/100)*$G$179+(M160/100)*$G$180+(O160)*$G$181+(Q160*$G$182))</f>
        <v>1508.1678688472175</v>
      </c>
    </row>
    <row r="161">
      <c r="B161">
        <v>144</v>
      </c>
      <c r="C161">
        <f>$I$13+B161</f>
        <v>40085</v>
      </c>
      <c r="E161">
        <f>IF($C$14*ReDiarioFert!C150&lt;=0,"0",$C$14*ReDiarioFert!C150)</f>
        <v>1.977019970175256</v>
      </c>
      <c r="G161">
        <f>$C$14*ReDiarioFert!E150</f>
        <v>10.541282677608741</v>
      </c>
      <c r="I161">
        <f>$C$14*ReDiarioFert!G150</f>
        <v>51.44940325459318</v>
      </c>
      <c r="K161">
        <f>$C$14*ReDiarioFert!I150</f>
        <v>28.618237365688973</v>
      </c>
      <c r="M161">
        <f>$C$14*ReDiarioFert!K150</f>
        <v>58.9896067537057</v>
      </c>
      <c r="O161">
        <f>$C$14*ReDiarioFert!M150</f>
        <v>233.71373268292683</v>
      </c>
      <c r="S161">
        <f>((E161/100)*$G$176+(G161/100)*$G$177+(I161/100)*$G$178+(K161/100)*$G$179+(M161/100)*$G$180+(O161)*$G$181+(Q161*$G$182))</f>
        <v>1508.1678688472175</v>
      </c>
    </row>
    <row r="162">
      <c r="B162">
        <v>145</v>
      </c>
      <c r="C162">
        <f>$I$13+B162</f>
        <v>40086</v>
      </c>
      <c r="E162">
        <f>IF($C$14*ReDiarioFert!C151&lt;=0,"0",$C$14*ReDiarioFert!C151)</f>
        <v>1.977019970175256</v>
      </c>
      <c r="G162">
        <f>$C$14*ReDiarioFert!E151</f>
        <v>10.541282677608741</v>
      </c>
      <c r="I162">
        <f>$C$14*ReDiarioFert!G151</f>
        <v>51.44940325459318</v>
      </c>
      <c r="K162">
        <f>$C$14*ReDiarioFert!I151</f>
        <v>28.618237365688973</v>
      </c>
      <c r="M162">
        <f>$C$14*ReDiarioFert!K151</f>
        <v>58.9896067537057</v>
      </c>
      <c r="O162">
        <f>$C$14*ReDiarioFert!M151</f>
        <v>233.71373268292683</v>
      </c>
      <c r="S162">
        <f>((E162/100)*$G$176+(G162/100)*$G$177+(I162/100)*$G$178+(K162/100)*$G$179+(M162/100)*$G$180+(O162)*$G$181+(Q162*$G$182))</f>
        <v>1508.1678688472175</v>
      </c>
    </row>
    <row r="163">
      <c r="B163">
        <v>146</v>
      </c>
      <c r="C163">
        <f>$I$13+B163</f>
        <v>40087</v>
      </c>
      <c r="E163">
        <f>IF($C$14*ReDiarioFert!C152&lt;=0,"0",$C$14*ReDiarioFert!C152)</f>
        <v>1.977019970175256</v>
      </c>
      <c r="G163">
        <f>$C$14*ReDiarioFert!E152</f>
        <v>10.541282677608741</v>
      </c>
      <c r="I163">
        <f>$C$14*ReDiarioFert!G152</f>
        <v>51.44940325459318</v>
      </c>
      <c r="K163">
        <f>$C$14*ReDiarioFert!I152</f>
        <v>28.618237365688973</v>
      </c>
      <c r="M163">
        <f>$C$14*ReDiarioFert!K152</f>
        <v>58.9896067537057</v>
      </c>
      <c r="O163">
        <f>$C$14*ReDiarioFert!M152</f>
        <v>233.71373268292683</v>
      </c>
      <c r="S163">
        <f>((E163/100)*$G$176+(G163/100)*$G$177+(I163/100)*$G$178+(K163/100)*$G$179+(M163/100)*$G$180+(O163)*$G$181+(Q163*$G$182))</f>
        <v>1508.1678688472175</v>
      </c>
    </row>
    <row r="164">
      <c r="B164">
        <v>147</v>
      </c>
      <c r="C164">
        <f>$I$13+B164</f>
        <v>40088</v>
      </c>
      <c r="E164">
        <f>IF($C$14*ReDiarioFert!C153&lt;=0,"0",$C$14*ReDiarioFert!C153)</f>
        <v>1.977019970175256</v>
      </c>
      <c r="G164">
        <f>$C$14*ReDiarioFert!E153</f>
        <v>10.541282677608741</v>
      </c>
      <c r="I164">
        <f>$C$14*ReDiarioFert!G153</f>
        <v>51.44940325459318</v>
      </c>
      <c r="K164">
        <f>$C$14*ReDiarioFert!I153</f>
        <v>28.618237365688973</v>
      </c>
      <c r="M164">
        <f>$C$14*ReDiarioFert!K153</f>
        <v>58.9896067537057</v>
      </c>
      <c r="O164">
        <f>$C$14*ReDiarioFert!M153</f>
        <v>233.71373268292683</v>
      </c>
      <c r="S164">
        <f>((E164/100)*$G$176+(G164/100)*$G$177+(I164/100)*$G$178+(K164/100)*$G$179+(M164/100)*$G$180+(O164)*$G$181+(Q164*$G$182))</f>
        <v>1508.1678688472175</v>
      </c>
    </row>
    <row r="165">
      <c r="A165">
        <v>22</v>
      </c>
      <c r="B165">
        <v>148</v>
      </c>
      <c r="C165">
        <f>$I$13+B165</f>
        <v>40089</v>
      </c>
      <c r="E165">
        <f>IF($C$14*ReDiarioFert!C154&lt;=0,"0",$C$14*ReDiarioFert!C154)</f>
        <v>1.977019970175256</v>
      </c>
      <c r="G165">
        <f>$C$14*ReDiarioFert!E154</f>
        <v>10.541282677608741</v>
      </c>
      <c r="I165">
        <f>$C$14*ReDiarioFert!G154</f>
        <v>51.44940325459318</v>
      </c>
      <c r="K165">
        <f>$C$14*ReDiarioFert!I154</f>
        <v>28.618237365688973</v>
      </c>
      <c r="M165">
        <f>$C$14*ReDiarioFert!K154</f>
        <v>58.9896067537057</v>
      </c>
      <c r="O165">
        <f>$C$14*ReDiarioFert!M154</f>
        <v>233.71373268292683</v>
      </c>
      <c r="Q165">
        <f>$C$14*Main!$D$63</f>
        <v>26.879999999999995</v>
      </c>
      <c r="S165">
        <f>((E165/100)*$G$176+(G165/100)*$G$177+(I165/100)*$G$178+(K165/100)*$G$179+(M165/100)*$G$180+(O165)*$G$181+(Q165*$G$182))</f>
        <v>1583.4318688472174</v>
      </c>
    </row>
    <row r="166">
      <c r="B166">
        <v>149</v>
      </c>
      <c r="C166">
        <f>$I$13+B166</f>
        <v>40090</v>
      </c>
      <c r="E166">
        <f>IF($C$14*ReDiarioFert!C155&lt;=0,"0",$C$14*ReDiarioFert!C155)</f>
        <v>1.977019970175256</v>
      </c>
      <c r="G166">
        <f>$C$14*ReDiarioFert!E155</f>
        <v>10.541282677608741</v>
      </c>
      <c r="I166">
        <f>$C$14*ReDiarioFert!G155</f>
        <v>51.44940325459318</v>
      </c>
      <c r="K166">
        <f>$C$14*ReDiarioFert!I155</f>
        <v>28.618237365688973</v>
      </c>
      <c r="M166">
        <f>$C$14*ReDiarioFert!K155</f>
        <v>58.9896067537057</v>
      </c>
      <c r="O166">
        <f>$C$14*ReDiarioFert!M155</f>
        <v>233.71373268292683</v>
      </c>
      <c r="S166">
        <f>((E166/100)*$G$176+(G166/100)*$G$177+(I166/100)*$G$178+(K166/100)*$G$179+(M166/100)*$G$180+(O166)*$G$181+(Q166*$G$182))</f>
        <v>1508.1678688472175</v>
      </c>
    </row>
    <row r="167">
      <c r="B167">
        <v>150</v>
      </c>
      <c r="C167">
        <f>$I$13+B167</f>
        <v>40091</v>
      </c>
      <c r="E167">
        <f>IF($C$14*ReDiarioFert!C156&lt;=0,"0",$C$14*ReDiarioFert!C156)</f>
        <v>1.977019970175256</v>
      </c>
      <c r="G167">
        <f>$C$14*ReDiarioFert!E156</f>
        <v>10.541282677608741</v>
      </c>
      <c r="I167">
        <f>$C$14*ReDiarioFert!G156</f>
        <v>51.44940325459318</v>
      </c>
      <c r="K167">
        <f>$C$14*ReDiarioFert!I156</f>
        <v>28.618237365688973</v>
      </c>
      <c r="M167">
        <f>$C$14*ReDiarioFert!K156</f>
        <v>58.9896067537057</v>
      </c>
      <c r="O167">
        <f>$C$14*ReDiarioFert!M156</f>
        <v>233.71373268292683</v>
      </c>
      <c r="S167">
        <f>((E167/100)*$G$176+(G167/100)*$G$177+(I167/100)*$G$178+(K167/100)*$G$179+(M167/100)*$G$180+(O167)*$G$181+(Q167*$G$182))</f>
        <v>1508.1678688472175</v>
      </c>
    </row>
    <row r="168">
      <c r="B168">
        <v>151</v>
      </c>
      <c r="C168">
        <f>$I$13+B168</f>
        <v>40092</v>
      </c>
      <c r="E168">
        <f>IF($C$14*ReDiarioFert!C157&lt;=0,"0",$C$14*ReDiarioFert!C157)</f>
        <v>1.977019970175256</v>
      </c>
      <c r="G168">
        <f>$C$14*ReDiarioFert!E157</f>
        <v>10.541282677608741</v>
      </c>
      <c r="I168">
        <f>$C$14*ReDiarioFert!G157</f>
        <v>51.44940325459318</v>
      </c>
      <c r="K168">
        <f>$C$14*ReDiarioFert!I157</f>
        <v>28.618237365688973</v>
      </c>
      <c r="M168">
        <f>$C$14*ReDiarioFert!K157</f>
        <v>58.9896067537057</v>
      </c>
      <c r="O168">
        <f>$C$14*ReDiarioFert!M157</f>
        <v>233.71373268292683</v>
      </c>
      <c r="S168">
        <f>((E168/100)*$G$176+(G168/100)*$G$177+(I168/100)*$G$178+(K168/100)*$G$179+(M168/100)*$G$180+(O168)*$G$181+(Q168*$G$182))</f>
        <v>1508.1678688472175</v>
      </c>
    </row>
    <row r="169">
      <c r="B169">
        <v>152</v>
      </c>
      <c r="C169">
        <f>$I$13+B169</f>
        <v>40093</v>
      </c>
      <c r="E169">
        <f>IF($C$14*ReDiarioFert!C158&lt;=0,"0",$C$14*ReDiarioFert!C158)</f>
        <v>1.977019970175256</v>
      </c>
      <c r="G169">
        <f>$C$14*ReDiarioFert!E158</f>
        <v>10.541282677608741</v>
      </c>
      <c r="I169">
        <f>$C$14*ReDiarioFert!G158</f>
        <v>51.44940325459318</v>
      </c>
      <c r="K169">
        <f>$C$14*ReDiarioFert!I158</f>
        <v>28.618237365688973</v>
      </c>
      <c r="M169">
        <f>$C$14*ReDiarioFert!K158</f>
        <v>58.9896067537057</v>
      </c>
      <c r="O169">
        <f>$C$14*ReDiarioFert!M158</f>
        <v>233.71373268292683</v>
      </c>
      <c r="S169">
        <f>((E169/100)*$G$176+(G169/100)*$G$177+(I169/100)*$G$178+(K169/100)*$G$179+(M169/100)*$G$180+(O169)*$G$181+(Q169*$G$182))</f>
        <v>1508.1678688472175</v>
      </c>
    </row>
    <row r="170">
      <c r="B170">
        <v>153</v>
      </c>
      <c r="C170">
        <f>$I$13+B170</f>
        <v>40094</v>
      </c>
      <c r="E170">
        <f>IF($C$14*ReDiarioFert!C159&lt;=0,"0",$C$14*ReDiarioFert!C159)</f>
        <v>1.977019970175256</v>
      </c>
      <c r="G170">
        <f>$C$14*ReDiarioFert!E159</f>
        <v>10.541282677608741</v>
      </c>
      <c r="I170">
        <f>$C$14*ReDiarioFert!G159</f>
        <v>51.44940325459318</v>
      </c>
      <c r="K170">
        <f>$C$14*ReDiarioFert!I159</f>
        <v>28.618237365688973</v>
      </c>
      <c r="M170">
        <f>$C$14*ReDiarioFert!K159</f>
        <v>58.9896067537057</v>
      </c>
      <c r="O170">
        <f>$C$14*ReDiarioFert!M159</f>
        <v>233.71373268292683</v>
      </c>
      <c r="S170">
        <f>((E170/100)*$G$176+(G170/100)*$G$177+(I170/100)*$G$178+(K170/100)*$G$179+(M170/100)*$G$180+(O170)*$G$181+(Q170*$G$182))</f>
        <v>1508.1678688472175</v>
      </c>
    </row>
    <row r="171">
      <c r="B171">
        <v>154</v>
      </c>
      <c r="C171">
        <f>$I$13+B171</f>
        <v>40095</v>
      </c>
      <c r="E171">
        <f>IF($C$14*ReDiarioFert!C160&lt;=0,"0",$C$14*ReDiarioFert!C160)</f>
        <v>1.977019970175256</v>
      </c>
      <c r="G171">
        <f>$C$14*ReDiarioFert!E160</f>
        <v>10.541282677608741</v>
      </c>
      <c r="I171">
        <f>$C$14*ReDiarioFert!G160</f>
        <v>51.44940325459318</v>
      </c>
      <c r="K171">
        <f>$C$14*ReDiarioFert!I160</f>
        <v>28.618237365688973</v>
      </c>
      <c r="M171">
        <f>$C$14*ReDiarioFert!K160</f>
        <v>58.9896067537057</v>
      </c>
      <c r="O171">
        <f>$C$14*ReDiarioFert!M160</f>
        <v>233.71373268292683</v>
      </c>
      <c r="S171">
        <f>((E171/100)*$G$176+(G171/100)*$G$177+(I171/100)*$G$178+(K171/100)*$G$179+(M171/100)*$G$180+(O171)*$G$181+(Q171*$G$182))</f>
        <v>1508.1678688472175</v>
      </c>
    </row>
    <row r="172">
      <c r="C172" t="str">
        <v>Total</v>
      </c>
      <c r="E172">
        <f>SUM(E18:E171)</f>
        <v>522.6550997129777</v>
      </c>
      <c r="G172">
        <f>SUM(G18:G171)</f>
        <v>1319.6755799188682</v>
      </c>
      <c r="I172">
        <f>SUM(I18:I171)</f>
        <v>5881.907630549092</v>
      </c>
      <c r="K172">
        <f>SUM(K18:K171)</f>
        <v>3271.7547354464796</v>
      </c>
      <c r="M172">
        <f>SUM(M18:M171)</f>
        <v>6743.934742464381</v>
      </c>
      <c r="O172">
        <f>SUM(O18:O171)</f>
        <v>26743.523028292617</v>
      </c>
      <c r="Q172">
        <f>SUM(Q18:Q171)</f>
        <v>591.3599999999999</v>
      </c>
      <c r="S172">
        <f>SUM(S18:S171)</f>
        <v>179237.9055924769</v>
      </c>
    </row>
    <row r="173">
      <c r="D173" t="str">
        <v>OJO cualquier cultivo que no se termine la cosecha en el ultimo día del calendario solo seguir repitiendo la ultima aplicación de fertilizante.</v>
      </c>
    </row>
    <row r="174" ht="39.75" customHeight="1">
      <c r="B174" t="str">
        <v>Producto</v>
      </c>
      <c r="F174" t="str">
        <v>Lbs/Ha</v>
      </c>
      <c r="G174" t="str">
        <v>Costo por qq</v>
      </c>
    </row>
    <row r="175" ht="24" customHeight="1">
      <c r="G175" t="str">
        <f>Main!$E$25</f>
        <v>Lempiras</v>
      </c>
    </row>
    <row r="176">
      <c r="B176" t="str">
        <f>Main!D42</f>
        <v>Nitrato de Amonio</v>
      </c>
      <c r="F176">
        <f>E172/C14</f>
        <v>388.88028252453705</v>
      </c>
      <c r="G176">
        <f>Main!D43</f>
        <v>620</v>
      </c>
    </row>
    <row r="177">
      <c r="B177" t="str">
        <f>Main!D32</f>
        <v>MAP 12-61-0</v>
      </c>
      <c r="F177">
        <f>G172/C14</f>
        <v>981.9014731539198</v>
      </c>
      <c r="G177">
        <f>Main!D33</f>
        <v>2900</v>
      </c>
    </row>
    <row r="178">
      <c r="B178" t="str">
        <f>Main!D37</f>
        <v>Sulfato de Potasio</v>
      </c>
      <c r="F178">
        <f>I172/C14</f>
        <v>4376.419367968075</v>
      </c>
      <c r="G178">
        <f>Main!D38</f>
        <v>505</v>
      </c>
    </row>
    <row r="179">
      <c r="B179" t="str">
        <f>Main!D47</f>
        <v>Sulfato de Magnesio</v>
      </c>
      <c r="F179">
        <f>K172/C14</f>
        <v>2434.341321016726</v>
      </c>
      <c r="G179">
        <f>Main!D48</f>
        <v>951</v>
      </c>
    </row>
    <row r="180">
      <c r="B180" t="str">
        <f>Main!D52</f>
        <v>Nitrato de Calcio</v>
      </c>
      <c r="F180">
        <f>M172/C14</f>
        <v>5017.808588143142</v>
      </c>
      <c r="G180">
        <f>Main!D53</f>
        <v>1100</v>
      </c>
    </row>
    <row r="181">
      <c r="B181" t="str">
        <f>Main!D57</f>
        <v>Solubor</v>
      </c>
      <c r="F181">
        <f>O172/C14</f>
        <v>19898.454634146296</v>
      </c>
      <c r="G181">
        <f>Main!D58</f>
        <v>0.04</v>
      </c>
      <c r="I181" t="str">
        <v xml:space="preserve">Preparado y Autorizado Por </v>
      </c>
    </row>
    <row r="182" ht="18" customHeight="1">
      <c r="B182" t="str">
        <f>Main!D61</f>
        <v>Melaza</v>
      </c>
      <c r="F182">
        <f>Q172/C14</f>
        <v>439.99999999999994</v>
      </c>
      <c r="G182">
        <f>Main!D62</f>
        <v>2.8</v>
      </c>
      <c r="I182" t="str">
        <v>MSc Ricardo D. Lardizábal</v>
      </c>
    </row>
    <row r="183">
      <c r="B183" t="str">
        <v>NOTA: El Nitrato de Calcio se debe de diluir en un barril aparte para inyectarse al sistema</v>
      </c>
    </row>
    <row r="185">
      <c r="B185" t="str">
        <v>Abreviaciones usadas</v>
      </c>
    </row>
    <row r="186">
      <c r="B186" t="str">
        <v>Mz.-Manzanas, Ha-Hectáreas, Lbs-Libras, Lts-Litros y DDT-Días después de Trasplante</v>
      </c>
    </row>
  </sheetData>
  <sheetProtection sheet="1"/>
  <mergeCells count="53">
    <mergeCell ref="B186:S186"/>
    <mergeCell ref="A9:K9"/>
    <mergeCell ref="P9:S12"/>
    <mergeCell ref="P1:S3"/>
    <mergeCell ref="P5:S7"/>
    <mergeCell ref="I11:M11"/>
    <mergeCell ref="I12:M12"/>
    <mergeCell ref="F11:H11"/>
    <mergeCell ref="C11:E11"/>
    <mergeCell ref="A11:B11"/>
    <mergeCell ref="G178:H178"/>
    <mergeCell ref="G179:H179"/>
    <mergeCell ref="G174:H174"/>
    <mergeCell ref="B174:E174"/>
    <mergeCell ref="B16:B17"/>
    <mergeCell ref="B176:E176"/>
    <mergeCell ref="B177:E177"/>
    <mergeCell ref="G182:H182"/>
    <mergeCell ref="B180:E180"/>
    <mergeCell ref="B182:E182"/>
    <mergeCell ref="G180:H180"/>
    <mergeCell ref="G181:H181"/>
    <mergeCell ref="B179:E179"/>
    <mergeCell ref="B183:I184"/>
    <mergeCell ref="I182:Q182"/>
    <mergeCell ref="B185:D185"/>
    <mergeCell ref="B178:E178"/>
    <mergeCell ref="S16:S17"/>
    <mergeCell ref="Q16:R16"/>
    <mergeCell ref="K16:L16"/>
    <mergeCell ref="O16:P16"/>
    <mergeCell ref="M16:N16"/>
    <mergeCell ref="I16:J16"/>
    <mergeCell ref="I181:Q181"/>
    <mergeCell ref="A12:B12"/>
    <mergeCell ref="C12:E12"/>
    <mergeCell ref="F12:H12"/>
    <mergeCell ref="C13:E13"/>
    <mergeCell ref="C14:E14"/>
    <mergeCell ref="A16:A17"/>
    <mergeCell ref="B181:E181"/>
    <mergeCell ref="F13:H13"/>
    <mergeCell ref="F14:H14"/>
    <mergeCell ref="A13:B13"/>
    <mergeCell ref="A14:B14"/>
    <mergeCell ref="I13:M13"/>
    <mergeCell ref="I14:M14"/>
    <mergeCell ref="G177:H177"/>
    <mergeCell ref="G175:H175"/>
    <mergeCell ref="G176:H176"/>
    <mergeCell ref="C16:D16"/>
    <mergeCell ref="E16:F16"/>
    <mergeCell ref="G16:H16"/>
  </mergeCells>
  <pageMargins left="0" right="0" top="0.2" bottom="0.56" header="0" footer="0.25"/>
  <ignoredErrors>
    <ignoredError numberStoredAsText="1" sqref="A1:Z187"/>
  </ignoredErrors>
  <legacyDrawing r:id="rId1"/>
</worksheet>
</file>

<file path=xl/worksheets/sheet4.xml><?xml version="1.0" encoding="utf-8"?>
<worksheet xmlns="http://schemas.openxmlformats.org/spreadsheetml/2006/main" xmlns:r="http://schemas.openxmlformats.org/officeDocument/2006/relationships">
  <dimension ref="A1:V106"/>
  <sheetViews>
    <sheetView workbookViewId="0" rightToLeft="0"/>
  </sheetViews>
  <sheetData>
    <row r="1" ht="32.45" customHeight="1"/>
    <row r="2" ht="39.6" customHeight="1">
      <c r="P2" t="str">
        <v>Calendario de Fertilización para Goteo 3 Veces Por Semana</v>
      </c>
    </row>
    <row r="3" ht="39.6" customHeight="1"/>
    <row r="5" ht="23.45" customHeight="1">
      <c r="P5" t="str">
        <f>Main!$E$21</f>
        <v>Tomate</v>
      </c>
    </row>
    <row r="6" ht="29.25" customHeight="1"/>
    <row r="7" ht="16.9" customHeight="1"/>
    <row r="8" ht="21" customHeight="1">
      <c r="A8" t="str">
        <f>Main!$C$13</f>
        <v>"Sin Fertilización Base"</v>
      </c>
    </row>
    <row r="9" ht="20.1" customHeight="1">
      <c r="A9" t="str">
        <v>Productor</v>
      </c>
      <c r="C9" t="str">
        <f>Main!E17</f>
        <v>Alejandro Acosta</v>
      </c>
      <c r="F9" t="str">
        <v>Parcela</v>
      </c>
      <c r="I9" t="str">
        <f>Main!E19</f>
        <v>El Mango</v>
      </c>
      <c r="P9" t="str">
        <f>Main!$G$21</f>
        <v>XP 675</v>
      </c>
    </row>
    <row r="10" ht="20.1" customHeight="1">
      <c r="A10" t="str">
        <v>Zona</v>
      </c>
      <c r="C10" t="str">
        <f>Main!E18</f>
        <v>Cantarranas</v>
      </c>
      <c r="F10" t="str">
        <v>Técnico</v>
      </c>
      <c r="I10" t="str">
        <f>Main!E20</f>
        <v>Marco Nuñez</v>
      </c>
    </row>
    <row r="11" ht="20.1" customHeight="1">
      <c r="A11" t="str">
        <v>Área Mz.</v>
      </c>
      <c r="C11">
        <f>Main!E22</f>
        <v>1.92</v>
      </c>
      <c r="F11" t="str">
        <v>Fecha:</v>
      </c>
      <c r="I11">
        <f>Main!E23</f>
        <v>39941</v>
      </c>
    </row>
    <row r="12" ht="20.1" customHeight="1">
      <c r="A12" t="str">
        <v>Área Ha.</v>
      </c>
      <c r="C12">
        <f>Main!I22</f>
        <v>1.3439999999999999</v>
      </c>
      <c r="F12" t="str">
        <v>Fecha de Cosecha:</v>
      </c>
      <c r="I12">
        <f>I11+Main!E24</f>
        <v>40016</v>
      </c>
    </row>
    <row r="13" ht="19.5" customHeight="1"/>
    <row r="14" ht="27.600000000000005" customHeight="1">
      <c r="A14" t="str">
        <v>Semana</v>
      </c>
      <c r="B14" t="str">
        <v>DDT</v>
      </c>
      <c r="C14" t="str">
        <v>FECHA</v>
      </c>
      <c r="E14" t="str">
        <f>Main!$D$42</f>
        <v>Nitrato de Amonio</v>
      </c>
      <c r="G14" t="str">
        <f>Main!$D$32</f>
        <v>MAP 12-61-0</v>
      </c>
      <c r="I14" t="str">
        <f>Main!$D$37</f>
        <v>Sulfato de Potasio</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$I$11+B16</f>
        <v>39942</v>
      </c>
      <c r="E16">
        <f>IF(($C$12*(ReDiarioFert!C7+ReDiarioFert!C8))&lt;=0,"0",($C$12*(ReDiarioFert!C7+ReDiarioFert!C8)))</f>
        <v>2.88477960662583</v>
      </c>
      <c r="G16">
        <f>$C$12*(ReDiarioFert!E7+ReDiarioFert!E8)</f>
        <v>3.7204527097442615</v>
      </c>
      <c r="I16">
        <f>$C$12*(ReDiarioFert!G7+ReDiarioFert!G8)</f>
        <v>10.895167748031495</v>
      </c>
      <c r="K16">
        <f>$C$12*(ReDiarioFert!I7+ReDiarioFert!I8)</f>
        <v>6.0603326186164885</v>
      </c>
      <c r="M16">
        <f>$C$12*(ReDiarioFert!K7+ReDiarioFert!K8)</f>
        <v>12.49191672431415</v>
      </c>
      <c r="O16">
        <f>$C$12*(ReDiarioFert!M7+ReDiarioFert!M8)</f>
        <v>66.77516487804878</v>
      </c>
      <c r="Q16">
        <f>$C$12*Main!$D$63</f>
        <v>26.879999999999995</v>
      </c>
      <c r="S16">
        <f>((E16/100)*$G$86+(G16/100)*$G$87+(I16/100)*$G$88+(K16/100)*$G$89+(M16/100)*$G$90+(O16)*$G$91+(Q16*$G$92))</f>
        <v>453.7792130368431</v>
      </c>
    </row>
    <row r="17" ht="18.75" customHeight="1">
      <c r="B17">
        <v>3</v>
      </c>
      <c r="C17">
        <f>$I$11+B17</f>
        <v>39944</v>
      </c>
      <c r="E17">
        <f>IF(($C$12*(ReDiarioFert!C9+ReDiarioFert!C10))&lt;=0,"0",($C$12*(ReDiarioFert!C9+ReDiarioFert!C10)))</f>
        <v>2.88477960662583</v>
      </c>
      <c r="G17">
        <f>$C$12*(ReDiarioFert!E9+ReDiarioFert!E10)</f>
        <v>3.7204527097442615</v>
      </c>
      <c r="I17">
        <f>$C$12*(ReDiarioFert!G9+ReDiarioFert!G10)</f>
        <v>10.895167748031495</v>
      </c>
      <c r="K17">
        <f>$C$12*(ReDiarioFert!I9+ReDiarioFert!I10)</f>
        <v>6.0603326186164885</v>
      </c>
      <c r="M17">
        <f>$C$12*(ReDiarioFert!K9+ReDiarioFert!K10)</f>
        <v>12.49191672431415</v>
      </c>
      <c r="O17">
        <f>$C$12*(ReDiarioFert!M9+ReDiarioFert!M10)</f>
        <v>66.77516487804878</v>
      </c>
      <c r="S17">
        <f>((E17/100)*$G$86+(G17/100)*$G$87+(I17/100)*$G$88+(K17/100)*$G$89+(M17/100)*$G$90+(O17)*$G$91+(Q17*$G$92))</f>
        <v>378.51521303684314</v>
      </c>
    </row>
    <row r="18" ht="18.75" customHeight="1">
      <c r="B18">
        <v>5</v>
      </c>
      <c r="C18">
        <f>$I$11+B18</f>
        <v>39946</v>
      </c>
      <c r="E18">
        <f>IF(($C$12*(ReDiarioFert!C11+ReDiarioFert!C12+ReDiarioFert!C13))&lt;=0,"0",($C$12*(ReDiarioFert!C11+ReDiarioFert!C12+ReDiarioFert!C13)))</f>
        <v>4.327169409938745</v>
      </c>
      <c r="G18">
        <f>$C$12*(ReDiarioFert!E11+ReDiarioFert!E12+ReDiarioFert!E13)</f>
        <v>5.580679064616391</v>
      </c>
      <c r="I18">
        <f>$C$12*(ReDiarioFert!G11+ReDiarioFert!G12+ReDiarioFert!G13)</f>
        <v>16.342751622047246</v>
      </c>
      <c r="K18">
        <f>$C$12*(ReDiarioFert!I11+ReDiarioFert!I12+ReDiarioFert!I13)</f>
        <v>9.090498927924733</v>
      </c>
      <c r="M18">
        <f>$C$12*(ReDiarioFert!K11+ReDiarioFert!K12+ReDiarioFert!K13)</f>
        <v>18.737875086471224</v>
      </c>
      <c r="O18">
        <f>$C$12*(ReDiarioFert!M11+ReDiarioFert!M12+ReDiarioFert!M13)</f>
        <v>100.16274731707317</v>
      </c>
      <c r="S18">
        <f>((E18/100)*$G$86+(G18/100)*$G$87+(I18/100)*$G$88+(K18/100)*$G$89+(M18/100)*$G$90+(O18)*$G$91+(Q18*$G$92))</f>
        <v>567.7728195552648</v>
      </c>
    </row>
    <row r="19">
      <c r="A19">
        <v>2</v>
      </c>
      <c r="B19">
        <f>B18+3</f>
        <v>8</v>
      </c>
      <c r="C19">
        <f>$I$11+B19</f>
        <v>39949</v>
      </c>
      <c r="E19">
        <f>IF(($C$12*(ReDiarioFert!C14+ReDiarioFert!C15))&lt;=0,"0",($C$12*(ReDiarioFert!C14+ReDiarioFert!C15)))</f>
        <v>2.88477960662583</v>
      </c>
      <c r="G19">
        <f>$C$12*(ReDiarioFert!E14+ReDiarioFert!E15)</f>
        <v>3.7204527097442615</v>
      </c>
      <c r="I19">
        <f>$C$12*(ReDiarioFert!G14+ReDiarioFert!G15)</f>
        <v>10.895167748031495</v>
      </c>
      <c r="K19">
        <f>$C$12*(ReDiarioFert!I14+ReDiarioFert!I15)</f>
        <v>6.0603326186164885</v>
      </c>
      <c r="M19">
        <f>$C$12*(ReDiarioFert!K14+ReDiarioFert!K15)</f>
        <v>12.49191672431415</v>
      </c>
      <c r="O19">
        <f>$C$12*(ReDiarioFert!M14+ReDiarioFert!M15)</f>
        <v>66.77516487804878</v>
      </c>
      <c r="Q19">
        <f>$C$12*Main!$D$63</f>
        <v>26.879999999999995</v>
      </c>
      <c r="S19">
        <f>((E19/100)*$G$86+(G19/100)*$G$87+(I19/100)*$G$88+(K19/100)*$G$89+(M19/100)*$G$90+(O19)*$G$91+(Q19*$G$92))</f>
        <v>453.7792130368431</v>
      </c>
    </row>
    <row r="20">
      <c r="B20">
        <f>B19+2</f>
        <v>10</v>
      </c>
      <c r="C20">
        <f>$I$11+B20</f>
        <v>39951</v>
      </c>
      <c r="E20">
        <f>IF(($C$12*(ReDiarioFert!C16+ReDiarioFert!C17))&lt;=0,"0",($C$12*(ReDiarioFert!C16+ReDiarioFert!C17)))</f>
        <v>3.966571959110515</v>
      </c>
      <c r="G20">
        <f>$C$12*(ReDiarioFert!E16+ReDiarioFert!E17)</f>
        <v>5.11562247589836</v>
      </c>
      <c r="I20">
        <f>$C$12*(ReDiarioFert!G16+ReDiarioFert!G17)</f>
        <v>14.980855653543307</v>
      </c>
      <c r="K20">
        <f>$C$12*(ReDiarioFert!I16+ReDiarioFert!I17)</f>
        <v>8.332957350597672</v>
      </c>
      <c r="M20">
        <f>$C$12*(ReDiarioFert!K16+ReDiarioFert!K17)</f>
        <v>17.176385495931953</v>
      </c>
      <c r="O20">
        <f>$C$12*(ReDiarioFert!M16+ReDiarioFert!M17)</f>
        <v>93.4853619512195</v>
      </c>
      <c r="S20">
        <f>((E20/100)*$G$86+(G20/100)*$G$87+(I20/100)*$G$88+(K20/100)*$G$89+(M20/100)*$G$90+(O20)*$G$91+(Q20*$G$92))</f>
        <v>520.5251983354154</v>
      </c>
    </row>
    <row r="21">
      <c r="B21">
        <f>B20+2</f>
        <v>12</v>
      </c>
      <c r="C21">
        <f>$I$11+B21</f>
        <v>39953</v>
      </c>
      <c r="E21">
        <f>IF(($C$12*(ReDiarioFert!C18+ReDiarioFert!C19+ReDiarioFert!C20))&lt;=0,"0",($C$12*(ReDiarioFert!C18+ReDiarioFert!C19+ReDiarioFert!C20)))</f>
        <v>7.5725464673928</v>
      </c>
      <c r="G21">
        <f>$C$12*(ReDiarioFert!E18+ReDiarioFert!E19+ReDiarioFert!E20)</f>
        <v>9.766188363078689</v>
      </c>
      <c r="I21">
        <f>$C$12*(ReDiarioFert!G18+ReDiarioFert!G19+ReDiarioFert!G20)</f>
        <v>28.599815338582673</v>
      </c>
      <c r="K21">
        <f>$C$12*(ReDiarioFert!I18+ReDiarioFert!I19+ReDiarioFert!I20)</f>
        <v>15.90837312386828</v>
      </c>
      <c r="M21">
        <f>$C$12*(ReDiarioFert!K18+ReDiarioFert!K19+ReDiarioFert!K20)</f>
        <v>32.79128140132464</v>
      </c>
      <c r="O21">
        <f>$C$12*(ReDiarioFert!M18+ReDiarioFert!M19+ReDiarioFert!M20)</f>
        <v>180.29333853658537</v>
      </c>
      <c r="S21">
        <f>((E21/100)*$G$86+(G21/100)*$G$87+(I21/100)*$G$88+(K21/100)*$G$89+(M21/100)*$G$90+(O21)*$G$91+(Q21*$G$92))</f>
        <v>993.8027754509816</v>
      </c>
    </row>
    <row r="22">
      <c r="A22">
        <v>3</v>
      </c>
      <c r="B22">
        <f>B21+3</f>
        <v>15</v>
      </c>
      <c r="C22">
        <f>$I$11+B22</f>
        <v>39956</v>
      </c>
      <c r="E22">
        <f>IF(($C$12*(ReDiarioFert!C21+ReDiarioFert!C22))&lt;=0,"0",($C$12*(ReDiarioFert!C21+ReDiarioFert!C22)))</f>
        <v>5.0483643115952</v>
      </c>
      <c r="G22">
        <f>$C$12*(ReDiarioFert!E21+ReDiarioFert!E22)</f>
        <v>6.510792242052458</v>
      </c>
      <c r="I22">
        <f>$C$12*(ReDiarioFert!G21+ReDiarioFert!G22)</f>
        <v>19.066543559055116</v>
      </c>
      <c r="K22">
        <f>$C$12*(ReDiarioFert!I21+ReDiarioFert!I22)</f>
        <v>10.605582082578854</v>
      </c>
      <c r="M22">
        <f>$C$12*(ReDiarioFert!K21+ReDiarioFert!K22)</f>
        <v>21.860854267549758</v>
      </c>
      <c r="O22">
        <f>$C$12*(ReDiarioFert!M21+ReDiarioFert!M22)</f>
        <v>120.19555902439023</v>
      </c>
      <c r="Q22">
        <f>$C$12*Main!$D$63</f>
        <v>26.879999999999995</v>
      </c>
      <c r="S22">
        <f>((E22/100)*$G$86+(G22/100)*$G$87+(I22/100)*$G$88+(K22/100)*$G$89+(M22/100)*$G$90+(O22)*$G$91+(Q22*$G$92))</f>
        <v>737.7991836339877</v>
      </c>
    </row>
    <row r="23">
      <c r="B23">
        <f>B22+2</f>
        <v>17</v>
      </c>
      <c r="C23">
        <f>$I$11+B23</f>
        <v>39958</v>
      </c>
      <c r="E23">
        <f>IF(($C$12*(ReDiarioFert!C23+ReDiarioFert!C24))&lt;=0,"0",($C$12*(ReDiarioFert!C23+ReDiarioFert!C24)))</f>
        <v>6.130156664079886</v>
      </c>
      <c r="G23">
        <f>$C$12*(ReDiarioFert!E23+ReDiarioFert!E24)</f>
        <v>7.905962008206557</v>
      </c>
      <c r="I23">
        <f>$C$12*(ReDiarioFert!G23+ReDiarioFert!G24)</f>
        <v>23.152231464566928</v>
      </c>
      <c r="K23">
        <f>$C$12*(ReDiarioFert!I23+ReDiarioFert!I24)</f>
        <v>12.87820681456004</v>
      </c>
      <c r="M23">
        <f>$C$12*(ReDiarioFert!K23+ReDiarioFert!K24)</f>
        <v>26.545323039167563</v>
      </c>
      <c r="O23">
        <f>$C$12*(ReDiarioFert!M23+ReDiarioFert!M24)</f>
        <v>140.2277151219512</v>
      </c>
      <c r="S23">
        <f>((E23/100)*$G$86+(G23/100)*$G$87+(I23/100)*$G$88+(K23/100)*$G$89+(M23/100)*$G$90+(O23)*$G$91+(Q23*$G$92))</f>
        <v>804.2780472935357</v>
      </c>
    </row>
    <row r="24">
      <c r="B24">
        <f>B23+2</f>
        <v>19</v>
      </c>
      <c r="C24">
        <f>$I$11+B24</f>
        <v>39960</v>
      </c>
      <c r="E24">
        <f>IF(($C$12*(ReDiarioFert!C25+ReDiarioFert!C26+ReDiarioFert!C27))&lt;=0,"0",($C$12*(ReDiarioFert!C25+ReDiarioFert!C26+ReDiarioFert!C27)))</f>
        <v>10.81792352484686</v>
      </c>
      <c r="G24">
        <f>$C$12*(ReDiarioFert!E25+ReDiarioFert!E26+ReDiarioFert!E27)</f>
        <v>13.951697661540985</v>
      </c>
      <c r="I24">
        <f>$C$12*(ReDiarioFert!G25+ReDiarioFert!G26+ReDiarioFert!G27)</f>
        <v>40.856879055118114</v>
      </c>
      <c r="K24">
        <f>$C$12*(ReDiarioFert!I25+ReDiarioFert!I26+ReDiarioFert!I27)</f>
        <v>22.726247319811833</v>
      </c>
      <c r="M24">
        <f>$C$12*(ReDiarioFert!K25+ReDiarioFert!K26+ReDiarioFert!K27)</f>
        <v>46.844687716178065</v>
      </c>
      <c r="O24">
        <f>$C$12*(ReDiarioFert!M25+ReDiarioFert!M26+ReDiarioFert!M27)</f>
        <v>240.38980682926828</v>
      </c>
      <c r="S24">
        <f>((E24/100)*$G$86+(G24/100)*$G$87+(I24/100)*$G$88+(K24/100)*$G$89+(M24/100)*$G$90+(O24)*$G$91+(Q24*$G$92))</f>
        <v>1419.0313664296255</v>
      </c>
    </row>
    <row r="25">
      <c r="A25">
        <v>4</v>
      </c>
      <c r="B25">
        <f>B24+3</f>
        <v>22</v>
      </c>
      <c r="C25">
        <f>$I$11+B25</f>
        <v>39963</v>
      </c>
      <c r="E25">
        <f>IF(($C$12*(ReDiarioFert!C28+ReDiarioFert!C29))&lt;=0,"0",($C$12*(ReDiarioFert!C28+ReDiarioFert!C29)))</f>
        <v>7.211949016564572</v>
      </c>
      <c r="G25">
        <f>$C$12*(ReDiarioFert!E28+ReDiarioFert!E29)</f>
        <v>9.301131774360655</v>
      </c>
      <c r="I25">
        <f>$C$12*(ReDiarioFert!G28+ReDiarioFert!G29)</f>
        <v>27.237919370078743</v>
      </c>
      <c r="K25">
        <f>$C$12*(ReDiarioFert!I28+ReDiarioFert!I29)</f>
        <v>15.150831546541221</v>
      </c>
      <c r="M25">
        <f>$C$12*(ReDiarioFert!K28+ReDiarioFert!K29)</f>
        <v>31.229791810785375</v>
      </c>
      <c r="O25">
        <f>$C$12*(ReDiarioFert!M28+ReDiarioFert!M29)</f>
        <v>160.25987121951218</v>
      </c>
      <c r="Q25">
        <f>$C$12*Main!$D$63</f>
        <v>26.879999999999995</v>
      </c>
      <c r="S25">
        <f>((E25/100)*$G$86+(G25/100)*$G$87+(I25/100)*$G$88+(K25/100)*$G$89+(M25/100)*$G$90+(O25)*$G$91+(Q25*$G$92))</f>
        <v>1021.2849109530836</v>
      </c>
    </row>
    <row r="26">
      <c r="B26">
        <f>B25+2</f>
        <v>24</v>
      </c>
      <c r="C26">
        <f>$I$11+B26</f>
        <v>39965</v>
      </c>
      <c r="E26">
        <f>IF(($C$12*(ReDiarioFert!C30+ReDiarioFert!C31))&lt;=0,"0",($C$12*(ReDiarioFert!C30+ReDiarioFert!C31)))</f>
        <v>7.211949016564572</v>
      </c>
      <c r="G26">
        <f>$C$12*(ReDiarioFert!E30+ReDiarioFert!E31)</f>
        <v>9.301131774360655</v>
      </c>
      <c r="I26">
        <f>$C$12*(ReDiarioFert!G30+ReDiarioFert!G31)</f>
        <v>27.237919370078743</v>
      </c>
      <c r="K26">
        <f>$C$12*(ReDiarioFert!I30+ReDiarioFert!I31)</f>
        <v>15.150831546541221</v>
      </c>
      <c r="M26">
        <f>$C$12*(ReDiarioFert!K30+ReDiarioFert!K31)</f>
        <v>31.229791810785375</v>
      </c>
      <c r="O26">
        <f>$C$12*(ReDiarioFert!M30+ReDiarioFert!M31)</f>
        <v>160.25987121951218</v>
      </c>
      <c r="S26">
        <f>((E26/100)*$G$86+(G26/100)*$G$87+(I26/100)*$G$88+(K26/100)*$G$89+(M26/100)*$G$90+(O26)*$G$91+(Q26*$G$92))</f>
        <v>946.0209109530836</v>
      </c>
    </row>
    <row r="27">
      <c r="B27">
        <f>B26+2</f>
        <v>26</v>
      </c>
      <c r="C27">
        <f>$I$11+B27</f>
        <v>39967</v>
      </c>
      <c r="E27">
        <f>IF(($C$12*(ReDiarioFert!C32+ReDiarioFert!C33+ReDiarioFert!C34))&lt;=0,"0",($C$12*(ReDiarioFert!C32+ReDiarioFert!C33+ReDiarioFert!C34)))</f>
        <v>10.81792352484686</v>
      </c>
      <c r="G27">
        <f>$C$12*(ReDiarioFert!E32+ReDiarioFert!E33+ReDiarioFert!E34)</f>
        <v>13.951697661540985</v>
      </c>
      <c r="I27">
        <f>$C$12*(ReDiarioFert!G32+ReDiarioFert!G33+ReDiarioFert!G34)</f>
        <v>40.856879055118114</v>
      </c>
      <c r="K27">
        <f>$C$12*(ReDiarioFert!I32+ReDiarioFert!I33+ReDiarioFert!I34)</f>
        <v>22.726247319811833</v>
      </c>
      <c r="M27">
        <f>$C$12*(ReDiarioFert!K32+ReDiarioFert!K33+ReDiarioFert!K34)</f>
        <v>46.844687716178065</v>
      </c>
      <c r="O27">
        <f>$C$12*(ReDiarioFert!M32+ReDiarioFert!M33+ReDiarioFert!M34)</f>
        <v>240.38980682926828</v>
      </c>
      <c r="S27">
        <f>((E27/100)*$G$86+(G27/100)*$G$87+(I27/100)*$G$88+(K27/100)*$G$89+(M27/100)*$G$90+(O27)*$G$91+(Q27*$G$92))</f>
        <v>1419.0313664296255</v>
      </c>
    </row>
    <row r="28">
      <c r="A28">
        <v>5</v>
      </c>
      <c r="B28">
        <f>B27+3</f>
        <v>29</v>
      </c>
      <c r="C28">
        <f>$I$11+B28</f>
        <v>39970</v>
      </c>
      <c r="E28">
        <f>IF(($C$12*(ReDiarioFert!C35+ReDiarioFert!C36))&lt;=0,"0",($C$12*(ReDiarioFert!C35+ReDiarioFert!C36)))</f>
        <v>7.211949016564572</v>
      </c>
      <c r="G28">
        <f>$C$12*(ReDiarioFert!E35+ReDiarioFert!E36)</f>
        <v>9.301131774360655</v>
      </c>
      <c r="I28">
        <f>$C$12*(ReDiarioFert!G35+ReDiarioFert!G36)</f>
        <v>27.237919370078743</v>
      </c>
      <c r="K28">
        <f>$C$12*(ReDiarioFert!I35+ReDiarioFert!I36)</f>
        <v>15.150831546541221</v>
      </c>
      <c r="M28">
        <f>$C$12*(ReDiarioFert!K35+ReDiarioFert!K36)</f>
        <v>31.229791810785375</v>
      </c>
      <c r="O28">
        <f>$C$12*(ReDiarioFert!M35+ReDiarioFert!M36)</f>
        <v>160.25987121951218</v>
      </c>
      <c r="Q28">
        <f>$C$12*Main!$D$63</f>
        <v>26.879999999999995</v>
      </c>
      <c r="S28">
        <f>((E28/100)*$G$86+(G28/100)*$G$87+(I28/100)*$G$88+(K28/100)*$G$89+(M28/100)*$G$90+(O28)*$G$91+(Q28*$G$92))</f>
        <v>1021.2849109530836</v>
      </c>
    </row>
    <row r="29">
      <c r="B29">
        <f>B28+2</f>
        <v>31</v>
      </c>
      <c r="C29">
        <f>$I$11+B29</f>
        <v>39972</v>
      </c>
      <c r="E29">
        <f>IF(($C$12*(ReDiarioFert!C37+ReDiarioFert!C38))&lt;=0,"0",($C$12*(ReDiarioFert!C37+ReDiarioFert!C38)))</f>
        <v>7.211949016564572</v>
      </c>
      <c r="G29">
        <f>$C$12*(ReDiarioFert!E37+ReDiarioFert!E38)</f>
        <v>9.301131774360655</v>
      </c>
      <c r="I29">
        <f>$C$12*(ReDiarioFert!G37+ReDiarioFert!G38)</f>
        <v>27.237919370078743</v>
      </c>
      <c r="K29">
        <f>$C$12*(ReDiarioFert!I37+ReDiarioFert!I38)</f>
        <v>15.150831546541221</v>
      </c>
      <c r="M29">
        <f>$C$12*(ReDiarioFert!K37+ReDiarioFert!K38)</f>
        <v>31.229791810785375</v>
      </c>
      <c r="O29">
        <f>$C$12*(ReDiarioFert!M37+ReDiarioFert!M38)</f>
        <v>160.25987121951218</v>
      </c>
      <c r="S29">
        <f>((E29/100)*$G$86+(G29/100)*$G$87+(I29/100)*$G$88+(K29/100)*$G$89+(M29/100)*$G$90+(O29)*$G$91+(Q29*$G$92))</f>
        <v>946.0209109530836</v>
      </c>
    </row>
    <row r="30">
      <c r="B30">
        <f>B29+2</f>
        <v>33</v>
      </c>
      <c r="C30">
        <f>$I$11+B30</f>
        <v>39974</v>
      </c>
      <c r="E30">
        <f>IF(($C$12*(ReDiarioFert!C39+ReDiarioFert!C40+ReDiarioFert!C41))&lt;=0,"0",($C$12*(ReDiarioFert!C39+ReDiarioFert!C40+ReDiarioFert!C41)))</f>
        <v>17.30867763975498</v>
      </c>
      <c r="G30">
        <f>$C$12*(ReDiarioFert!E39+ReDiarioFert!E40+ReDiarioFert!E41)</f>
        <v>22.322716258465565</v>
      </c>
      <c r="I30">
        <f>$C$12*(ReDiarioFert!G39+ReDiarioFert!G40+ReDiarioFert!G41)</f>
        <v>65.37100648818898</v>
      </c>
      <c r="K30">
        <f>$C$12*(ReDiarioFert!I39+ReDiarioFert!I40+ReDiarioFert!I41)</f>
        <v>36.36199571169893</v>
      </c>
      <c r="M30">
        <f>$C$12*(ReDiarioFert!K39+ReDiarioFert!K40+ReDiarioFert!K41)</f>
        <v>74.9515003458849</v>
      </c>
      <c r="O30">
        <f>$C$12*(ReDiarioFert!M39+ReDiarioFert!M40+ReDiarioFert!M41)</f>
        <v>340.55452097560976</v>
      </c>
      <c r="S30">
        <f>((E30/100)*$G$86+(G30/100)*$G$87+(I30/100)*$G$88+(K30/100)*$G$89+(M30/100)*$G$90+(O30)*$G$91+(Q30*$G$92))</f>
        <v>2268.6874194893517</v>
      </c>
    </row>
    <row r="31">
      <c r="A31">
        <v>6</v>
      </c>
      <c r="B31">
        <f>B30+3</f>
        <v>36</v>
      </c>
      <c r="C31">
        <f>$I$11+B31</f>
        <v>39977</v>
      </c>
      <c r="E31">
        <f>IF(($C$12*(ReDiarioFert!C42+ReDiarioFert!C43))&lt;=0,"0",($C$12*(ReDiarioFert!C42+ReDiarioFert!C43)))</f>
        <v>11.53911842650332</v>
      </c>
      <c r="G31">
        <f>$C$12*(ReDiarioFert!E42+ReDiarioFert!E43)</f>
        <v>14.881810838977046</v>
      </c>
      <c r="I31">
        <f>$C$12*(ReDiarioFert!G42+ReDiarioFert!G43)</f>
        <v>43.58067099212598</v>
      </c>
      <c r="K31">
        <f>$C$12*(ReDiarioFert!I42+ReDiarioFert!I43)</f>
        <v>24.241330474465954</v>
      </c>
      <c r="M31">
        <f>$C$12*(ReDiarioFert!K42+ReDiarioFert!K43)</f>
        <v>49.9676668972566</v>
      </c>
      <c r="O31">
        <f>$C$12*(ReDiarioFert!M42+ReDiarioFert!M43)</f>
        <v>227.0363473170732</v>
      </c>
      <c r="Q31">
        <f>$C$12*Main!$D$63</f>
        <v>26.879999999999995</v>
      </c>
      <c r="S31">
        <f>((E31/100)*$G$86+(G31/100)*$G$87+(I31/100)*$G$88+(K31/100)*$G$89+(M31/100)*$G$90+(O31)*$G$91+(Q31*$G$92))</f>
        <v>1587.7222796595677</v>
      </c>
    </row>
    <row r="32">
      <c r="B32">
        <f>B31+2</f>
        <v>38</v>
      </c>
      <c r="C32">
        <f>$I$11+B32</f>
        <v>39979</v>
      </c>
      <c r="E32">
        <f>IF(($C$12*(ReDiarioFert!C44+ReDiarioFert!C45))&lt;=0,"0",($C$12*(ReDiarioFert!C44+ReDiarioFert!C45)))</f>
        <v>11.53911842650332</v>
      </c>
      <c r="G32">
        <f>$C$12*(ReDiarioFert!E44+ReDiarioFert!E45)</f>
        <v>14.881810838977046</v>
      </c>
      <c r="I32">
        <f>$C$12*(ReDiarioFert!G44+ReDiarioFert!G45)</f>
        <v>43.58067099212598</v>
      </c>
      <c r="K32">
        <f>$C$12*(ReDiarioFert!I44+ReDiarioFert!I45)</f>
        <v>24.241330474465954</v>
      </c>
      <c r="M32">
        <f>$C$12*(ReDiarioFert!K44+ReDiarioFert!K45)</f>
        <v>49.9676668972566</v>
      </c>
      <c r="O32">
        <f>$C$12*(ReDiarioFert!M44+ReDiarioFert!M45)</f>
        <v>227.0363473170732</v>
      </c>
      <c r="S32">
        <f>((E32/100)*$G$86+(G32/100)*$G$87+(I32/100)*$G$88+(K32/100)*$G$89+(M32/100)*$G$90+(O32)*$G$91+(Q32*$G$92))</f>
        <v>1512.4582796595678</v>
      </c>
    </row>
    <row r="33">
      <c r="B33">
        <f>B32+2</f>
        <v>40</v>
      </c>
      <c r="C33">
        <f>$I$11+B33</f>
        <v>39981</v>
      </c>
      <c r="E33">
        <f>IF(($C$12*(ReDiarioFert!C46+ReDiarioFert!C47+ReDiarioFert!C48))&lt;=0,"0",($C$12*(ReDiarioFert!C46+ReDiarioFert!C47+ReDiarioFert!C48)))</f>
        <v>17.30867763975498</v>
      </c>
      <c r="G33">
        <f>$C$12*(ReDiarioFert!E46+ReDiarioFert!E47+ReDiarioFert!E48)</f>
        <v>22.322716258465565</v>
      </c>
      <c r="I33">
        <f>$C$12*(ReDiarioFert!G46+ReDiarioFert!G47+ReDiarioFert!G48)</f>
        <v>65.37100648818898</v>
      </c>
      <c r="K33">
        <f>$C$12*(ReDiarioFert!I46+ReDiarioFert!I47+ReDiarioFert!I48)</f>
        <v>36.36199571169893</v>
      </c>
      <c r="M33">
        <f>$C$12*(ReDiarioFert!K46+ReDiarioFert!K47+ReDiarioFert!K48)</f>
        <v>74.9515003458849</v>
      </c>
      <c r="O33">
        <f>$C$12*(ReDiarioFert!M46+ReDiarioFert!M47+ReDiarioFert!M48)</f>
        <v>340.55452097560976</v>
      </c>
      <c r="S33">
        <f>((E33/100)*$G$86+(G33/100)*$G$87+(I33/100)*$G$88+(K33/100)*$G$89+(M33/100)*$G$90+(O33)*$G$91+(Q33*$G$92))</f>
        <v>2268.6874194893517</v>
      </c>
    </row>
    <row r="34">
      <c r="A34">
        <v>7</v>
      </c>
      <c r="B34">
        <f>B33+3</f>
        <v>43</v>
      </c>
      <c r="C34">
        <f>$I$11+B34</f>
        <v>39984</v>
      </c>
      <c r="E34">
        <f>IF(($C$12*(ReDiarioFert!C49+ReDiarioFert!C50))&lt;=0,"0",($C$12*(ReDiarioFert!C49+ReDiarioFert!C50)))</f>
        <v>11.53911842650332</v>
      </c>
      <c r="G34">
        <f>$C$12*(ReDiarioFert!E49+ReDiarioFert!E50)</f>
        <v>14.881810838977046</v>
      </c>
      <c r="I34">
        <f>$C$12*(ReDiarioFert!G49+ReDiarioFert!G50)</f>
        <v>43.58067099212598</v>
      </c>
      <c r="K34">
        <f>$C$12*(ReDiarioFert!I49+ReDiarioFert!I50)</f>
        <v>24.241330474465954</v>
      </c>
      <c r="M34">
        <f>$C$12*(ReDiarioFert!K49+ReDiarioFert!K50)</f>
        <v>49.9676668972566</v>
      </c>
      <c r="O34">
        <f>$C$12*(ReDiarioFert!M49+ReDiarioFert!M50)</f>
        <v>227.0363473170732</v>
      </c>
      <c r="Q34">
        <f>$C$12*Main!$D$63</f>
        <v>26.879999999999995</v>
      </c>
      <c r="S34">
        <f>((E34/100)*$G$86+(G34/100)*$G$87+(I34/100)*$G$88+(K34/100)*$G$89+(M34/100)*$G$90+(O34)*$G$91+(Q34*$G$92))</f>
        <v>1587.7222796595677</v>
      </c>
    </row>
    <row r="35">
      <c r="B35">
        <f>B34+2</f>
        <v>45</v>
      </c>
      <c r="C35">
        <f>$I$11+B35</f>
        <v>39986</v>
      </c>
      <c r="E35">
        <f>IF(($C$12*(ReDiarioFert!C51+ReDiarioFert!C52))&lt;=0,"0",($C$12*(ReDiarioFert!C51+ReDiarioFert!C52)))</f>
        <v>13.22531444261058</v>
      </c>
      <c r="G35">
        <f>$C$12*(ReDiarioFert!E51+ReDiarioFert!E52)</f>
        <v>17.67215037128524</v>
      </c>
      <c r="I35">
        <f>$C$12*(ReDiarioFert!G51+ReDiarioFert!G52)</f>
        <v>58.41020487139107</v>
      </c>
      <c r="K35">
        <f>$C$12*(ReDiarioFert!I51+ReDiarioFert!I52)</f>
        <v>32.490116538693954</v>
      </c>
      <c r="M35">
        <f>$C$12*(ReDiarioFert!K51+ReDiarioFert!K52)</f>
        <v>66.9705535497953</v>
      </c>
      <c r="O35">
        <f>$C$12*(ReDiarioFert!M51+ReDiarioFert!M52)</f>
        <v>227.0363473170732</v>
      </c>
      <c r="S35">
        <f>((E35/100)*$G$86+(G35/100)*$G$87+(I35/100)*$G$88+(K35/100)*$G$89+(M35/100)*$G$90+(O35)*$G$91+(Q35*$G$92))</f>
        <v>1944.199396135393</v>
      </c>
    </row>
    <row r="36">
      <c r="B36">
        <f>B35+2</f>
        <v>47</v>
      </c>
      <c r="C36">
        <f>$I$11+B36</f>
        <v>39988</v>
      </c>
      <c r="E36">
        <f>IF(($C$12*(ReDiarioFert!C53+ReDiarioFert!C54+ReDiarioFert!C55))&lt;=0,"0",($C$12*(ReDiarioFert!C53+ReDiarioFert!C54+ReDiarioFert!C55)))</f>
        <v>22.367265688076756</v>
      </c>
      <c r="G36">
        <f>$C$12*(ReDiarioFert!E53+ReDiarioFert!E54+ReDiarioFert!E55)</f>
        <v>30.693734855390154</v>
      </c>
      <c r="I36">
        <f>$C$12*(ReDiarioFert!G53+ReDiarioFert!G54+ReDiarioFert!G55)</f>
        <v>109.85960812598424</v>
      </c>
      <c r="K36">
        <f>$C$12*(ReDiarioFert!I53+ReDiarioFert!I54+ReDiarioFert!I55)</f>
        <v>61.108353904382916</v>
      </c>
      <c r="M36">
        <f>$C$12*(ReDiarioFert!K53+ReDiarioFert!K54+ReDiarioFert!K55)</f>
        <v>125.960160303501</v>
      </c>
      <c r="O36">
        <f>$C$12*(ReDiarioFert!M53+ReDiarioFert!M54+ReDiarioFert!M55)</f>
        <v>420.6844565853658</v>
      </c>
      <c r="S36">
        <f>((E36/100)*$G$86+(G36/100)*$G$87+(I36/100)*$G$88+(K36/100)*$G$89+(M36/100)*$G$90+(O36)*$G$91+(Q36*$G$92))</f>
        <v>3567.1159663412177</v>
      </c>
    </row>
    <row r="37">
      <c r="A37">
        <v>8</v>
      </c>
      <c r="B37">
        <f>B36+3</f>
        <v>50</v>
      </c>
      <c r="C37">
        <f>$I$11+B37</f>
        <v>39991</v>
      </c>
      <c r="E37">
        <f>IF(($C$12*(ReDiarioFert!C56+ReDiarioFert!C57))&lt;=0,"0",($C$12*(ReDiarioFert!C56+ReDiarioFert!C57)))</f>
        <v>14.911510458717837</v>
      </c>
      <c r="G37">
        <f>$C$12*(ReDiarioFert!E56+ReDiarioFert!E57)</f>
        <v>20.462489903593436</v>
      </c>
      <c r="I37">
        <f>$C$12*(ReDiarioFert!G56+ReDiarioFert!G57)</f>
        <v>73.23973875065616</v>
      </c>
      <c r="K37">
        <f>$C$12*(ReDiarioFert!I56+ReDiarioFert!I57)</f>
        <v>40.73890260292195</v>
      </c>
      <c r="M37">
        <f>$C$12*(ReDiarioFert!K56+ReDiarioFert!K57)</f>
        <v>83.97344020233399</v>
      </c>
      <c r="O37">
        <f>$C$12*(ReDiarioFert!M56+ReDiarioFert!M57)</f>
        <v>307.16628292682924</v>
      </c>
      <c r="Q37">
        <f>$C$12*Main!$D$63</f>
        <v>26.879999999999995</v>
      </c>
      <c r="S37">
        <f>((E37/100)*$G$86+(G37/100)*$G$87+(I37/100)*$G$88+(K37/100)*$G$89+(M37/100)*$G$90+(O37)*$G$91+(Q37*$G$92))</f>
        <v>2454.409710035609</v>
      </c>
    </row>
    <row r="38">
      <c r="B38">
        <f>B37+2</f>
        <v>52</v>
      </c>
      <c r="C38">
        <f>$I$11+B38</f>
        <v>39993</v>
      </c>
      <c r="E38">
        <f>IF(($C$12*(ReDiarioFert!C58+ReDiarioFert!C59))&lt;=0,"0",($C$12*(ReDiarioFert!C58+ReDiarioFert!C59)))</f>
        <v>14.911510458717837</v>
      </c>
      <c r="G38">
        <f>$C$12*(ReDiarioFert!E58+ReDiarioFert!E59)</f>
        <v>20.462489903593436</v>
      </c>
      <c r="I38">
        <f>$C$12*(ReDiarioFert!G58+ReDiarioFert!G59)</f>
        <v>73.23973875065616</v>
      </c>
      <c r="K38">
        <f>$C$12*(ReDiarioFert!I58+ReDiarioFert!I59)</f>
        <v>40.73890260292195</v>
      </c>
      <c r="M38">
        <f>$C$12*(ReDiarioFert!K58+ReDiarioFert!K59)</f>
        <v>83.97344020233399</v>
      </c>
      <c r="O38">
        <f>$C$12*(ReDiarioFert!M58+ReDiarioFert!M59)</f>
        <v>307.16628292682924</v>
      </c>
      <c r="S38">
        <f>((E38/100)*$G$86+(G38/100)*$G$87+(I38/100)*$G$88+(K38/100)*$G$89+(M38/100)*$G$90+(O38)*$G$91+(Q38*$G$92))</f>
        <v>2379.1457100356088</v>
      </c>
    </row>
    <row r="39">
      <c r="B39">
        <f>B38+2</f>
        <v>54</v>
      </c>
      <c r="C39">
        <f>$I$11+B39</f>
        <v>39995</v>
      </c>
      <c r="E39">
        <f>IF(($C$12*(ReDiarioFert!C60+ReDiarioFert!C61+ReDiarioFert!C62))&lt;=0,"0",($C$12*(ReDiarioFert!C60+ReDiarioFert!C61+ReDiarioFert!C62)))</f>
        <v>22.367265688076756</v>
      </c>
      <c r="G39">
        <f>$C$12*(ReDiarioFert!E60+ReDiarioFert!E61+ReDiarioFert!E62)</f>
        <v>30.693734855390154</v>
      </c>
      <c r="I39">
        <f>$C$12*(ReDiarioFert!G60+ReDiarioFert!G61+ReDiarioFert!G62)</f>
        <v>109.85960812598424</v>
      </c>
      <c r="K39">
        <f>$C$12*(ReDiarioFert!I60+ReDiarioFert!I61+ReDiarioFert!I62)</f>
        <v>61.108353904382916</v>
      </c>
      <c r="M39">
        <f>$C$12*(ReDiarioFert!K60+ReDiarioFert!K61+ReDiarioFert!K62)</f>
        <v>125.960160303501</v>
      </c>
      <c r="O39">
        <f>$C$12*(ReDiarioFert!M60+ReDiarioFert!M61+ReDiarioFert!M62)</f>
        <v>460.74942439024386</v>
      </c>
      <c r="S39">
        <f>((E39/100)*$G$86+(G39/100)*$G$87+(I39/100)*$G$88+(K39/100)*$G$89+(M39/100)*$G$90+(O39)*$G$91+(Q39*$G$92))</f>
        <v>3568.718565053413</v>
      </c>
    </row>
    <row r="40">
      <c r="A40">
        <v>9</v>
      </c>
      <c r="B40">
        <f>B39+3</f>
        <v>57</v>
      </c>
      <c r="C40">
        <f>$I$11+B40</f>
        <v>39998</v>
      </c>
      <c r="E40">
        <f>IF(($C$12*(ReDiarioFert!C63+ReDiarioFert!C64))&lt;=0,"0",($C$12*(ReDiarioFert!C63+ReDiarioFert!C64)))</f>
        <v>14.911510458717837</v>
      </c>
      <c r="G40">
        <f>$C$12*(ReDiarioFert!E63+ReDiarioFert!E64)</f>
        <v>20.462489903593436</v>
      </c>
      <c r="I40">
        <f>$C$12*(ReDiarioFert!G63+ReDiarioFert!G64)</f>
        <v>73.23973875065616</v>
      </c>
      <c r="K40">
        <f>$C$12*(ReDiarioFert!I63+ReDiarioFert!I64)</f>
        <v>40.73890260292195</v>
      </c>
      <c r="M40">
        <f>$C$12*(ReDiarioFert!K63+ReDiarioFert!K64)</f>
        <v>83.97344020233399</v>
      </c>
      <c r="O40">
        <f>$C$12*(ReDiarioFert!M63+ReDiarioFert!M64)</f>
        <v>307.16628292682924</v>
      </c>
      <c r="Q40">
        <f>$C$12*Main!$D$63</f>
        <v>26.879999999999995</v>
      </c>
      <c r="S40">
        <f>((E40/100)*$G$86+(G40/100)*$G$87+(I40/100)*$G$88+(K40/100)*$G$89+(M40/100)*$G$90+(O40)*$G$91+(Q40*$G$92))</f>
        <v>2454.409710035609</v>
      </c>
    </row>
    <row r="41">
      <c r="B41">
        <f>B40+2</f>
        <v>59</v>
      </c>
      <c r="C41">
        <f>$I$11+B41</f>
        <v>40000</v>
      </c>
      <c r="E41">
        <f>IF(($C$12*(ReDiarioFert!C65+ReDiarioFert!C66))&lt;=0,"0",($C$12*(ReDiarioFert!C65+ReDiarioFert!C66)))</f>
        <v>14.911510458717837</v>
      </c>
      <c r="G41">
        <f>$C$12*(ReDiarioFert!E65+ReDiarioFert!E66)</f>
        <v>20.462489903593436</v>
      </c>
      <c r="I41">
        <f>$C$12*(ReDiarioFert!G65+ReDiarioFert!G66)</f>
        <v>73.23973875065616</v>
      </c>
      <c r="K41">
        <f>$C$12*(ReDiarioFert!I65+ReDiarioFert!I66)</f>
        <v>40.73890260292195</v>
      </c>
      <c r="M41">
        <f>$C$12*(ReDiarioFert!K65+ReDiarioFert!K66)</f>
        <v>83.97344020233399</v>
      </c>
      <c r="O41">
        <f>$C$12*(ReDiarioFert!M65+ReDiarioFert!M66)</f>
        <v>307.16628292682924</v>
      </c>
      <c r="S41">
        <f>((E41/100)*$G$86+(G41/100)*$G$87+(I41/100)*$G$88+(K41/100)*$G$89+(M41/100)*$G$90+(O41)*$G$91+(Q41*$G$92))</f>
        <v>2379.1457100356088</v>
      </c>
    </row>
    <row r="42">
      <c r="B42">
        <f>B41+2</f>
        <v>61</v>
      </c>
      <c r="C42">
        <f>$I$11+B42</f>
        <v>40002</v>
      </c>
      <c r="E42">
        <f>IF(($C$12*(ReDiarioFert!C67+ReDiarioFert!C68+ReDiarioFert!C69))&lt;=0,"0",($C$12*(ReDiarioFert!C67+ReDiarioFert!C68+ReDiarioFert!C69)))</f>
        <v>22.367265688076756</v>
      </c>
      <c r="G42">
        <f>$C$12*(ReDiarioFert!E67+ReDiarioFert!E68+ReDiarioFert!E69)</f>
        <v>30.693734855390154</v>
      </c>
      <c r="I42">
        <f>$C$12*(ReDiarioFert!G67+ReDiarioFert!G68+ReDiarioFert!G69)</f>
        <v>109.85960812598424</v>
      </c>
      <c r="K42">
        <f>$C$12*(ReDiarioFert!I67+ReDiarioFert!I68+ReDiarioFert!I69)</f>
        <v>61.108353904382916</v>
      </c>
      <c r="M42">
        <f>$C$12*(ReDiarioFert!K67+ReDiarioFert!K68+ReDiarioFert!K69)</f>
        <v>125.960160303501</v>
      </c>
      <c r="O42">
        <f>$C$12*(ReDiarioFert!M67+ReDiarioFert!M68+ReDiarioFert!M69)</f>
        <v>500.81504780487796</v>
      </c>
      <c r="S42">
        <f>((E42/100)*$G$86+(G42/100)*$G$87+(I42/100)*$G$88+(K42/100)*$G$89+(M42/100)*$G$90+(O42)*$G$91+(Q42*$G$92))</f>
        <v>3570.3211899899984</v>
      </c>
    </row>
    <row r="43">
      <c r="A43">
        <v>10</v>
      </c>
      <c r="B43">
        <f>B42+3</f>
        <v>64</v>
      </c>
      <c r="C43">
        <f>$I$11+B43</f>
        <v>40005</v>
      </c>
      <c r="E43">
        <f>IF(($C$12*(ReDiarioFert!C70+ReDiarioFert!C71))&lt;=0,"0",($C$12*(ReDiarioFert!C70+ReDiarioFert!C71)))</f>
        <v>9.525290267215247</v>
      </c>
      <c r="G43">
        <f>$C$12*(ReDiarioFert!E70+ReDiarioFert!E71)</f>
        <v>17.362112645473225</v>
      </c>
      <c r="I43">
        <f>$C$12*(ReDiarioFert!G70+ReDiarioFert!G71)</f>
        <v>94.9090168272966</v>
      </c>
      <c r="K43">
        <f>$C$12*(ReDiarioFert!I70+ReDiarioFert!I71)</f>
        <v>52.792230811059184</v>
      </c>
      <c r="M43">
        <f>$C$12*(ReDiarioFert!K70+ReDiarioFert!K71)</f>
        <v>108.81847457624771</v>
      </c>
      <c r="O43">
        <f>$C$12*(ReDiarioFert!M70+ReDiarioFert!M71)</f>
        <v>387.29752975609756</v>
      </c>
      <c r="Q43">
        <f>$C$12*Main!$D$63</f>
        <v>26.879999999999995</v>
      </c>
      <c r="S43">
        <f>((E43/100)*$G$86+(G43/100)*$G$87+(I43/100)*$G$88+(K43/100)*$G$89+(M43/100)*$G$90+(O43)*$G$91+(Q43*$G$92))</f>
        <v>2831.661837895447</v>
      </c>
    </row>
    <row r="44">
      <c r="B44">
        <f>B43+2</f>
        <v>66</v>
      </c>
      <c r="C44">
        <f>$I$11+B44</f>
        <v>40007</v>
      </c>
      <c r="E44">
        <f>IF(($C$12*(ReDiarioFert!C72+ReDiarioFert!C73))&lt;=0,"0",($C$12*(ReDiarioFert!C72+ReDiarioFert!C73)))</f>
        <v>9.525290267215247</v>
      </c>
      <c r="G44">
        <f>$C$12*(ReDiarioFert!E72+ReDiarioFert!E73)</f>
        <v>17.362112645473225</v>
      </c>
      <c r="I44">
        <f>$C$12*(ReDiarioFert!G72+ReDiarioFert!G73)</f>
        <v>94.9090168272966</v>
      </c>
      <c r="K44">
        <f>$C$12*(ReDiarioFert!I72+ReDiarioFert!I73)</f>
        <v>52.792230811059184</v>
      </c>
      <c r="M44">
        <f>$C$12*(ReDiarioFert!K72+ReDiarioFert!K73)</f>
        <v>108.81847457624771</v>
      </c>
      <c r="O44">
        <f>$C$12*(ReDiarioFert!M72+ReDiarioFert!M73)</f>
        <v>387.29752975609756</v>
      </c>
      <c r="S44">
        <f>((E44/100)*$G$86+(G44/100)*$G$87+(I44/100)*$G$88+(K44/100)*$G$89+(M44/100)*$G$90+(O44)*$G$91+(Q44*$G$92))</f>
        <v>2756.397837895447</v>
      </c>
    </row>
    <row r="45">
      <c r="B45">
        <f>B44+2</f>
        <v>68</v>
      </c>
      <c r="C45">
        <f>$I$11+B45</f>
        <v>40009</v>
      </c>
      <c r="E45">
        <f>IF(($C$12*(ReDiarioFert!C74+ReDiarioFert!C75+ReDiarioFert!C76))&lt;=0,"0",($C$12*(ReDiarioFert!C74+ReDiarioFert!C75+ReDiarioFert!C76)))</f>
        <v>14.287935400822871</v>
      </c>
      <c r="G45">
        <f>$C$12*(ReDiarioFert!E74+ReDiarioFert!E75+ReDiarioFert!E76)</f>
        <v>26.043168968209837</v>
      </c>
      <c r="I45">
        <f>$C$12*(ReDiarioFert!G74+ReDiarioFert!G75+ReDiarioFert!G76)</f>
        <v>142.3635252409449</v>
      </c>
      <c r="K45">
        <f>$C$12*(ReDiarioFert!I74+ReDiarioFert!I75+ReDiarioFert!I76)</f>
        <v>79.18834621658878</v>
      </c>
      <c r="M45">
        <f>$C$12*(ReDiarioFert!K74+ReDiarioFert!K75+ReDiarioFert!K76)</f>
        <v>163.22771186437157</v>
      </c>
      <c r="O45">
        <f>$C$12*(ReDiarioFert!M74+ReDiarioFert!M75+ReDiarioFert!M76)</f>
        <v>580.9462946341463</v>
      </c>
      <c r="S45">
        <f>((E45/100)*$G$86+(G45/100)*$G$87+(I45/100)*$G$88+(K45/100)*$G$89+(M45/100)*$G$90+(O45)*$G$91+(Q45*$G$92))</f>
        <v>4134.5967568431715</v>
      </c>
    </row>
    <row r="46">
      <c r="A46">
        <v>11</v>
      </c>
      <c r="B46">
        <f>B45+3</f>
        <v>71</v>
      </c>
      <c r="C46">
        <f>$I$11+B46</f>
        <v>40012</v>
      </c>
      <c r="E46">
        <f>IF(($C$12*(ReDiarioFert!C77+ReDiarioFert!C78))&lt;=0,"0",($C$12*(ReDiarioFert!C77+ReDiarioFert!C78)))</f>
        <v>9.525290267215247</v>
      </c>
      <c r="G46">
        <f>$C$12*(ReDiarioFert!E77+ReDiarioFert!E78)</f>
        <v>17.362112645473225</v>
      </c>
      <c r="I46">
        <f>$C$12*(ReDiarioFert!G77+ReDiarioFert!G78)</f>
        <v>94.9090168272966</v>
      </c>
      <c r="K46">
        <f>$C$12*(ReDiarioFert!I77+ReDiarioFert!I78)</f>
        <v>52.792230811059184</v>
      </c>
      <c r="M46">
        <f>$C$12*(ReDiarioFert!K77+ReDiarioFert!K78)</f>
        <v>108.81847457624771</v>
      </c>
      <c r="O46">
        <f>$C$12*(ReDiarioFert!M77+ReDiarioFert!M78)</f>
        <v>387.29752975609756</v>
      </c>
      <c r="Q46">
        <f>$C$12*Main!$D$63</f>
        <v>26.879999999999995</v>
      </c>
      <c r="S46">
        <f>((E46/100)*$G$86+(G46/100)*$G$87+(I46/100)*$G$88+(K46/100)*$G$89+(M46/100)*$G$90+(O46)*$G$91+(Q46*$G$92))</f>
        <v>2831.661837895447</v>
      </c>
    </row>
    <row r="47">
      <c r="B47">
        <f>B46+2</f>
        <v>73</v>
      </c>
      <c r="C47">
        <f>$I$11+B47</f>
        <v>40014</v>
      </c>
      <c r="E47">
        <f>IF(($C$12*(ReDiarioFert!C79+ReDiarioFert!C80))&lt;=0,"0",($C$12*(ReDiarioFert!C79+ReDiarioFert!C80)))</f>
        <v>9.525290267215247</v>
      </c>
      <c r="G47">
        <f>$C$12*(ReDiarioFert!E79+ReDiarioFert!E80)</f>
        <v>17.362112645473225</v>
      </c>
      <c r="I47">
        <f>$C$12*(ReDiarioFert!G79+ReDiarioFert!G80)</f>
        <v>94.9090168272966</v>
      </c>
      <c r="K47">
        <f>$C$12*(ReDiarioFert!I79+ReDiarioFert!I80)</f>
        <v>52.792230811059184</v>
      </c>
      <c r="M47">
        <f>$C$12*(ReDiarioFert!K79+ReDiarioFert!K80)</f>
        <v>108.81847457624771</v>
      </c>
      <c r="O47">
        <f>$C$12*(ReDiarioFert!M79+ReDiarioFert!M80)</f>
        <v>387.29752975609756</v>
      </c>
      <c r="S47">
        <f>((E47/100)*$G$86+(G47/100)*$G$87+(I47/100)*$G$88+(K47/100)*$G$89+(M47/100)*$G$90+(O47)*$G$91+(Q47*$G$92))</f>
        <v>2756.397837895447</v>
      </c>
    </row>
    <row r="48">
      <c r="B48">
        <f>B47+2</f>
        <v>75</v>
      </c>
      <c r="C48">
        <f>$I$11+B48</f>
        <v>40016</v>
      </c>
      <c r="E48">
        <f>IF(($C$12*(ReDiarioFert!C81+ReDiarioFert!C82+ReDiarioFert!C83))&lt;=0,"0",($C$12*(ReDiarioFert!C81+ReDiarioFert!C82+ReDiarioFert!C83)))</f>
        <v>14.287935400822871</v>
      </c>
      <c r="G48">
        <f>$C$12*(ReDiarioFert!E81+ReDiarioFert!E82+ReDiarioFert!E83)</f>
        <v>26.043168968209837</v>
      </c>
      <c r="I48">
        <f>$C$12*(ReDiarioFert!G81+ReDiarioFert!G82+ReDiarioFert!G83)</f>
        <v>142.3635252409449</v>
      </c>
      <c r="K48">
        <f>$C$12*(ReDiarioFert!I81+ReDiarioFert!I82+ReDiarioFert!I83)</f>
        <v>79.18834621658878</v>
      </c>
      <c r="M48">
        <f>$C$12*(ReDiarioFert!K81+ReDiarioFert!K82+ReDiarioFert!K83)</f>
        <v>163.22771186437157</v>
      </c>
      <c r="O48">
        <f>$C$12*(ReDiarioFert!M81+ReDiarioFert!M82+ReDiarioFert!M83)</f>
        <v>580.9462946341463</v>
      </c>
      <c r="S48">
        <f>((E48/100)*$G$86+(G48/100)*$G$87+(I48/100)*$G$88+(K48/100)*$G$89+(M48/100)*$G$90+(O48)*$G$91+(Q48*$G$92))</f>
        <v>4134.5967568431715</v>
      </c>
    </row>
    <row r="49">
      <c r="A49">
        <v>12</v>
      </c>
      <c r="B49">
        <f>B48+3</f>
        <v>78</v>
      </c>
      <c r="C49">
        <f>$I$11+B49</f>
        <v>40019</v>
      </c>
      <c r="E49">
        <f>IF(($C$12*(ReDiarioFert!C84+ReDiarioFert!C85))&lt;=0,"0",($C$12*(ReDiarioFert!C84+ReDiarioFert!C85)))</f>
        <v>9.525290267215247</v>
      </c>
      <c r="G49">
        <f>$C$12*(ReDiarioFert!E84+ReDiarioFert!E85)</f>
        <v>17.362112645473225</v>
      </c>
      <c r="I49">
        <f>$C$12*(ReDiarioFert!G84+ReDiarioFert!G85)</f>
        <v>94.9090168272966</v>
      </c>
      <c r="K49">
        <f>$C$12*(ReDiarioFert!I84+ReDiarioFert!I85)</f>
        <v>52.792230811059184</v>
      </c>
      <c r="M49">
        <f>$C$12*(ReDiarioFert!K84+ReDiarioFert!K85)</f>
        <v>108.81847457624771</v>
      </c>
      <c r="O49">
        <f>$C$12*(ReDiarioFert!M84+ReDiarioFert!M85)</f>
        <v>387.29752975609756</v>
      </c>
      <c r="Q49">
        <f>$C$12*Main!$D$63</f>
        <v>26.879999999999995</v>
      </c>
      <c r="S49">
        <f>((E49/100)*$G$86+(G49/100)*$G$87+(I49/100)*$G$88+(K49/100)*$G$89+(M49/100)*$G$90+(O49)*$G$91+(Q49*$G$92))</f>
        <v>2831.661837895447</v>
      </c>
    </row>
    <row r="50">
      <c r="B50">
        <f>B49+2</f>
        <v>80</v>
      </c>
      <c r="C50">
        <f>$I$11+B50</f>
        <v>40021</v>
      </c>
      <c r="E50">
        <f>IF(($C$12*(ReDiarioFert!C86+ReDiarioFert!C87))&lt;=0,"0",($C$12*(ReDiarioFert!C86+ReDiarioFert!C87)))</f>
        <v>6.73966510378288</v>
      </c>
      <c r="G50">
        <f>$C$12*(ReDiarioFert!E86+ReDiarioFert!E87)</f>
        <v>19.222339000345354</v>
      </c>
      <c r="I50">
        <f>$C$12*(ReDiarioFert!G86+ReDiarioFert!G87)</f>
        <v>98.90391166824146</v>
      </c>
      <c r="K50">
        <f>$C$12*(ReDiarioFert!I86+ReDiarioFert!I87)</f>
        <v>55.01435277121857</v>
      </c>
      <c r="M50">
        <f>$C$12*(ReDiarioFert!K86+ReDiarioFert!K87)</f>
        <v>113.39884404182956</v>
      </c>
      <c r="O50">
        <f>$C$12*(ReDiarioFert!M86+ReDiarioFert!M87)</f>
        <v>427.3624975609756</v>
      </c>
      <c r="S50">
        <f>((E50/100)*$G$86+(G50/100)*$G$87+(I50/100)*$G$88+(K50/100)*$G$89+(M50/100)*$G$90+(O50)*$G$91+(Q50*$G$92))</f>
        <v>2886.3667877949415</v>
      </c>
    </row>
    <row r="51">
      <c r="B51">
        <f>B50+2</f>
        <v>82</v>
      </c>
      <c r="C51">
        <f>$I$11+B51</f>
        <v>40023</v>
      </c>
      <c r="E51">
        <f>IF(($C$12*(ReDiarioFert!C88+ReDiarioFert!C89+ReDiarioFert!C90))&lt;=0,"0",($C$12*(ReDiarioFert!C88+ReDiarioFert!C89+ReDiarioFert!C90)))</f>
        <v>5.931059910525767</v>
      </c>
      <c r="G51">
        <f>$C$12*(ReDiarioFert!E88+ReDiarioFert!E89+ReDiarioFert!E90)</f>
        <v>31.623848032826228</v>
      </c>
      <c r="I51">
        <f>$C$12*(ReDiarioFert!G88+ReDiarioFert!G89+ReDiarioFert!G90)</f>
        <v>154.34820976377955</v>
      </c>
      <c r="K51">
        <f>$C$12*(ReDiarioFert!I88+ReDiarioFert!I89+ReDiarioFert!I90)</f>
        <v>85.85471209706692</v>
      </c>
      <c r="M51">
        <f>$C$12*(ReDiarioFert!K88+ReDiarioFert!K89+ReDiarioFert!K90)</f>
        <v>176.96882026111712</v>
      </c>
      <c r="O51">
        <f>$C$12*(ReDiarioFert!M88+ReDiarioFert!M89+ReDiarioFert!M90)</f>
        <v>701.1411980487806</v>
      </c>
      <c r="S51">
        <f>((E51/100)*$G$86+(G51/100)*$G$87+(I51/100)*$G$88+(K51/100)*$G$89+(M51/100)*$G$90+(O51)*$G$91+(Q51*$G$92))</f>
        <v>4524.503606541653</v>
      </c>
    </row>
    <row r="52" ht="18" customHeight="1">
      <c r="A52">
        <v>13</v>
      </c>
      <c r="B52">
        <f>B51+3</f>
        <v>85</v>
      </c>
      <c r="C52">
        <f>$I$11+B52</f>
        <v>40026</v>
      </c>
      <c r="E52">
        <f>IF(($C$12*(ReDiarioFert!C91+ReDiarioFert!C92))&lt;=0,"0",($C$12*(ReDiarioFert!C91+ReDiarioFert!C92)))</f>
        <v>3.954039940350512</v>
      </c>
      <c r="G52">
        <f>$C$12*(ReDiarioFert!E91+ReDiarioFert!E92)</f>
        <v>21.082565355217483</v>
      </c>
      <c r="I52">
        <f>$C$12*(ReDiarioFert!G91+ReDiarioFert!G92)</f>
        <v>102.89880650918636</v>
      </c>
      <c r="K52">
        <f>$C$12*(ReDiarioFert!I91+ReDiarioFert!I92)</f>
        <v>57.236474731377946</v>
      </c>
      <c r="M52">
        <f>$C$12*(ReDiarioFert!K91+ReDiarioFert!K92)</f>
        <v>117.9792135074114</v>
      </c>
      <c r="O52">
        <f>$C$12*(ReDiarioFert!M91+ReDiarioFert!M92)</f>
        <v>467.42746536585366</v>
      </c>
      <c r="Q52">
        <f>$C$12*Main!$D$63</f>
        <v>26.879999999999995</v>
      </c>
      <c r="S52">
        <f>((E52/100)*$G$86+(G52/100)*$G$87+(I52/100)*$G$88+(K52/100)*$G$89+(M52/100)*$G$90+(O52)*$G$91+(Q52*$G$92))</f>
        <v>3091.599737694435</v>
      </c>
    </row>
    <row r="53" ht="18" customHeight="1">
      <c r="B53">
        <f>B52+2</f>
        <v>87</v>
      </c>
      <c r="C53">
        <f>$I$11+B53</f>
        <v>40028</v>
      </c>
      <c r="E53">
        <f>IF(($C$12*(ReDiarioFert!C93+ReDiarioFert!C94))&lt;=0,"0",($C$12*(ReDiarioFert!C93+ReDiarioFert!C94)))</f>
        <v>3.954039940350512</v>
      </c>
      <c r="G53">
        <f>$C$12*(ReDiarioFert!E93+ReDiarioFert!E94)</f>
        <v>21.082565355217483</v>
      </c>
      <c r="I53">
        <f>$C$12*(ReDiarioFert!G93+ReDiarioFert!G94)</f>
        <v>102.89880650918636</v>
      </c>
      <c r="K53">
        <f>$C$12*(ReDiarioFert!I93+ReDiarioFert!I94)</f>
        <v>57.236474731377946</v>
      </c>
      <c r="M53">
        <f>$C$12*(ReDiarioFert!K93+ReDiarioFert!K94)</f>
        <v>117.9792135074114</v>
      </c>
      <c r="O53">
        <f>$C$12*(ReDiarioFert!M93+ReDiarioFert!M94)</f>
        <v>467.42746536585366</v>
      </c>
      <c r="S53">
        <f>((E53/100)*$G$86+(G53/100)*$G$87+(I53/100)*$G$88+(K53/100)*$G$89+(M53/100)*$G$90+(O53)*$G$91+(Q53*$G$92))</f>
        <v>3016.335737694435</v>
      </c>
    </row>
    <row r="54" ht="18" customHeight="1">
      <c r="B54">
        <f>B53+2</f>
        <v>89</v>
      </c>
      <c r="C54">
        <f>$I$11+B54</f>
        <v>40030</v>
      </c>
      <c r="E54">
        <f>IF(($C$12*(ReDiarioFert!C95+ReDiarioFert!C96+ReDiarioFert!C97))&lt;=0,"0",($C$12*(ReDiarioFert!C95+ReDiarioFert!C96+ReDiarioFert!C97)))</f>
        <v>5.931059910525767</v>
      </c>
      <c r="G54">
        <f>$C$12*(ReDiarioFert!E95+ReDiarioFert!E96+ReDiarioFert!E97)</f>
        <v>31.623848032826228</v>
      </c>
      <c r="I54">
        <f>$C$12*(ReDiarioFert!G95+ReDiarioFert!G96+ReDiarioFert!G97)</f>
        <v>154.34820976377955</v>
      </c>
      <c r="K54">
        <f>$C$12*(ReDiarioFert!I95+ReDiarioFert!I96+ReDiarioFert!I97)</f>
        <v>85.85471209706692</v>
      </c>
      <c r="M54">
        <f>$C$12*(ReDiarioFert!K95+ReDiarioFert!K96+ReDiarioFert!K97)</f>
        <v>176.96882026111712</v>
      </c>
      <c r="O54">
        <f>$C$12*(ReDiarioFert!M95+ReDiarioFert!M96+ReDiarioFert!M97)</f>
        <v>701.1411980487806</v>
      </c>
      <c r="S54">
        <f>((E54/100)*$G$86+(G54/100)*$G$87+(I54/100)*$G$88+(K54/100)*$G$89+(M54/100)*$G$90+(O54)*$G$91+(Q54*$G$92))</f>
        <v>4524.503606541653</v>
      </c>
    </row>
    <row r="55">
      <c r="A55">
        <v>14</v>
      </c>
      <c r="B55">
        <f>B54+3</f>
        <v>92</v>
      </c>
      <c r="C55">
        <f>$I$11+B55</f>
        <v>40033</v>
      </c>
      <c r="E55">
        <f>IF(($C$12*(ReDiarioFert!C98+ReDiarioFert!C99))&lt;=0,"0",($C$12*(ReDiarioFert!C98+ReDiarioFert!C99)))</f>
        <v>3.954039940350512</v>
      </c>
      <c r="G55">
        <f>$C$12*(ReDiarioFert!E98+ReDiarioFert!E99)</f>
        <v>21.082565355217483</v>
      </c>
      <c r="I55">
        <f>$C$12*(ReDiarioFert!G98+ReDiarioFert!G99)</f>
        <v>102.89880650918636</v>
      </c>
      <c r="K55">
        <f>$C$12*(ReDiarioFert!I98+ReDiarioFert!I99)</f>
        <v>57.236474731377946</v>
      </c>
      <c r="M55">
        <f>$C$12*(ReDiarioFert!K98+ReDiarioFert!K99)</f>
        <v>117.9792135074114</v>
      </c>
      <c r="O55">
        <f>$C$12*(ReDiarioFert!M98+ReDiarioFert!M99)</f>
        <v>467.42746536585366</v>
      </c>
      <c r="Q55">
        <f>$C$12*Main!$D$63</f>
        <v>26.879999999999995</v>
      </c>
      <c r="S55">
        <f>((E55/100)*$G$86+(G55/100)*$G$87+(I55/100)*$G$88+(K55/100)*$G$89+(M55/100)*$G$90+(O55)*$G$91+(Q55*$G$92))</f>
        <v>3091.599737694435</v>
      </c>
    </row>
    <row r="56">
      <c r="B56">
        <f>B55+2</f>
        <v>94</v>
      </c>
      <c r="C56">
        <f>$I$11+B56</f>
        <v>40035</v>
      </c>
      <c r="E56">
        <f>IF(($C$12*(ReDiarioFert!C100+ReDiarioFert!C101))&lt;=0,"0",($C$12*(ReDiarioFert!C100+ReDiarioFert!C101)))</f>
        <v>3.954039940350512</v>
      </c>
      <c r="G56">
        <f>$C$12*(ReDiarioFert!E100+ReDiarioFert!E101)</f>
        <v>21.082565355217483</v>
      </c>
      <c r="I56">
        <f>$C$12*(ReDiarioFert!G100+ReDiarioFert!G101)</f>
        <v>102.89880650918636</v>
      </c>
      <c r="K56">
        <f>$C$12*(ReDiarioFert!I100+ReDiarioFert!I101)</f>
        <v>57.236474731377946</v>
      </c>
      <c r="M56">
        <f>$C$12*(ReDiarioFert!K100+ReDiarioFert!K101)</f>
        <v>117.9792135074114</v>
      </c>
      <c r="O56">
        <f>$C$12*(ReDiarioFert!M100+ReDiarioFert!M101)</f>
        <v>467.42746536585366</v>
      </c>
      <c r="S56">
        <f>((E56/100)*$G$86+(G56/100)*$G$87+(I56/100)*$G$88+(K56/100)*$G$89+(M56/100)*$G$90+(O56)*$G$91+(Q56*$G$92))</f>
        <v>3016.335737694435</v>
      </c>
    </row>
    <row r="57">
      <c r="B57">
        <f>B56+2</f>
        <v>96</v>
      </c>
      <c r="C57">
        <f>$I$11+B57</f>
        <v>40037</v>
      </c>
      <c r="E57">
        <f>IF(($C$12*(ReDiarioFert!C102+ReDiarioFert!C103+ReDiarioFert!C104))&lt;=0,"0",($C$12*(ReDiarioFert!C102+ReDiarioFert!C103+ReDiarioFert!C104)))</f>
        <v>5.931059910525767</v>
      </c>
      <c r="G57">
        <f>$C$12*(ReDiarioFert!E102+ReDiarioFert!E103+ReDiarioFert!E104)</f>
        <v>31.623848032826228</v>
      </c>
      <c r="I57">
        <f>$C$12*(ReDiarioFert!G102+ReDiarioFert!G103+ReDiarioFert!G104)</f>
        <v>154.34820976377955</v>
      </c>
      <c r="K57">
        <f>$C$12*(ReDiarioFert!I102+ReDiarioFert!I103+ReDiarioFert!I104)</f>
        <v>85.85471209706692</v>
      </c>
      <c r="M57">
        <f>$C$12*(ReDiarioFert!K102+ReDiarioFert!K103+ReDiarioFert!K104)</f>
        <v>176.96882026111712</v>
      </c>
      <c r="O57">
        <f>$C$12*(ReDiarioFert!M102+ReDiarioFert!M103+ReDiarioFert!M104)</f>
        <v>701.1411980487806</v>
      </c>
      <c r="S57">
        <f>((E57/100)*$G$86+(G57/100)*$G$87+(I57/100)*$G$88+(K57/100)*$G$89+(M57/100)*$G$90+(O57)*$G$91+(Q57*$G$92))</f>
        <v>4524.503606541653</v>
      </c>
    </row>
    <row r="58">
      <c r="A58">
        <v>15</v>
      </c>
      <c r="B58">
        <f>B57+3</f>
        <v>99</v>
      </c>
      <c r="C58">
        <f>$I$11+B58</f>
        <v>40040</v>
      </c>
      <c r="E58">
        <f>IF(($C$12*(ReDiarioFert!C105+ReDiarioFert!C106))&lt;=0,"0",($C$12*(ReDiarioFert!C105+ReDiarioFert!C106)))</f>
        <v>3.954039940350512</v>
      </c>
      <c r="G58">
        <f>$C$12*(ReDiarioFert!E105+ReDiarioFert!E106)</f>
        <v>21.082565355217483</v>
      </c>
      <c r="I58">
        <f>$C$12*(ReDiarioFert!G105+ReDiarioFert!G106)</f>
        <v>102.89880650918636</v>
      </c>
      <c r="K58">
        <f>$C$12*(ReDiarioFert!I105+ReDiarioFert!I106)</f>
        <v>57.236474731377946</v>
      </c>
      <c r="M58">
        <f>$C$12*(ReDiarioFert!K105+ReDiarioFert!K106)</f>
        <v>117.9792135074114</v>
      </c>
      <c r="O58">
        <f>$C$12*(ReDiarioFert!M105+ReDiarioFert!M106)</f>
        <v>467.42746536585366</v>
      </c>
      <c r="Q58">
        <f>$C$12*Main!$D$63</f>
        <v>26.879999999999995</v>
      </c>
      <c r="S58">
        <f>((E58/100)*$G$86+(G58/100)*$G$87+(I58/100)*$G$88+(K58/100)*$G$89+(M58/100)*$G$90+(O58)*$G$91+(Q58*$G$92))</f>
        <v>3091.599737694435</v>
      </c>
    </row>
    <row r="59">
      <c r="B59">
        <f>B58+2</f>
        <v>101</v>
      </c>
      <c r="C59">
        <f>$I$11+B59</f>
        <v>40042</v>
      </c>
      <c r="E59">
        <f>IF(($C$12*(ReDiarioFert!C107+ReDiarioFert!C108))&lt;=0,"0",($C$12*(ReDiarioFert!C107+ReDiarioFert!C108)))</f>
        <v>3.954039940350512</v>
      </c>
      <c r="G59">
        <f>$C$12*(ReDiarioFert!E107+ReDiarioFert!E108)</f>
        <v>21.082565355217483</v>
      </c>
      <c r="I59">
        <f>$C$12*(ReDiarioFert!G107+ReDiarioFert!G108)</f>
        <v>102.89880650918636</v>
      </c>
      <c r="K59">
        <f>$C$12*(ReDiarioFert!I107+ReDiarioFert!I108)</f>
        <v>57.236474731377946</v>
      </c>
      <c r="M59">
        <f>$C$12*(ReDiarioFert!K107+ReDiarioFert!K108)</f>
        <v>117.9792135074114</v>
      </c>
      <c r="O59">
        <f>$C$12*(ReDiarioFert!M107+ReDiarioFert!M108)</f>
        <v>467.42746536585366</v>
      </c>
      <c r="S59">
        <f>((E59/100)*$G$86+(G59/100)*$G$87+(I59/100)*$G$88+(K59/100)*$G$89+(M59/100)*$G$90+(O59)*$G$91+(Q59*$G$92))</f>
        <v>3016.335737694435</v>
      </c>
    </row>
    <row r="60">
      <c r="B60">
        <f>B59+2</f>
        <v>103</v>
      </c>
      <c r="C60">
        <f>$I$11+B60</f>
        <v>40044</v>
      </c>
      <c r="E60">
        <f>IF(($C$12*(ReDiarioFert!C109+ReDiarioFert!C110+ReDiarioFert!C111))&lt;=0,"0",($C$12*(ReDiarioFert!C109+ReDiarioFert!C110+ReDiarioFert!C111)))</f>
        <v>5.931059910525767</v>
      </c>
      <c r="G60">
        <f>$C$12*(ReDiarioFert!E109+ReDiarioFert!E110+ReDiarioFert!E111)</f>
        <v>31.623848032826228</v>
      </c>
      <c r="I60">
        <f>$C$12*(ReDiarioFert!G109+ReDiarioFert!G110+ReDiarioFert!G111)</f>
        <v>154.34820976377955</v>
      </c>
      <c r="K60">
        <f>$C$12*(ReDiarioFert!I109+ReDiarioFert!I110+ReDiarioFert!I111)</f>
        <v>85.85471209706692</v>
      </c>
      <c r="M60">
        <f>$C$12*(ReDiarioFert!K109+ReDiarioFert!K110+ReDiarioFert!K111)</f>
        <v>176.96882026111712</v>
      </c>
      <c r="O60">
        <f>$C$12*(ReDiarioFert!M109+ReDiarioFert!M110+ReDiarioFert!M111)</f>
        <v>701.1411980487806</v>
      </c>
      <c r="S60">
        <f>((E60/100)*$G$86+(G60/100)*$G$87+(I60/100)*$G$88+(K60/100)*$G$89+(M60/100)*$G$90+(O60)*$G$91+(Q60*$G$92))</f>
        <v>4524.503606541653</v>
      </c>
    </row>
    <row r="61">
      <c r="A61">
        <v>16</v>
      </c>
      <c r="B61">
        <f>B60+3</f>
        <v>106</v>
      </c>
      <c r="C61">
        <f>$I$11+B61</f>
        <v>40047</v>
      </c>
      <c r="E61">
        <f>IF(($C$12*(ReDiarioFert!C112+ReDiarioFert!C113))&lt;=0,"0",($C$12*(ReDiarioFert!C112+ReDiarioFert!C113)))</f>
        <v>3.954039940350512</v>
      </c>
      <c r="G61">
        <f>$C$12*(ReDiarioFert!E112+ReDiarioFert!E113)</f>
        <v>21.082565355217483</v>
      </c>
      <c r="I61">
        <f>$C$12*(ReDiarioFert!G112+ReDiarioFert!G113)</f>
        <v>102.89880650918636</v>
      </c>
      <c r="K61">
        <f>$C$12*(ReDiarioFert!I112+ReDiarioFert!I113)</f>
        <v>57.236474731377946</v>
      </c>
      <c r="M61">
        <f>$C$12*(ReDiarioFert!K112+ReDiarioFert!K113)</f>
        <v>117.9792135074114</v>
      </c>
      <c r="O61">
        <f>$C$12*(ReDiarioFert!M112+ReDiarioFert!M113)</f>
        <v>467.42746536585366</v>
      </c>
      <c r="Q61">
        <f>$C$12*Main!$D$63</f>
        <v>26.879999999999995</v>
      </c>
      <c r="S61">
        <f>((E61/100)*$G$86+(G61/100)*$G$87+(I61/100)*$G$88+(K61/100)*$G$89+(M61/100)*$G$90+(O61)*$G$91+(Q61*$G$92))</f>
        <v>3091.599737694435</v>
      </c>
    </row>
    <row r="62">
      <c r="B62">
        <f>B61+2</f>
        <v>108</v>
      </c>
      <c r="C62">
        <f>$I$11+B62</f>
        <v>40049</v>
      </c>
      <c r="E62">
        <f>IF(($C$12*(ReDiarioFert!C114+ReDiarioFert!C115))&lt;=0,"0",($C$12*(ReDiarioFert!C114+ReDiarioFert!C115)))</f>
        <v>3.954039940350512</v>
      </c>
      <c r="G62">
        <f>$C$12*(ReDiarioFert!E114+ReDiarioFert!E115)</f>
        <v>21.082565355217483</v>
      </c>
      <c r="I62">
        <f>$C$12*(ReDiarioFert!G114+ReDiarioFert!G115)</f>
        <v>102.89880650918636</v>
      </c>
      <c r="K62">
        <f>$C$12*(ReDiarioFert!I114+ReDiarioFert!I115)</f>
        <v>57.236474731377946</v>
      </c>
      <c r="M62">
        <f>$C$12*(ReDiarioFert!K114+ReDiarioFert!K115)</f>
        <v>117.9792135074114</v>
      </c>
      <c r="O62">
        <f>$C$12*(ReDiarioFert!M114+ReDiarioFert!M115)</f>
        <v>467.42746536585366</v>
      </c>
      <c r="S62">
        <f>((E62/100)*$G$86+(G62/100)*$G$87+(I62/100)*$G$88+(K62/100)*$G$89+(M62/100)*$G$90+(O62)*$G$91+(Q62*$G$92))</f>
        <v>3016.335737694435</v>
      </c>
    </row>
    <row r="63">
      <c r="B63">
        <f>B62+2</f>
        <v>110</v>
      </c>
      <c r="C63">
        <f>$I$11+B63</f>
        <v>40051</v>
      </c>
      <c r="E63">
        <f>IF(($C$12*(ReDiarioFert!C116+ReDiarioFert!C117+ReDiarioFert!C118))&lt;=0,"0",($C$12*(ReDiarioFert!C116+ReDiarioFert!C117+ReDiarioFert!C118)))</f>
        <v>5.931059910525767</v>
      </c>
      <c r="G63">
        <f>$C$12*(ReDiarioFert!E116+ReDiarioFert!E117+ReDiarioFert!E118)</f>
        <v>31.623848032826228</v>
      </c>
      <c r="I63">
        <f>$C$12*(ReDiarioFert!G116+ReDiarioFert!G117+ReDiarioFert!G118)</f>
        <v>154.34820976377955</v>
      </c>
      <c r="K63">
        <f>$C$12*(ReDiarioFert!I116+ReDiarioFert!I117+ReDiarioFert!I118)</f>
        <v>85.85471209706692</v>
      </c>
      <c r="M63">
        <f>$C$12*(ReDiarioFert!K116+ReDiarioFert!K117+ReDiarioFert!K118)</f>
        <v>176.96882026111712</v>
      </c>
      <c r="O63">
        <f>$C$12*(ReDiarioFert!M116+ReDiarioFert!M117+ReDiarioFert!M118)</f>
        <v>701.1411980487806</v>
      </c>
      <c r="S63">
        <f>((E63/100)*$G$86+(G63/100)*$G$87+(I63/100)*$G$88+(K63/100)*$G$89+(M63/100)*$G$90+(O63)*$G$91+(Q63*$G$92))</f>
        <v>4524.503606541653</v>
      </c>
    </row>
    <row r="64">
      <c r="A64">
        <v>17</v>
      </c>
      <c r="B64">
        <f>B63+3</f>
        <v>113</v>
      </c>
      <c r="C64">
        <f>$I$11+B64</f>
        <v>40054</v>
      </c>
      <c r="E64">
        <f>IF(($C$12*(ReDiarioFert!C119+ReDiarioFert!C120))&lt;=0,"0",($C$12*(ReDiarioFert!C119+ReDiarioFert!C120)))</f>
        <v>3.954039940350512</v>
      </c>
      <c r="G64">
        <f>$C$12*(ReDiarioFert!E119+ReDiarioFert!E120)</f>
        <v>21.082565355217483</v>
      </c>
      <c r="I64">
        <f>$C$12*(ReDiarioFert!G119+ReDiarioFert!G120)</f>
        <v>102.89880650918636</v>
      </c>
      <c r="K64">
        <f>$C$12*(ReDiarioFert!I119+ReDiarioFert!I120)</f>
        <v>57.236474731377946</v>
      </c>
      <c r="M64">
        <f>$C$12*(ReDiarioFert!K119+ReDiarioFert!K120)</f>
        <v>117.9792135074114</v>
      </c>
      <c r="O64">
        <f>$C$12*(ReDiarioFert!M119+ReDiarioFert!M120)</f>
        <v>467.42746536585366</v>
      </c>
      <c r="Q64">
        <f>$C$12*Main!$D$63</f>
        <v>26.879999999999995</v>
      </c>
      <c r="S64">
        <f>((E64/100)*$G$86+(G64/100)*$G$87+(I64/100)*$G$88+(K64/100)*$G$89+(M64/100)*$G$90+(O64)*$G$91+(Q64*$G$92))</f>
        <v>3091.599737694435</v>
      </c>
    </row>
    <row r="65">
      <c r="B65">
        <f>B64+2</f>
        <v>115</v>
      </c>
      <c r="C65">
        <f>$I$11+B65</f>
        <v>40056</v>
      </c>
      <c r="E65">
        <f>IF(($C$12*(ReDiarioFert!C121+ReDiarioFert!C122))&lt;=0,"0",($C$12*(ReDiarioFert!C121+ReDiarioFert!C122)))</f>
        <v>3.954039940350512</v>
      </c>
      <c r="G65">
        <f>$C$12*(ReDiarioFert!E121+ReDiarioFert!E122)</f>
        <v>21.082565355217483</v>
      </c>
      <c r="I65">
        <f>$C$12*(ReDiarioFert!G121+ReDiarioFert!G122)</f>
        <v>102.89880650918636</v>
      </c>
      <c r="K65">
        <f>$C$12*(ReDiarioFert!I121+ReDiarioFert!I122)</f>
        <v>57.236474731377946</v>
      </c>
      <c r="M65">
        <f>$C$12*(ReDiarioFert!K121+ReDiarioFert!K122)</f>
        <v>117.9792135074114</v>
      </c>
      <c r="O65">
        <f>$C$12*(ReDiarioFert!M121+ReDiarioFert!M122)</f>
        <v>467.42746536585366</v>
      </c>
      <c r="S65">
        <f>((E65/100)*$G$86+(G65/100)*$G$87+(I65/100)*$G$88+(K65/100)*$G$89+(M65/100)*$G$90+(O65)*$G$91+(Q65*$G$92))</f>
        <v>3016.335737694435</v>
      </c>
    </row>
    <row r="66">
      <c r="B66">
        <f>B65+2</f>
        <v>117</v>
      </c>
      <c r="C66">
        <f>$I$11+B66</f>
        <v>40058</v>
      </c>
      <c r="E66">
        <f>IF(($C$12*(ReDiarioFert!C123+ReDiarioFert!C124+ReDiarioFert!C125))&lt;=0,"0",($C$12*(ReDiarioFert!C123+ReDiarioFert!C124+ReDiarioFert!C125)))</f>
        <v>5.931059910525767</v>
      </c>
      <c r="G66">
        <f>$C$12*(ReDiarioFert!E123+ReDiarioFert!E124+ReDiarioFert!E125)</f>
        <v>31.623848032826228</v>
      </c>
      <c r="I66">
        <f>$C$12*(ReDiarioFert!G123+ReDiarioFert!G124+ReDiarioFert!G125)</f>
        <v>154.34820976377955</v>
      </c>
      <c r="K66">
        <f>$C$12*(ReDiarioFert!I123+ReDiarioFert!I124+ReDiarioFert!I125)</f>
        <v>85.85471209706692</v>
      </c>
      <c r="M66">
        <f>$C$12*(ReDiarioFert!K123+ReDiarioFert!K124+ReDiarioFert!K125)</f>
        <v>176.96882026111712</v>
      </c>
      <c r="O66">
        <f>$C$12*(ReDiarioFert!M123+ReDiarioFert!M124+ReDiarioFert!M125)</f>
        <v>701.1411980487806</v>
      </c>
      <c r="S66">
        <f>((E66/100)*$G$86+(G66/100)*$G$87+(I66/100)*$G$88+(K66/100)*$G$89+(M66/100)*$G$90+(O66)*$G$91+(Q66*$G$92))</f>
        <v>4524.503606541653</v>
      </c>
    </row>
    <row r="67">
      <c r="A67">
        <v>18</v>
      </c>
      <c r="B67">
        <f>B66+3</f>
        <v>120</v>
      </c>
      <c r="C67">
        <f>$I$11+B67</f>
        <v>40061</v>
      </c>
      <c r="E67">
        <f>IF(($C$12*(ReDiarioFert!C126+ReDiarioFert!C127))&lt;=0,"0",($C$12*(ReDiarioFert!C126+ReDiarioFert!C127)))</f>
        <v>3.954039940350512</v>
      </c>
      <c r="G67">
        <f>$C$12*(ReDiarioFert!E126+ReDiarioFert!E127)</f>
        <v>21.082565355217483</v>
      </c>
      <c r="I67">
        <f>$C$12*(ReDiarioFert!G126+ReDiarioFert!G127)</f>
        <v>102.89880650918636</v>
      </c>
      <c r="K67">
        <f>$C$12*(ReDiarioFert!I126+ReDiarioFert!I127)</f>
        <v>57.236474731377946</v>
      </c>
      <c r="M67">
        <f>$C$12*(ReDiarioFert!K126+ReDiarioFert!K127)</f>
        <v>117.9792135074114</v>
      </c>
      <c r="O67">
        <f>$C$12*(ReDiarioFert!M126+ReDiarioFert!M127)</f>
        <v>467.42746536585366</v>
      </c>
      <c r="Q67">
        <f>$C$12*Main!$D$63</f>
        <v>26.879999999999995</v>
      </c>
      <c r="S67">
        <f>((E67/100)*$G$86+(G67/100)*$G$87+(I67/100)*$G$88+(K67/100)*$G$89+(M67/100)*$G$90+(O67)*$G$91+(Q67*$G$92))</f>
        <v>3091.599737694435</v>
      </c>
    </row>
    <row r="68">
      <c r="B68">
        <f>B67+2</f>
        <v>122</v>
      </c>
      <c r="C68">
        <f>$I$11+B68</f>
        <v>40063</v>
      </c>
      <c r="E68">
        <f>IF(($C$12*(ReDiarioFert!C128+ReDiarioFert!C129))&lt;=0,"0",($C$12*(ReDiarioFert!C128+ReDiarioFert!C129)))</f>
        <v>3.954039940350512</v>
      </c>
      <c r="G68">
        <f>$C$12*(ReDiarioFert!E128+ReDiarioFert!E129)</f>
        <v>21.082565355217483</v>
      </c>
      <c r="I68">
        <f>$C$12*(ReDiarioFert!G128+ReDiarioFert!G129)</f>
        <v>102.89880650918636</v>
      </c>
      <c r="K68">
        <f>$C$12*(ReDiarioFert!I128+ReDiarioFert!I129)</f>
        <v>57.236474731377946</v>
      </c>
      <c r="M68">
        <f>$C$12*(ReDiarioFert!K128+ReDiarioFert!K129)</f>
        <v>117.9792135074114</v>
      </c>
      <c r="O68">
        <f>$C$12*(ReDiarioFert!M128+ReDiarioFert!M129)</f>
        <v>467.42746536585366</v>
      </c>
      <c r="S68">
        <f>((E68/100)*$G$86+(G68/100)*$G$87+(I68/100)*$G$88+(K68/100)*$G$89+(M68/100)*$G$90+(O68)*$G$91+(Q68*$G$92))</f>
        <v>3016.335737694435</v>
      </c>
    </row>
    <row r="69">
      <c r="B69">
        <f>B68+2</f>
        <v>124</v>
      </c>
      <c r="C69">
        <f>$I$11+B69</f>
        <v>40065</v>
      </c>
      <c r="E69">
        <f>IF(($C$12*(ReDiarioFert!C130+ReDiarioFert!C131+ReDiarioFert!C132))&lt;=0,"0",($C$12*(ReDiarioFert!C130+ReDiarioFert!C131+ReDiarioFert!C132)))</f>
        <v>5.931059910525767</v>
      </c>
      <c r="G69">
        <f>$C$12*(ReDiarioFert!E130+ReDiarioFert!E131+ReDiarioFert!E132)</f>
        <v>31.623848032826228</v>
      </c>
      <c r="I69">
        <f>$C$12*(ReDiarioFert!G130+ReDiarioFert!G131+ReDiarioFert!G132)</f>
        <v>154.34820976377955</v>
      </c>
      <c r="K69">
        <f>$C$12*(ReDiarioFert!I130+ReDiarioFert!I131+ReDiarioFert!I132)</f>
        <v>85.85471209706692</v>
      </c>
      <c r="M69">
        <f>$C$12*(ReDiarioFert!K130+ReDiarioFert!K131+ReDiarioFert!K132)</f>
        <v>176.96882026111712</v>
      </c>
      <c r="O69">
        <f>$C$12*(ReDiarioFert!M130+ReDiarioFert!M131+ReDiarioFert!M132)</f>
        <v>701.1411980487806</v>
      </c>
      <c r="S69">
        <f>((E69/100)*$G$86+(G69/100)*$G$87+(I69/100)*$G$88+(K69/100)*$G$89+(M69/100)*$G$90+(O69)*$G$91+(Q69*$G$92))</f>
        <v>4524.503606541653</v>
      </c>
    </row>
    <row r="70">
      <c r="A70">
        <v>19</v>
      </c>
      <c r="B70">
        <f>B69+3</f>
        <v>127</v>
      </c>
      <c r="C70">
        <f>$I$11+B70</f>
        <v>40068</v>
      </c>
      <c r="E70">
        <f>IF(($C$12*(ReDiarioFert!C133+ReDiarioFert!C134))&lt;=0,"0",($C$12*(ReDiarioFert!C133+ReDiarioFert!C134)))</f>
        <v>3.954039940350512</v>
      </c>
      <c r="G70">
        <f>$C$12*(ReDiarioFert!E133+ReDiarioFert!E134)</f>
        <v>21.082565355217483</v>
      </c>
      <c r="I70">
        <f>$C$12*(ReDiarioFert!G133+ReDiarioFert!G134)</f>
        <v>102.89880650918636</v>
      </c>
      <c r="K70">
        <f>$C$12*(ReDiarioFert!I133+ReDiarioFert!I134)</f>
        <v>57.236474731377946</v>
      </c>
      <c r="M70">
        <f>$C$12*(ReDiarioFert!K133+ReDiarioFert!K134)</f>
        <v>117.9792135074114</v>
      </c>
      <c r="O70">
        <f>$C$12*(ReDiarioFert!M133+ReDiarioFert!M134)</f>
        <v>467.42746536585366</v>
      </c>
      <c r="Q70">
        <f>$C$12*Main!$D$63</f>
        <v>26.879999999999995</v>
      </c>
      <c r="S70">
        <f>((E70/100)*$G$86+(G70/100)*$G$87+(I70/100)*$G$88+(K70/100)*$G$89+(M70/100)*$G$90+(O70)*$G$91+(Q70*$G$92))</f>
        <v>3091.599737694435</v>
      </c>
    </row>
    <row r="71">
      <c r="B71">
        <f>B70+2</f>
        <v>129</v>
      </c>
      <c r="C71">
        <f>$I$11+B71</f>
        <v>40070</v>
      </c>
      <c r="E71">
        <f>IF(($C$12*(ReDiarioFert!C135+ReDiarioFert!C136))&lt;=0,"0",($C$12*(ReDiarioFert!C135+ReDiarioFert!C136)))</f>
        <v>3.954039940350512</v>
      </c>
      <c r="G71">
        <f>$C$12*(ReDiarioFert!E135+ReDiarioFert!E136)</f>
        <v>21.082565355217483</v>
      </c>
      <c r="I71">
        <f>$C$12*(ReDiarioFert!G135+ReDiarioFert!G136)</f>
        <v>102.89880650918636</v>
      </c>
      <c r="K71">
        <f>$C$12*(ReDiarioFert!I135+ReDiarioFert!I136)</f>
        <v>57.236474731377946</v>
      </c>
      <c r="M71">
        <f>$C$12*(ReDiarioFert!K135+ReDiarioFert!K136)</f>
        <v>117.9792135074114</v>
      </c>
      <c r="O71">
        <f>$C$12*(ReDiarioFert!M135+ReDiarioFert!M136)</f>
        <v>467.42746536585366</v>
      </c>
      <c r="S71">
        <f>((E71/100)*$G$86+(G71/100)*$G$87+(I71/100)*$G$88+(K71/100)*$G$89+(M71/100)*$G$90+(O71)*$G$91+(Q71*$G$92))</f>
        <v>3016.335737694435</v>
      </c>
    </row>
    <row r="72">
      <c r="B72">
        <f>B71+2</f>
        <v>131</v>
      </c>
      <c r="C72">
        <f>$I$11+B72</f>
        <v>40072</v>
      </c>
      <c r="E72">
        <f>IF(($C$12*(ReDiarioFert!C137+ReDiarioFert!C138+ReDiarioFert!C139))&lt;=0,"0",($C$12*(ReDiarioFert!C137+ReDiarioFert!C138+ReDiarioFert!C139)))</f>
        <v>5.931059910525767</v>
      </c>
      <c r="G72">
        <f>$C$12*(ReDiarioFert!E137+ReDiarioFert!E138+ReDiarioFert!E139)</f>
        <v>31.623848032826228</v>
      </c>
      <c r="I72">
        <f>$C$12*(ReDiarioFert!G137+ReDiarioFert!G138+ReDiarioFert!G139)</f>
        <v>154.34820976377955</v>
      </c>
      <c r="K72">
        <f>$C$12*(ReDiarioFert!I137+ReDiarioFert!I138+ReDiarioFert!I139)</f>
        <v>85.85471209706692</v>
      </c>
      <c r="M72">
        <f>$C$12*(ReDiarioFert!K137+ReDiarioFert!K138+ReDiarioFert!K139)</f>
        <v>176.96882026111712</v>
      </c>
      <c r="O72">
        <f>$C$12*(ReDiarioFert!M137+ReDiarioFert!M138+ReDiarioFert!M139)</f>
        <v>701.1411980487806</v>
      </c>
      <c r="S72">
        <f>((E72/100)*$G$86+(G72/100)*$G$87+(I72/100)*$G$88+(K72/100)*$G$89+(M72/100)*$G$90+(O72)*$G$91+(Q72*$G$92))</f>
        <v>4524.503606541653</v>
      </c>
    </row>
    <row r="73">
      <c r="A73">
        <v>20</v>
      </c>
      <c r="B73">
        <f>B72+3</f>
        <v>134</v>
      </c>
      <c r="C73">
        <f>$I$11+B73</f>
        <v>40075</v>
      </c>
      <c r="E73">
        <f>IF(($C$12*(ReDiarioFert!C140+ReDiarioFert!C141))&lt;=0,"0",($C$12*(ReDiarioFert!C140+ReDiarioFert!C141)))</f>
        <v>3.954039940350512</v>
      </c>
      <c r="G73">
        <f>$C$12*(ReDiarioFert!E140+ReDiarioFert!E141)</f>
        <v>21.082565355217483</v>
      </c>
      <c r="I73">
        <f>$C$12*(ReDiarioFert!G140+ReDiarioFert!G141)</f>
        <v>102.89880650918636</v>
      </c>
      <c r="K73">
        <f>$C$12*(ReDiarioFert!I140+ReDiarioFert!I141)</f>
        <v>57.236474731377946</v>
      </c>
      <c r="M73">
        <f>$C$12*(ReDiarioFert!K140+ReDiarioFert!K141)</f>
        <v>117.9792135074114</v>
      </c>
      <c r="O73">
        <f>$C$12*(ReDiarioFert!M140+ReDiarioFert!M141)</f>
        <v>467.42746536585366</v>
      </c>
      <c r="Q73">
        <f>$C$12*Main!$D$63</f>
        <v>26.879999999999995</v>
      </c>
      <c r="S73">
        <f>((E73/100)*$G$86+(G73/100)*$G$87+(I73/100)*$G$88+(K73/100)*$G$89+(M73/100)*$G$90+(O73)*$G$91+(Q73*$G$92))</f>
        <v>3091.599737694435</v>
      </c>
    </row>
    <row r="74">
      <c r="B74">
        <f>B73+2</f>
        <v>136</v>
      </c>
      <c r="C74">
        <f>$I$11+B74</f>
        <v>40077</v>
      </c>
      <c r="E74">
        <f>IF(($C$12*(ReDiarioFert!C142+ReDiarioFert!C143))&lt;=0,"0",($C$12*(ReDiarioFert!C142+ReDiarioFert!C143)))</f>
        <v>3.954039940350512</v>
      </c>
      <c r="G74">
        <f>$C$12*(ReDiarioFert!E142+ReDiarioFert!E143)</f>
        <v>21.082565355217483</v>
      </c>
      <c r="I74">
        <f>$C$12*(ReDiarioFert!G142+ReDiarioFert!G143)</f>
        <v>102.89880650918636</v>
      </c>
      <c r="K74">
        <f>$C$12*(ReDiarioFert!I142+ReDiarioFert!I143)</f>
        <v>57.236474731377946</v>
      </c>
      <c r="M74">
        <f>$C$12*(ReDiarioFert!K142+ReDiarioFert!K143)</f>
        <v>117.9792135074114</v>
      </c>
      <c r="O74">
        <f>$C$12*(ReDiarioFert!M142+ReDiarioFert!M143)</f>
        <v>467.42746536585366</v>
      </c>
      <c r="S74">
        <f>((E74/100)*$G$86+(G74/100)*$G$87+(I74/100)*$G$88+(K74/100)*$G$89+(M74/100)*$G$90+(O74)*$G$91+(Q74*$G$92))</f>
        <v>3016.335737694435</v>
      </c>
    </row>
    <row r="75">
      <c r="B75">
        <f>B74+2</f>
        <v>138</v>
      </c>
      <c r="C75">
        <f>$I$11+B75</f>
        <v>40079</v>
      </c>
      <c r="E75">
        <f>IF(($C$12*(ReDiarioFert!C144+ReDiarioFert!C145+ReDiarioFert!C146))&lt;=0,"0",($C$12*(ReDiarioFert!C144+ReDiarioFert!C145+ReDiarioFert!C146)))</f>
        <v>5.931059910525767</v>
      </c>
      <c r="G75">
        <f>$C$12*(ReDiarioFert!E144+ReDiarioFert!E145+ReDiarioFert!E146)</f>
        <v>31.623848032826228</v>
      </c>
      <c r="I75">
        <f>$C$12*(ReDiarioFert!G144+ReDiarioFert!G145+ReDiarioFert!G146)</f>
        <v>154.34820976377955</v>
      </c>
      <c r="K75">
        <f>$C$12*(ReDiarioFert!I144+ReDiarioFert!I145+ReDiarioFert!I146)</f>
        <v>85.85471209706692</v>
      </c>
      <c r="M75">
        <f>$C$12*(ReDiarioFert!K144+ReDiarioFert!K145+ReDiarioFert!K146)</f>
        <v>176.96882026111712</v>
      </c>
      <c r="O75">
        <f>$C$12*(ReDiarioFert!M144+ReDiarioFert!M145+ReDiarioFert!M146)</f>
        <v>701.1411980487806</v>
      </c>
      <c r="S75">
        <f>((E75/100)*$G$86+(G75/100)*$G$87+(I75/100)*$G$88+(K75/100)*$G$89+(M75/100)*$G$90+(O75)*$G$91+(Q75*$G$92))</f>
        <v>4524.503606541653</v>
      </c>
    </row>
    <row r="76">
      <c r="A76">
        <v>21</v>
      </c>
      <c r="B76">
        <f>B75+3</f>
        <v>141</v>
      </c>
      <c r="C76">
        <f>$I$11+B76</f>
        <v>40082</v>
      </c>
      <c r="E76">
        <f>IF(($C$12*(ReDiarioFert!C147+ReDiarioFert!C148))&lt;=0,"0",($C$12*(ReDiarioFert!C147+ReDiarioFert!C148)))</f>
        <v>3.954039940350512</v>
      </c>
      <c r="G76">
        <f>$C$12*(ReDiarioFert!E147+ReDiarioFert!E148)</f>
        <v>21.082565355217483</v>
      </c>
      <c r="I76">
        <f>$C$12*(ReDiarioFert!G147+ReDiarioFert!G148)</f>
        <v>102.89880650918636</v>
      </c>
      <c r="K76">
        <f>$C$12*(ReDiarioFert!I147+ReDiarioFert!I148)</f>
        <v>57.236474731377946</v>
      </c>
      <c r="M76">
        <f>$C$12*(ReDiarioFert!K147+ReDiarioFert!K148)</f>
        <v>117.9792135074114</v>
      </c>
      <c r="O76">
        <f>$C$12*(ReDiarioFert!M147+ReDiarioFert!M148)</f>
        <v>467.42746536585366</v>
      </c>
      <c r="Q76">
        <f>$C$12*Main!$D$63</f>
        <v>26.879999999999995</v>
      </c>
      <c r="S76">
        <f>((E76/100)*$G$86+(G76/100)*$G$87+(I76/100)*$G$88+(K76/100)*$G$89+(M76/100)*$G$90+(O76)*$G$91+(Q76*$G$92))</f>
        <v>3091.599737694435</v>
      </c>
    </row>
    <row r="77">
      <c r="B77">
        <f>B76+2</f>
        <v>143</v>
      </c>
      <c r="C77">
        <f>$I$11+B77</f>
        <v>40084</v>
      </c>
      <c r="E77">
        <f>IF(($C$12*(ReDiarioFert!C149+ReDiarioFert!C150))&lt;=0,"0",($C$12*(ReDiarioFert!C149+ReDiarioFert!C150)))</f>
        <v>3.954039940350512</v>
      </c>
      <c r="G77">
        <f>$C$12*(ReDiarioFert!E149+ReDiarioFert!E150)</f>
        <v>21.082565355217483</v>
      </c>
      <c r="I77">
        <f>$C$12*(ReDiarioFert!G149+ReDiarioFert!G150)</f>
        <v>102.89880650918636</v>
      </c>
      <c r="K77">
        <f>$C$12*(ReDiarioFert!I149+ReDiarioFert!I150)</f>
        <v>57.236474731377946</v>
      </c>
      <c r="M77">
        <f>$C$12*(ReDiarioFert!K149+ReDiarioFert!K150)</f>
        <v>117.9792135074114</v>
      </c>
      <c r="O77">
        <f>$C$12*(ReDiarioFert!M149+ReDiarioFert!M150)</f>
        <v>467.42746536585366</v>
      </c>
      <c r="S77">
        <f>((E77/100)*$G$86+(G77/100)*$G$87+(I77/100)*$G$88+(K77/100)*$G$89+(M77/100)*$G$90+(O77)*$G$91+(Q77*$G$92))</f>
        <v>3016.335737694435</v>
      </c>
    </row>
    <row r="78">
      <c r="B78">
        <f>B77+2</f>
        <v>145</v>
      </c>
      <c r="C78">
        <f>$I$11+B78</f>
        <v>40086</v>
      </c>
      <c r="E78">
        <f>IF(($C$12*(ReDiarioFert!C151+ReDiarioFert!C152+ReDiarioFert!C153))&lt;=0,"0",($C$12*(ReDiarioFert!C151+ReDiarioFert!C152+ReDiarioFert!C153)))</f>
        <v>5.931059910525767</v>
      </c>
      <c r="G78">
        <f>$C$12*(ReDiarioFert!E151+ReDiarioFert!E152+ReDiarioFert!E153)</f>
        <v>31.623848032826228</v>
      </c>
      <c r="I78">
        <f>$C$12*(ReDiarioFert!G151+ReDiarioFert!G152+ReDiarioFert!G153)</f>
        <v>154.34820976377955</v>
      </c>
      <c r="K78">
        <f>$C$12*(ReDiarioFert!I151+ReDiarioFert!I152+ReDiarioFert!I153)</f>
        <v>85.85471209706692</v>
      </c>
      <c r="M78">
        <f>$C$12*(ReDiarioFert!K151+ReDiarioFert!K152+ReDiarioFert!K153)</f>
        <v>176.96882026111712</v>
      </c>
      <c r="O78">
        <f>$C$12*(ReDiarioFert!M151+ReDiarioFert!M152+ReDiarioFert!M153)</f>
        <v>701.1411980487806</v>
      </c>
      <c r="S78">
        <f>((E78/100)*$G$86+(G78/100)*$G$87+(I78/100)*$G$88+(K78/100)*$G$89+(M78/100)*$G$90+(O78)*$G$91+(Q78*$G$92))</f>
        <v>4524.503606541653</v>
      </c>
    </row>
    <row r="79">
      <c r="A79">
        <v>22</v>
      </c>
      <c r="B79">
        <f>B78+3</f>
        <v>148</v>
      </c>
      <c r="C79">
        <f>$I$11+B79</f>
        <v>40089</v>
      </c>
      <c r="E79">
        <f>IF(($C$12*(ReDiarioFert!C154+ReDiarioFert!C155))&lt;=0,"0",($C$12*(ReDiarioFert!C154+ReDiarioFert!C155)))</f>
        <v>3.954039940350512</v>
      </c>
      <c r="G79">
        <f>$C$12*(ReDiarioFert!E154+ReDiarioFert!E155)</f>
        <v>21.082565355217483</v>
      </c>
      <c r="I79">
        <f>$C$12*(ReDiarioFert!G154+ReDiarioFert!G155)</f>
        <v>102.89880650918636</v>
      </c>
      <c r="K79">
        <f>$C$12*(ReDiarioFert!I154+ReDiarioFert!I155)</f>
        <v>57.236474731377946</v>
      </c>
      <c r="M79">
        <f>$C$12*(ReDiarioFert!K154+ReDiarioFert!K155)</f>
        <v>117.9792135074114</v>
      </c>
      <c r="O79">
        <f>$C$12*(ReDiarioFert!M154+ReDiarioFert!M155)</f>
        <v>467.42746536585366</v>
      </c>
      <c r="Q79">
        <f>$C$12*Main!$D$63</f>
        <v>26.879999999999995</v>
      </c>
      <c r="S79">
        <f>((E79/100)*$G$86+(G79/100)*$G$87+(I79/100)*$G$88+(K79/100)*$G$89+(M79/100)*$G$90+(O79)*$G$91+(Q79*$G$92))</f>
        <v>3091.599737694435</v>
      </c>
    </row>
    <row r="80">
      <c r="B80">
        <f>B79+2</f>
        <v>150</v>
      </c>
      <c r="C80">
        <f>$I$11+B80</f>
        <v>40091</v>
      </c>
      <c r="E80">
        <f>IF(($C$12*(ReDiarioFert!C156+ReDiarioFert!C157))&lt;=0,"0",($C$12*(ReDiarioFert!C156+ReDiarioFert!C157)))</f>
        <v>3.954039940350512</v>
      </c>
      <c r="G80">
        <f>$C$12*(ReDiarioFert!E156+ReDiarioFert!E157)</f>
        <v>21.082565355217483</v>
      </c>
      <c r="I80">
        <f>$C$12*(ReDiarioFert!G156+ReDiarioFert!G157)</f>
        <v>102.89880650918636</v>
      </c>
      <c r="K80">
        <f>$C$12*(ReDiarioFert!I156+ReDiarioFert!I157)</f>
        <v>57.236474731377946</v>
      </c>
      <c r="M80">
        <f>$C$12*(ReDiarioFert!K156+ReDiarioFert!K157)</f>
        <v>117.9792135074114</v>
      </c>
      <c r="O80">
        <f>$C$12*(ReDiarioFert!M156+ReDiarioFert!M157)</f>
        <v>467.42746536585366</v>
      </c>
      <c r="S80">
        <f>((E80/100)*$G$86+(G80/100)*$G$87+(I80/100)*$G$88+(K80/100)*$G$89+(M80/100)*$G$90+(O80)*$G$91+(Q80*$G$92))</f>
        <v>3016.335737694435</v>
      </c>
    </row>
    <row r="81">
      <c r="B81">
        <f>B80+2</f>
        <v>152</v>
      </c>
      <c r="C81">
        <f>$I$11+B81</f>
        <v>40093</v>
      </c>
      <c r="E81">
        <f>IF(($C$12*(ReDiarioFert!C158+ReDiarioFert!C159+ReDiarioFert!C160))&lt;=0,"0",($C$12*(ReDiarioFert!C158+ReDiarioFert!C159+ReDiarioFert!C160)))</f>
        <v>5.931059910525767</v>
      </c>
      <c r="G81">
        <f>$C$12*(ReDiarioFert!E158+ReDiarioFert!E159+ReDiarioFert!E160)</f>
        <v>31.623848032826228</v>
      </c>
      <c r="I81">
        <f>$C$12*(ReDiarioFert!G158+ReDiarioFert!G159+ReDiarioFert!G160)</f>
        <v>154.34820976377955</v>
      </c>
      <c r="K81">
        <f>$C$12*(ReDiarioFert!I158+ReDiarioFert!I159+ReDiarioFert!I160)</f>
        <v>85.85471209706692</v>
      </c>
      <c r="M81">
        <f>$C$12*(ReDiarioFert!K158+ReDiarioFert!K159+ReDiarioFert!K160)</f>
        <v>176.96882026111712</v>
      </c>
      <c r="O81">
        <f>$C$12*(ReDiarioFert!M158+ReDiarioFert!M159+ReDiarioFert!M160)</f>
        <v>701.1411980487806</v>
      </c>
      <c r="S81">
        <f>((E81/100)*$G$86+(G81/100)*$G$87+(I81/100)*$G$88+(K81/100)*$G$89+(M81/100)*$G$90+(O81)*$G$91+(Q81*$G$92))</f>
        <v>4524.503606541653</v>
      </c>
    </row>
    <row r="82">
      <c r="C82" t="str">
        <v>Total</v>
      </c>
      <c r="E82">
        <f>SUM(E16:E81)</f>
        <v>522.6550997129777</v>
      </c>
      <c r="G82">
        <f>SUM(G16:G81)</f>
        <v>1319.6755799188704</v>
      </c>
      <c r="I82">
        <f>SUM(I16:I81)</f>
        <v>5881.907630549082</v>
      </c>
      <c r="K82">
        <f>SUM(K16:K81)</f>
        <v>3271.7547354464846</v>
      </c>
      <c r="M82">
        <f>SUM(M16:M81)</f>
        <v>6743.934742464382</v>
      </c>
      <c r="O82">
        <f>SUM(O16:O81)</f>
        <v>26743.523028292682</v>
      </c>
      <c r="Q82">
        <f>SUM(Q16:Q81)</f>
        <v>591.3599999999999</v>
      </c>
      <c r="S82">
        <f>SUM(S16:S81)</f>
        <v>179237.90559247654</v>
      </c>
    </row>
    <row r="83">
      <c r="D83" t="str">
        <v>OJO cualquier cultivo que no se termine la cosecha en el ultimo día del calendario solo seguir repitiendo la ultima aplicación de fertilizante.</v>
      </c>
    </row>
    <row r="84" ht="39.75" customHeight="1">
      <c r="B84" t="str">
        <v>Producto</v>
      </c>
      <c r="F84" t="str">
        <v>Lbs/Ha</v>
      </c>
      <c r="G84" t="str">
        <v>Costo por qq</v>
      </c>
    </row>
    <row r="85" ht="24" customHeight="1">
      <c r="G85" t="str">
        <f>Main!$E$25</f>
        <v>Lempiras</v>
      </c>
    </row>
    <row r="86">
      <c r="B86" t="str">
        <f>Main!D42</f>
        <v>Nitrato de Amonio</v>
      </c>
      <c r="F86">
        <f>E82/C12</f>
        <v>388.88028252453705</v>
      </c>
      <c r="G86">
        <f>Main!D43</f>
        <v>620</v>
      </c>
    </row>
    <row r="87">
      <c r="B87" t="str">
        <f>Main!D32</f>
        <v>MAP 12-61-0</v>
      </c>
      <c r="F87">
        <f>G82/C12</f>
        <v>981.9014731539215</v>
      </c>
      <c r="G87">
        <f>Main!D33</f>
        <v>2900</v>
      </c>
    </row>
    <row r="88">
      <c r="B88" t="str">
        <f>Main!D37</f>
        <v>Sulfato de Potasio</v>
      </c>
      <c r="F88">
        <f>I82/C12</f>
        <v>4376.4193679680675</v>
      </c>
      <c r="G88">
        <f>Main!D38</f>
        <v>505</v>
      </c>
    </row>
    <row r="89">
      <c r="B89" t="str">
        <f>Main!D47</f>
        <v>Sulfato de Magnesio</v>
      </c>
      <c r="F89">
        <f>K82/C12</f>
        <v>2434.34132101673</v>
      </c>
      <c r="G89">
        <f>Main!D48</f>
        <v>951</v>
      </c>
    </row>
    <row r="90">
      <c r="B90" t="str">
        <f>Main!D52</f>
        <v>Nitrato de Calcio</v>
      </c>
      <c r="F90">
        <f>M82/C12</f>
        <v>5017.808588143142</v>
      </c>
      <c r="G90">
        <f>Main!D53</f>
        <v>1100</v>
      </c>
    </row>
    <row r="91">
      <c r="B91" t="str">
        <f>Main!D57</f>
        <v>Solubor</v>
      </c>
      <c r="F91">
        <f>O82/C12</f>
        <v>19898.454634146343</v>
      </c>
      <c r="G91">
        <f>Main!D58</f>
        <v>0.04</v>
      </c>
      <c r="I91" t="str">
        <v xml:space="preserve">Preparado y Autorizado Por </v>
      </c>
    </row>
    <row r="92" ht="18" customHeight="1">
      <c r="B92" t="str">
        <f>Main!D61</f>
        <v>Melaza</v>
      </c>
      <c r="F92">
        <f>Q82/C12</f>
        <v>439.99999999999994</v>
      </c>
      <c r="G92">
        <f>Main!D62</f>
        <v>2.8</v>
      </c>
      <c r="I92" t="str">
        <v>MSc Ricardo D. Lardizábal</v>
      </c>
    </row>
    <row r="93" ht="17.45" customHeight="1">
      <c r="B93" t="str">
        <v>NOTA: El Nitrato de Calcio se debe de diluir en un barril aparte para inyectarse al sistema</v>
      </c>
    </row>
    <row r="96">
      <c r="B96" t="str">
        <v>Abreviaciones usadas</v>
      </c>
    </row>
    <row r="97">
      <c r="B97" t="str">
        <v>Mz.-Manzanas, Ha-Hectáreas, Lbs-Libras, Lts-Litros y DDT-Días después de Trasplante</v>
      </c>
    </row>
  </sheetData>
  <sheetProtection sheet="1"/>
  <mergeCells count="53">
    <mergeCell ref="B97:S97"/>
    <mergeCell ref="P2:S3"/>
    <mergeCell ref="A8:M8"/>
    <mergeCell ref="P5:S7"/>
    <mergeCell ref="P9:S12"/>
    <mergeCell ref="F10:H10"/>
    <mergeCell ref="F11:H11"/>
    <mergeCell ref="C9:E9"/>
    <mergeCell ref="B96:C96"/>
    <mergeCell ref="B92:E92"/>
    <mergeCell ref="B90:E90"/>
    <mergeCell ref="B93:I94"/>
    <mergeCell ref="B91:E91"/>
    <mergeCell ref="F9:H9"/>
    <mergeCell ref="G90:H90"/>
    <mergeCell ref="A12:B12"/>
    <mergeCell ref="C12:E12"/>
    <mergeCell ref="G89:H89"/>
    <mergeCell ref="A9:B9"/>
    <mergeCell ref="G88:H88"/>
    <mergeCell ref="A10:B10"/>
    <mergeCell ref="C10:E10"/>
    <mergeCell ref="C11:E11"/>
    <mergeCell ref="A11:B11"/>
    <mergeCell ref="B89:E89"/>
    <mergeCell ref="B84:E84"/>
    <mergeCell ref="B86:E86"/>
    <mergeCell ref="B87:E87"/>
    <mergeCell ref="B88:E88"/>
    <mergeCell ref="A14:A15"/>
    <mergeCell ref="B14:B15"/>
    <mergeCell ref="C14:D14"/>
    <mergeCell ref="E14:F14"/>
    <mergeCell ref="S14:S15"/>
    <mergeCell ref="M14:N14"/>
    <mergeCell ref="Q14:R14"/>
    <mergeCell ref="O14:P14"/>
    <mergeCell ref="G86:H86"/>
    <mergeCell ref="G87:H87"/>
    <mergeCell ref="I14:J14"/>
    <mergeCell ref="K14:L14"/>
    <mergeCell ref="G84:H84"/>
    <mergeCell ref="G85:H85"/>
    <mergeCell ref="G91:H91"/>
    <mergeCell ref="I92:Q92"/>
    <mergeCell ref="I9:M9"/>
    <mergeCell ref="I10:M10"/>
    <mergeCell ref="I11:M11"/>
    <mergeCell ref="I12:M12"/>
    <mergeCell ref="I91:Q91"/>
    <mergeCell ref="G92:H92"/>
    <mergeCell ref="F12:H12"/>
    <mergeCell ref="G14:H14"/>
  </mergeCells>
  <pageMargins left="0.25" right="0.25" top="0.33" bottom="0.43" header="0.25" footer="0.25"/>
  <ignoredErrors>
    <ignoredError numberStoredAsText="1" sqref="A1:V106"/>
  </ignoredErrors>
  <legacyDrawing r:id="rId1"/>
</worksheet>
</file>

<file path=xl/worksheets/sheet5.xml><?xml version="1.0" encoding="utf-8"?>
<worksheet xmlns="http://schemas.openxmlformats.org/spreadsheetml/2006/main" xmlns:r="http://schemas.openxmlformats.org/officeDocument/2006/relationships">
  <dimension ref="A1:V84"/>
  <sheetViews>
    <sheetView workbookViewId="0" rightToLeft="0"/>
  </sheetViews>
  <sheetData>
    <row r="1" ht="56.45000000000001" customHeight="1"/>
    <row r="2" ht="32.65" customHeight="1">
      <c r="P2" t="str">
        <v>Calendario de Fertilización para Goteo 2 Veces Por Semana</v>
      </c>
    </row>
    <row r="3" ht="32.65" customHeight="1"/>
    <row r="5">
      <c r="P5" t="str">
        <f>Main!$E$21</f>
        <v>Tomate</v>
      </c>
    </row>
    <row r="6" ht="29.25" customHeight="1"/>
    <row r="7" ht="26.25" customHeight="1"/>
    <row r="8" ht="25.899999999999995" customHeight="1">
      <c r="A8" t="str">
        <f>Main!$C$13</f>
        <v>"Sin Fertilización Base"</v>
      </c>
    </row>
    <row r="9" ht="20.1" customHeight="1">
      <c r="A9" t="str">
        <v>Productor</v>
      </c>
      <c r="C9" t="str">
        <f>Main!E17</f>
        <v>Alejandro Acosta</v>
      </c>
      <c r="G9" t="str">
        <v>Parcela</v>
      </c>
      <c r="J9" t="str">
        <f>Main!E19</f>
        <v>El Mango</v>
      </c>
      <c r="P9" t="str">
        <f>Main!$G$21</f>
        <v>XP 675</v>
      </c>
    </row>
    <row r="10" ht="20.1" customHeight="1">
      <c r="A10" t="str">
        <v>Zona</v>
      </c>
      <c r="C10" t="str">
        <f>Main!E18</f>
        <v>Cantarranas</v>
      </c>
      <c r="G10" t="str">
        <v>Técnico</v>
      </c>
      <c r="J10" t="str">
        <f>Main!E20</f>
        <v>Marco Nuñez</v>
      </c>
    </row>
    <row r="11" ht="20.1" customHeight="1">
      <c r="A11" t="str">
        <v>Área Mz.</v>
      </c>
      <c r="C11">
        <f>Main!E22</f>
        <v>1.92</v>
      </c>
      <c r="G11" t="str">
        <v>Fecha:</v>
      </c>
      <c r="J11">
        <f>Main!E23</f>
        <v>39941</v>
      </c>
    </row>
    <row r="12" ht="20.1" customHeight="1">
      <c r="A12" t="str">
        <v>Área Ha.</v>
      </c>
      <c r="C12">
        <f>Main!I22</f>
        <v>1.3439999999999999</v>
      </c>
      <c r="G12" t="str">
        <v>Fecha de Cosecha:</v>
      </c>
      <c r="J12">
        <f>J11+Main!E24</f>
        <v>40016</v>
      </c>
    </row>
    <row r="13" ht="19.5" customHeight="1"/>
    <row r="14" ht="28.5" customHeight="1">
      <c r="A14" t="str">
        <v>Semana</v>
      </c>
      <c r="B14" t="str">
        <v>DDT</v>
      </c>
      <c r="C14" t="str">
        <v>FECHA</v>
      </c>
      <c r="D14" t="str">
        <v>Seleccioné su opción</v>
      </c>
      <c r="E14" t="str">
        <v>Preventivos</v>
      </c>
      <c r="G14" t="str">
        <f>Main!$D$42</f>
        <v>Nitrato de Amonio</v>
      </c>
      <c r="I14" t="str">
        <f>Main!$D$32</f>
        <v>MAP 12-61-0</v>
      </c>
      <c r="K14" t="str">
        <f>Main!$D$37</f>
        <v>Sulfato de Potasio</v>
      </c>
      <c r="M14" t="str">
        <f>Main!$D$47</f>
        <v>Sulfato de Magnesio</v>
      </c>
      <c r="O14" t="str">
        <f>Main!$D$52</f>
        <v>Nitrato de Calcio</v>
      </c>
      <c r="Q14" t="str">
        <f>Main!$D$57</f>
        <v>Solubor</v>
      </c>
      <c r="S14" t="str">
        <f>Main!$D$61</f>
        <v>Melaza</v>
      </c>
      <c r="T14" t="str">
        <v>Costo / Aplicación</v>
      </c>
    </row>
    <row r="15">
      <c r="D15" t="str">
        <v>Preventivos</v>
      </c>
      <c r="E15" t="str">
        <v>Dosis</v>
      </c>
      <c r="F15" t="str">
        <v>Unidades</v>
      </c>
      <c r="G15" t="str">
        <f>Main!E42</f>
        <v>Lbs</v>
      </c>
      <c r="H15" t="str">
        <v>Cambios</v>
      </c>
      <c r="I15" t="str">
        <f>Main!E32</f>
        <v>Lbs</v>
      </c>
      <c r="J15" t="str">
        <v>Cambios</v>
      </c>
      <c r="K15" t="str">
        <f>Main!E37</f>
        <v>Lbs</v>
      </c>
      <c r="L15" t="str">
        <v>Cambios</v>
      </c>
      <c r="M15" t="str">
        <f>Main!E47</f>
        <v>Lbs</v>
      </c>
      <c r="N15" t="str">
        <v>Cambios</v>
      </c>
      <c r="O15" t="str">
        <f>Main!E52</f>
        <v>Lbs</v>
      </c>
      <c r="P15" t="str">
        <v>Cambios</v>
      </c>
      <c r="Q15" t="str">
        <f>Main!E57</f>
        <v>Gramos</v>
      </c>
      <c r="R15" t="str">
        <v>Cambios</v>
      </c>
      <c r="S15" t="str">
        <f>Main!$E$61</f>
        <v>Lts</v>
      </c>
    </row>
    <row r="16" ht="18.75" customHeight="1">
      <c r="A16">
        <v>1</v>
      </c>
      <c r="B16">
        <v>3</v>
      </c>
      <c r="C16">
        <f>$J$11+B16</f>
        <v>39944</v>
      </c>
      <c r="E16">
        <f>VLOOKUP(D16,Fertilizantes!$A$49:$E$124,2,FALSE)*$C$12</f>
        <v>0</v>
      </c>
      <c r="F16">
        <f>VLOOKUP(D16,Fertilizantes!$A$49:$E$124,4,FALSE)</f>
        <v>0</v>
      </c>
      <c r="G16">
        <f>IF(((SUM(ReDiarioFert!C7:C13)/2)*$C$12)&lt;=0,"0",(((SUM(ReDiarioFert!C7:C13)/2)*$C$12)))</f>
        <v>5.0483643115952015</v>
      </c>
      <c r="I16">
        <f>IF(((SUM(ReDiarioFert!E7:E13)/2)*$C$12)&lt;=0,"0",(((SUM(ReDiarioFert!E7:E13)/2)*$C$12)))</f>
        <v>6.510792242052458</v>
      </c>
      <c r="K16">
        <f>IF(((SUM(ReDiarioFert!G7:G13)/2)*$C$12)&lt;=0,"0",(((SUM(ReDiarioFert!G7:G13)/2)*$C$12)))</f>
        <v>19.066543559055123</v>
      </c>
      <c r="M16">
        <f>IF(((SUM(ReDiarioFert!I7:I13)/2)*$C$12)&lt;=0,"0",(((SUM(ReDiarioFert!I7:I13)/2)*$C$12)))</f>
        <v>10.605582082578856</v>
      </c>
      <c r="O16">
        <f>IF(((SUM(ReDiarioFert!K7:K13)/2)*$C$12)&lt;=0,"0",(((SUM(ReDiarioFert!K7:K13)/2)*$C$12)))</f>
        <v>21.86085426754976</v>
      </c>
      <c r="Q16">
        <f>IF(((SUM(ReDiarioFert!M7:M13)/2)*$C$12)&lt;=0,"0",(((SUM(ReDiarioFert!M7:M13)/2)*$C$12)))</f>
        <v>116.85653853658536</v>
      </c>
      <c r="S16">
        <f>$C$12*Main!$D$63</f>
        <v>26.879999999999995</v>
      </c>
      <c r="T16">
        <f>((G16/100)*$G$64+(I16/100)*$G$65+(K16/100)*$G$66+(M16/100)*$G$67+(O16/100)*$G$68+(Q16)*$G$69+(S16*$G$70)+(E16*(VLOOKUP(D16,Fertilizantes!$A$49:$E$123,3,FALSE))))</f>
        <v>737.6656228144757</v>
      </c>
    </row>
    <row r="17" ht="18.75" customHeight="1">
      <c r="B17">
        <v>7</v>
      </c>
      <c r="C17">
        <f>$J$11+B17</f>
        <v>39948</v>
      </c>
      <c r="E17">
        <f>VLOOKUP(D17,Fertilizantes!$A$49:$E$124,2,FALSE)*$C$12</f>
        <v>0</v>
      </c>
      <c r="F17">
        <f>VLOOKUP(D17,Fertilizantes!$A$49:$E$124,4,FALSE)</f>
        <v>0</v>
      </c>
      <c r="G17">
        <f>G16</f>
        <v>5.0483643115952015</v>
      </c>
      <c r="I17">
        <f>I16</f>
        <v>6.510792242052458</v>
      </c>
      <c r="K17">
        <f>K16</f>
        <v>19.066543559055123</v>
      </c>
      <c r="M17">
        <f>M16</f>
        <v>10.605582082578856</v>
      </c>
      <c r="O17">
        <f>O16</f>
        <v>21.86085426754976</v>
      </c>
      <c r="Q17">
        <f>Q16</f>
        <v>116.85653853658536</v>
      </c>
      <c r="T17">
        <f>((G17/100)*$G$64+(I17/100)*$G$65+(K17/100)*$G$66+(M17/100)*$G$67+(O17/100)*$G$68+(Q17)*$G$69+(S17*$G$70)+(E17*(VLOOKUP(D17,Fertilizantes!$A$49:$E$123,3,FALSE))))</f>
        <v>662.4016228144757</v>
      </c>
    </row>
    <row r="18">
      <c r="A18">
        <v>2</v>
      </c>
      <c r="B18">
        <f>B17+3</f>
        <v>10</v>
      </c>
      <c r="C18">
        <f>$J$11+B18</f>
        <v>39951</v>
      </c>
      <c r="E18">
        <f>VLOOKUP(D18,Fertilizantes!$A$49:$E$124,2,FALSE)*$C$12</f>
        <v>0</v>
      </c>
      <c r="F18">
        <f>VLOOKUP(D18,Fertilizantes!$A$49:$E$124,4,FALSE)</f>
        <v>0</v>
      </c>
      <c r="G18">
        <f>IF(((SUM(ReDiarioFert!C14:C20)/2)*$C$12)&lt;=0,"0",(((SUM(ReDiarioFert!C14:C20)/2)*$C$12)))</f>
        <v>7.211949016564573</v>
      </c>
      <c r="I18">
        <f>IF(((SUM(ReDiarioFert!E14:E20)/2)*$C$12)&lt;=0,"0",(((SUM(ReDiarioFert!E14:E20)/2)*$C$12)))</f>
        <v>9.301131774360652</v>
      </c>
      <c r="K18">
        <f>IF(((SUM(ReDiarioFert!G14:G20)/2)*$C$12)&lt;=0,"0",(((SUM(ReDiarioFert!G14:G20)/2)*$C$12)))</f>
        <v>27.23791937007874</v>
      </c>
      <c r="M18">
        <f>IF(((SUM(ReDiarioFert!I14:I20)/2)*$C$12)&lt;=0,"0",(((SUM(ReDiarioFert!I14:I20)/2)*$C$12)))</f>
        <v>15.15083154654122</v>
      </c>
      <c r="O18">
        <f>IF(((SUM(ReDiarioFert!K14:K20)/2)*$C$12)&lt;=0,"0",(((SUM(ReDiarioFert!K14:K20)/2)*$C$12)))</f>
        <v>31.22979181078537</v>
      </c>
      <c r="Q18">
        <f>IF(((SUM(ReDiarioFert!M14:M20)/2)*$C$12)&lt;=0,"0",(((SUM(ReDiarioFert!M14:M20)/2)*$C$12)))</f>
        <v>170.27693268292683</v>
      </c>
      <c r="S18">
        <f>$C$12*Main!$D$63</f>
        <v>26.879999999999995</v>
      </c>
      <c r="T18">
        <f>((G18/100)*$G$64+(I18/100)*$G$65+(K18/100)*$G$66+(M18/100)*$G$67+(O18/100)*$G$68+(Q18)*$G$69+(S18*$G$70)+(E18*(VLOOKUP(D18,Fertilizantes!$A$49:$E$123,3,FALSE))))</f>
        <v>1021.68559341162</v>
      </c>
    </row>
    <row r="19">
      <c r="B19">
        <f>B18+4</f>
        <v>14</v>
      </c>
      <c r="C19">
        <f>$J$11+B19</f>
        <v>39955</v>
      </c>
      <c r="E19">
        <f>VLOOKUP(D19,Fertilizantes!$A$49:$E$124,2,FALSE)*$C$12</f>
        <v>0</v>
      </c>
      <c r="F19">
        <f>VLOOKUP(D19,Fertilizantes!$A$49:$E$124,4,FALSE)</f>
        <v>0</v>
      </c>
      <c r="G19">
        <f>G18</f>
        <v>7.211949016564573</v>
      </c>
      <c r="I19">
        <f>I18</f>
        <v>9.301131774360652</v>
      </c>
      <c r="K19">
        <f>K18</f>
        <v>27.23791937007874</v>
      </c>
      <c r="M19">
        <f>M18</f>
        <v>15.15083154654122</v>
      </c>
      <c r="O19">
        <f>O18</f>
        <v>31.22979181078537</v>
      </c>
      <c r="Q19">
        <f>Q18</f>
        <v>170.27693268292683</v>
      </c>
      <c r="T19">
        <f>((G19/100)*$G$64+(I19/100)*$G$65+(K19/100)*$G$66+(M19/100)*$G$67+(O19/100)*$G$68+(Q19)*$G$69+(S19*$G$70)+(E19*(VLOOKUP(D19,Fertilizantes!$A$49:$E$123,3,FALSE))))</f>
        <v>946.4215934116199</v>
      </c>
    </row>
    <row r="20">
      <c r="A20">
        <v>3</v>
      </c>
      <c r="B20">
        <f>B19+3</f>
        <v>17</v>
      </c>
      <c r="C20">
        <f>$J$11+B20</f>
        <v>39958</v>
      </c>
      <c r="E20">
        <f>VLOOKUP(D20,Fertilizantes!$A$49:$E$124,2,FALSE)*$C$12</f>
        <v>0</v>
      </c>
      <c r="F20">
        <f>VLOOKUP(D20,Fertilizantes!$A$49:$E$124,4,FALSE)</f>
        <v>0</v>
      </c>
      <c r="G20">
        <f>IF(((SUM(ReDiarioFert!C21:C27)/2)*$C$12)&lt;=0,"0",(((SUM(ReDiarioFert!C21:C27)/2)*$C$12)))</f>
        <v>10.99822225026097</v>
      </c>
      <c r="I20">
        <f>IF(((SUM(ReDiarioFert!E21:E27)/2)*$C$12)&lt;=0,"0",(((SUM(ReDiarioFert!E21:E27)/2)*$C$12)))</f>
        <v>14.1842259559</v>
      </c>
      <c r="K20">
        <f>IF(((SUM(ReDiarioFert!G21:G27)/2)*$C$12)&lt;=0,"0",(((SUM(ReDiarioFert!G21:G27)/2)*$C$12)))</f>
        <v>41.53782703937008</v>
      </c>
      <c r="M20">
        <f>IF(((SUM(ReDiarioFert!I21:I27)/2)*$C$12)&lt;=0,"0",(((SUM(ReDiarioFert!I21:I27)/2)*$C$12)))</f>
        <v>23.105018108475363</v>
      </c>
      <c r="O20">
        <f>IF(((SUM(ReDiarioFert!K21:K27)/2)*$C$12)&lt;=0,"0",(((SUM(ReDiarioFert!K21:K27)/2)*$C$12)))</f>
        <v>47.6254325114477</v>
      </c>
      <c r="Q20">
        <f>IF(((SUM(ReDiarioFert!M21:M27)/2)*$C$12)&lt;=0,"0",(((SUM(ReDiarioFert!M21:M27)/2)*$C$12)))</f>
        <v>250.40654048780485</v>
      </c>
      <c r="S20">
        <f>$C$12*Main!$D$63</f>
        <v>26.879999999999995</v>
      </c>
      <c r="T20">
        <f>((G20/100)*$G$64+(I20/100)*$G$65+(K20/100)*$G$66+(M20/100)*$G$67+(O20/100)*$G$68+(Q20)*$G$69+(S20*$G$70)+(E20*(VLOOKUP(D20,Fertilizantes!$A$49:$E$123,3,FALSE))))</f>
        <v>1518.1862986785745</v>
      </c>
    </row>
    <row r="21">
      <c r="B21">
        <f>B20+4</f>
        <v>21</v>
      </c>
      <c r="C21">
        <f>$J$11+B21</f>
        <v>39962</v>
      </c>
      <c r="E21">
        <f>VLOOKUP(D21,Fertilizantes!$A$49:$E$124,2,FALSE)*$C$12</f>
        <v>0</v>
      </c>
      <c r="F21">
        <f>VLOOKUP(D21,Fertilizantes!$A$49:$E$124,4,FALSE)</f>
        <v>0</v>
      </c>
      <c r="G21">
        <f>G20</f>
        <v>10.99822225026097</v>
      </c>
      <c r="I21">
        <f>I20</f>
        <v>14.1842259559</v>
      </c>
      <c r="K21">
        <f>K20</f>
        <v>41.53782703937008</v>
      </c>
      <c r="M21">
        <f>M20</f>
        <v>23.105018108475363</v>
      </c>
      <c r="O21">
        <f>O20</f>
        <v>47.6254325114477</v>
      </c>
      <c r="Q21">
        <f>Q20</f>
        <v>250.40654048780485</v>
      </c>
      <c r="T21">
        <f>((G21/100)*$G$64+(I21/100)*$G$65+(K21/100)*$G$66+(M21/100)*$G$67+(O21/100)*$G$68+(Q21)*$G$69+(S21*$G$70)+(E21*(VLOOKUP(D21,Fertilizantes!$A$49:$E$123,3,FALSE))))</f>
        <v>1442.9222986785746</v>
      </c>
    </row>
    <row r="22">
      <c r="A22">
        <v>4</v>
      </c>
      <c r="B22">
        <f>B21+3</f>
        <v>24</v>
      </c>
      <c r="C22">
        <f>$J$11+B22</f>
        <v>39965</v>
      </c>
      <c r="E22">
        <f>VLOOKUP(D22,Fertilizantes!$A$49:$E$124,2,FALSE)*$C$12</f>
        <v>0</v>
      </c>
      <c r="F22">
        <f>VLOOKUP(D22,Fertilizantes!$A$49:$E$124,4,FALSE)</f>
        <v>0</v>
      </c>
      <c r="G22">
        <f>IF(((SUM(ReDiarioFert!C28:C34)/2)*$C$12)&lt;=0,"0",(((SUM(ReDiarioFert!C28:C34)/2)*$C$12)))</f>
        <v>12.620910778988</v>
      </c>
      <c r="I22">
        <f>IF(((SUM(ReDiarioFert!E28:E34)/2)*$C$12)&lt;=0,"0",(((SUM(ReDiarioFert!E28:E34)/2)*$C$12)))</f>
        <v>16.276980605131143</v>
      </c>
      <c r="K22">
        <f>IF(((SUM(ReDiarioFert!G28:G34)/2)*$C$12)&lt;=0,"0",(((SUM(ReDiarioFert!G28:G34)/2)*$C$12)))</f>
        <v>47.6663588976378</v>
      </c>
      <c r="M22">
        <f>IF(((SUM(ReDiarioFert!I28:I34)/2)*$C$12)&lt;=0,"0",(((SUM(ReDiarioFert!I28:I34)/2)*$C$12)))</f>
        <v>26.513955206447136</v>
      </c>
      <c r="O22">
        <f>IF(((SUM(ReDiarioFert!K28:K34)/2)*$C$12)&lt;=0,"0",(((SUM(ReDiarioFert!K28:K34)/2)*$C$12)))</f>
        <v>54.65213566887441</v>
      </c>
      <c r="Q22">
        <f>IF(((SUM(ReDiarioFert!M28:M34)/2)*$C$12)&lt;=0,"0",(((SUM(ReDiarioFert!M28:M34)/2)*$C$12)))</f>
        <v>280.4547746341463</v>
      </c>
      <c r="S22">
        <f>$C$12*Main!$D$63</f>
        <v>26.879999999999995</v>
      </c>
      <c r="T22">
        <f>((G22/100)*$G$64+(I22/100)*$G$65+(K22/100)*$G$66+(M22/100)*$G$67+(O22/100)*$G$68+(Q22)*$G$69+(S22*$G$70)+(E22*(VLOOKUP(D22,Fertilizantes!$A$49:$E$123,3,FALSE))))</f>
        <v>1730.8005941678962</v>
      </c>
    </row>
    <row r="23">
      <c r="B23">
        <f>B22+4</f>
        <v>28</v>
      </c>
      <c r="C23">
        <f>$J$11+B23</f>
        <v>39969</v>
      </c>
      <c r="E23">
        <f>VLOOKUP(D23,Fertilizantes!$A$49:$E$124,2,FALSE)*$C$12</f>
        <v>0</v>
      </c>
      <c r="F23">
        <f>VLOOKUP(D23,Fertilizantes!$A$49:$E$124,4,FALSE)</f>
        <v>0</v>
      </c>
      <c r="G23">
        <f>G22</f>
        <v>12.620910778988</v>
      </c>
      <c r="I23">
        <f>I22</f>
        <v>16.276980605131143</v>
      </c>
      <c r="K23">
        <f>K22</f>
        <v>47.6663588976378</v>
      </c>
      <c r="M23">
        <f>M22</f>
        <v>26.513955206447136</v>
      </c>
      <c r="O23">
        <f>O22</f>
        <v>54.65213566887441</v>
      </c>
      <c r="Q23">
        <f>Q22</f>
        <v>280.4547746341463</v>
      </c>
      <c r="T23">
        <f>((G23/100)*$G$64+(I23/100)*$G$65+(K23/100)*$G$66+(M23/100)*$G$67+(O23/100)*$G$68+(Q23)*$G$69+(S23*$G$70)+(E23*(VLOOKUP(D23,Fertilizantes!$A$49:$E$123,3,FALSE))))</f>
        <v>1655.5365941678963</v>
      </c>
    </row>
    <row r="24">
      <c r="A24">
        <v>5</v>
      </c>
      <c r="B24">
        <f>B23+3</f>
        <v>31</v>
      </c>
      <c r="C24">
        <f>$J$11+B24</f>
        <v>39972</v>
      </c>
      <c r="E24">
        <f>VLOOKUP(D24,Fertilizantes!$A$49:$E$124,2,FALSE)*$C$12</f>
        <v>0</v>
      </c>
      <c r="F24">
        <f>VLOOKUP(D24,Fertilizantes!$A$49:$E$124,4,FALSE)</f>
        <v>0</v>
      </c>
      <c r="G24">
        <f>IF(((SUM(ReDiarioFert!C35:C41)/2)*$C$12)&lt;=0,"0",(((SUM(ReDiarioFert!C35:C41)/2)*$C$12)))</f>
        <v>15.86628783644206</v>
      </c>
      <c r="I24">
        <f>IF(((SUM(ReDiarioFert!E35:E41)/2)*$C$12)&lt;=0,"0",(((SUM(ReDiarioFert!E35:E41)/2)*$C$12)))</f>
        <v>20.462489903593443</v>
      </c>
      <c r="K24">
        <f>IF(((SUM(ReDiarioFert!G35:G41)/2)*$C$12)&lt;=0,"0",(((SUM(ReDiarioFert!G35:G41)/2)*$C$12)))</f>
        <v>59.92342261417323</v>
      </c>
      <c r="M24">
        <f>IF(((SUM(ReDiarioFert!I35:I41)/2)*$C$12)&lt;=0,"0",(((SUM(ReDiarioFert!I35:I41)/2)*$C$12)))</f>
        <v>33.33182940239069</v>
      </c>
      <c r="O24">
        <f>IF(((SUM(ReDiarioFert!K35:K41)/2)*$C$12)&lt;=0,"0",(((SUM(ReDiarioFert!K35:K41)/2)*$C$12)))</f>
        <v>68.70554198372781</v>
      </c>
      <c r="Q24">
        <f>IF(((SUM(ReDiarioFert!M35:M41)/2)*$C$12)&lt;=0,"0",(((SUM(ReDiarioFert!M35:M41)/2)*$C$12)))</f>
        <v>330.53713170731714</v>
      </c>
      <c r="S24">
        <f>$C$12*Main!$D$63</f>
        <v>26.879999999999995</v>
      </c>
      <c r="T24">
        <f>((G24/100)*$G$64+(I24/100)*$G$65+(K24/100)*$G$66+(M24/100)*$G$67+(O24/100)*$G$68+(Q24)*$G$69+(S24*$G$70)+(E24*(VLOOKUP(D24,Fertilizantes!$A$49:$E$123,3,FALSE))))</f>
        <v>2155.6286206977597</v>
      </c>
    </row>
    <row r="25">
      <c r="B25">
        <f>B24+4</f>
        <v>35</v>
      </c>
      <c r="C25">
        <f>$J$11+B25</f>
        <v>39976</v>
      </c>
      <c r="E25">
        <f>VLOOKUP(D25,Fertilizantes!$A$49:$E$124,2,FALSE)*$C$12</f>
        <v>0</v>
      </c>
      <c r="F25">
        <f>VLOOKUP(D25,Fertilizantes!$A$49:$E$124,4,FALSE)</f>
        <v>0</v>
      </c>
      <c r="G25">
        <f>G24</f>
        <v>15.86628783644206</v>
      </c>
      <c r="I25">
        <f>I24</f>
        <v>20.462489903593443</v>
      </c>
      <c r="K25">
        <f>K24</f>
        <v>59.92342261417323</v>
      </c>
      <c r="M25">
        <f>M24</f>
        <v>33.33182940239069</v>
      </c>
      <c r="O25">
        <f>O24</f>
        <v>68.70554198372781</v>
      </c>
      <c r="Q25">
        <f>Q24</f>
        <v>330.53713170731714</v>
      </c>
      <c r="T25">
        <f>((G25/100)*$G$64+(I25/100)*$G$65+(K25/100)*$G$66+(M25/100)*$G$67+(O25/100)*$G$68+(Q25)*$G$69+(S25*$G$70)+(E25*(VLOOKUP(D25,Fertilizantes!$A$49:$E$123,3,FALSE))))</f>
        <v>2080.3646206977596</v>
      </c>
    </row>
    <row r="26">
      <c r="A26">
        <v>6</v>
      </c>
      <c r="B26">
        <f>B25+3</f>
        <v>38</v>
      </c>
      <c r="C26">
        <f>$J$11+B26</f>
        <v>39979</v>
      </c>
      <c r="E26">
        <f>VLOOKUP(D26,Fertilizantes!$A$49:$E$124,2,FALSE)*$C$12</f>
        <v>0</v>
      </c>
      <c r="F26">
        <f>VLOOKUP(D26,Fertilizantes!$A$49:$E$124,4,FALSE)</f>
        <v>0</v>
      </c>
      <c r="G26">
        <f>IF(((SUM(ReDiarioFert!C42:C48)/2)*$C$12)&lt;=0,"0",(((SUM(ReDiarioFert!C42:C48)/2)*$C$12)))</f>
        <v>20.193457246380806</v>
      </c>
      <c r="I26">
        <f>IF(((SUM(ReDiarioFert!E42:E48)/2)*$C$12)&lt;=0,"0",(((SUM(ReDiarioFert!E42:E48)/2)*$C$12)))</f>
        <v>26.043168968209834</v>
      </c>
      <c r="K26">
        <f>IF(((SUM(ReDiarioFert!G42:G48)/2)*$C$12)&lt;=0,"0",(((SUM(ReDiarioFert!G42:G48)/2)*$C$12)))</f>
        <v>76.2661742362205</v>
      </c>
      <c r="M26">
        <f>IF(((SUM(ReDiarioFert!I42:I48)/2)*$C$12)&lt;=0,"0",(((SUM(ReDiarioFert!I42:I48)/2)*$C$12)))</f>
        <v>42.42232833031542</v>
      </c>
      <c r="O26">
        <f>IF(((SUM(ReDiarioFert!K42:K48)/2)*$C$12)&lt;=0,"0",(((SUM(ReDiarioFert!K42:K48)/2)*$C$12)))</f>
        <v>87.44341707019905</v>
      </c>
      <c r="Q26">
        <f>IF(((SUM(ReDiarioFert!M42:M48)/2)*$C$12)&lt;=0,"0",(((SUM(ReDiarioFert!M42:M48)/2)*$C$12)))</f>
        <v>397.3136078048781</v>
      </c>
      <c r="S26">
        <f>$C$12*Main!$D$63</f>
        <v>26.879999999999995</v>
      </c>
      <c r="T26">
        <f>((G26/100)*$G$64+(I26/100)*$G$65+(K26/100)*$G$66+(M26/100)*$G$67+(O26/100)*$G$68+(Q26)*$G$69+(S26*$G$70)+(E26*(VLOOKUP(D26,Fertilizantes!$A$49:$E$123,3,FALSE))))</f>
        <v>2722.065989404244</v>
      </c>
    </row>
    <row r="27">
      <c r="B27">
        <f>B26+4</f>
        <v>42</v>
      </c>
      <c r="C27">
        <f>$J$11+B27</f>
        <v>39983</v>
      </c>
      <c r="E27">
        <f>VLOOKUP(D27,Fertilizantes!$A$49:$E$124,2,FALSE)*$C$12</f>
        <v>0</v>
      </c>
      <c r="F27">
        <f>VLOOKUP(D27,Fertilizantes!$A$49:$E$124,4,FALSE)</f>
        <v>0</v>
      </c>
      <c r="G27">
        <f>G26</f>
        <v>20.193457246380806</v>
      </c>
      <c r="I27">
        <f>I26</f>
        <v>26.043168968209834</v>
      </c>
      <c r="K27">
        <f>K26</f>
        <v>76.2661742362205</v>
      </c>
      <c r="M27">
        <f>M26</f>
        <v>42.42232833031542</v>
      </c>
      <c r="O27">
        <f>O26</f>
        <v>87.44341707019905</v>
      </c>
      <c r="Q27">
        <f>Q26</f>
        <v>397.3136078048781</v>
      </c>
      <c r="T27">
        <f>((G27/100)*$G$64+(I27/100)*$G$65+(K27/100)*$G$66+(M27/100)*$G$67+(O27/100)*$G$68+(Q27)*$G$69+(S27*$G$70)+(E27*(VLOOKUP(D27,Fertilizantes!$A$49:$E$123,3,FALSE))))</f>
        <v>2646.801989404244</v>
      </c>
    </row>
    <row r="28">
      <c r="A28">
        <v>7</v>
      </c>
      <c r="B28">
        <f>B27+3</f>
        <v>45</v>
      </c>
      <c r="C28">
        <f>$J$11+B28</f>
        <v>39986</v>
      </c>
      <c r="E28">
        <f>VLOOKUP(D28,Fertilizantes!$A$49:$E$124,2,FALSE)*$C$12</f>
        <v>0</v>
      </c>
      <c r="F28">
        <f>VLOOKUP(D28,Fertilizantes!$A$49:$E$124,4,FALSE)</f>
        <v>0</v>
      </c>
      <c r="G28">
        <f>IF(((SUM(ReDiarioFert!C49:C55)/2)*$C$12)&lt;=0,"0",(((SUM(ReDiarioFert!C49:C55)/2)*$C$12)))</f>
        <v>23.565849278595326</v>
      </c>
      <c r="I28">
        <f>IF(((SUM(ReDiarioFert!E49:E55)/2)*$C$12)&lt;=0,"0",(((SUM(ReDiarioFert!E49:E55)/2)*$C$12)))</f>
        <v>31.623848032826217</v>
      </c>
      <c r="K28">
        <f>IF(((SUM(ReDiarioFert!G49:G55)/2)*$C$12)&lt;=0,"0",(((SUM(ReDiarioFert!G49:G55)/2)*$C$12)))</f>
        <v>105.92524199475065</v>
      </c>
      <c r="M28">
        <f>IF(((SUM(ReDiarioFert!I49:I55)/2)*$C$12)&lt;=0,"0",(((SUM(ReDiarioFert!I49:I55)/2)*$C$12)))</f>
        <v>58.91990045877141</v>
      </c>
      <c r="O28">
        <f>IF(((SUM(ReDiarioFert!K49:K55)/2)*$C$12)&lt;=0,"0",(((SUM(ReDiarioFert!K49:K55)/2)*$C$12)))</f>
        <v>121.44919037527644</v>
      </c>
      <c r="Q28">
        <f>IF(((SUM(ReDiarioFert!M49:M55)/2)*$C$12)&lt;=0,"0",(((SUM(ReDiarioFert!M49:M55)/2)*$C$12)))</f>
        <v>437.3785756097561</v>
      </c>
      <c r="S28">
        <f>$C$12*Main!$D$63</f>
        <v>26.879999999999995</v>
      </c>
      <c r="T28">
        <f>((G28/100)*$G$64+(I28/100)*$G$65+(K28/100)*$G$66+(M28/100)*$G$67+(O28/100)*$G$68+(Q28)*$G$69+(S28*$G$70)+(E28*(VLOOKUP(D28,Fertilizantes!$A$49:$E$123,3,FALSE))))</f>
        <v>3587.1508210680895</v>
      </c>
    </row>
    <row r="29">
      <c r="B29">
        <f>B28+4</f>
        <v>49</v>
      </c>
      <c r="C29">
        <f>$J$11+B29</f>
        <v>39990</v>
      </c>
      <c r="E29">
        <f>VLOOKUP(D29,Fertilizantes!$A$49:$E$124,2,FALSE)*$C$12</f>
        <v>0</v>
      </c>
      <c r="F29">
        <f>VLOOKUP(D29,Fertilizantes!$A$49:$E$124,4,FALSE)</f>
        <v>0</v>
      </c>
      <c r="G29">
        <f>G28</f>
        <v>23.565849278595326</v>
      </c>
      <c r="I29">
        <f>I28</f>
        <v>31.623848032826217</v>
      </c>
      <c r="K29">
        <f>K28</f>
        <v>105.92524199475065</v>
      </c>
      <c r="M29">
        <f>M28</f>
        <v>58.91990045877141</v>
      </c>
      <c r="O29">
        <f>O28</f>
        <v>121.44919037527644</v>
      </c>
      <c r="Q29">
        <f>Q28</f>
        <v>437.3785756097561</v>
      </c>
      <c r="T29">
        <f>((G29/100)*$G$64+(I29/100)*$G$65+(K29/100)*$G$66+(M29/100)*$G$67+(O29/100)*$G$68+(Q29)*$G$69+(S29*$G$70)+(E29*(VLOOKUP(D29,Fertilizantes!$A$49:$E$123,3,FALSE))))</f>
        <v>3511.8868210680894</v>
      </c>
    </row>
    <row r="30">
      <c r="A30">
        <v>8</v>
      </c>
      <c r="B30">
        <f>B29+3</f>
        <v>52</v>
      </c>
      <c r="C30">
        <f>$J$11+B30</f>
        <v>39993</v>
      </c>
      <c r="E30">
        <f>VLOOKUP(D30,Fertilizantes!$A$49:$E$124,2,FALSE)*$C$12</f>
        <v>0</v>
      </c>
      <c r="F30">
        <f>VLOOKUP(D30,Fertilizantes!$A$49:$E$124,4,FALSE)</f>
        <v>0</v>
      </c>
      <c r="G30">
        <f>IF(((SUM(ReDiarioFert!C56:C62)/2)*$C$12)&lt;=0,"0",(((SUM(ReDiarioFert!C56:C62)/2)*$C$12)))</f>
        <v>26.095143302756213</v>
      </c>
      <c r="I30">
        <f>IF(((SUM(ReDiarioFert!E56:E62)/2)*$C$12)&lt;=0,"0",(((SUM(ReDiarioFert!E56:E62)/2)*$C$12)))</f>
        <v>35.80935733128851</v>
      </c>
      <c r="K30">
        <f>IF(((SUM(ReDiarioFert!G56:G62)/2)*$C$12)&lt;=0,"0",(((SUM(ReDiarioFert!G56:G62)/2)*$C$12)))</f>
        <v>128.1695428136483</v>
      </c>
      <c r="M30">
        <f>IF(((SUM(ReDiarioFert!I56:I62)/2)*$C$12)&lt;=0,"0",(((SUM(ReDiarioFert!I56:I62)/2)*$C$12)))</f>
        <v>71.2930795551134</v>
      </c>
      <c r="O30">
        <f>IF(((SUM(ReDiarioFert!K56:K62)/2)*$C$12)&lt;=0,"0",(((SUM(ReDiarioFert!K56:K62)/2)*$C$12)))</f>
        <v>146.9535203540845</v>
      </c>
      <c r="Q30">
        <f>IF(((SUM(ReDiarioFert!M56:M62)/2)*$C$12)&lt;=0,"0",(((SUM(ReDiarioFert!M56:M62)/2)*$C$12)))</f>
        <v>537.5409951219511</v>
      </c>
      <c r="S30">
        <f>$C$12*Main!$D$63</f>
        <v>26.879999999999995</v>
      </c>
      <c r="T30">
        <f>((G30/100)*$G$64+(I30/100)*$G$65+(K30/100)*$G$66+(M30/100)*$G$67+(O30/100)*$G$68+(Q30)*$G$69+(S30*$G$70)+(E30*(VLOOKUP(D30,Fertilizantes!$A$49:$E$123,3,FALSE))))</f>
        <v>4238.768992562315</v>
      </c>
    </row>
    <row r="31">
      <c r="B31">
        <f>B30+4</f>
        <v>56</v>
      </c>
      <c r="C31">
        <f>$J$11+B31</f>
        <v>39997</v>
      </c>
      <c r="E31">
        <f>VLOOKUP(D31,Fertilizantes!$A$49:$E$124,2,FALSE)*$C$12</f>
        <v>0</v>
      </c>
      <c r="F31">
        <f>VLOOKUP(D31,Fertilizantes!$A$49:$E$124,4,FALSE)</f>
        <v>0</v>
      </c>
      <c r="G31">
        <f>G30</f>
        <v>26.095143302756213</v>
      </c>
      <c r="I31">
        <f>I30</f>
        <v>35.80935733128851</v>
      </c>
      <c r="K31">
        <f>K30</f>
        <v>128.1695428136483</v>
      </c>
      <c r="M31">
        <f>M30</f>
        <v>71.2930795551134</v>
      </c>
      <c r="O31">
        <f>O30</f>
        <v>146.9535203540845</v>
      </c>
      <c r="Q31">
        <f>Q30</f>
        <v>537.5409951219511</v>
      </c>
      <c r="T31">
        <f>((G31/100)*$G$64+(I31/100)*$G$65+(K31/100)*$G$66+(M31/100)*$G$67+(O31/100)*$G$68+(Q31)*$G$69+(S31*$G$70)+(E31*(VLOOKUP(D31,Fertilizantes!$A$49:$E$123,3,FALSE))))</f>
        <v>4163.504992562315</v>
      </c>
    </row>
    <row r="32">
      <c r="A32">
        <v>9</v>
      </c>
      <c r="B32">
        <f>B31+3</f>
        <v>59</v>
      </c>
      <c r="C32">
        <f>$J$11+B32</f>
        <v>40000</v>
      </c>
      <c r="E32">
        <f>VLOOKUP(D32,Fertilizantes!$A$49:$E$124,2,FALSE)*$C$12</f>
        <v>0</v>
      </c>
      <c r="F32">
        <f>VLOOKUP(D32,Fertilizantes!$A$49:$E$124,4,FALSE)</f>
        <v>0</v>
      </c>
      <c r="G32">
        <f>IF(((SUM(ReDiarioFert!C63:C69)/2)*$C$12)&lt;=0,"0",(((SUM(ReDiarioFert!C63:C69)/2)*$C$12)))</f>
        <v>26.095143302756213</v>
      </c>
      <c r="I32">
        <f>IF(((SUM(ReDiarioFert!E63:E69)/2)*$C$12)&lt;=0,"0",(((SUM(ReDiarioFert!E63:E69)/2)*$C$12)))</f>
        <v>35.80935733128851</v>
      </c>
      <c r="K32">
        <f>IF(((SUM(ReDiarioFert!G63:G69)/2)*$C$12)&lt;=0,"0",(((SUM(ReDiarioFert!G63:G69)/2)*$C$12)))</f>
        <v>128.1695428136483</v>
      </c>
      <c r="M32">
        <f>IF(((SUM(ReDiarioFert!I63:I69)/2)*$C$12)&lt;=0,"0",(((SUM(ReDiarioFert!I63:I69)/2)*$C$12)))</f>
        <v>71.2930795551134</v>
      </c>
      <c r="O32">
        <f>IF(((SUM(ReDiarioFert!K63:K69)/2)*$C$12)&lt;=0,"0",(((SUM(ReDiarioFert!K63:K69)/2)*$C$12)))</f>
        <v>146.9535203540845</v>
      </c>
      <c r="Q32">
        <f>IF(((SUM(ReDiarioFert!M63:M69)/2)*$C$12)&lt;=0,"0",(((SUM(ReDiarioFert!M63:M69)/2)*$C$12)))</f>
        <v>557.5738068292683</v>
      </c>
      <c r="S32">
        <f>$C$12*Main!$D$63</f>
        <v>26.879999999999995</v>
      </c>
      <c r="T32">
        <f>((G32/100)*$G$64+(I32/100)*$G$65+(K32/100)*$G$66+(M32/100)*$G$67+(O32/100)*$G$68+(Q32)*$G$69+(S32*$G$70)+(E32*(VLOOKUP(D32,Fertilizantes!$A$49:$E$123,3,FALSE))))</f>
        <v>4239.570305030607</v>
      </c>
    </row>
    <row r="33">
      <c r="B33">
        <f>B32+4</f>
        <v>63</v>
      </c>
      <c r="C33">
        <f>$J$11+B33</f>
        <v>40004</v>
      </c>
      <c r="E33">
        <f>VLOOKUP(D33,Fertilizantes!$A$49:$E$124,2,FALSE)*$C$12</f>
        <v>0</v>
      </c>
      <c r="F33">
        <f>VLOOKUP(D33,Fertilizantes!$A$49:$E$124,4,FALSE)</f>
        <v>0</v>
      </c>
      <c r="G33">
        <f>G32</f>
        <v>26.095143302756213</v>
      </c>
      <c r="I33">
        <f>I32</f>
        <v>35.80935733128851</v>
      </c>
      <c r="K33">
        <f>K32</f>
        <v>128.1695428136483</v>
      </c>
      <c r="M33">
        <f>M32</f>
        <v>71.2930795551134</v>
      </c>
      <c r="O33">
        <f>O32</f>
        <v>146.9535203540845</v>
      </c>
      <c r="Q33">
        <f>Q32</f>
        <v>557.5738068292683</v>
      </c>
      <c r="T33">
        <f>((G33/100)*$G$64+(I33/100)*$G$65+(K33/100)*$G$66+(M33/100)*$G$67+(O33/100)*$G$68+(Q33)*$G$69+(S33*$G$70)+(E33*(VLOOKUP(D33,Fertilizantes!$A$49:$E$123,3,FALSE))))</f>
        <v>4164.306305030607</v>
      </c>
    </row>
    <row r="34">
      <c r="A34">
        <v>10</v>
      </c>
      <c r="B34">
        <f>B33+3</f>
        <v>66</v>
      </c>
      <c r="C34">
        <f>$J$11+B34</f>
        <v>40007</v>
      </c>
      <c r="E34">
        <f>VLOOKUP(D34,Fertilizantes!$A$49:$E$124,2,FALSE)*$C$12</f>
        <v>0</v>
      </c>
      <c r="F34">
        <f>VLOOKUP(D34,Fertilizantes!$A$49:$E$124,4,FALSE)</f>
        <v>0</v>
      </c>
      <c r="G34">
        <f>IF(((SUM(ReDiarioFert!C70:C76)/2)*$C$12)&lt;=0,"0",(((SUM(ReDiarioFert!C70:C76)/2)*$C$12)))</f>
        <v>16.66925796762668</v>
      </c>
      <c r="I34">
        <f>IF(((SUM(ReDiarioFert!E70:E76)/2)*$C$12)&lt;=0,"0",(((SUM(ReDiarioFert!E70:E76)/2)*$C$12)))</f>
        <v>30.38369712957814</v>
      </c>
      <c r="K34">
        <f>IF(((SUM(ReDiarioFert!G70:G76)/2)*$C$12)&lt;=0,"0",(((SUM(ReDiarioFert!G70:G76)/2)*$C$12)))</f>
        <v>166.09077944776902</v>
      </c>
      <c r="M34">
        <f>IF(((SUM(ReDiarioFert!I70:I76)/2)*$C$12)&lt;=0,"0",(((SUM(ReDiarioFert!I70:I76)/2)*$C$12)))</f>
        <v>92.38640391935357</v>
      </c>
      <c r="O34">
        <f>IF(((SUM(ReDiarioFert!K70:K76)/2)*$C$12)&lt;=0,"0",(((SUM(ReDiarioFert!K70:K76)/2)*$C$12)))</f>
        <v>190.43233050843347</v>
      </c>
      <c r="Q34">
        <f>IF(((SUM(ReDiarioFert!M70:M76)/2)*$C$12)&lt;=0,"0",(((SUM(ReDiarioFert!M70:M76)/2)*$C$12)))</f>
        <v>677.7706770731708</v>
      </c>
      <c r="S34">
        <f>$C$12*Main!$D$63</f>
        <v>26.879999999999995</v>
      </c>
      <c r="T34">
        <f>((G34/100)*$G$64+(I34/100)*$G$65+(K34/100)*$G$66+(M34/100)*$G$67+(O34/100)*$G$68+(Q34)*$G$69+(S34*$G$70)+(E34*(VLOOKUP(D34,Fertilizantes!$A$49:$E$123,3,FALSE))))</f>
        <v>4898.960216317033</v>
      </c>
    </row>
    <row r="35">
      <c r="B35">
        <f>B34+4</f>
        <v>70</v>
      </c>
      <c r="C35">
        <f>$J$11+B35</f>
        <v>40011</v>
      </c>
      <c r="E35">
        <f>VLOOKUP(D35,Fertilizantes!$A$49:$E$124,2,FALSE)*$C$12</f>
        <v>0</v>
      </c>
      <c r="F35">
        <f>VLOOKUP(D35,Fertilizantes!$A$49:$E$124,4,FALSE)</f>
        <v>0</v>
      </c>
      <c r="G35">
        <f>G34</f>
        <v>16.66925796762668</v>
      </c>
      <c r="I35">
        <f>I34</f>
        <v>30.38369712957814</v>
      </c>
      <c r="K35">
        <f>K34</f>
        <v>166.09077944776902</v>
      </c>
      <c r="M35">
        <f>M34</f>
        <v>92.38640391935357</v>
      </c>
      <c r="O35">
        <f>O34</f>
        <v>190.43233050843347</v>
      </c>
      <c r="Q35">
        <f>Q34</f>
        <v>677.7706770731708</v>
      </c>
      <c r="T35">
        <f>((G35/100)*$G$64+(I35/100)*$G$65+(K35/100)*$G$66+(M35/100)*$G$67+(O35/100)*$G$68+(Q35)*$G$69+(S35*$G$70)+(E35*(VLOOKUP(D35,Fertilizantes!$A$49:$E$123,3,FALSE))))</f>
        <v>4823.696216317033</v>
      </c>
    </row>
    <row r="36">
      <c r="A36">
        <v>11</v>
      </c>
      <c r="B36">
        <f>B35+3</f>
        <v>73</v>
      </c>
      <c r="C36">
        <f>$J$11+B36</f>
        <v>40014</v>
      </c>
      <c r="E36">
        <f>VLOOKUP(D36,Fertilizantes!$A$49:$E$124,2,FALSE)*$C$12</f>
        <v>0</v>
      </c>
      <c r="F36">
        <f>VLOOKUP(D36,Fertilizantes!$A$49:$E$124,4,FALSE)</f>
        <v>0</v>
      </c>
      <c r="G36">
        <f>IF(((SUM(ReDiarioFert!C77:C83)/2)*$C$12)&lt;=0,"0",(((SUM(ReDiarioFert!C77:C83)/2)*$C$12)))</f>
        <v>16.66925796762668</v>
      </c>
      <c r="I36">
        <f>IF(((SUM(ReDiarioFert!E77:E83)/2)*$C$12)&lt;=0,"0",(((SUM(ReDiarioFert!E77:E83)/2)*$C$12)))</f>
        <v>30.38369712957814</v>
      </c>
      <c r="K36">
        <f>IF(((SUM(ReDiarioFert!G77:G83)/2)*$C$12)&lt;=0,"0",(((SUM(ReDiarioFert!G77:G83)/2)*$C$12)))</f>
        <v>166.09077944776902</v>
      </c>
      <c r="M36">
        <f>IF(((SUM(ReDiarioFert!I77:I83)/2)*$C$12)&lt;=0,"0",(((SUM(ReDiarioFert!I77:I83)/2)*$C$12)))</f>
        <v>92.38640391935357</v>
      </c>
      <c r="O36">
        <f>IF(((SUM(ReDiarioFert!K77:K83)/2)*$C$12)&lt;=0,"0",(((SUM(ReDiarioFert!K77:K83)/2)*$C$12)))</f>
        <v>190.43233050843347</v>
      </c>
      <c r="Q36">
        <f>IF(((SUM(ReDiarioFert!M77:M83)/2)*$C$12)&lt;=0,"0",(((SUM(ReDiarioFert!M77:M83)/2)*$C$12)))</f>
        <v>677.7706770731708</v>
      </c>
      <c r="S36">
        <f>$C$12*Main!$D$63</f>
        <v>26.879999999999995</v>
      </c>
      <c r="T36">
        <f>((G36/100)*$G$64+(I36/100)*$G$65+(K36/100)*$G$66+(M36/100)*$G$67+(O36/100)*$G$68+(Q36)*$G$69+(S36*$G$70)+(E36*(VLOOKUP(D36,Fertilizantes!$A$49:$E$123,3,FALSE))))</f>
        <v>4898.960216317033</v>
      </c>
    </row>
    <row r="37">
      <c r="B37">
        <f>B36+4</f>
        <v>77</v>
      </c>
      <c r="C37">
        <f>$J$11+B37</f>
        <v>40018</v>
      </c>
      <c r="E37">
        <f>VLOOKUP(D37,Fertilizantes!$A$49:$E$124,2,FALSE)*$C$12</f>
        <v>0</v>
      </c>
      <c r="F37">
        <f>VLOOKUP(D37,Fertilizantes!$A$49:$E$124,4,FALSE)</f>
        <v>0</v>
      </c>
      <c r="G37">
        <f>G36</f>
        <v>16.66925796762668</v>
      </c>
      <c r="I37">
        <f>I36</f>
        <v>30.38369712957814</v>
      </c>
      <c r="K37">
        <f>K36</f>
        <v>166.09077944776902</v>
      </c>
      <c r="M37">
        <f>M36</f>
        <v>92.38640391935357</v>
      </c>
      <c r="O37">
        <f>O36</f>
        <v>190.43233050843347</v>
      </c>
      <c r="Q37">
        <f>Q36</f>
        <v>677.7706770731708</v>
      </c>
      <c r="T37">
        <f>((G37/100)*$G$64+(I37/100)*$G$65+(K37/100)*$G$66+(M37/100)*$G$67+(O37/100)*$G$68+(Q37)*$G$69+(S37*$G$70)+(E37*(VLOOKUP(D37,Fertilizantes!$A$49:$E$123,3,FALSE))))</f>
        <v>4823.696216317033</v>
      </c>
    </row>
    <row r="38">
      <c r="A38">
        <v>12</v>
      </c>
      <c r="B38">
        <f>B37+3</f>
        <v>80</v>
      </c>
      <c r="C38">
        <f>$J$11+B38</f>
        <v>40021</v>
      </c>
      <c r="E38">
        <f>VLOOKUP(D38,Fertilizantes!$A$49:$E$124,2,FALSE)*$C$12</f>
        <v>0</v>
      </c>
      <c r="F38">
        <f>VLOOKUP(D38,Fertilizantes!$A$49:$E$124,4,FALSE)</f>
        <v>0</v>
      </c>
      <c r="G38">
        <f>IF(((SUM(ReDiarioFert!C84:C90)/2)*$C$12)&lt;=0,"0",(((SUM(ReDiarioFert!C84:C90)/2)*$C$12)))</f>
        <v>11.098007640761947</v>
      </c>
      <c r="I38">
        <f>IF(((SUM(ReDiarioFert!E84:E90)/2)*$C$12)&lt;=0,"0",(((SUM(ReDiarioFert!E84:E90)/2)*$C$12)))</f>
        <v>34.1041498393224</v>
      </c>
      <c r="K38">
        <f>IF(((SUM(ReDiarioFert!G84:G90)/2)*$C$12)&lt;=0,"0",(((SUM(ReDiarioFert!G84:G90)/2)*$C$12)))</f>
        <v>174.08056912965878</v>
      </c>
      <c r="M38">
        <f>IF(((SUM(ReDiarioFert!I84:I90)/2)*$C$12)&lt;=0,"0",(((SUM(ReDiarioFert!I84:I90)/2)*$C$12)))</f>
        <v>96.83064783967235</v>
      </c>
      <c r="O38">
        <f>IF(((SUM(ReDiarioFert!K84:K90)/2)*$C$12)&lt;=0,"0",(((SUM(ReDiarioFert!K84:K90)/2)*$C$12)))</f>
        <v>199.59306943959717</v>
      </c>
      <c r="Q38">
        <f>IF(((SUM(ReDiarioFert!M84:M90)/2)*$C$12)&lt;=0,"0",(((SUM(ReDiarioFert!M84:M90)/2)*$C$12)))</f>
        <v>757.9006126829267</v>
      </c>
      <c r="S38">
        <f>$C$12*Main!$D$63</f>
        <v>26.879999999999995</v>
      </c>
      <c r="T38">
        <f>((G38/100)*$G$64+(I38/100)*$G$65+(K38/100)*$G$66+(M38/100)*$G$67+(O38/100)*$G$68+(Q38)*$G$69+(S38*$G$70)+(E38*(VLOOKUP(D38,Fertilizantes!$A$49:$E$123,3,FALSE))))</f>
        <v>5158.898116116021</v>
      </c>
    </row>
    <row r="39">
      <c r="B39">
        <f>B38+4</f>
        <v>84</v>
      </c>
      <c r="C39">
        <f>$J$11+B39</f>
        <v>40025</v>
      </c>
      <c r="E39">
        <f>VLOOKUP(D39,Fertilizantes!$A$49:$E$124,2,FALSE)*$C$12</f>
        <v>0</v>
      </c>
      <c r="F39">
        <f>VLOOKUP(D39,Fertilizantes!$A$49:$E$124,4,FALSE)</f>
        <v>0</v>
      </c>
      <c r="G39">
        <f>G38</f>
        <v>11.098007640761947</v>
      </c>
      <c r="I39">
        <f>I38</f>
        <v>34.1041498393224</v>
      </c>
      <c r="K39">
        <f>K38</f>
        <v>174.08056912965878</v>
      </c>
      <c r="M39">
        <f>M38</f>
        <v>96.83064783967235</v>
      </c>
      <c r="O39">
        <f>O38</f>
        <v>199.59306943959717</v>
      </c>
      <c r="Q39">
        <f>Q38</f>
        <v>757.9006126829267</v>
      </c>
      <c r="T39">
        <f>((G39/100)*$G$64+(I39/100)*$G$65+(K39/100)*$G$66+(M39/100)*$G$67+(O39/100)*$G$68+(Q39)*$G$69+(S39*$G$70)+(E39*(VLOOKUP(D39,Fertilizantes!$A$49:$E$123,3,FALSE))))</f>
        <v>5083.634116116021</v>
      </c>
    </row>
    <row r="40" ht="18" customHeight="1">
      <c r="A40">
        <v>13</v>
      </c>
      <c r="B40">
        <f>B39+3</f>
        <v>87</v>
      </c>
      <c r="C40">
        <f>$J$11+B40</f>
        <v>40028</v>
      </c>
      <c r="E40">
        <f>VLOOKUP(D40,Fertilizantes!$A$49:$E$124,2,FALSE)*$C$12</f>
        <v>0</v>
      </c>
      <c r="F40">
        <f>VLOOKUP(D40,Fertilizantes!$A$49:$E$124,4,FALSE)</f>
        <v>0</v>
      </c>
      <c r="G40">
        <f>IF(((SUM(ReDiarioFert!C91:C97)/2)*$C$12)&lt;=0,"0",(((SUM(ReDiarioFert!C91:C97)/2)*$C$12)))</f>
        <v>6.919569895613395</v>
      </c>
      <c r="I40">
        <f>IF(((SUM(ReDiarioFert!E91:E97)/2)*$C$12)&lt;=0,"0",(((SUM(ReDiarioFert!E91:E97)/2)*$C$12)))</f>
        <v>36.8944893716306</v>
      </c>
      <c r="K40">
        <f>IF(((SUM(ReDiarioFert!G91:G97)/2)*$C$12)&lt;=0,"0",(((SUM(ReDiarioFert!G91:G97)/2)*$C$12)))</f>
        <v>180.07291139107616</v>
      </c>
      <c r="M40">
        <f>IF(((SUM(ReDiarioFert!I91:I97)/2)*$C$12)&lt;=0,"0",(((SUM(ReDiarioFert!I91:I97)/2)*$C$12)))</f>
        <v>100.16383077991142</v>
      </c>
      <c r="O40">
        <f>IF(((SUM(ReDiarioFert!K91:K97)/2)*$C$12)&lt;=0,"0",(((SUM(ReDiarioFert!K91:K97)/2)*$C$12)))</f>
        <v>206.46362363797</v>
      </c>
      <c r="Q40">
        <f>IF(((SUM(ReDiarioFert!M91:M97)/2)*$C$12)&lt;=0,"0",(((SUM(ReDiarioFert!M91:M97)/2)*$C$12)))</f>
        <v>817.9980643902439</v>
      </c>
      <c r="S40">
        <f>$C$12*Main!$D$63</f>
        <v>26.879999999999995</v>
      </c>
      <c r="T40">
        <f>((G40/100)*$G$64+(I40/100)*$G$65+(K40/100)*$G$66+(M40/100)*$G$67+(O40/100)*$G$68+(Q40)*$G$69+(S40*$G$70)+(E40*(VLOOKUP(D40,Fertilizantes!$A$49:$E$123,3,FALSE))))</f>
        <v>5353.851540965263</v>
      </c>
    </row>
    <row r="41" ht="18" customHeight="1">
      <c r="B41">
        <f>B40+4</f>
        <v>91</v>
      </c>
      <c r="C41">
        <f>$J$11+B41</f>
        <v>40032</v>
      </c>
      <c r="E41">
        <f>VLOOKUP(D41,Fertilizantes!$A$49:$E$124,2,FALSE)*$C$12</f>
        <v>0</v>
      </c>
      <c r="F41">
        <f>VLOOKUP(D41,Fertilizantes!$A$49:$E$124,4,FALSE)</f>
        <v>0</v>
      </c>
      <c r="G41">
        <f>G40</f>
        <v>6.919569895613395</v>
      </c>
      <c r="I41">
        <f>I40</f>
        <v>36.8944893716306</v>
      </c>
      <c r="K41">
        <f>K40</f>
        <v>180.07291139107616</v>
      </c>
      <c r="M41">
        <f>M40</f>
        <v>100.16383077991142</v>
      </c>
      <c r="O41">
        <f>O40</f>
        <v>206.46362363797</v>
      </c>
      <c r="Q41">
        <f>Q40</f>
        <v>817.9980643902439</v>
      </c>
      <c r="T41">
        <f>((G41/100)*$G$64+(I41/100)*$G$65+(K41/100)*$G$66+(M41/100)*$G$67+(O41/100)*$G$68+(Q41)*$G$69+(S41*$G$70)+(E41*(VLOOKUP(D41,Fertilizantes!$A$49:$E$123,3,FALSE))))</f>
        <v>5278.587540965263</v>
      </c>
    </row>
    <row r="42">
      <c r="A42">
        <v>14</v>
      </c>
      <c r="B42">
        <f>B41+3</f>
        <v>94</v>
      </c>
      <c r="C42">
        <f>$J$11+B42</f>
        <v>40035</v>
      </c>
      <c r="E42">
        <f>VLOOKUP(D42,Fertilizantes!$A$49:$E$124,2,FALSE)*$C$12</f>
        <v>0</v>
      </c>
      <c r="F42">
        <f>VLOOKUP(D42,Fertilizantes!$A$49:$E$124,4,FALSE)</f>
        <v>0</v>
      </c>
      <c r="G42">
        <f>IF(((SUM(ReDiarioFert!C98:C104)/2)*$C$12)&lt;=0,"0",(((SUM(ReDiarioFert!C98:C104)/2)*$C$12)))</f>
        <v>6.919569895613395</v>
      </c>
      <c r="I42">
        <f>IF(((SUM(ReDiarioFert!E98:E104)/2)*$C$12)&lt;=0,"0",(((SUM(ReDiarioFert!E98:E104)/2)*$C$12)))</f>
        <v>36.8944893716306</v>
      </c>
      <c r="K42">
        <f>IF(((SUM(ReDiarioFert!G98:G104)/2)*$C$12)&lt;=0,"0",(((SUM(ReDiarioFert!G98:G104)/2)*$C$12)))</f>
        <v>180.07291139107616</v>
      </c>
      <c r="M42">
        <f>IF(((SUM(ReDiarioFert!I98:I104)/2)*$C$12)&lt;=0,"0",(((SUM(ReDiarioFert!I98:I104)/2)*$C$12)))</f>
        <v>100.16383077991142</v>
      </c>
      <c r="O42">
        <f>IF(((SUM(ReDiarioFert!K98:K104)/2)*$C$12)&lt;=0,"0",(((SUM(ReDiarioFert!K98:K104)/2)*$C$12)))</f>
        <v>206.46362363797</v>
      </c>
      <c r="Q42">
        <f>IF(((SUM(ReDiarioFert!M98:M104)/2)*$C$12)&lt;=0,"0",(((SUM(ReDiarioFert!M98:M104)/2)*$C$12)))</f>
        <v>817.9980643902439</v>
      </c>
      <c r="S42">
        <f>$C$12*Main!$D$63</f>
        <v>26.879999999999995</v>
      </c>
      <c r="T42">
        <f>((G42/100)*$G$64+(I42/100)*$G$65+(K42/100)*$G$66+(M42/100)*$G$67+(O42/100)*$G$68+(Q42)*$G$69+(S42*$G$70)+(E42*(VLOOKUP(D42,Fertilizantes!$A$49:$E$123,3,FALSE))))</f>
        <v>5353.851540965263</v>
      </c>
    </row>
    <row r="43">
      <c r="B43">
        <f>B42+4</f>
        <v>98</v>
      </c>
      <c r="C43">
        <f>$J$11+B43</f>
        <v>40039</v>
      </c>
      <c r="E43">
        <f>VLOOKUP(D43,Fertilizantes!$A$49:$E$124,2,FALSE)*$C$12</f>
        <v>0</v>
      </c>
      <c r="F43">
        <f>VLOOKUP(D43,Fertilizantes!$A$49:$E$124,4,FALSE)</f>
        <v>0</v>
      </c>
      <c r="G43">
        <f>G42</f>
        <v>6.919569895613395</v>
      </c>
      <c r="I43">
        <f>I42</f>
        <v>36.8944893716306</v>
      </c>
      <c r="K43">
        <f>K42</f>
        <v>180.07291139107616</v>
      </c>
      <c r="M43">
        <f>M42</f>
        <v>100.16383077991142</v>
      </c>
      <c r="O43">
        <f>O42</f>
        <v>206.46362363797</v>
      </c>
      <c r="Q43">
        <f>Q42</f>
        <v>817.9980643902439</v>
      </c>
      <c r="T43">
        <f>((G43/100)*$G$64+(I43/100)*$G$65+(K43/100)*$G$66+(M43/100)*$G$67+(O43/100)*$G$68+(Q43)*$G$69+(S43*$G$70)+(E43*(VLOOKUP(D43,Fertilizantes!$A$49:$E$123,3,FALSE))))</f>
        <v>5278.587540965263</v>
      </c>
    </row>
    <row r="44">
      <c r="A44">
        <v>15</v>
      </c>
      <c r="B44">
        <f>B43+3</f>
        <v>101</v>
      </c>
      <c r="C44">
        <f>$J$11+B44</f>
        <v>40042</v>
      </c>
      <c r="E44">
        <f>VLOOKUP(D44,Fertilizantes!$A$49:$E$124,2,FALSE)*$C$12</f>
        <v>0</v>
      </c>
      <c r="F44">
        <f>VLOOKUP(D44,Fertilizantes!$A$49:$E$124,4,FALSE)</f>
        <v>0</v>
      </c>
      <c r="G44">
        <f>IF(((SUM(ReDiarioFert!C105:C111)/2)*$C$12)&lt;=0,"0",(((SUM(ReDiarioFert!C105:C111)/2)*$C$12)))</f>
        <v>6.919569895613395</v>
      </c>
      <c r="I44">
        <f>IF(((SUM(ReDiarioFert!E105:E111)/2)*$C$12)&lt;=0,"0",(((SUM(ReDiarioFert!E105:E111)/2)*$C$12)))</f>
        <v>36.8944893716306</v>
      </c>
      <c r="K44">
        <f>IF(((SUM(ReDiarioFert!G105:G111)/2)*$C$12)&lt;=0,"0",(((SUM(ReDiarioFert!G105:G111)/2)*$C$12)))</f>
        <v>180.07291139107616</v>
      </c>
      <c r="M44">
        <f>IF(((SUM(ReDiarioFert!I105:I111)/2)*$C$12)&lt;=0,"0",(((SUM(ReDiarioFert!I105:I111)/2)*$C$12)))</f>
        <v>100.16383077991142</v>
      </c>
      <c r="O44">
        <f>IF(((SUM(ReDiarioFert!K105:K111)/2)*$C$12)&lt;=0,"0",(((SUM(ReDiarioFert!K105:K111)/2)*$C$12)))</f>
        <v>206.46362363797</v>
      </c>
      <c r="Q44">
        <f>IF(((SUM(ReDiarioFert!M105:M111)/2)*$C$12)&lt;=0,"0",(((SUM(ReDiarioFert!M105:M111)/2)*$C$12)))</f>
        <v>817.9980643902439</v>
      </c>
      <c r="S44">
        <f>$C$12*Main!$D$63</f>
        <v>26.879999999999995</v>
      </c>
      <c r="T44">
        <f>((G44/100)*$G$64+(I44/100)*$G$65+(K44/100)*$G$66+(M44/100)*$G$67+(O44/100)*$G$68+(Q44)*$G$69+(S44*$G$70)+(E44*(VLOOKUP(D44,Fertilizantes!$A$49:$E$123,3,FALSE))))</f>
        <v>5353.851540965263</v>
      </c>
    </row>
    <row r="45">
      <c r="B45">
        <f>B44+4</f>
        <v>105</v>
      </c>
      <c r="C45">
        <f>$J$11+B45</f>
        <v>40046</v>
      </c>
      <c r="E45">
        <f>VLOOKUP(D45,Fertilizantes!$A$49:$E$124,2,FALSE)*$C$12</f>
        <v>0</v>
      </c>
      <c r="F45">
        <f>VLOOKUP(D45,Fertilizantes!$A$49:$E$124,4,FALSE)</f>
        <v>0</v>
      </c>
      <c r="G45">
        <f>G44</f>
        <v>6.919569895613395</v>
      </c>
      <c r="I45">
        <f>I44</f>
        <v>36.8944893716306</v>
      </c>
      <c r="K45">
        <f>K44</f>
        <v>180.07291139107616</v>
      </c>
      <c r="M45">
        <f>M44</f>
        <v>100.16383077991142</v>
      </c>
      <c r="O45">
        <f>O44</f>
        <v>206.46362363797</v>
      </c>
      <c r="Q45">
        <f>Q44</f>
        <v>817.9980643902439</v>
      </c>
      <c r="T45">
        <f>((G45/100)*$G$64+(I45/100)*$G$65+(K45/100)*$G$66+(M45/100)*$G$67+(O45/100)*$G$68+(Q45)*$G$69+(S45*$G$70)+(E45*(VLOOKUP(D45,Fertilizantes!$A$49:$E$123,3,FALSE))))</f>
        <v>5278.587540965263</v>
      </c>
    </row>
    <row r="46">
      <c r="A46">
        <v>16</v>
      </c>
      <c r="B46">
        <f>B45+3</f>
        <v>108</v>
      </c>
      <c r="C46">
        <f>$J$11+B46</f>
        <v>40049</v>
      </c>
      <c r="E46">
        <f>VLOOKUP(D46,Fertilizantes!$A$49:$E$124,2,FALSE)*$C$12</f>
        <v>0</v>
      </c>
      <c r="F46">
        <f>VLOOKUP(D46,Fertilizantes!$A$49:$E$124,4,FALSE)</f>
        <v>0</v>
      </c>
      <c r="G46">
        <f>IF(((SUM(ReDiarioFert!C112:C118)/2)*$C$12)&lt;=0,"0",(((SUM(ReDiarioFert!C112:C118)/2)*$C$12)))</f>
        <v>6.919569895613395</v>
      </c>
      <c r="I46">
        <f>IF(((SUM(ReDiarioFert!E112:E118)/2)*$C$12)&lt;=0,"0",(((SUM(ReDiarioFert!E112:E118)/2)*$C$12)))</f>
        <v>36.8944893716306</v>
      </c>
      <c r="K46">
        <f>IF(((SUM(ReDiarioFert!G112:G118)/2)*$C$12)&lt;=0,"0",(((SUM(ReDiarioFert!G112:G118)/2)*$C$12)))</f>
        <v>180.07291139107616</v>
      </c>
      <c r="M46">
        <f>IF(((SUM(ReDiarioFert!I112:I118)/2)*$C$12)&lt;=0,"0",(((SUM(ReDiarioFert!I112:I118)/2)*$C$12)))</f>
        <v>100.16383077991142</v>
      </c>
      <c r="O46">
        <f>IF(((SUM(ReDiarioFert!K112:K118)/2)*$C$12)&lt;=0,"0",(((SUM(ReDiarioFert!K112:K118)/2)*$C$12)))</f>
        <v>206.46362363797</v>
      </c>
      <c r="Q46">
        <f>IF(((SUM(ReDiarioFert!M112:M118)/2)*$C$12)&lt;=0,"0",(((SUM(ReDiarioFert!M112:M118)/2)*$C$12)))</f>
        <v>817.9980643902439</v>
      </c>
      <c r="S46">
        <f>$C$12*Main!$D$63</f>
        <v>26.879999999999995</v>
      </c>
      <c r="T46">
        <f>((G46/100)*$G$64+(I46/100)*$G$65+(K46/100)*$G$66+(M46/100)*$G$67+(O46/100)*$G$68+(Q46)*$G$69+(S46*$G$70)+(E46*(VLOOKUP(D46,Fertilizantes!$A$49:$E$123,3,FALSE))))</f>
        <v>5353.851540965263</v>
      </c>
    </row>
    <row r="47">
      <c r="B47">
        <f>B46+4</f>
        <v>112</v>
      </c>
      <c r="C47">
        <f>$J$11+B47</f>
        <v>40053</v>
      </c>
      <c r="E47">
        <f>VLOOKUP(D47,Fertilizantes!$A$49:$E$124,2,FALSE)*$C$12</f>
        <v>0</v>
      </c>
      <c r="F47">
        <f>VLOOKUP(D47,Fertilizantes!$A$49:$E$124,4,FALSE)</f>
        <v>0</v>
      </c>
      <c r="G47">
        <f>G46</f>
        <v>6.919569895613395</v>
      </c>
      <c r="I47">
        <f>I46</f>
        <v>36.8944893716306</v>
      </c>
      <c r="K47">
        <f>K46</f>
        <v>180.07291139107616</v>
      </c>
      <c r="M47">
        <f>M46</f>
        <v>100.16383077991142</v>
      </c>
      <c r="O47">
        <f>O46</f>
        <v>206.46362363797</v>
      </c>
      <c r="Q47">
        <f>Q46</f>
        <v>817.9980643902439</v>
      </c>
      <c r="T47">
        <f>((G47/100)*$G$64+(I47/100)*$G$65+(K47/100)*$G$66+(M47/100)*$G$67+(O47/100)*$G$68+(Q47)*$G$69+(S47*$G$70)+(E47*(VLOOKUP(D47,Fertilizantes!$A$49:$E$123,3,FALSE))))</f>
        <v>5278.587540965263</v>
      </c>
    </row>
    <row r="48">
      <c r="A48">
        <v>17</v>
      </c>
      <c r="B48">
        <f>B47+3</f>
        <v>115</v>
      </c>
      <c r="C48">
        <f>$J$11+B48</f>
        <v>40056</v>
      </c>
      <c r="E48">
        <f>VLOOKUP(D48,Fertilizantes!$A$49:$E$124,2,FALSE)*$C$12</f>
        <v>0</v>
      </c>
      <c r="F48">
        <f>VLOOKUP(D48,Fertilizantes!$A$49:$E$124,4,FALSE)</f>
        <v>0</v>
      </c>
      <c r="G48">
        <f>IF(((SUM(ReDiarioFert!C119:C125)/2)*$C$12)&lt;=0,"0",(((SUM(ReDiarioFert!C119:C125)/2)*$C$12)))</f>
        <v>6.919569895613395</v>
      </c>
      <c r="I48">
        <f>IF(((SUM(ReDiarioFert!E119:E125)/2)*$C$12)&lt;=0,"0",(((SUM(ReDiarioFert!E119:E125)/2)*$C$12)))</f>
        <v>36.8944893716306</v>
      </c>
      <c r="K48">
        <f>IF(((SUM(ReDiarioFert!G119:G125)/2)*$C$12)&lt;=0,"0",(((SUM(ReDiarioFert!G119:G125)/2)*$C$12)))</f>
        <v>180.07291139107616</v>
      </c>
      <c r="M48">
        <f>IF(((SUM(ReDiarioFert!I119:I125)/2)*$C$12)&lt;=0,"0",(((SUM(ReDiarioFert!I119:I125)/2)*$C$12)))</f>
        <v>100.16383077991142</v>
      </c>
      <c r="O48">
        <f>IF(((SUM(ReDiarioFert!K119:K125)/2)*$C$12)&lt;=0,"0",(((SUM(ReDiarioFert!K119:K125)/2)*$C$12)))</f>
        <v>206.46362363797</v>
      </c>
      <c r="Q48">
        <f>IF(((SUM(ReDiarioFert!M119:M125)/2)*$C$12)&lt;=0,"0",(((SUM(ReDiarioFert!M119:M125)/2)*$C$12)))</f>
        <v>817.9980643902439</v>
      </c>
      <c r="S48">
        <f>$C$12*Main!$D$63</f>
        <v>26.879999999999995</v>
      </c>
      <c r="T48">
        <f>((G48/100)*$G$64+(I48/100)*$G$65+(K48/100)*$G$66+(M48/100)*$G$67+(O48/100)*$G$68+(Q48)*$G$69+(S48*$G$70)+(E48*(VLOOKUP(D48,Fertilizantes!$A$49:$E$123,3,FALSE))))</f>
        <v>5353.851540965263</v>
      </c>
    </row>
    <row r="49">
      <c r="B49">
        <f>B48+4</f>
        <v>119</v>
      </c>
      <c r="C49">
        <f>$J$11+B49</f>
        <v>40060</v>
      </c>
      <c r="E49">
        <f>VLOOKUP(D49,Fertilizantes!$A$49:$E$124,2,FALSE)*$C$12</f>
        <v>0</v>
      </c>
      <c r="F49">
        <f>VLOOKUP(D49,Fertilizantes!$A$49:$E$124,4,FALSE)</f>
        <v>0</v>
      </c>
      <c r="G49">
        <f>G48</f>
        <v>6.919569895613395</v>
      </c>
      <c r="I49">
        <f>I48</f>
        <v>36.8944893716306</v>
      </c>
      <c r="K49">
        <f>K48</f>
        <v>180.07291139107616</v>
      </c>
      <c r="M49">
        <f>M48</f>
        <v>100.16383077991142</v>
      </c>
      <c r="O49">
        <f>O48</f>
        <v>206.46362363797</v>
      </c>
      <c r="Q49">
        <f>Q48</f>
        <v>817.9980643902439</v>
      </c>
      <c r="T49">
        <f>((G49/100)*$G$64+(I49/100)*$G$65+(K49/100)*$G$66+(M49/100)*$G$67+(O49/100)*$G$68+(Q49)*$G$69+(S49*$G$70)+(E49*(VLOOKUP(D49,Fertilizantes!$A$49:$E$123,3,FALSE))))</f>
        <v>5278.587540965263</v>
      </c>
    </row>
    <row r="50">
      <c r="A50">
        <v>18</v>
      </c>
      <c r="B50">
        <f>B49+3</f>
        <v>122</v>
      </c>
      <c r="C50">
        <f>$J$11+B50</f>
        <v>40063</v>
      </c>
      <c r="E50">
        <f>VLOOKUP(D50,Fertilizantes!$A$49:$E$124,2,FALSE)*$C$12</f>
        <v>0</v>
      </c>
      <c r="F50">
        <f>VLOOKUP(D50,Fertilizantes!$A$49:$E$124,4,FALSE)</f>
        <v>0</v>
      </c>
      <c r="G50">
        <f>IF(((SUM(ReDiarioFert!C126:C132)/2)*$C$12)&lt;=0,"0",(((SUM(ReDiarioFert!C126:C132)/2)*$C$12)))</f>
        <v>6.919569895613395</v>
      </c>
      <c r="I50">
        <f>IF(((SUM(ReDiarioFert!E126:E132)/2)*$C$12)&lt;=0,"0",(((SUM(ReDiarioFert!E126:E132)/2)*$C$12)))</f>
        <v>36.8944893716306</v>
      </c>
      <c r="K50">
        <f>IF(((SUM(ReDiarioFert!G126:G132)/2)*$C$12)&lt;=0,"0",(((SUM(ReDiarioFert!G126:G132)/2)*$C$12)))</f>
        <v>180.07291139107616</v>
      </c>
      <c r="M50">
        <f>IF(((SUM(ReDiarioFert!I126:I132)/2)*$C$12)&lt;=0,"0",(((SUM(ReDiarioFert!I126:I132)/2)*$C$12)))</f>
        <v>100.16383077991142</v>
      </c>
      <c r="O50">
        <f>IF(((SUM(ReDiarioFert!K126:K132)/2)*$C$12)&lt;=0,"0",(((SUM(ReDiarioFert!K126:K132)/2)*$C$12)))</f>
        <v>206.46362363797</v>
      </c>
      <c r="Q50">
        <f>IF(((SUM(ReDiarioFert!M126:M132)/2)*$C$12)&lt;=0,"0",(((SUM(ReDiarioFert!M126:M132)/2)*$C$12)))</f>
        <v>817.9980643902439</v>
      </c>
      <c r="S50">
        <f>$C$12*Main!$D$63</f>
        <v>26.879999999999995</v>
      </c>
      <c r="T50">
        <f>((G50/100)*$G$64+(I50/100)*$G$65+(K50/100)*$G$66+(M50/100)*$G$67+(O50/100)*$G$68+(Q50)*$G$69+(S50*$G$70)+(E50*(VLOOKUP(D50,Fertilizantes!$A$49:$E$123,3,FALSE))))</f>
        <v>5353.851540965263</v>
      </c>
    </row>
    <row r="51">
      <c r="B51">
        <f>B50+4</f>
        <v>126</v>
      </c>
      <c r="C51">
        <f>$J$11+B51</f>
        <v>40067</v>
      </c>
      <c r="E51">
        <f>VLOOKUP(D51,Fertilizantes!$A$49:$E$124,2,FALSE)*$C$12</f>
        <v>0</v>
      </c>
      <c r="F51">
        <f>VLOOKUP(D51,Fertilizantes!$A$49:$E$124,4,FALSE)</f>
        <v>0</v>
      </c>
      <c r="G51">
        <f>G50</f>
        <v>6.919569895613395</v>
      </c>
      <c r="I51">
        <f>I50</f>
        <v>36.8944893716306</v>
      </c>
      <c r="K51">
        <f>K50</f>
        <v>180.07291139107616</v>
      </c>
      <c r="M51">
        <f>M50</f>
        <v>100.16383077991142</v>
      </c>
      <c r="O51">
        <f>O50</f>
        <v>206.46362363797</v>
      </c>
      <c r="Q51">
        <f>Q50</f>
        <v>817.9980643902439</v>
      </c>
      <c r="T51">
        <f>((G51/100)*$G$64+(I51/100)*$G$65+(K51/100)*$G$66+(M51/100)*$G$67+(O51/100)*$G$68+(Q51)*$G$69+(S51*$G$70)+(E51*(VLOOKUP(D51,Fertilizantes!$A$49:$E$123,3,FALSE))))</f>
        <v>5278.587540965263</v>
      </c>
    </row>
    <row r="52">
      <c r="A52">
        <v>19</v>
      </c>
      <c r="B52">
        <f>B51+3</f>
        <v>129</v>
      </c>
      <c r="C52">
        <f>$J$11+B52</f>
        <v>40070</v>
      </c>
      <c r="E52">
        <f>VLOOKUP(D52,Fertilizantes!$A$49:$E$124,2,FALSE)*$C$12</f>
        <v>0</v>
      </c>
      <c r="F52">
        <f>VLOOKUP(D52,Fertilizantes!$A$49:$E$124,4,FALSE)</f>
        <v>0</v>
      </c>
      <c r="G52">
        <f>IF(((SUM(ReDiarioFert!C133:C139)/2)*$C$12)&lt;=0,"0",(((SUM(ReDiarioFert!C133:C139)/2)*$C$12)))</f>
        <v>6.919569895613395</v>
      </c>
      <c r="I52">
        <f>IF(((SUM(ReDiarioFert!E133:E139)/2)*$C$12)&lt;=0,"0",(((SUM(ReDiarioFert!E133:E139)/2)*$C$12)))</f>
        <v>36.8944893716306</v>
      </c>
      <c r="K52">
        <f>IF(((SUM(ReDiarioFert!G133:G139)/2)*$C$12)&lt;=0,"0",(((SUM(ReDiarioFert!G133:G139)/2)*$C$12)))</f>
        <v>180.07291139107616</v>
      </c>
      <c r="M52">
        <f>IF(((SUM(ReDiarioFert!I133:I139)/2)*$C$12)&lt;=0,"0",(((SUM(ReDiarioFert!I133:I139)/2)*$C$12)))</f>
        <v>100.16383077991142</v>
      </c>
      <c r="O52">
        <f>IF(((SUM(ReDiarioFert!K133:K139)/2)*$C$12)&lt;=0,"0",(((SUM(ReDiarioFert!K133:K139)/2)*$C$12)))</f>
        <v>206.46362363797</v>
      </c>
      <c r="Q52">
        <f>IF(((SUM(ReDiarioFert!M133:M139)/2)*$C$12)&lt;=0,"0",(((SUM(ReDiarioFert!M133:M139)/2)*$C$12)))</f>
        <v>817.9980643902439</v>
      </c>
      <c r="S52">
        <f>$C$12*Main!$D$63</f>
        <v>26.879999999999995</v>
      </c>
      <c r="T52">
        <f>((G52/100)*$G$64+(I52/100)*$G$65+(K52/100)*$G$66+(M52/100)*$G$67+(O52/100)*$G$68+(Q52)*$G$69+(S52*$G$70)+(E52*(VLOOKUP(D52,Fertilizantes!$A$49:$E$123,3,FALSE))))</f>
        <v>5353.851540965263</v>
      </c>
    </row>
    <row r="53">
      <c r="B53">
        <f>B52+4</f>
        <v>133</v>
      </c>
      <c r="C53">
        <f>$J$11+B53</f>
        <v>40074</v>
      </c>
      <c r="E53">
        <f>VLOOKUP(D53,Fertilizantes!$A$49:$E$124,2,FALSE)*$C$12</f>
        <v>0</v>
      </c>
      <c r="F53">
        <f>VLOOKUP(D53,Fertilizantes!$A$49:$E$124,4,FALSE)</f>
        <v>0</v>
      </c>
      <c r="G53">
        <f>G52</f>
        <v>6.919569895613395</v>
      </c>
      <c r="I53">
        <f>I52</f>
        <v>36.8944893716306</v>
      </c>
      <c r="K53">
        <f>K52</f>
        <v>180.07291139107616</v>
      </c>
      <c r="M53">
        <f>M52</f>
        <v>100.16383077991142</v>
      </c>
      <c r="O53">
        <f>O52</f>
        <v>206.46362363797</v>
      </c>
      <c r="Q53">
        <f>Q52</f>
        <v>817.9980643902439</v>
      </c>
      <c r="T53">
        <f>((G53/100)*$G$64+(I53/100)*$G$65+(K53/100)*$G$66+(M53/100)*$G$67+(O53/100)*$G$68+(Q53)*$G$69+(S53*$G$70)+(E53*(VLOOKUP(D53,Fertilizantes!$A$49:$E$123,3,FALSE))))</f>
        <v>5278.587540965263</v>
      </c>
    </row>
    <row r="54">
      <c r="A54">
        <v>20</v>
      </c>
      <c r="B54">
        <f>B53+3</f>
        <v>136</v>
      </c>
      <c r="C54">
        <f>$J$11+B54</f>
        <v>40077</v>
      </c>
      <c r="E54">
        <f>VLOOKUP(D54,Fertilizantes!$A$49:$E$124,2,FALSE)*$C$12</f>
        <v>0</v>
      </c>
      <c r="F54">
        <f>VLOOKUP(D54,Fertilizantes!$A$49:$E$124,4,FALSE)</f>
        <v>0</v>
      </c>
      <c r="G54">
        <f>IF(((SUM(ReDiarioFert!C140:C146)/2)*$C$12)&lt;=0,"0",(((SUM(ReDiarioFert!C140:C146)/2)*$C$12)))</f>
        <v>6.919569895613395</v>
      </c>
      <c r="I54">
        <f>IF(((SUM(ReDiarioFert!E140:E146)/2)*$C$12)&lt;=0,"0",(((SUM(ReDiarioFert!E140:E146)/2)*$C$12)))</f>
        <v>36.8944893716306</v>
      </c>
      <c r="K54">
        <f>IF(((SUM(ReDiarioFert!G140:G146)/2)*$C$12)&lt;=0,"0",(((SUM(ReDiarioFert!G140:G146)/2)*$C$12)))</f>
        <v>180.07291139107616</v>
      </c>
      <c r="M54">
        <f>IF(((SUM(ReDiarioFert!I140:I146)/2)*$C$12)&lt;=0,"0",(((SUM(ReDiarioFert!I140:I146)/2)*$C$12)))</f>
        <v>100.16383077991142</v>
      </c>
      <c r="O54">
        <f>IF(((SUM(ReDiarioFert!K140:K146)/2)*$C$12)&lt;=0,"0",(((SUM(ReDiarioFert!K140:K146)/2)*$C$12)))</f>
        <v>206.46362363797</v>
      </c>
      <c r="Q54">
        <f>IF(((SUM(ReDiarioFert!M140:M146)/2)*$C$12)&lt;=0,"0",(((SUM(ReDiarioFert!M140:M146)/2)*$C$12)))</f>
        <v>817.9980643902439</v>
      </c>
      <c r="S54">
        <f>$C$12*Main!$D$63</f>
        <v>26.879999999999995</v>
      </c>
      <c r="T54">
        <f>((G54/100)*$G$64+(I54/100)*$G$65+(K54/100)*$G$66+(M54/100)*$G$67+(O54/100)*$G$68+(Q54)*$G$69+(S54*$G$70)+(E54*(VLOOKUP(D54,Fertilizantes!$A$49:$E$123,3,FALSE))))</f>
        <v>5353.851540965263</v>
      </c>
    </row>
    <row r="55">
      <c r="B55">
        <f>B54+4</f>
        <v>140</v>
      </c>
      <c r="C55">
        <f>$J$11+B55</f>
        <v>40081</v>
      </c>
      <c r="E55">
        <f>VLOOKUP(D55,Fertilizantes!$A$49:$E$124,2,FALSE)*$C$12</f>
        <v>0</v>
      </c>
      <c r="F55">
        <f>VLOOKUP(D55,Fertilizantes!$A$49:$E$124,4,FALSE)</f>
        <v>0</v>
      </c>
      <c r="G55">
        <f>G54</f>
        <v>6.919569895613395</v>
      </c>
      <c r="I55">
        <f>I54</f>
        <v>36.8944893716306</v>
      </c>
      <c r="K55">
        <f>K54</f>
        <v>180.07291139107616</v>
      </c>
      <c r="M55">
        <f>M54</f>
        <v>100.16383077991142</v>
      </c>
      <c r="O55">
        <f>O54</f>
        <v>206.46362363797</v>
      </c>
      <c r="Q55">
        <f>Q54</f>
        <v>817.9980643902439</v>
      </c>
      <c r="T55">
        <f>((G55/100)*$G$64+(I55/100)*$G$65+(K55/100)*$G$66+(M55/100)*$G$67+(O55/100)*$G$68+(Q55)*$G$69+(S55*$G$70)+(E55*(VLOOKUP(D55,Fertilizantes!$A$49:$E$123,3,FALSE))))</f>
        <v>5278.587540965263</v>
      </c>
    </row>
    <row r="56">
      <c r="A56">
        <v>21</v>
      </c>
      <c r="B56">
        <f>B55+3</f>
        <v>143</v>
      </c>
      <c r="C56">
        <f>$J$11+B56</f>
        <v>40084</v>
      </c>
      <c r="E56">
        <f>VLOOKUP(D56,Fertilizantes!$A$49:$E$124,2,FALSE)*$C$12</f>
        <v>0</v>
      </c>
      <c r="F56">
        <f>VLOOKUP(D56,Fertilizantes!$A$49:$E$124,4,FALSE)</f>
        <v>0</v>
      </c>
      <c r="G56">
        <f>IF(((SUM(ReDiarioFert!C147:C153)/2)*$C$12)&lt;=0,"0",(((SUM(ReDiarioFert!C147:C153)/2)*$C$12)))</f>
        <v>6.919569895613395</v>
      </c>
      <c r="I56">
        <f>IF(((SUM(ReDiarioFert!E147:E153)/2)*$C$12)&lt;=0,"0",(((SUM(ReDiarioFert!E147:E153)/2)*$C$12)))</f>
        <v>36.8944893716306</v>
      </c>
      <c r="K56">
        <f>IF(((SUM(ReDiarioFert!G147:G153)/2)*$C$12)&lt;=0,"0",(((SUM(ReDiarioFert!G147:G153)/2)*$C$12)))</f>
        <v>180.07291139107616</v>
      </c>
      <c r="M56">
        <f>IF(((SUM(ReDiarioFert!I147:I153)/2)*$C$12)&lt;=0,"0",(((SUM(ReDiarioFert!I147:I153)/2)*$C$12)))</f>
        <v>100.16383077991142</v>
      </c>
      <c r="O56">
        <f>IF(((SUM(ReDiarioFert!K147:K153)/2)*$C$12)&lt;=0,"0",(((SUM(ReDiarioFert!K147:K153)/2)*$C$12)))</f>
        <v>206.46362363797</v>
      </c>
      <c r="Q56">
        <f>IF(((SUM(ReDiarioFert!M147:M153)/2)*$C$12)&lt;=0,"0",(((SUM(ReDiarioFert!M147:M153)/2)*$C$12)))</f>
        <v>817.9980643902439</v>
      </c>
      <c r="S56">
        <f>$C$12*Main!$D$63</f>
        <v>26.879999999999995</v>
      </c>
      <c r="T56">
        <f>((G56/100)*$G$64+(I56/100)*$G$65+(K56/100)*$G$66+(M56/100)*$G$67+(O56/100)*$G$68+(Q56)*$G$69+(S56*$G$70)+(E56*(VLOOKUP(D56,Fertilizantes!$A$49:$E$123,3,FALSE))))</f>
        <v>5353.851540965263</v>
      </c>
    </row>
    <row r="57">
      <c r="B57">
        <f>B56+4</f>
        <v>147</v>
      </c>
      <c r="C57">
        <f>$J$11+B57</f>
        <v>40088</v>
      </c>
      <c r="E57">
        <f>VLOOKUP(D57,Fertilizantes!$A$49:$E$124,2,FALSE)*$C$12</f>
        <v>0</v>
      </c>
      <c r="F57">
        <f>VLOOKUP(D57,Fertilizantes!$A$49:$E$124,4,FALSE)</f>
        <v>0</v>
      </c>
      <c r="G57">
        <f>G56</f>
        <v>6.919569895613395</v>
      </c>
      <c r="I57">
        <f>I56</f>
        <v>36.8944893716306</v>
      </c>
      <c r="K57">
        <f>K56</f>
        <v>180.07291139107616</v>
      </c>
      <c r="M57">
        <f>M56</f>
        <v>100.16383077991142</v>
      </c>
      <c r="O57">
        <f>O56</f>
        <v>206.46362363797</v>
      </c>
      <c r="Q57">
        <f>Q56</f>
        <v>817.9980643902439</v>
      </c>
      <c r="T57">
        <f>((G57/100)*$G$64+(I57/100)*$G$65+(K57/100)*$G$66+(M57/100)*$G$67+(O57/100)*$G$68+(Q57)*$G$69+(S57*$G$70)+(E57*(VLOOKUP(D57,Fertilizantes!$A$49:$E$123,3,FALSE))))</f>
        <v>5278.587540965263</v>
      </c>
    </row>
    <row r="58">
      <c r="A58">
        <v>22</v>
      </c>
      <c r="B58">
        <f>B57+3</f>
        <v>150</v>
      </c>
      <c r="C58">
        <f>$J$11+B58</f>
        <v>40091</v>
      </c>
      <c r="E58">
        <f>VLOOKUP(D58,Fertilizantes!$A$49:$E$124,2,FALSE)*$C$12</f>
        <v>0</v>
      </c>
      <c r="F58">
        <f>VLOOKUP(D58,Fertilizantes!$A$49:$E$124,4,FALSE)</f>
        <v>0</v>
      </c>
      <c r="G58">
        <f>IF(((SUM(ReDiarioFert!C154:C160)/2)*$C$12)&lt;=0,"0",(((SUM(ReDiarioFert!C154:C160)/2)*$C$12)))</f>
        <v>6.919569895613395</v>
      </c>
      <c r="I58">
        <f>IF(((SUM(ReDiarioFert!E154:E160)/2)*$C$12)&lt;=0,"0",(((SUM(ReDiarioFert!E154:E160)/2)*$C$12)))</f>
        <v>36.8944893716306</v>
      </c>
      <c r="K58">
        <f>IF(((SUM(ReDiarioFert!G154:G160)/2)*$C$12)&lt;=0,"0",(((SUM(ReDiarioFert!G154:G160)/2)*$C$12)))</f>
        <v>180.07291139107616</v>
      </c>
      <c r="M58">
        <f>IF(((SUM(ReDiarioFert!I154:I160)/2)*$C$12)&lt;=0,"0",(((SUM(ReDiarioFert!I154:I160)/2)*$C$12)))</f>
        <v>100.16383077991142</v>
      </c>
      <c r="O58">
        <f>IF(((SUM(ReDiarioFert!K154:K160)/2)*$C$12)&lt;=0,"0",(((SUM(ReDiarioFert!K154:K160)/2)*$C$12)))</f>
        <v>206.46362363797</v>
      </c>
      <c r="Q58">
        <f>IF(((SUM(ReDiarioFert!M154:M160)/2)*$C$12)&lt;=0,"0",(((SUM(ReDiarioFert!M154:M160)/2)*$C$12)))</f>
        <v>817.9980643902439</v>
      </c>
      <c r="S58">
        <f>$C$12*Main!$D$63</f>
        <v>26.879999999999995</v>
      </c>
      <c r="T58">
        <f>((G58/100)*$G$64+(I58/100)*$G$65+(K58/100)*$G$66+(M58/100)*$G$67+(O58/100)*$G$68+(Q58)*$G$69+(S58*$G$70)+(E58*(VLOOKUP(D58,Fertilizantes!$A$49:$E$123,3,FALSE))))</f>
        <v>5353.851540965263</v>
      </c>
    </row>
    <row r="59">
      <c r="B59">
        <f>B58+4</f>
        <v>154</v>
      </c>
      <c r="C59">
        <f>$J$11+B59</f>
        <v>40095</v>
      </c>
      <c r="E59">
        <f>VLOOKUP(D59,Fertilizantes!$A$49:$E$124,2,FALSE)*$C$12</f>
        <v>0</v>
      </c>
      <c r="F59">
        <f>VLOOKUP(D59,Fertilizantes!$A$49:$E$124,4,FALSE)</f>
        <v>0</v>
      </c>
      <c r="G59">
        <f>G58</f>
        <v>6.919569895613395</v>
      </c>
      <c r="I59">
        <f>I58</f>
        <v>36.8944893716306</v>
      </c>
      <c r="K59">
        <f>K58</f>
        <v>180.07291139107616</v>
      </c>
      <c r="M59">
        <f>M58</f>
        <v>100.16383077991142</v>
      </c>
      <c r="O59">
        <f>O58</f>
        <v>206.46362363797</v>
      </c>
      <c r="Q59">
        <f>Q58</f>
        <v>817.9980643902439</v>
      </c>
      <c r="T59">
        <f>((G59/100)*$G$64+(I59/100)*$G$65+(K59/100)*$G$66+(M59/100)*$G$67+(O59/100)*$G$68+(Q59)*$G$69+(S59*$G$70)+(E59*(VLOOKUP(D59,Fertilizantes!$A$49:$E$123,3,FALSE))))</f>
        <v>5278.587540965263</v>
      </c>
    </row>
    <row r="60">
      <c r="C60" t="str">
        <v>Total</v>
      </c>
      <c r="G60">
        <f>SUM(G16:G59)</f>
        <v>522.6550997129772</v>
      </c>
      <c r="I60">
        <f>SUM(I16:I59)</f>
        <v>1319.6755799188718</v>
      </c>
      <c r="K60">
        <f>SUM(K16:K59)</f>
        <v>5881.907630549085</v>
      </c>
      <c r="M60">
        <f>SUM(M16:M59)</f>
        <v>3271.754735446479</v>
      </c>
      <c r="O60">
        <f>SUM(O16:O59)</f>
        <v>6743.93474246439</v>
      </c>
      <c r="Q60">
        <f>SUM(Q16:Q59)</f>
        <v>26743.5230282927</v>
      </c>
      <c r="S60">
        <f>SUM(S16:S59)</f>
        <v>591.3599999999999</v>
      </c>
      <c r="T60">
        <f>SUM(T16:T59)</f>
        <v>179237.9055924766</v>
      </c>
    </row>
    <row r="61">
      <c r="D61" t="str">
        <v>OJO cualquier cultivo que no se termine la cosecha en el ultimo día del calendario solo seguir repitiendo la ultima aplicación de fertilizante.</v>
      </c>
    </row>
    <row r="62" ht="39.75" customHeight="1">
      <c r="B62" t="str">
        <v>Producto</v>
      </c>
      <c r="F62" t="str">
        <v>Lbs/Ha</v>
      </c>
      <c r="G62" t="str">
        <v>Costo por qq</v>
      </c>
    </row>
    <row r="63" ht="24" customHeight="1">
      <c r="G63" t="str">
        <f>Main!$E$25</f>
        <v>Lempiras</v>
      </c>
    </row>
    <row r="64">
      <c r="B64" t="str">
        <f>Main!D42</f>
        <v>Nitrato de Amonio</v>
      </c>
      <c r="F64">
        <f>G60/C12</f>
        <v>388.88028252453665</v>
      </c>
      <c r="G64">
        <f>Main!D43</f>
        <v>620</v>
      </c>
    </row>
    <row r="65">
      <c r="B65" t="str">
        <f>Main!D32</f>
        <v>MAP 12-61-0</v>
      </c>
      <c r="F65">
        <f>I60/C12</f>
        <v>981.9014731539226</v>
      </c>
      <c r="G65">
        <f>Main!D33</f>
        <v>2900</v>
      </c>
    </row>
    <row r="66">
      <c r="B66" t="str">
        <f>Main!D37</f>
        <v>Sulfato de Potasio</v>
      </c>
      <c r="F66">
        <f>K60/C12</f>
        <v>4376.41936796807</v>
      </c>
      <c r="G66">
        <f>Main!D38</f>
        <v>505</v>
      </c>
    </row>
    <row r="67">
      <c r="B67" t="str">
        <f>Main!D47</f>
        <v>Sulfato de Magnesio</v>
      </c>
      <c r="F67">
        <f>M60/C12</f>
        <v>2434.341321016726</v>
      </c>
      <c r="G67">
        <f>Main!D48</f>
        <v>951</v>
      </c>
    </row>
    <row r="68">
      <c r="B68" t="str">
        <f>Main!D52</f>
        <v>Nitrato de Calcio</v>
      </c>
      <c r="F68">
        <f>O60/C12</f>
        <v>5017.808588143148</v>
      </c>
      <c r="G68">
        <f>Main!D53</f>
        <v>1100</v>
      </c>
    </row>
    <row r="69">
      <c r="B69" t="str">
        <f>Main!D57</f>
        <v>Solubor</v>
      </c>
      <c r="F69">
        <f>Q60/C12</f>
        <v>19898.454634146357</v>
      </c>
      <c r="G69">
        <f>Main!D58</f>
        <v>0.04</v>
      </c>
      <c r="I69" t="str">
        <v xml:space="preserve">Preparado y Autorizado Por </v>
      </c>
    </row>
    <row r="70" ht="18" customHeight="1">
      <c r="B70" t="str">
        <f>Main!D61</f>
        <v>Melaza</v>
      </c>
      <c r="F70">
        <f>S60/C12</f>
        <v>439.99999999999994</v>
      </c>
      <c r="G70">
        <f>Main!D62</f>
        <v>2.8</v>
      </c>
      <c r="I70" t="str">
        <v>MSc Ricardo D. Lardizábal</v>
      </c>
    </row>
    <row r="71" ht="17.45" customHeight="1">
      <c r="B71" t="str">
        <v>NOTA: El Nitrato de Calcio se debe de diluir en un barril aparte para inyectarse al sistema</v>
      </c>
    </row>
    <row r="74">
      <c r="B74" t="str">
        <v>Abreviaciones usadas</v>
      </c>
    </row>
    <row r="75">
      <c r="B75" t="str">
        <v>Mz.-Manzanas, Ha-Hectáreas, Lbs-Libras, Lts-Litros y DDT-Días después de Trasplante</v>
      </c>
    </row>
  </sheetData>
  <sheetProtection sheet="1"/>
  <autoFilter ref="E16:F59"/>
  <mergeCells count="52">
    <mergeCell ref="G65:H65"/>
    <mergeCell ref="J9:N9"/>
    <mergeCell ref="J10:N10"/>
    <mergeCell ref="J11:N11"/>
    <mergeCell ref="J12:N12"/>
    <mergeCell ref="G66:H66"/>
    <mergeCell ref="G62:H62"/>
    <mergeCell ref="G63:H63"/>
    <mergeCell ref="G64:H64"/>
    <mergeCell ref="T14:T15"/>
    <mergeCell ref="Q14:R14"/>
    <mergeCell ref="I14:J14"/>
    <mergeCell ref="K14:L14"/>
    <mergeCell ref="M14:N14"/>
    <mergeCell ref="O14:P14"/>
    <mergeCell ref="E14:F14"/>
    <mergeCell ref="C11:F11"/>
    <mergeCell ref="C12:F12"/>
    <mergeCell ref="G11:I11"/>
    <mergeCell ref="G12:I12"/>
    <mergeCell ref="A14:A15"/>
    <mergeCell ref="B14:B15"/>
    <mergeCell ref="A11:B11"/>
    <mergeCell ref="A12:B12"/>
    <mergeCell ref="B75:S75"/>
    <mergeCell ref="G14:H14"/>
    <mergeCell ref="B74:C74"/>
    <mergeCell ref="B70:E70"/>
    <mergeCell ref="B62:E62"/>
    <mergeCell ref="B64:E64"/>
    <mergeCell ref="B65:E65"/>
    <mergeCell ref="B66:E66"/>
    <mergeCell ref="B71:I72"/>
    <mergeCell ref="B68:E68"/>
    <mergeCell ref="B67:E67"/>
    <mergeCell ref="I70:Q70"/>
    <mergeCell ref="B69:E69"/>
    <mergeCell ref="G70:H70"/>
    <mergeCell ref="G69:H69"/>
    <mergeCell ref="G67:H67"/>
    <mergeCell ref="G68:H68"/>
    <mergeCell ref="I69:Q69"/>
    <mergeCell ref="P5:S7"/>
    <mergeCell ref="A8:N8"/>
    <mergeCell ref="P2:S3"/>
    <mergeCell ref="A10:B10"/>
    <mergeCell ref="G9:I9"/>
    <mergeCell ref="G10:I10"/>
    <mergeCell ref="A9:B9"/>
    <mergeCell ref="C9:F9"/>
    <mergeCell ref="C10:F10"/>
    <mergeCell ref="P9:S12"/>
  </mergeCells>
  <pageMargins left="0.25" right="0.25" top="0.48" bottom="0.8" header="0.25" footer="0.25"/>
  <ignoredErrors>
    <ignoredError numberStoredAsText="1" sqref="A1:V84"/>
  </ignoredErrors>
  <legacyDrawing r:id="rId1"/>
</worksheet>
</file>

<file path=xl/worksheets/sheet6.xml><?xml version="1.0" encoding="utf-8"?>
<worksheet xmlns="http://schemas.openxmlformats.org/spreadsheetml/2006/main" xmlns:r="http://schemas.openxmlformats.org/officeDocument/2006/relationships">
  <dimension ref="A1:V84"/>
  <sheetViews>
    <sheetView workbookViewId="0" rightToLeft="0"/>
  </sheetViews>
  <sheetData>
    <row r="1" ht="32.65" customHeight="1"/>
    <row r="2" ht="32.65" customHeight="1">
      <c r="P2" t="str">
        <v>Calendario de Fertilización para Goteo 2 Veces Por Semana</v>
      </c>
    </row>
    <row r="3" ht="32.65" customHeight="1"/>
    <row r="5">
      <c r="P5" t="str">
        <f>Main!$E$21</f>
        <v>Tomate</v>
      </c>
    </row>
    <row r="6" ht="29.25" customHeight="1"/>
    <row r="7" ht="26.25" customHeight="1"/>
    <row r="8" ht="25.899999999999995" customHeight="1">
      <c r="A8" t="str">
        <f>Main!$C$13</f>
        <v>"Sin Fertilización Base"</v>
      </c>
    </row>
    <row r="9" ht="20.1" customHeight="1">
      <c r="A9" t="str">
        <v>Productor</v>
      </c>
      <c r="C9" t="str">
        <f>Main!E17</f>
        <v>Alejandro Acosta</v>
      </c>
      <c r="G9" t="str">
        <v>Parcela</v>
      </c>
      <c r="J9" t="str">
        <f>Main!E19</f>
        <v>El Mango</v>
      </c>
      <c r="P9" t="str">
        <f>Main!$G$21</f>
        <v>XP 675</v>
      </c>
    </row>
    <row r="10" ht="20.1" customHeight="1">
      <c r="A10" t="str">
        <v>Zona</v>
      </c>
      <c r="C10" t="str">
        <f>Main!E18</f>
        <v>Cantarranas</v>
      </c>
      <c r="G10" t="str">
        <v>Técnico</v>
      </c>
      <c r="J10" t="str">
        <f>Main!E20</f>
        <v>Marco Nuñez</v>
      </c>
    </row>
    <row r="11" ht="20.1" customHeight="1">
      <c r="A11" t="str">
        <v>Área Mz.</v>
      </c>
      <c r="C11">
        <f>Main!E22</f>
        <v>1.92</v>
      </c>
      <c r="G11" t="str">
        <v>Fecha:</v>
      </c>
      <c r="J11">
        <f>Main!E23</f>
        <v>39941</v>
      </c>
    </row>
    <row r="12" ht="20.1" customHeight="1">
      <c r="A12" t="str">
        <v>Área Ha.</v>
      </c>
      <c r="C12">
        <f>Main!I22</f>
        <v>1.3439999999999999</v>
      </c>
      <c r="G12" t="str">
        <v>Fecha de Cosecha:</v>
      </c>
      <c r="J12">
        <f>J11+Main!E24</f>
        <v>40016</v>
      </c>
    </row>
    <row r="13" ht="19.5" customHeight="1"/>
    <row r="14" ht="28.5" customHeight="1">
      <c r="A14" t="str">
        <v>Semana</v>
      </c>
      <c r="B14" t="str">
        <v>DDT</v>
      </c>
      <c r="C14" t="str">
        <v>FECHA</v>
      </c>
      <c r="E14" t="str">
        <f>Main!$D$42</f>
        <v>Nitrato de Amonio</v>
      </c>
      <c r="G14" t="str">
        <f>Main!$D$32</f>
        <v>MAP 12-61-0</v>
      </c>
      <c r="I14" t="str">
        <f>Main!$D$37</f>
        <v>Sulfato de Potasio</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3</v>
      </c>
      <c r="C16">
        <f>$J$11+B16</f>
        <v>39944</v>
      </c>
      <c r="E16">
        <f>IF(((SUM(ReDiarioFert!C7:C13)/2)*$C$12)&lt;=0,"0",(((SUM(ReDiarioFert!C7:C13)/2)*$C$12)))</f>
        <v>5.0483643115952015</v>
      </c>
      <c r="G16">
        <f>IF(((SUM(ReDiarioFert!E7:E13)/2)*$C$12)&lt;=0,"0",(((SUM(ReDiarioFert!E7:E13)/2)*$C$12)))</f>
        <v>6.510792242052458</v>
      </c>
      <c r="I16">
        <f>IF(((SUM(ReDiarioFert!G7:G13)/2)*$C$12)&lt;=0,"0",(((SUM(ReDiarioFert!G7:G13)/2)*$C$12)))</f>
        <v>19.066543559055123</v>
      </c>
      <c r="K16">
        <f>IF(((SUM(ReDiarioFert!I7:I13)/2)*$C$12)&lt;=0,"0",(((SUM(ReDiarioFert!I7:I13)/2)*$C$12)))</f>
        <v>10.605582082578856</v>
      </c>
      <c r="M16">
        <f>IF(((SUM(ReDiarioFert!K7:K13)/2)*$C$12)&lt;=0,"0",(((SUM(ReDiarioFert!K7:K13)/2)*$C$12)))</f>
        <v>21.86085426754976</v>
      </c>
      <c r="O16">
        <f>IF(((SUM(ReDiarioFert!M7:M13)/2)*$C$12)&lt;=0,"0",(((SUM(ReDiarioFert!M7:M13)/2)*$C$12)))</f>
        <v>116.85653853658536</v>
      </c>
      <c r="Q16">
        <f>$C$12*Main!$D$63</f>
        <v>26.879999999999995</v>
      </c>
      <c r="S16">
        <f>((E16/100)*$G$64+(G16/100)*$G$65+(I16/100)*$G$66+(K16/100)*$G$67+(M16/100)*$G$68+(O16)*$G$69+(Q16*$G$70))</f>
        <v>737.6656228144757</v>
      </c>
    </row>
    <row r="17" ht="18.75" customHeight="1">
      <c r="B17">
        <v>7</v>
      </c>
      <c r="C17">
        <f>$J$11+B17</f>
        <v>39948</v>
      </c>
      <c r="E17">
        <f>E16</f>
        <v>5.0483643115952015</v>
      </c>
      <c r="G17">
        <f>G16</f>
        <v>6.510792242052458</v>
      </c>
      <c r="I17">
        <f>I16</f>
        <v>19.066543559055123</v>
      </c>
      <c r="K17">
        <f>K16</f>
        <v>10.605582082578856</v>
      </c>
      <c r="M17">
        <f>M16</f>
        <v>21.86085426754976</v>
      </c>
      <c r="O17">
        <f>O16</f>
        <v>116.85653853658536</v>
      </c>
      <c r="S17">
        <f>((E17/100)*$G$64+(G17/100)*$G$65+(I17/100)*$G$66+(K17/100)*$G$67+(M17/100)*$G$68+(O17)*$G$69+(Q17*$G$70))</f>
        <v>662.4016228144757</v>
      </c>
    </row>
    <row r="18">
      <c r="A18">
        <v>2</v>
      </c>
      <c r="B18">
        <f>B17+3</f>
        <v>10</v>
      </c>
      <c r="C18">
        <f>$J$11+B18</f>
        <v>39951</v>
      </c>
      <c r="E18">
        <f>IF(((SUM(ReDiarioFert!C14:C20)/2)*$C$12)&lt;=0,"0",(((SUM(ReDiarioFert!C14:C20)/2)*$C$12)))</f>
        <v>7.211949016564573</v>
      </c>
      <c r="G18">
        <f>IF(((SUM(ReDiarioFert!E14:E20)/2)*$C$12)&lt;=0,"0",(((SUM(ReDiarioFert!E14:E20)/2)*$C$12)))</f>
        <v>9.301131774360652</v>
      </c>
      <c r="I18">
        <f>IF(((SUM(ReDiarioFert!G14:G20)/2)*$C$12)&lt;=0,"0",(((SUM(ReDiarioFert!G14:G20)/2)*$C$12)))</f>
        <v>27.23791937007874</v>
      </c>
      <c r="K18">
        <f>IF(((SUM(ReDiarioFert!I14:I20)/2)*$C$12)&lt;=0,"0",(((SUM(ReDiarioFert!I14:I20)/2)*$C$12)))</f>
        <v>15.15083154654122</v>
      </c>
      <c r="M18">
        <f>IF(((SUM(ReDiarioFert!K14:K20)/2)*$C$12)&lt;=0,"0",(((SUM(ReDiarioFert!K14:K20)/2)*$C$12)))</f>
        <v>31.22979181078537</v>
      </c>
      <c r="O18">
        <f>IF(((SUM(ReDiarioFert!M14:M20)/2)*$C$12)&lt;=0,"0",(((SUM(ReDiarioFert!M14:M20)/2)*$C$12)))</f>
        <v>170.27693268292683</v>
      </c>
      <c r="Q18">
        <f>$C$12*Main!$D$63</f>
        <v>26.879999999999995</v>
      </c>
      <c r="S18">
        <f>((E18/100)*$G$64+(G18/100)*$G$65+(I18/100)*$G$66+(K18/100)*$G$67+(M18/100)*$G$68+(O18)*$G$69+(Q18*$G$70))</f>
        <v>1021.68559341162</v>
      </c>
    </row>
    <row r="19">
      <c r="B19">
        <f>B18+4</f>
        <v>14</v>
      </c>
      <c r="C19">
        <f>$J$11+B19</f>
        <v>39955</v>
      </c>
      <c r="E19">
        <f>E18</f>
        <v>7.211949016564573</v>
      </c>
      <c r="G19">
        <f>G18</f>
        <v>9.301131774360652</v>
      </c>
      <c r="I19">
        <f>I18</f>
        <v>27.23791937007874</v>
      </c>
      <c r="K19">
        <f>K18</f>
        <v>15.15083154654122</v>
      </c>
      <c r="M19">
        <f>M18</f>
        <v>31.22979181078537</v>
      </c>
      <c r="O19">
        <f>O18</f>
        <v>170.27693268292683</v>
      </c>
      <c r="S19">
        <f>((E19/100)*$G$64+(G19/100)*$G$65+(I19/100)*$G$66+(K19/100)*$G$67+(M19/100)*$G$68+(O19)*$G$69+(Q19*$G$70))</f>
        <v>946.4215934116199</v>
      </c>
    </row>
    <row r="20">
      <c r="A20">
        <v>3</v>
      </c>
      <c r="B20">
        <f>B19+3</f>
        <v>17</v>
      </c>
      <c r="C20">
        <f>$J$11+B20</f>
        <v>39958</v>
      </c>
      <c r="E20">
        <f>IF(((SUM(ReDiarioFert!C21:C27)/2)*$C$12)&lt;=0,"0",(((SUM(ReDiarioFert!C21:C27)/2)*$C$12)))</f>
        <v>10.99822225026097</v>
      </c>
      <c r="G20">
        <f>IF(((SUM(ReDiarioFert!E21:E27)/2)*$C$12)&lt;=0,"0",(((SUM(ReDiarioFert!E21:E27)/2)*$C$12)))</f>
        <v>14.1842259559</v>
      </c>
      <c r="I20">
        <f>IF(((SUM(ReDiarioFert!G21:G27)/2)*$C$12)&lt;=0,"0",(((SUM(ReDiarioFert!G21:G27)/2)*$C$12)))</f>
        <v>41.53782703937008</v>
      </c>
      <c r="K20">
        <f>IF(((SUM(ReDiarioFert!I21:I27)/2)*$C$12)&lt;=0,"0",(((SUM(ReDiarioFert!I21:I27)/2)*$C$12)))</f>
        <v>23.105018108475363</v>
      </c>
      <c r="M20">
        <f>IF(((SUM(ReDiarioFert!K21:K27)/2)*$C$12)&lt;=0,"0",(((SUM(ReDiarioFert!K21:K27)/2)*$C$12)))</f>
        <v>47.6254325114477</v>
      </c>
      <c r="O20">
        <f>IF(((SUM(ReDiarioFert!M21:M27)/2)*$C$12)&lt;=0,"0",(((SUM(ReDiarioFert!M21:M27)/2)*$C$12)))</f>
        <v>250.40654048780485</v>
      </c>
      <c r="Q20">
        <f>$C$12*Main!$D$63</f>
        <v>26.879999999999995</v>
      </c>
      <c r="S20">
        <f>((E20/100)*$G$64+(G20/100)*$G$65+(I20/100)*$G$66+(K20/100)*$G$67+(M20/100)*$G$68+(O20)*$G$69+(Q20*$G$70))</f>
        <v>1518.1862986785745</v>
      </c>
    </row>
    <row r="21">
      <c r="B21">
        <f>B20+4</f>
        <v>21</v>
      </c>
      <c r="C21">
        <f>$J$11+B21</f>
        <v>39962</v>
      </c>
      <c r="E21">
        <f>E20</f>
        <v>10.99822225026097</v>
      </c>
      <c r="G21">
        <f>G20</f>
        <v>14.1842259559</v>
      </c>
      <c r="I21">
        <f>I20</f>
        <v>41.53782703937008</v>
      </c>
      <c r="K21">
        <f>K20</f>
        <v>23.105018108475363</v>
      </c>
      <c r="M21">
        <f>M20</f>
        <v>47.6254325114477</v>
      </c>
      <c r="O21">
        <f>O20</f>
        <v>250.40654048780485</v>
      </c>
      <c r="S21">
        <f>((E21/100)*$G$64+(G21/100)*$G$65+(I21/100)*$G$66+(K21/100)*$G$67+(M21/100)*$G$68+(O21)*$G$69+(Q21*$G$70))</f>
        <v>1442.9222986785746</v>
      </c>
    </row>
    <row r="22">
      <c r="A22">
        <v>4</v>
      </c>
      <c r="B22">
        <f>B21+3</f>
        <v>24</v>
      </c>
      <c r="C22">
        <f>$J$11+B22</f>
        <v>39965</v>
      </c>
      <c r="E22">
        <f>IF(((SUM(ReDiarioFert!C28:C34)/2)*$C$12)&lt;=0,"0",(((SUM(ReDiarioFert!C28:C34)/2)*$C$12)))</f>
        <v>12.620910778988</v>
      </c>
      <c r="G22">
        <f>IF(((SUM(ReDiarioFert!E28:E34)/2)*$C$12)&lt;=0,"0",(((SUM(ReDiarioFert!E28:E34)/2)*$C$12)))</f>
        <v>16.276980605131143</v>
      </c>
      <c r="I22">
        <f>IF(((SUM(ReDiarioFert!G28:G34)/2)*$C$12)&lt;=0,"0",(((SUM(ReDiarioFert!G28:G34)/2)*$C$12)))</f>
        <v>47.6663588976378</v>
      </c>
      <c r="K22">
        <f>IF(((SUM(ReDiarioFert!I28:I34)/2)*$C$12)&lt;=0,"0",(((SUM(ReDiarioFert!I28:I34)/2)*$C$12)))</f>
        <v>26.513955206447136</v>
      </c>
      <c r="M22">
        <f>IF(((SUM(ReDiarioFert!K28:K34)/2)*$C$12)&lt;=0,"0",(((SUM(ReDiarioFert!K28:K34)/2)*$C$12)))</f>
        <v>54.65213566887441</v>
      </c>
      <c r="O22">
        <f>IF(((SUM(ReDiarioFert!M28:M34)/2)*$C$12)&lt;=0,"0",(((SUM(ReDiarioFert!M28:M34)/2)*$C$12)))</f>
        <v>280.4547746341463</v>
      </c>
      <c r="Q22">
        <f>$C$12*Main!$D$63</f>
        <v>26.879999999999995</v>
      </c>
      <c r="S22">
        <f>((E22/100)*$G$64+(G22/100)*$G$65+(I22/100)*$G$66+(K22/100)*$G$67+(M22/100)*$G$68+(O22)*$G$69+(Q22*$G$70))</f>
        <v>1730.8005941678962</v>
      </c>
    </row>
    <row r="23">
      <c r="B23">
        <f>B22+4</f>
        <v>28</v>
      </c>
      <c r="C23">
        <f>$J$11+B23</f>
        <v>39969</v>
      </c>
      <c r="E23">
        <f>E22</f>
        <v>12.620910778988</v>
      </c>
      <c r="G23">
        <f>G22</f>
        <v>16.276980605131143</v>
      </c>
      <c r="I23">
        <f>I22</f>
        <v>47.6663588976378</v>
      </c>
      <c r="K23">
        <f>K22</f>
        <v>26.513955206447136</v>
      </c>
      <c r="M23">
        <f>M22</f>
        <v>54.65213566887441</v>
      </c>
      <c r="O23">
        <f>O22</f>
        <v>280.4547746341463</v>
      </c>
      <c r="S23">
        <f>((E23/100)*$G$64+(G23/100)*$G$65+(I23/100)*$G$66+(K23/100)*$G$67+(M23/100)*$G$68+(O23)*$G$69+(Q23*$G$70))</f>
        <v>1655.5365941678963</v>
      </c>
    </row>
    <row r="24">
      <c r="A24">
        <v>5</v>
      </c>
      <c r="B24">
        <f>B23+3</f>
        <v>31</v>
      </c>
      <c r="C24">
        <f>$J$11+B24</f>
        <v>39972</v>
      </c>
      <c r="E24">
        <f>IF(((SUM(ReDiarioFert!C35:C41)/2)*$C$12)&lt;=0,"0",(((SUM(ReDiarioFert!C35:C41)/2)*$C$12)))</f>
        <v>15.86628783644206</v>
      </c>
      <c r="G24">
        <f>IF(((SUM(ReDiarioFert!E35:E41)/2)*$C$12)&lt;=0,"0",(((SUM(ReDiarioFert!E35:E41)/2)*$C$12)))</f>
        <v>20.462489903593443</v>
      </c>
      <c r="I24">
        <f>IF(((SUM(ReDiarioFert!G35:G41)/2)*$C$12)&lt;=0,"0",(((SUM(ReDiarioFert!G35:G41)/2)*$C$12)))</f>
        <v>59.92342261417323</v>
      </c>
      <c r="K24">
        <f>IF(((SUM(ReDiarioFert!I35:I41)/2)*$C$12)&lt;=0,"0",(((SUM(ReDiarioFert!I35:I41)/2)*$C$12)))</f>
        <v>33.33182940239069</v>
      </c>
      <c r="M24">
        <f>IF(((SUM(ReDiarioFert!K35:K41)/2)*$C$12)&lt;=0,"0",(((SUM(ReDiarioFert!K35:K41)/2)*$C$12)))</f>
        <v>68.70554198372781</v>
      </c>
      <c r="O24">
        <f>IF(((SUM(ReDiarioFert!M35:M41)/2)*$C$12)&lt;=0,"0",(((SUM(ReDiarioFert!M35:M41)/2)*$C$12)))</f>
        <v>330.53713170731714</v>
      </c>
      <c r="Q24">
        <f>$C$12*Main!$D$63</f>
        <v>26.879999999999995</v>
      </c>
      <c r="S24">
        <f>((E24/100)*$G$64+(G24/100)*$G$65+(I24/100)*$G$66+(K24/100)*$G$67+(M24/100)*$G$68+(O24)*$G$69+(Q24*$G$70))</f>
        <v>2155.6286206977597</v>
      </c>
    </row>
    <row r="25">
      <c r="B25">
        <f>B24+4</f>
        <v>35</v>
      </c>
      <c r="C25">
        <f>$J$11+B25</f>
        <v>39976</v>
      </c>
      <c r="E25">
        <f>E24</f>
        <v>15.86628783644206</v>
      </c>
      <c r="G25">
        <f>G24</f>
        <v>20.462489903593443</v>
      </c>
      <c r="I25">
        <f>I24</f>
        <v>59.92342261417323</v>
      </c>
      <c r="K25">
        <f>K24</f>
        <v>33.33182940239069</v>
      </c>
      <c r="M25">
        <f>M24</f>
        <v>68.70554198372781</v>
      </c>
      <c r="O25">
        <f>O24</f>
        <v>330.53713170731714</v>
      </c>
      <c r="S25">
        <f>((E25/100)*$G$64+(G25/100)*$G$65+(I25/100)*$G$66+(K25/100)*$G$67+(M25/100)*$G$68+(O25)*$G$69+(Q25*$G$70))</f>
        <v>2080.3646206977596</v>
      </c>
    </row>
    <row r="26">
      <c r="A26">
        <v>6</v>
      </c>
      <c r="B26">
        <f>B25+3</f>
        <v>38</v>
      </c>
      <c r="C26">
        <f>$J$11+B26</f>
        <v>39979</v>
      </c>
      <c r="E26">
        <f>IF(((SUM(ReDiarioFert!C42:C48)/2)*$C$12)&lt;=0,"0",(((SUM(ReDiarioFert!C42:C48)/2)*$C$12)))</f>
        <v>20.193457246380806</v>
      </c>
      <c r="G26">
        <f>IF(((SUM(ReDiarioFert!E42:E48)/2)*$C$12)&lt;=0,"0",(((SUM(ReDiarioFert!E42:E48)/2)*$C$12)))</f>
        <v>26.043168968209834</v>
      </c>
      <c r="I26">
        <f>IF(((SUM(ReDiarioFert!G42:G48)/2)*$C$12)&lt;=0,"0",(((SUM(ReDiarioFert!G42:G48)/2)*$C$12)))</f>
        <v>76.2661742362205</v>
      </c>
      <c r="K26">
        <f>IF(((SUM(ReDiarioFert!I42:I48)/2)*$C$12)&lt;=0,"0",(((SUM(ReDiarioFert!I42:I48)/2)*$C$12)))</f>
        <v>42.42232833031542</v>
      </c>
      <c r="M26">
        <f>IF(((SUM(ReDiarioFert!K42:K48)/2)*$C$12)&lt;=0,"0",(((SUM(ReDiarioFert!K42:K48)/2)*$C$12)))</f>
        <v>87.44341707019905</v>
      </c>
      <c r="O26">
        <f>IF(((SUM(ReDiarioFert!M42:M48)/2)*$C$12)&lt;=0,"0",(((SUM(ReDiarioFert!M42:M48)/2)*$C$12)))</f>
        <v>397.3136078048781</v>
      </c>
      <c r="Q26">
        <f>$C$12*Main!$D$63</f>
        <v>26.879999999999995</v>
      </c>
      <c r="S26">
        <f>((E26/100)*$G$64+(G26/100)*$G$65+(I26/100)*$G$66+(K26/100)*$G$67+(M26/100)*$G$68+(O26)*$G$69+(Q26*$G$70))</f>
        <v>2722.065989404244</v>
      </c>
    </row>
    <row r="27">
      <c r="B27">
        <f>B26+4</f>
        <v>42</v>
      </c>
      <c r="C27">
        <f>$J$11+B27</f>
        <v>39983</v>
      </c>
      <c r="E27">
        <f>E26</f>
        <v>20.193457246380806</v>
      </c>
      <c r="G27">
        <f>G26</f>
        <v>26.043168968209834</v>
      </c>
      <c r="I27">
        <f>I26</f>
        <v>76.2661742362205</v>
      </c>
      <c r="K27">
        <f>K26</f>
        <v>42.42232833031542</v>
      </c>
      <c r="M27">
        <f>M26</f>
        <v>87.44341707019905</v>
      </c>
      <c r="O27">
        <f>O26</f>
        <v>397.3136078048781</v>
      </c>
      <c r="S27">
        <f>((E27/100)*$G$64+(G27/100)*$G$65+(I27/100)*$G$66+(K27/100)*$G$67+(M27/100)*$G$68+(O27)*$G$69+(Q27*$G$70))</f>
        <v>2646.801989404244</v>
      </c>
    </row>
    <row r="28">
      <c r="A28">
        <v>7</v>
      </c>
      <c r="B28">
        <f>B27+3</f>
        <v>45</v>
      </c>
      <c r="C28">
        <f>$J$11+B28</f>
        <v>39986</v>
      </c>
      <c r="E28">
        <f>IF(((SUM(ReDiarioFert!C49:C55)/2)*$C$12)&lt;=0,"0",(((SUM(ReDiarioFert!C49:C55)/2)*$C$12)))</f>
        <v>23.565849278595326</v>
      </c>
      <c r="G28">
        <f>IF(((SUM(ReDiarioFert!E49:E55)/2)*$C$12)&lt;=0,"0",(((SUM(ReDiarioFert!E49:E55)/2)*$C$12)))</f>
        <v>31.623848032826217</v>
      </c>
      <c r="I28">
        <f>IF(((SUM(ReDiarioFert!G49:G55)/2)*$C$12)&lt;=0,"0",(((SUM(ReDiarioFert!G49:G55)/2)*$C$12)))</f>
        <v>105.92524199475065</v>
      </c>
      <c r="K28">
        <f>IF(((SUM(ReDiarioFert!I49:I55)/2)*$C$12)&lt;=0,"0",(((SUM(ReDiarioFert!I49:I55)/2)*$C$12)))</f>
        <v>58.91990045877141</v>
      </c>
      <c r="M28">
        <f>IF(((SUM(ReDiarioFert!K49:K55)/2)*$C$12)&lt;=0,"0",(((SUM(ReDiarioFert!K49:K55)/2)*$C$12)))</f>
        <v>121.44919037527644</v>
      </c>
      <c r="O28">
        <f>IF(((SUM(ReDiarioFert!M49:M55)/2)*$C$12)&lt;=0,"0",(((SUM(ReDiarioFert!M49:M55)/2)*$C$12)))</f>
        <v>437.3785756097561</v>
      </c>
      <c r="Q28">
        <f>$C$12*Main!$D$63</f>
        <v>26.879999999999995</v>
      </c>
      <c r="S28">
        <f>((E28/100)*$G$64+(G28/100)*$G$65+(I28/100)*$G$66+(K28/100)*$G$67+(M28/100)*$G$68+(O28)*$G$69+(Q28*$G$70))</f>
        <v>3587.1508210680895</v>
      </c>
    </row>
    <row r="29">
      <c r="B29">
        <f>B28+4</f>
        <v>49</v>
      </c>
      <c r="C29">
        <f>$J$11+B29</f>
        <v>39990</v>
      </c>
      <c r="E29">
        <f>E28</f>
        <v>23.565849278595326</v>
      </c>
      <c r="G29">
        <f>G28</f>
        <v>31.623848032826217</v>
      </c>
      <c r="I29">
        <f>I28</f>
        <v>105.92524199475065</v>
      </c>
      <c r="K29">
        <f>K28</f>
        <v>58.91990045877141</v>
      </c>
      <c r="M29">
        <f>M28</f>
        <v>121.44919037527644</v>
      </c>
      <c r="O29">
        <f>O28</f>
        <v>437.3785756097561</v>
      </c>
      <c r="S29">
        <f>((E29/100)*$G$64+(G29/100)*$G$65+(I29/100)*$G$66+(K29/100)*$G$67+(M29/100)*$G$68+(O29)*$G$69+(Q29*$G$70))</f>
        <v>3511.8868210680894</v>
      </c>
    </row>
    <row r="30">
      <c r="A30">
        <v>8</v>
      </c>
      <c r="B30">
        <f>B29+3</f>
        <v>52</v>
      </c>
      <c r="C30">
        <f>$J$11+B30</f>
        <v>39993</v>
      </c>
      <c r="E30">
        <f>IF(((SUM(ReDiarioFert!C56:C62)/2)*$C$12)&lt;=0,"0",(((SUM(ReDiarioFert!C56:C62)/2)*$C$12)))</f>
        <v>26.095143302756213</v>
      </c>
      <c r="G30">
        <f>IF(((SUM(ReDiarioFert!E56:E62)/2)*$C$12)&lt;=0,"0",(((SUM(ReDiarioFert!E56:E62)/2)*$C$12)))</f>
        <v>35.80935733128851</v>
      </c>
      <c r="I30">
        <f>IF(((SUM(ReDiarioFert!G56:G62)/2)*$C$12)&lt;=0,"0",(((SUM(ReDiarioFert!G56:G62)/2)*$C$12)))</f>
        <v>128.1695428136483</v>
      </c>
      <c r="K30">
        <f>IF(((SUM(ReDiarioFert!I56:I62)/2)*$C$12)&lt;=0,"0",(((SUM(ReDiarioFert!I56:I62)/2)*$C$12)))</f>
        <v>71.2930795551134</v>
      </c>
      <c r="M30">
        <f>IF(((SUM(ReDiarioFert!K56:K62)/2)*$C$12)&lt;=0,"0",(((SUM(ReDiarioFert!K56:K62)/2)*$C$12)))</f>
        <v>146.9535203540845</v>
      </c>
      <c r="O30">
        <f>IF(((SUM(ReDiarioFert!M56:M62)/2)*$C$12)&lt;=0,"0",(((SUM(ReDiarioFert!M56:M62)/2)*$C$12)))</f>
        <v>537.5409951219511</v>
      </c>
      <c r="Q30">
        <f>$C$12*Main!$D$63</f>
        <v>26.879999999999995</v>
      </c>
      <c r="S30">
        <f>((E30/100)*$G$64+(G30/100)*$G$65+(I30/100)*$G$66+(K30/100)*$G$67+(M30/100)*$G$68+(O30)*$G$69+(Q30*$G$70))</f>
        <v>4238.768992562315</v>
      </c>
    </row>
    <row r="31">
      <c r="B31">
        <f>B30+4</f>
        <v>56</v>
      </c>
      <c r="C31">
        <f>$J$11+B31</f>
        <v>39997</v>
      </c>
      <c r="E31">
        <f>E30</f>
        <v>26.095143302756213</v>
      </c>
      <c r="G31">
        <f>G30</f>
        <v>35.80935733128851</v>
      </c>
      <c r="I31">
        <f>I30</f>
        <v>128.1695428136483</v>
      </c>
      <c r="K31">
        <f>K30</f>
        <v>71.2930795551134</v>
      </c>
      <c r="M31">
        <f>M30</f>
        <v>146.9535203540845</v>
      </c>
      <c r="O31">
        <f>O30</f>
        <v>537.5409951219511</v>
      </c>
      <c r="S31">
        <f>((E31/100)*$G$64+(G31/100)*$G$65+(I31/100)*$G$66+(K31/100)*$G$67+(M31/100)*$G$68+(O31)*$G$69+(Q31*$G$70))</f>
        <v>4163.504992562315</v>
      </c>
    </row>
    <row r="32">
      <c r="A32">
        <v>9</v>
      </c>
      <c r="B32">
        <f>B31+3</f>
        <v>59</v>
      </c>
      <c r="C32">
        <f>$J$11+B32</f>
        <v>40000</v>
      </c>
      <c r="E32">
        <f>IF(((SUM(ReDiarioFert!C63:C69)/2)*$C$12)&lt;=0,"0",(((SUM(ReDiarioFert!C63:C69)/2)*$C$12)))</f>
        <v>26.095143302756213</v>
      </c>
      <c r="G32">
        <f>IF(((SUM(ReDiarioFert!E63:E69)/2)*$C$12)&lt;=0,"0",(((SUM(ReDiarioFert!E63:E69)/2)*$C$12)))</f>
        <v>35.80935733128851</v>
      </c>
      <c r="I32">
        <f>IF(((SUM(ReDiarioFert!G63:G69)/2)*$C$12)&lt;=0,"0",(((SUM(ReDiarioFert!G63:G69)/2)*$C$12)))</f>
        <v>128.1695428136483</v>
      </c>
      <c r="K32">
        <f>IF(((SUM(ReDiarioFert!I63:I69)/2)*$C$12)&lt;=0,"0",(((SUM(ReDiarioFert!I63:I69)/2)*$C$12)))</f>
        <v>71.2930795551134</v>
      </c>
      <c r="M32">
        <f>IF(((SUM(ReDiarioFert!K63:K69)/2)*$C$12)&lt;=0,"0",(((SUM(ReDiarioFert!K63:K69)/2)*$C$12)))</f>
        <v>146.9535203540845</v>
      </c>
      <c r="O32">
        <f>IF(((SUM(ReDiarioFert!M63:M69)/2)*$C$12)&lt;=0,"0",(((SUM(ReDiarioFert!M63:M69)/2)*$C$12)))</f>
        <v>557.5738068292683</v>
      </c>
      <c r="Q32">
        <f>$C$12*Main!$D$63</f>
        <v>26.879999999999995</v>
      </c>
      <c r="S32">
        <f>((E32/100)*$G$64+(G32/100)*$G$65+(I32/100)*$G$66+(K32/100)*$G$67+(M32/100)*$G$68+(O32)*$G$69+(Q32*$G$70))</f>
        <v>4239.570305030607</v>
      </c>
    </row>
    <row r="33">
      <c r="B33">
        <f>B32+4</f>
        <v>63</v>
      </c>
      <c r="C33">
        <f>$J$11+B33</f>
        <v>40004</v>
      </c>
      <c r="E33">
        <f>E32</f>
        <v>26.095143302756213</v>
      </c>
      <c r="G33">
        <f>G32</f>
        <v>35.80935733128851</v>
      </c>
      <c r="I33">
        <f>I32</f>
        <v>128.1695428136483</v>
      </c>
      <c r="K33">
        <f>K32</f>
        <v>71.2930795551134</v>
      </c>
      <c r="M33">
        <f>M32</f>
        <v>146.9535203540845</v>
      </c>
      <c r="O33">
        <f>O32</f>
        <v>557.5738068292683</v>
      </c>
      <c r="S33">
        <f>((E33/100)*$G$64+(G33/100)*$G$65+(I33/100)*$G$66+(K33/100)*$G$67+(M33/100)*$G$68+(O33)*$G$69+(Q33*$G$70))</f>
        <v>4164.306305030607</v>
      </c>
    </row>
    <row r="34">
      <c r="A34">
        <v>10</v>
      </c>
      <c r="B34">
        <f>B33+3</f>
        <v>66</v>
      </c>
      <c r="C34">
        <f>$J$11+B34</f>
        <v>40007</v>
      </c>
      <c r="E34">
        <f>IF(((SUM(ReDiarioFert!C70:C76)/2)*$C$12)&lt;=0,"0",(((SUM(ReDiarioFert!C70:C76)/2)*$C$12)))</f>
        <v>16.66925796762668</v>
      </c>
      <c r="G34">
        <f>IF(((SUM(ReDiarioFert!E70:E76)/2)*$C$12)&lt;=0,"0",(((SUM(ReDiarioFert!E70:E76)/2)*$C$12)))</f>
        <v>30.38369712957814</v>
      </c>
      <c r="I34">
        <f>IF(((SUM(ReDiarioFert!G70:G76)/2)*$C$12)&lt;=0,"0",(((SUM(ReDiarioFert!G70:G76)/2)*$C$12)))</f>
        <v>166.09077944776902</v>
      </c>
      <c r="K34">
        <f>IF(((SUM(ReDiarioFert!I70:I76)/2)*$C$12)&lt;=0,"0",(((SUM(ReDiarioFert!I70:I76)/2)*$C$12)))</f>
        <v>92.38640391935357</v>
      </c>
      <c r="M34">
        <f>IF(((SUM(ReDiarioFert!K70:K76)/2)*$C$12)&lt;=0,"0",(((SUM(ReDiarioFert!K70:K76)/2)*$C$12)))</f>
        <v>190.43233050843347</v>
      </c>
      <c r="O34">
        <f>IF(((SUM(ReDiarioFert!M70:M76)/2)*$C$12)&lt;=0,"0",(((SUM(ReDiarioFert!M70:M76)/2)*$C$12)))</f>
        <v>677.7706770731708</v>
      </c>
      <c r="Q34">
        <f>$C$12*Main!$D$63</f>
        <v>26.879999999999995</v>
      </c>
      <c r="S34">
        <f>((E34/100)*$G$64+(G34/100)*$G$65+(I34/100)*$G$66+(K34/100)*$G$67+(M34/100)*$G$68+(O34)*$G$69+(Q34*$G$70))</f>
        <v>4898.960216317033</v>
      </c>
    </row>
    <row r="35">
      <c r="B35">
        <f>B34+4</f>
        <v>70</v>
      </c>
      <c r="C35">
        <f>$J$11+B35</f>
        <v>40011</v>
      </c>
      <c r="E35">
        <f>E34</f>
        <v>16.66925796762668</v>
      </c>
      <c r="G35">
        <f>G34</f>
        <v>30.38369712957814</v>
      </c>
      <c r="I35">
        <f>I34</f>
        <v>166.09077944776902</v>
      </c>
      <c r="K35">
        <f>K34</f>
        <v>92.38640391935357</v>
      </c>
      <c r="M35">
        <f>M34</f>
        <v>190.43233050843347</v>
      </c>
      <c r="O35">
        <f>O34</f>
        <v>677.7706770731708</v>
      </c>
      <c r="S35">
        <f>((E35/100)*$G$64+(G35/100)*$G$65+(I35/100)*$G$66+(K35/100)*$G$67+(M35/100)*$G$68+(O35)*$G$69+(Q35*$G$70))</f>
        <v>4823.696216317033</v>
      </c>
    </row>
    <row r="36">
      <c r="A36">
        <v>11</v>
      </c>
      <c r="B36">
        <f>B35+3</f>
        <v>73</v>
      </c>
      <c r="C36">
        <f>$J$11+B36</f>
        <v>40014</v>
      </c>
      <c r="E36">
        <f>IF(((SUM(ReDiarioFert!C77:C83)/2)*$C$12)&lt;=0,"0",(((SUM(ReDiarioFert!C77:C83)/2)*$C$12)))</f>
        <v>16.66925796762668</v>
      </c>
      <c r="G36">
        <f>IF(((SUM(ReDiarioFert!E77:E83)/2)*$C$12)&lt;=0,"0",(((SUM(ReDiarioFert!E77:E83)/2)*$C$12)))</f>
        <v>30.38369712957814</v>
      </c>
      <c r="I36">
        <f>IF(((SUM(ReDiarioFert!G77:G83)/2)*$C$12)&lt;=0,"0",(((SUM(ReDiarioFert!G77:G83)/2)*$C$12)))</f>
        <v>166.09077944776902</v>
      </c>
      <c r="K36">
        <f>IF(((SUM(ReDiarioFert!I77:I83)/2)*$C$12)&lt;=0,"0",(((SUM(ReDiarioFert!I77:I83)/2)*$C$12)))</f>
        <v>92.38640391935357</v>
      </c>
      <c r="M36">
        <f>IF(((SUM(ReDiarioFert!K77:K83)/2)*$C$12)&lt;=0,"0",(((SUM(ReDiarioFert!K77:K83)/2)*$C$12)))</f>
        <v>190.43233050843347</v>
      </c>
      <c r="O36">
        <f>IF(((SUM(ReDiarioFert!M77:M83)/2)*$C$12)&lt;=0,"0",(((SUM(ReDiarioFert!M77:M83)/2)*$C$12)))</f>
        <v>677.7706770731708</v>
      </c>
      <c r="Q36">
        <f>$C$12*Main!$D$63</f>
        <v>26.879999999999995</v>
      </c>
      <c r="S36">
        <f>((E36/100)*$G$64+(G36/100)*$G$65+(I36/100)*$G$66+(K36/100)*$G$67+(M36/100)*$G$68+(O36)*$G$69+(Q36*$G$70))</f>
        <v>4898.960216317033</v>
      </c>
    </row>
    <row r="37">
      <c r="B37">
        <f>B36+4</f>
        <v>77</v>
      </c>
      <c r="C37">
        <f>$J$11+B37</f>
        <v>40018</v>
      </c>
      <c r="E37">
        <f>E36</f>
        <v>16.66925796762668</v>
      </c>
      <c r="G37">
        <f>G36</f>
        <v>30.38369712957814</v>
      </c>
      <c r="I37">
        <f>I36</f>
        <v>166.09077944776902</v>
      </c>
      <c r="K37">
        <f>K36</f>
        <v>92.38640391935357</v>
      </c>
      <c r="M37">
        <f>M36</f>
        <v>190.43233050843347</v>
      </c>
      <c r="O37">
        <f>O36</f>
        <v>677.7706770731708</v>
      </c>
      <c r="S37">
        <f>((E37/100)*$G$64+(G37/100)*$G$65+(I37/100)*$G$66+(K37/100)*$G$67+(M37/100)*$G$68+(O37)*$G$69+(Q37*$G$70))</f>
        <v>4823.696216317033</v>
      </c>
    </row>
    <row r="38">
      <c r="A38">
        <v>12</v>
      </c>
      <c r="B38">
        <f>B37+3</f>
        <v>80</v>
      </c>
      <c r="C38">
        <f>$J$11+B38</f>
        <v>40021</v>
      </c>
      <c r="E38">
        <f>IF(((SUM(ReDiarioFert!C84:C90)/2)*$C$12)&lt;=0,"0",(((SUM(ReDiarioFert!C84:C90)/2)*$C$12)))</f>
        <v>11.098007640761947</v>
      </c>
      <c r="G38">
        <f>IF(((SUM(ReDiarioFert!E84:E90)/2)*$C$12)&lt;=0,"0",(((SUM(ReDiarioFert!E84:E90)/2)*$C$12)))</f>
        <v>34.1041498393224</v>
      </c>
      <c r="I38">
        <f>IF(((SUM(ReDiarioFert!G84:G90)/2)*$C$12)&lt;=0,"0",(((SUM(ReDiarioFert!G84:G90)/2)*$C$12)))</f>
        <v>174.08056912965878</v>
      </c>
      <c r="K38">
        <f>IF(((SUM(ReDiarioFert!I84:I90)/2)*$C$12)&lt;=0,"0",(((SUM(ReDiarioFert!I84:I90)/2)*$C$12)))</f>
        <v>96.83064783967235</v>
      </c>
      <c r="M38">
        <f>IF(((SUM(ReDiarioFert!K84:K90)/2)*$C$12)&lt;=0,"0",(((SUM(ReDiarioFert!K84:K90)/2)*$C$12)))</f>
        <v>199.59306943959717</v>
      </c>
      <c r="O38">
        <f>IF(((SUM(ReDiarioFert!M84:M90)/2)*$C$12)&lt;=0,"0",(((SUM(ReDiarioFert!M84:M90)/2)*$C$12)))</f>
        <v>757.9006126829267</v>
      </c>
      <c r="Q38">
        <f>$C$12*Main!$D$63</f>
        <v>26.879999999999995</v>
      </c>
      <c r="S38">
        <f>((E38/100)*$G$64+(G38/100)*$G$65+(I38/100)*$G$66+(K38/100)*$G$67+(M38/100)*$G$68+(O38)*$G$69+(Q38*$G$70))</f>
        <v>5158.898116116021</v>
      </c>
    </row>
    <row r="39">
      <c r="B39">
        <f>B38+4</f>
        <v>84</v>
      </c>
      <c r="C39">
        <f>$J$11+B39</f>
        <v>40025</v>
      </c>
      <c r="E39">
        <f>E38</f>
        <v>11.098007640761947</v>
      </c>
      <c r="G39">
        <f>G38</f>
        <v>34.1041498393224</v>
      </c>
      <c r="I39">
        <f>I38</f>
        <v>174.08056912965878</v>
      </c>
      <c r="K39">
        <f>K38</f>
        <v>96.83064783967235</v>
      </c>
      <c r="M39">
        <f>M38</f>
        <v>199.59306943959717</v>
      </c>
      <c r="O39">
        <f>O38</f>
        <v>757.9006126829267</v>
      </c>
      <c r="S39">
        <f>((E39/100)*$G$64+(G39/100)*$G$65+(I39/100)*$G$66+(K39/100)*$G$67+(M39/100)*$G$68+(O39)*$G$69+(Q39*$G$70))</f>
        <v>5083.634116116021</v>
      </c>
    </row>
    <row r="40" ht="18" customHeight="1">
      <c r="A40">
        <v>13</v>
      </c>
      <c r="B40">
        <f>B39+3</f>
        <v>87</v>
      </c>
      <c r="C40">
        <f>$J$11+B40</f>
        <v>40028</v>
      </c>
      <c r="E40">
        <f>IF(((SUM(ReDiarioFert!C91:C97)/2)*$C$12)&lt;=0,"0",(((SUM(ReDiarioFert!C91:C97)/2)*$C$12)))</f>
        <v>6.919569895613395</v>
      </c>
      <c r="G40">
        <f>IF(((SUM(ReDiarioFert!E91:E97)/2)*$C$12)&lt;=0,"0",(((SUM(ReDiarioFert!E91:E97)/2)*$C$12)))</f>
        <v>36.8944893716306</v>
      </c>
      <c r="I40">
        <f>IF(((SUM(ReDiarioFert!G91:G97)/2)*$C$12)&lt;=0,"0",(((SUM(ReDiarioFert!G91:G97)/2)*$C$12)))</f>
        <v>180.07291139107616</v>
      </c>
      <c r="K40">
        <f>IF(((SUM(ReDiarioFert!I91:I97)/2)*$C$12)&lt;=0,"0",(((SUM(ReDiarioFert!I91:I97)/2)*$C$12)))</f>
        <v>100.16383077991142</v>
      </c>
      <c r="M40">
        <f>IF(((SUM(ReDiarioFert!K91:K97)/2)*$C$12)&lt;=0,"0",(((SUM(ReDiarioFert!K91:K97)/2)*$C$12)))</f>
        <v>206.46362363797</v>
      </c>
      <c r="O40">
        <f>IF(((SUM(ReDiarioFert!M91:M97)/2)*$C$12)&lt;=0,"0",(((SUM(ReDiarioFert!M91:M97)/2)*$C$12)))</f>
        <v>817.9980643902439</v>
      </c>
      <c r="Q40">
        <f>$C$12*Main!$D$63</f>
        <v>26.879999999999995</v>
      </c>
      <c r="S40">
        <f>((E40/100)*$G$64+(G40/100)*$G$65+(I40/100)*$G$66+(K40/100)*$G$67+(M40/100)*$G$68+(O40)*$G$69+(Q40*$G$70))</f>
        <v>5353.851540965263</v>
      </c>
    </row>
    <row r="41" ht="18" customHeight="1">
      <c r="B41">
        <f>B40+4</f>
        <v>91</v>
      </c>
      <c r="C41">
        <f>$J$11+B41</f>
        <v>40032</v>
      </c>
      <c r="E41">
        <f>E40</f>
        <v>6.919569895613395</v>
      </c>
      <c r="G41">
        <f>G40</f>
        <v>36.8944893716306</v>
      </c>
      <c r="I41">
        <f>I40</f>
        <v>180.07291139107616</v>
      </c>
      <c r="K41">
        <f>K40</f>
        <v>100.16383077991142</v>
      </c>
      <c r="M41">
        <f>M40</f>
        <v>206.46362363797</v>
      </c>
      <c r="O41">
        <f>O40</f>
        <v>817.9980643902439</v>
      </c>
      <c r="S41">
        <f>((E41/100)*$G$64+(G41/100)*$G$65+(I41/100)*$G$66+(K41/100)*$G$67+(M41/100)*$G$68+(O41)*$G$69+(Q41*$G$70))</f>
        <v>5278.587540965263</v>
      </c>
    </row>
    <row r="42">
      <c r="A42">
        <v>14</v>
      </c>
      <c r="B42">
        <f>B41+3</f>
        <v>94</v>
      </c>
      <c r="C42">
        <f>$J$11+B42</f>
        <v>40035</v>
      </c>
      <c r="E42">
        <f>IF(((SUM(ReDiarioFert!C98:C104)/2)*$C$12)&lt;=0,"0",(((SUM(ReDiarioFert!C98:C104)/2)*$C$12)))</f>
        <v>6.919569895613395</v>
      </c>
      <c r="G42">
        <f>IF(((SUM(ReDiarioFert!E98:E104)/2)*$C$12)&lt;=0,"0",(((SUM(ReDiarioFert!E98:E104)/2)*$C$12)))</f>
        <v>36.8944893716306</v>
      </c>
      <c r="I42">
        <f>IF(((SUM(ReDiarioFert!G98:G104)/2)*$C$12)&lt;=0,"0",(((SUM(ReDiarioFert!G98:G104)/2)*$C$12)))</f>
        <v>180.07291139107616</v>
      </c>
      <c r="K42">
        <f>IF(((SUM(ReDiarioFert!I98:I104)/2)*$C$12)&lt;=0,"0",(((SUM(ReDiarioFert!I98:I104)/2)*$C$12)))</f>
        <v>100.16383077991142</v>
      </c>
      <c r="M42">
        <f>IF(((SUM(ReDiarioFert!K98:K104)/2)*$C$12)&lt;=0,"0",(((SUM(ReDiarioFert!K98:K104)/2)*$C$12)))</f>
        <v>206.46362363797</v>
      </c>
      <c r="O42">
        <f>IF(((SUM(ReDiarioFert!M98:M104)/2)*$C$12)&lt;=0,"0",(((SUM(ReDiarioFert!M98:M104)/2)*$C$12)))</f>
        <v>817.9980643902439</v>
      </c>
      <c r="Q42">
        <f>$C$12*Main!$D$63</f>
        <v>26.879999999999995</v>
      </c>
      <c r="S42">
        <f>((E42/100)*$G$64+(G42/100)*$G$65+(I42/100)*$G$66+(K42/100)*$G$67+(M42/100)*$G$68+(O42)*$G$69+(Q42*$G$70))</f>
        <v>5353.851540965263</v>
      </c>
    </row>
    <row r="43">
      <c r="B43">
        <f>B42+4</f>
        <v>98</v>
      </c>
      <c r="C43">
        <f>$J$11+B43</f>
        <v>40039</v>
      </c>
      <c r="E43">
        <f>E42</f>
        <v>6.919569895613395</v>
      </c>
      <c r="G43">
        <f>G42</f>
        <v>36.8944893716306</v>
      </c>
      <c r="I43">
        <f>I42</f>
        <v>180.07291139107616</v>
      </c>
      <c r="K43">
        <f>K42</f>
        <v>100.16383077991142</v>
      </c>
      <c r="M43">
        <f>M42</f>
        <v>206.46362363797</v>
      </c>
      <c r="O43">
        <f>O42</f>
        <v>817.9980643902439</v>
      </c>
      <c r="S43">
        <f>((E43/100)*$G$64+(G43/100)*$G$65+(I43/100)*$G$66+(K43/100)*$G$67+(M43/100)*$G$68+(O43)*$G$69+(Q43*$G$70))</f>
        <v>5278.587540965263</v>
      </c>
    </row>
    <row r="44">
      <c r="A44">
        <v>15</v>
      </c>
      <c r="B44">
        <f>B43+3</f>
        <v>101</v>
      </c>
      <c r="C44">
        <f>$J$11+B44</f>
        <v>40042</v>
      </c>
      <c r="E44">
        <f>IF(((SUM(ReDiarioFert!C105:C111)/2)*$C$12)&lt;=0,"0",(((SUM(ReDiarioFert!C105:C111)/2)*$C$12)))</f>
        <v>6.919569895613395</v>
      </c>
      <c r="G44">
        <f>IF(((SUM(ReDiarioFert!E105:E111)/2)*$C$12)&lt;=0,"0",(((SUM(ReDiarioFert!E105:E111)/2)*$C$12)))</f>
        <v>36.8944893716306</v>
      </c>
      <c r="I44">
        <f>IF(((SUM(ReDiarioFert!G105:G111)/2)*$C$12)&lt;=0,"0",(((SUM(ReDiarioFert!G105:G111)/2)*$C$12)))</f>
        <v>180.07291139107616</v>
      </c>
      <c r="K44">
        <f>IF(((SUM(ReDiarioFert!I105:I111)/2)*$C$12)&lt;=0,"0",(((SUM(ReDiarioFert!I105:I111)/2)*$C$12)))</f>
        <v>100.16383077991142</v>
      </c>
      <c r="M44">
        <f>IF(((SUM(ReDiarioFert!K105:K111)/2)*$C$12)&lt;=0,"0",(((SUM(ReDiarioFert!K105:K111)/2)*$C$12)))</f>
        <v>206.46362363797</v>
      </c>
      <c r="O44">
        <f>IF(((SUM(ReDiarioFert!M105:M111)/2)*$C$12)&lt;=0,"0",(((SUM(ReDiarioFert!M105:M111)/2)*$C$12)))</f>
        <v>817.9980643902439</v>
      </c>
      <c r="Q44">
        <f>$C$12*Main!$D$63</f>
        <v>26.879999999999995</v>
      </c>
      <c r="S44">
        <f>((E44/100)*$G$64+(G44/100)*$G$65+(I44/100)*$G$66+(K44/100)*$G$67+(M44/100)*$G$68+(O44)*$G$69+(Q44*$G$70))</f>
        <v>5353.851540965263</v>
      </c>
    </row>
    <row r="45">
      <c r="B45">
        <f>B44+4</f>
        <v>105</v>
      </c>
      <c r="C45">
        <f>$J$11+B45</f>
        <v>40046</v>
      </c>
      <c r="E45">
        <f>E44</f>
        <v>6.919569895613395</v>
      </c>
      <c r="G45">
        <f>G44</f>
        <v>36.8944893716306</v>
      </c>
      <c r="I45">
        <f>I44</f>
        <v>180.07291139107616</v>
      </c>
      <c r="K45">
        <f>K44</f>
        <v>100.16383077991142</v>
      </c>
      <c r="M45">
        <f>M44</f>
        <v>206.46362363797</v>
      </c>
      <c r="O45">
        <f>O44</f>
        <v>817.9980643902439</v>
      </c>
      <c r="S45">
        <f>((E45/100)*$G$64+(G45/100)*$G$65+(I45/100)*$G$66+(K45/100)*$G$67+(M45/100)*$G$68+(O45)*$G$69+(Q45*$G$70))</f>
        <v>5278.587540965263</v>
      </c>
    </row>
    <row r="46">
      <c r="A46">
        <v>16</v>
      </c>
      <c r="B46">
        <f>B45+3</f>
        <v>108</v>
      </c>
      <c r="C46">
        <f>$J$11+B46</f>
        <v>40049</v>
      </c>
      <c r="E46">
        <f>IF(((SUM(ReDiarioFert!C112:C118)/2)*$C$12)&lt;=0,"0",(((SUM(ReDiarioFert!C112:C118)/2)*$C$12)))</f>
        <v>6.919569895613395</v>
      </c>
      <c r="G46">
        <f>IF(((SUM(ReDiarioFert!E112:E118)/2)*$C$12)&lt;=0,"0",(((SUM(ReDiarioFert!E112:E118)/2)*$C$12)))</f>
        <v>36.8944893716306</v>
      </c>
      <c r="I46">
        <f>IF(((SUM(ReDiarioFert!G112:G118)/2)*$C$12)&lt;=0,"0",(((SUM(ReDiarioFert!G112:G118)/2)*$C$12)))</f>
        <v>180.07291139107616</v>
      </c>
      <c r="K46">
        <f>IF(((SUM(ReDiarioFert!I112:I118)/2)*$C$12)&lt;=0,"0",(((SUM(ReDiarioFert!I112:I118)/2)*$C$12)))</f>
        <v>100.16383077991142</v>
      </c>
      <c r="M46">
        <f>IF(((SUM(ReDiarioFert!K112:K118)/2)*$C$12)&lt;=0,"0",(((SUM(ReDiarioFert!K112:K118)/2)*$C$12)))</f>
        <v>206.46362363797</v>
      </c>
      <c r="O46">
        <f>IF(((SUM(ReDiarioFert!M112:M118)/2)*$C$12)&lt;=0,"0",(((SUM(ReDiarioFert!M112:M118)/2)*$C$12)))</f>
        <v>817.9980643902439</v>
      </c>
      <c r="Q46">
        <f>$C$12*Main!$D$63</f>
        <v>26.879999999999995</v>
      </c>
      <c r="S46">
        <f>((E46/100)*$G$64+(G46/100)*$G$65+(I46/100)*$G$66+(K46/100)*$G$67+(M46/100)*$G$68+(O46)*$G$69+(Q46*$G$70))</f>
        <v>5353.851540965263</v>
      </c>
    </row>
    <row r="47">
      <c r="B47">
        <f>B46+4</f>
        <v>112</v>
      </c>
      <c r="C47">
        <f>$J$11+B47</f>
        <v>40053</v>
      </c>
      <c r="E47">
        <f>E46</f>
        <v>6.919569895613395</v>
      </c>
      <c r="G47">
        <f>G46</f>
        <v>36.8944893716306</v>
      </c>
      <c r="I47">
        <f>I46</f>
        <v>180.07291139107616</v>
      </c>
      <c r="K47">
        <f>K46</f>
        <v>100.16383077991142</v>
      </c>
      <c r="M47">
        <f>M46</f>
        <v>206.46362363797</v>
      </c>
      <c r="O47">
        <f>O46</f>
        <v>817.9980643902439</v>
      </c>
      <c r="S47">
        <f>((E47/100)*$G$64+(G47/100)*$G$65+(I47/100)*$G$66+(K47/100)*$G$67+(M47/100)*$G$68+(O47)*$G$69+(Q47*$G$70))</f>
        <v>5278.587540965263</v>
      </c>
    </row>
    <row r="48">
      <c r="A48">
        <v>17</v>
      </c>
      <c r="B48">
        <f>B47+3</f>
        <v>115</v>
      </c>
      <c r="C48">
        <f>$J$11+B48</f>
        <v>40056</v>
      </c>
      <c r="E48">
        <f>IF(((SUM(ReDiarioFert!C119:C125)/2)*$C$12)&lt;=0,"0",(((SUM(ReDiarioFert!C119:C125)/2)*$C$12)))</f>
        <v>6.919569895613395</v>
      </c>
      <c r="G48">
        <f>IF(((SUM(ReDiarioFert!E119:E125)/2)*$C$12)&lt;=0,"0",(((SUM(ReDiarioFert!E119:E125)/2)*$C$12)))</f>
        <v>36.8944893716306</v>
      </c>
      <c r="I48">
        <f>IF(((SUM(ReDiarioFert!G119:G125)/2)*$C$12)&lt;=0,"0",(((SUM(ReDiarioFert!G119:G125)/2)*$C$12)))</f>
        <v>180.07291139107616</v>
      </c>
      <c r="K48">
        <f>IF(((SUM(ReDiarioFert!I119:I125)/2)*$C$12)&lt;=0,"0",(((SUM(ReDiarioFert!I119:I125)/2)*$C$12)))</f>
        <v>100.16383077991142</v>
      </c>
      <c r="M48">
        <f>IF(((SUM(ReDiarioFert!K119:K125)/2)*$C$12)&lt;=0,"0",(((SUM(ReDiarioFert!K119:K125)/2)*$C$12)))</f>
        <v>206.46362363797</v>
      </c>
      <c r="O48">
        <f>IF(((SUM(ReDiarioFert!M119:M125)/2)*$C$12)&lt;=0,"0",(((SUM(ReDiarioFert!M119:M125)/2)*$C$12)))</f>
        <v>817.9980643902439</v>
      </c>
      <c r="Q48">
        <f>$C$12*Main!$D$63</f>
        <v>26.879999999999995</v>
      </c>
      <c r="S48">
        <f>((E48/100)*$G$64+(G48/100)*$G$65+(I48/100)*$G$66+(K48/100)*$G$67+(M48/100)*$G$68+(O48)*$G$69+(Q48*$G$70))</f>
        <v>5353.851540965263</v>
      </c>
    </row>
    <row r="49">
      <c r="B49">
        <f>B48+4</f>
        <v>119</v>
      </c>
      <c r="C49">
        <f>$J$11+B49</f>
        <v>40060</v>
      </c>
      <c r="E49">
        <f>E48</f>
        <v>6.919569895613395</v>
      </c>
      <c r="G49">
        <f>G48</f>
        <v>36.8944893716306</v>
      </c>
      <c r="I49">
        <f>I48</f>
        <v>180.07291139107616</v>
      </c>
      <c r="K49">
        <f>K48</f>
        <v>100.16383077991142</v>
      </c>
      <c r="M49">
        <f>M48</f>
        <v>206.46362363797</v>
      </c>
      <c r="O49">
        <f>O48</f>
        <v>817.9980643902439</v>
      </c>
      <c r="S49">
        <f>((E49/100)*$G$64+(G49/100)*$G$65+(I49/100)*$G$66+(K49/100)*$G$67+(M49/100)*$G$68+(O49)*$G$69+(Q49*$G$70))</f>
        <v>5278.587540965263</v>
      </c>
    </row>
    <row r="50">
      <c r="A50">
        <v>18</v>
      </c>
      <c r="B50">
        <f>B49+3</f>
        <v>122</v>
      </c>
      <c r="C50">
        <f>$J$11+B50</f>
        <v>40063</v>
      </c>
      <c r="E50">
        <f>IF(((SUM(ReDiarioFert!C126:C132)/2)*$C$12)&lt;=0,"0",(((SUM(ReDiarioFert!C126:C132)/2)*$C$12)))</f>
        <v>6.919569895613395</v>
      </c>
      <c r="G50">
        <f>IF(((SUM(ReDiarioFert!E126:E132)/2)*$C$12)&lt;=0,"0",(((SUM(ReDiarioFert!E126:E132)/2)*$C$12)))</f>
        <v>36.8944893716306</v>
      </c>
      <c r="I50">
        <f>IF(((SUM(ReDiarioFert!G126:G132)/2)*$C$12)&lt;=0,"0",(((SUM(ReDiarioFert!G126:G132)/2)*$C$12)))</f>
        <v>180.07291139107616</v>
      </c>
      <c r="K50">
        <f>IF(((SUM(ReDiarioFert!I126:I132)/2)*$C$12)&lt;=0,"0",(((SUM(ReDiarioFert!I126:I132)/2)*$C$12)))</f>
        <v>100.16383077991142</v>
      </c>
      <c r="M50">
        <f>IF(((SUM(ReDiarioFert!K126:K132)/2)*$C$12)&lt;=0,"0",(((SUM(ReDiarioFert!K126:K132)/2)*$C$12)))</f>
        <v>206.46362363797</v>
      </c>
      <c r="O50">
        <f>IF(((SUM(ReDiarioFert!M126:M132)/2)*$C$12)&lt;=0,"0",(((SUM(ReDiarioFert!M126:M132)/2)*$C$12)))</f>
        <v>817.9980643902439</v>
      </c>
      <c r="Q50">
        <f>$C$12*Main!$D$63</f>
        <v>26.879999999999995</v>
      </c>
      <c r="S50">
        <f>((E50/100)*$G$64+(G50/100)*$G$65+(I50/100)*$G$66+(K50/100)*$G$67+(M50/100)*$G$68+(O50)*$G$69+(Q50*$G$70))</f>
        <v>5353.851540965263</v>
      </c>
    </row>
    <row r="51">
      <c r="B51">
        <f>B50+4</f>
        <v>126</v>
      </c>
      <c r="C51">
        <f>$J$11+B51</f>
        <v>40067</v>
      </c>
      <c r="E51">
        <f>E50</f>
        <v>6.919569895613395</v>
      </c>
      <c r="G51">
        <f>G50</f>
        <v>36.8944893716306</v>
      </c>
      <c r="I51">
        <f>I50</f>
        <v>180.07291139107616</v>
      </c>
      <c r="K51">
        <f>K50</f>
        <v>100.16383077991142</v>
      </c>
      <c r="M51">
        <f>M50</f>
        <v>206.46362363797</v>
      </c>
      <c r="O51">
        <f>O50</f>
        <v>817.9980643902439</v>
      </c>
      <c r="S51">
        <f>((E51/100)*$G$64+(G51/100)*$G$65+(I51/100)*$G$66+(K51/100)*$G$67+(M51/100)*$G$68+(O51)*$G$69+(Q51*$G$70))</f>
        <v>5278.587540965263</v>
      </c>
    </row>
    <row r="52">
      <c r="A52">
        <v>19</v>
      </c>
      <c r="B52">
        <f>B51+3</f>
        <v>129</v>
      </c>
      <c r="C52">
        <f>$J$11+B52</f>
        <v>40070</v>
      </c>
      <c r="E52">
        <f>IF(((SUM(ReDiarioFert!C133:C139)/2)*$C$12)&lt;=0,"0",(((SUM(ReDiarioFert!C133:C139)/2)*$C$12)))</f>
        <v>6.919569895613395</v>
      </c>
      <c r="G52">
        <f>IF(((SUM(ReDiarioFert!E133:E139)/2)*$C$12)&lt;=0,"0",(((SUM(ReDiarioFert!E133:E139)/2)*$C$12)))</f>
        <v>36.8944893716306</v>
      </c>
      <c r="I52">
        <f>IF(((SUM(ReDiarioFert!G133:G139)/2)*$C$12)&lt;=0,"0",(((SUM(ReDiarioFert!G133:G139)/2)*$C$12)))</f>
        <v>180.07291139107616</v>
      </c>
      <c r="K52">
        <f>IF(((SUM(ReDiarioFert!I133:I139)/2)*$C$12)&lt;=0,"0",(((SUM(ReDiarioFert!I133:I139)/2)*$C$12)))</f>
        <v>100.16383077991142</v>
      </c>
      <c r="M52">
        <f>IF(((SUM(ReDiarioFert!K133:K139)/2)*$C$12)&lt;=0,"0",(((SUM(ReDiarioFert!K133:K139)/2)*$C$12)))</f>
        <v>206.46362363797</v>
      </c>
      <c r="O52">
        <f>IF(((SUM(ReDiarioFert!M133:M139)/2)*$C$12)&lt;=0,"0",(((SUM(ReDiarioFert!M133:M139)/2)*$C$12)))</f>
        <v>817.9980643902439</v>
      </c>
      <c r="Q52">
        <f>$C$12*Main!$D$63</f>
        <v>26.879999999999995</v>
      </c>
      <c r="S52">
        <f>((E52/100)*$G$64+(G52/100)*$G$65+(I52/100)*$G$66+(K52/100)*$G$67+(M52/100)*$G$68+(O52)*$G$69+(Q52*$G$70))</f>
        <v>5353.851540965263</v>
      </c>
    </row>
    <row r="53">
      <c r="B53">
        <f>B52+4</f>
        <v>133</v>
      </c>
      <c r="C53">
        <f>$J$11+B53</f>
        <v>40074</v>
      </c>
      <c r="E53">
        <f>E52</f>
        <v>6.919569895613395</v>
      </c>
      <c r="G53">
        <f>G52</f>
        <v>36.8944893716306</v>
      </c>
      <c r="I53">
        <f>I52</f>
        <v>180.07291139107616</v>
      </c>
      <c r="K53">
        <f>K52</f>
        <v>100.16383077991142</v>
      </c>
      <c r="M53">
        <f>M52</f>
        <v>206.46362363797</v>
      </c>
      <c r="O53">
        <f>O52</f>
        <v>817.9980643902439</v>
      </c>
      <c r="S53">
        <f>((E53/100)*$G$64+(G53/100)*$G$65+(I53/100)*$G$66+(K53/100)*$G$67+(M53/100)*$G$68+(O53)*$G$69+(Q53*$G$70))</f>
        <v>5278.587540965263</v>
      </c>
    </row>
    <row r="54">
      <c r="A54">
        <v>20</v>
      </c>
      <c r="B54">
        <f>B53+3</f>
        <v>136</v>
      </c>
      <c r="C54">
        <f>$J$11+B54</f>
        <v>40077</v>
      </c>
      <c r="E54">
        <f>IF(((SUM(ReDiarioFert!C140:C146)/2)*$C$12)&lt;=0,"0",(((SUM(ReDiarioFert!C140:C146)/2)*$C$12)))</f>
        <v>6.919569895613395</v>
      </c>
      <c r="G54">
        <f>IF(((SUM(ReDiarioFert!E140:E146)/2)*$C$12)&lt;=0,"0",(((SUM(ReDiarioFert!E140:E146)/2)*$C$12)))</f>
        <v>36.8944893716306</v>
      </c>
      <c r="I54">
        <f>IF(((SUM(ReDiarioFert!G140:G146)/2)*$C$12)&lt;=0,"0",(((SUM(ReDiarioFert!G140:G146)/2)*$C$12)))</f>
        <v>180.07291139107616</v>
      </c>
      <c r="K54">
        <f>IF(((SUM(ReDiarioFert!I140:I146)/2)*$C$12)&lt;=0,"0",(((SUM(ReDiarioFert!I140:I146)/2)*$C$12)))</f>
        <v>100.16383077991142</v>
      </c>
      <c r="M54">
        <f>IF(((SUM(ReDiarioFert!K140:K146)/2)*$C$12)&lt;=0,"0",(((SUM(ReDiarioFert!K140:K146)/2)*$C$12)))</f>
        <v>206.46362363797</v>
      </c>
      <c r="O54">
        <f>IF(((SUM(ReDiarioFert!M140:M146)/2)*$C$12)&lt;=0,"0",(((SUM(ReDiarioFert!M140:M146)/2)*$C$12)))</f>
        <v>817.9980643902439</v>
      </c>
      <c r="Q54">
        <f>$C$12*Main!$D$63</f>
        <v>26.879999999999995</v>
      </c>
      <c r="S54">
        <f>((E54/100)*$G$64+(G54/100)*$G$65+(I54/100)*$G$66+(K54/100)*$G$67+(M54/100)*$G$68+(O54)*$G$69+(Q54*$G$70))</f>
        <v>5353.851540965263</v>
      </c>
    </row>
    <row r="55">
      <c r="B55">
        <f>B54+4</f>
        <v>140</v>
      </c>
      <c r="C55">
        <f>$J$11+B55</f>
        <v>40081</v>
      </c>
      <c r="E55">
        <f>E54</f>
        <v>6.919569895613395</v>
      </c>
      <c r="G55">
        <f>G54</f>
        <v>36.8944893716306</v>
      </c>
      <c r="I55">
        <f>I54</f>
        <v>180.07291139107616</v>
      </c>
      <c r="K55">
        <f>K54</f>
        <v>100.16383077991142</v>
      </c>
      <c r="M55">
        <f>M54</f>
        <v>206.46362363797</v>
      </c>
      <c r="O55">
        <f>O54</f>
        <v>817.9980643902439</v>
      </c>
      <c r="S55">
        <f>((E55/100)*$G$64+(G55/100)*$G$65+(I55/100)*$G$66+(K55/100)*$G$67+(M55/100)*$G$68+(O55)*$G$69+(Q55*$G$70))</f>
        <v>5278.587540965263</v>
      </c>
    </row>
    <row r="56">
      <c r="A56">
        <v>21</v>
      </c>
      <c r="B56">
        <f>B55+3</f>
        <v>143</v>
      </c>
      <c r="C56">
        <f>$J$11+B56</f>
        <v>40084</v>
      </c>
      <c r="E56">
        <f>IF(((SUM(ReDiarioFert!C147:C153)/2)*$C$12)&lt;=0,"0",(((SUM(ReDiarioFert!C147:C153)/2)*$C$12)))</f>
        <v>6.919569895613395</v>
      </c>
      <c r="G56">
        <f>IF(((SUM(ReDiarioFert!E147:E153)/2)*$C$12)&lt;=0,"0",(((SUM(ReDiarioFert!E147:E153)/2)*$C$12)))</f>
        <v>36.8944893716306</v>
      </c>
      <c r="I56">
        <f>IF(((SUM(ReDiarioFert!G147:G153)/2)*$C$12)&lt;=0,"0",(((SUM(ReDiarioFert!G147:G153)/2)*$C$12)))</f>
        <v>180.07291139107616</v>
      </c>
      <c r="K56">
        <f>IF(((SUM(ReDiarioFert!I147:I153)/2)*$C$12)&lt;=0,"0",(((SUM(ReDiarioFert!I147:I153)/2)*$C$12)))</f>
        <v>100.16383077991142</v>
      </c>
      <c r="M56">
        <f>IF(((SUM(ReDiarioFert!K147:K153)/2)*$C$12)&lt;=0,"0",(((SUM(ReDiarioFert!K147:K153)/2)*$C$12)))</f>
        <v>206.46362363797</v>
      </c>
      <c r="O56">
        <f>IF(((SUM(ReDiarioFert!M147:M153)/2)*$C$12)&lt;=0,"0",(((SUM(ReDiarioFert!M147:M153)/2)*$C$12)))</f>
        <v>817.9980643902439</v>
      </c>
      <c r="Q56">
        <f>$C$12*Main!$D$63</f>
        <v>26.879999999999995</v>
      </c>
      <c r="S56">
        <f>((E56/100)*$G$64+(G56/100)*$G$65+(I56/100)*$G$66+(K56/100)*$G$67+(M56/100)*$G$68+(O56)*$G$69+(Q56*$G$70))</f>
        <v>5353.851540965263</v>
      </c>
    </row>
    <row r="57">
      <c r="B57">
        <f>B56+4</f>
        <v>147</v>
      </c>
      <c r="C57">
        <f>$J$11+B57</f>
        <v>40088</v>
      </c>
      <c r="E57">
        <f>E56</f>
        <v>6.919569895613395</v>
      </c>
      <c r="G57">
        <f>G56</f>
        <v>36.8944893716306</v>
      </c>
      <c r="I57">
        <f>I56</f>
        <v>180.07291139107616</v>
      </c>
      <c r="K57">
        <f>K56</f>
        <v>100.16383077991142</v>
      </c>
      <c r="M57">
        <f>M56</f>
        <v>206.46362363797</v>
      </c>
      <c r="O57">
        <f>O56</f>
        <v>817.9980643902439</v>
      </c>
      <c r="S57">
        <f>((E57/100)*$G$64+(G57/100)*$G$65+(I57/100)*$G$66+(K57/100)*$G$67+(M57/100)*$G$68+(O57)*$G$69+(Q57*$G$70))</f>
        <v>5278.587540965263</v>
      </c>
    </row>
    <row r="58">
      <c r="A58">
        <v>22</v>
      </c>
      <c r="B58">
        <f>B57+3</f>
        <v>150</v>
      </c>
      <c r="C58">
        <f>$J$11+B58</f>
        <v>40091</v>
      </c>
      <c r="E58">
        <f>IF(((SUM(ReDiarioFert!C154:C160)/2)*$C$12)&lt;=0,"0",(((SUM(ReDiarioFert!C154:C160)/2)*$C$12)))</f>
        <v>6.919569895613395</v>
      </c>
      <c r="G58">
        <f>IF(((SUM(ReDiarioFert!E154:E160)/2)*$C$12)&lt;=0,"0",(((SUM(ReDiarioFert!E154:E160)/2)*$C$12)))</f>
        <v>36.8944893716306</v>
      </c>
      <c r="I58">
        <f>IF(((SUM(ReDiarioFert!G154:G160)/2)*$C$12)&lt;=0,"0",(((SUM(ReDiarioFert!G154:G160)/2)*$C$12)))</f>
        <v>180.07291139107616</v>
      </c>
      <c r="K58">
        <f>IF(((SUM(ReDiarioFert!I154:I160)/2)*$C$12)&lt;=0,"0",(((SUM(ReDiarioFert!I154:I160)/2)*$C$12)))</f>
        <v>100.16383077991142</v>
      </c>
      <c r="M58">
        <f>IF(((SUM(ReDiarioFert!K154:K160)/2)*$C$12)&lt;=0,"0",(((SUM(ReDiarioFert!K154:K160)/2)*$C$12)))</f>
        <v>206.46362363797</v>
      </c>
      <c r="O58">
        <f>IF(((SUM(ReDiarioFert!M154:M160)/2)*$C$12)&lt;=0,"0",(((SUM(ReDiarioFert!M154:M160)/2)*$C$12)))</f>
        <v>817.9980643902439</v>
      </c>
      <c r="Q58">
        <f>$C$12*Main!$D$63</f>
        <v>26.879999999999995</v>
      </c>
      <c r="S58">
        <f>((E58/100)*$G$64+(G58/100)*$G$65+(I58/100)*$G$66+(K58/100)*$G$67+(M58/100)*$G$68+(O58)*$G$69+(Q58*$G$70))</f>
        <v>5353.851540965263</v>
      </c>
    </row>
    <row r="59">
      <c r="B59">
        <f>B58+4</f>
        <v>154</v>
      </c>
      <c r="C59">
        <f>$J$11+B59</f>
        <v>40095</v>
      </c>
      <c r="E59">
        <f>E58</f>
        <v>6.919569895613395</v>
      </c>
      <c r="G59">
        <f>G58</f>
        <v>36.8944893716306</v>
      </c>
      <c r="I59">
        <f>I58</f>
        <v>180.07291139107616</v>
      </c>
      <c r="K59">
        <f>K58</f>
        <v>100.16383077991142</v>
      </c>
      <c r="M59">
        <f>M58</f>
        <v>206.46362363797</v>
      </c>
      <c r="O59">
        <f>O58</f>
        <v>817.9980643902439</v>
      </c>
      <c r="S59">
        <f>((E59/100)*$G$64+(G59/100)*$G$65+(I59/100)*$G$66+(K59/100)*$G$67+(M59/100)*$G$68+(O59)*$G$69+(Q59*$G$70))</f>
        <v>5278.587540965263</v>
      </c>
    </row>
    <row r="60">
      <c r="C60" t="str">
        <v>Total</v>
      </c>
      <c r="E60">
        <f>SUM(E16:E59)</f>
        <v>522.6550997129772</v>
      </c>
      <c r="G60">
        <f>SUM(G16:G59)</f>
        <v>1319.6755799188718</v>
      </c>
      <c r="I60">
        <f>SUM(I16:I59)</f>
        <v>5881.907630549085</v>
      </c>
      <c r="K60">
        <f>SUM(K16:K59)</f>
        <v>3271.754735446479</v>
      </c>
      <c r="M60">
        <f>SUM(M16:M59)</f>
        <v>6743.93474246439</v>
      </c>
      <c r="O60">
        <f>SUM(O16:O59)</f>
        <v>26743.5230282927</v>
      </c>
      <c r="Q60">
        <f>SUM(Q16:Q59)</f>
        <v>591.3599999999999</v>
      </c>
      <c r="S60">
        <f>SUM(S16:S59)</f>
        <v>179237.9055924766</v>
      </c>
    </row>
    <row r="61">
      <c r="D61" t="str">
        <v>OJO cualquier cultivo que no se termine la cosecha en el ultimo día del calendario solo seguir repitiendo la ultima aplicación de fertilizante.</v>
      </c>
    </row>
    <row r="62" ht="39.75" customHeight="1">
      <c r="B62" t="str">
        <v>Producto</v>
      </c>
      <c r="F62" t="str">
        <v>Lbs/Ha</v>
      </c>
      <c r="G62" t="str">
        <v>Costo por qq</v>
      </c>
    </row>
    <row r="63" ht="24" customHeight="1">
      <c r="G63" t="str">
        <f>Main!$E$25</f>
        <v>Lempiras</v>
      </c>
    </row>
    <row r="64">
      <c r="B64" t="str">
        <f>Main!D42</f>
        <v>Nitrato de Amonio</v>
      </c>
      <c r="F64">
        <f>E60/C12</f>
        <v>388.88028252453665</v>
      </c>
      <c r="G64">
        <f>Main!D43</f>
        <v>620</v>
      </c>
    </row>
    <row r="65">
      <c r="B65" t="str">
        <f>Main!D32</f>
        <v>MAP 12-61-0</v>
      </c>
      <c r="F65">
        <f>G60/C12</f>
        <v>981.9014731539226</v>
      </c>
      <c r="G65">
        <f>Main!D33</f>
        <v>2900</v>
      </c>
    </row>
    <row r="66">
      <c r="B66" t="str">
        <f>Main!D37</f>
        <v>Sulfato de Potasio</v>
      </c>
      <c r="F66">
        <f>I60/C12</f>
        <v>4376.41936796807</v>
      </c>
      <c r="G66">
        <f>Main!D38</f>
        <v>505</v>
      </c>
    </row>
    <row r="67">
      <c r="B67" t="str">
        <f>Main!D47</f>
        <v>Sulfato de Magnesio</v>
      </c>
      <c r="F67">
        <f>K60/C12</f>
        <v>2434.341321016726</v>
      </c>
      <c r="G67">
        <f>Main!D48</f>
        <v>951</v>
      </c>
    </row>
    <row r="68">
      <c r="B68" t="str">
        <f>Main!D52</f>
        <v>Nitrato de Calcio</v>
      </c>
      <c r="F68">
        <f>M60/C12</f>
        <v>5017.808588143148</v>
      </c>
      <c r="G68">
        <f>Main!D53</f>
        <v>1100</v>
      </c>
    </row>
    <row r="69">
      <c r="B69" t="str">
        <f>Main!D57</f>
        <v>Solubor</v>
      </c>
      <c r="F69">
        <f>O60/C12</f>
        <v>19898.454634146357</v>
      </c>
      <c r="G69">
        <f>Main!D58</f>
        <v>0.04</v>
      </c>
      <c r="I69" t="str">
        <v xml:space="preserve">Preparado y Autorizado Por </v>
      </c>
    </row>
    <row r="70" ht="18" customHeight="1">
      <c r="B70" t="str">
        <f>Main!D61</f>
        <v>Melaza</v>
      </c>
      <c r="F70">
        <f>Q60/C12</f>
        <v>439.99999999999994</v>
      </c>
      <c r="G70">
        <f>Main!D62</f>
        <v>2.8</v>
      </c>
      <c r="I70" t="str">
        <v>MSc Ricardo D. Lardizábal</v>
      </c>
    </row>
    <row r="71" ht="17.45" customHeight="1">
      <c r="B71" t="str">
        <v>NOTA: El Nitrato de Calcio se debe de diluir en un barril aparte para inyectarse al sistema</v>
      </c>
    </row>
    <row r="74">
      <c r="B74" t="str">
        <v>Abreviaciones usadas</v>
      </c>
    </row>
    <row r="75">
      <c r="B75" t="str">
        <v>Mz.-Manzanas, Ha-Hectáreas, Lbs-Libras, Lts-Litros y DDT-Días después de Trasplante</v>
      </c>
    </row>
  </sheetData>
  <sheetProtection sheet="1"/>
  <mergeCells count="53">
    <mergeCell ref="P9:S12"/>
    <mergeCell ref="P5:S7"/>
    <mergeCell ref="A8:N8"/>
    <mergeCell ref="P2:S3"/>
    <mergeCell ref="A10:B10"/>
    <mergeCell ref="G9:I9"/>
    <mergeCell ref="G10:I10"/>
    <mergeCell ref="A9:B9"/>
    <mergeCell ref="C9:F9"/>
    <mergeCell ref="C10:F10"/>
    <mergeCell ref="B71:I72"/>
    <mergeCell ref="B68:E68"/>
    <mergeCell ref="B67:E67"/>
    <mergeCell ref="I70:Q70"/>
    <mergeCell ref="B69:E69"/>
    <mergeCell ref="G70:H70"/>
    <mergeCell ref="G69:H69"/>
    <mergeCell ref="G67:H67"/>
    <mergeCell ref="G68:H68"/>
    <mergeCell ref="I69:Q69"/>
    <mergeCell ref="B75:S75"/>
    <mergeCell ref="E14:F14"/>
    <mergeCell ref="B74:C74"/>
    <mergeCell ref="B70:E70"/>
    <mergeCell ref="B62:E62"/>
    <mergeCell ref="B64:E64"/>
    <mergeCell ref="B65:E65"/>
    <mergeCell ref="B66:E66"/>
    <mergeCell ref="C14:D14"/>
    <mergeCell ref="G62:H62"/>
    <mergeCell ref="A14:A15"/>
    <mergeCell ref="B14:B15"/>
    <mergeCell ref="A11:B11"/>
    <mergeCell ref="A12:B12"/>
    <mergeCell ref="C11:F11"/>
    <mergeCell ref="C12:F12"/>
    <mergeCell ref="G66:H66"/>
    <mergeCell ref="S14:S15"/>
    <mergeCell ref="O14:P14"/>
    <mergeCell ref="Q14:R14"/>
    <mergeCell ref="G14:H14"/>
    <mergeCell ref="I14:J14"/>
    <mergeCell ref="K14:L14"/>
    <mergeCell ref="M14:N14"/>
    <mergeCell ref="G63:H63"/>
    <mergeCell ref="G64:H64"/>
    <mergeCell ref="G65:H65"/>
    <mergeCell ref="J9:N9"/>
    <mergeCell ref="J10:N10"/>
    <mergeCell ref="J11:N11"/>
    <mergeCell ref="J12:N12"/>
    <mergeCell ref="G11:I11"/>
    <mergeCell ref="G12:I12"/>
  </mergeCells>
  <pageMargins left="0.25" right="0.25" top="0.31" bottom="0.53" header="0.25" footer="0.25"/>
  <ignoredErrors>
    <ignoredError numberStoredAsText="1" sqref="A1:V84"/>
  </ignoredErrors>
  <legacyDrawing r:id="rId1"/>
</worksheet>
</file>

<file path=xl/worksheets/sheet7.xml><?xml version="1.0" encoding="utf-8"?>
<worksheet xmlns="http://schemas.openxmlformats.org/spreadsheetml/2006/main" xmlns:r="http://schemas.openxmlformats.org/officeDocument/2006/relationships">
  <dimension ref="A1:V60"/>
  <sheetViews>
    <sheetView workbookViewId="0" rightToLeft="0"/>
  </sheetViews>
  <sheetData>
    <row r="1" ht="32.65" customHeight="1"/>
    <row r="2" ht="32.65" customHeight="1">
      <c r="P2" t="str">
        <v>Calendario de Fertilización para Goteo 1 Vez Por Semana</v>
      </c>
    </row>
    <row r="3" ht="32.65" customHeight="1"/>
    <row r="5">
      <c r="P5" t="str">
        <f>Main!$E$21</f>
        <v>Tomate</v>
      </c>
    </row>
    <row r="6" ht="29.25" customHeight="1"/>
    <row r="7" ht="26.25" customHeight="1"/>
    <row r="8" ht="27.600000000000005" customHeight="1">
      <c r="A8" t="str">
        <f>Main!$C$13</f>
        <v>"Sin Fertilización Base"</v>
      </c>
    </row>
    <row r="9" ht="20.1" customHeight="1">
      <c r="A9" t="str">
        <v>Productor</v>
      </c>
      <c r="C9" t="str">
        <f>Main!E17</f>
        <v>Alejandro Acosta</v>
      </c>
      <c r="G9" t="str">
        <v>Parcela</v>
      </c>
      <c r="J9" t="str">
        <f>Main!E19</f>
        <v>El Mango</v>
      </c>
      <c r="P9" t="str">
        <f>Main!$G$21</f>
        <v>XP 675</v>
      </c>
    </row>
    <row r="10" ht="20.1" customHeight="1">
      <c r="A10" t="str">
        <v>Zona</v>
      </c>
      <c r="C10" t="str">
        <f>Main!E18</f>
        <v>Cantarranas</v>
      </c>
      <c r="G10" t="str">
        <v>Técnico</v>
      </c>
      <c r="J10" t="str">
        <f>Main!E20</f>
        <v>Marco Nuñez</v>
      </c>
    </row>
    <row r="11" ht="20.1" customHeight="1">
      <c r="A11" t="str">
        <v>Área Mz.</v>
      </c>
      <c r="C11">
        <f>Main!E22</f>
        <v>1.92</v>
      </c>
      <c r="G11" t="str">
        <v>Fecha:</v>
      </c>
      <c r="J11">
        <f>Main!E23</f>
        <v>39941</v>
      </c>
    </row>
    <row r="12" ht="20.1" customHeight="1">
      <c r="A12" t="str">
        <v>Área Ha.</v>
      </c>
      <c r="C12">
        <f>Main!I22</f>
        <v>1.3439999999999999</v>
      </c>
      <c r="G12" t="str">
        <v>Fecha de Cosecha:</v>
      </c>
      <c r="J12">
        <f>J11+Main!E24</f>
        <v>40016</v>
      </c>
    </row>
    <row r="13" ht="19.5" customHeight="1"/>
    <row r="14" ht="26.45" customHeight="1">
      <c r="A14" t="str">
        <v>Semana</v>
      </c>
      <c r="B14" t="str">
        <v>DDT</v>
      </c>
      <c r="C14" t="str">
        <v>FECHA</v>
      </c>
      <c r="E14" t="str">
        <f>Main!$D$42</f>
        <v>Nitrato de Amonio</v>
      </c>
      <c r="G14" t="str">
        <f>Main!$D$32</f>
        <v>MAP 12-61-0</v>
      </c>
      <c r="I14" t="str">
        <f>Main!$D$37</f>
        <v>Sulfato de Potasio</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$J$11+B16</f>
        <v>39942</v>
      </c>
      <c r="E16">
        <f>IF((SUM(ReDiarioFert!C7:C13)*$C$12)&lt;=0,"0",((SUM(ReDiarioFert!C7:C13)*$C$12)))</f>
        <v>10.096728623190403</v>
      </c>
      <c r="G16">
        <f>IF((SUM(ReDiarioFert!E7:E13)*$C$12)&lt;=0,"0",((SUM(ReDiarioFert!E7:E13)*$C$12)))</f>
        <v>13.021584484104917</v>
      </c>
      <c r="I16">
        <f>IF((SUM(ReDiarioFert!G7:G13)*$C$12)&lt;=0,"0",((SUM(ReDiarioFert!G7:G13)*$C$12)))</f>
        <v>38.13308711811025</v>
      </c>
      <c r="K16">
        <f>IF((SUM(ReDiarioFert!I7:I13)*$C$12)&lt;=0,"0",((SUM(ReDiarioFert!I7:I13)*$C$12)))</f>
        <v>21.21116416515771</v>
      </c>
      <c r="M16">
        <f>IF((SUM(ReDiarioFert!K7:K13)*$C$12)&lt;=0,"0",((SUM(ReDiarioFert!K7:K13)*$C$12)))</f>
        <v>43.72170853509952</v>
      </c>
      <c r="O16">
        <f>IF((SUM(ReDiarioFert!M7:M13)*$C$12)&lt;=0,"0",((SUM(ReDiarioFert!M7:M13)*$C$12)))</f>
        <v>233.71307707317072</v>
      </c>
      <c r="Q16">
        <f>$C$12*Main!$D$63</f>
        <v>26.879999999999995</v>
      </c>
      <c r="S16">
        <f>((E16/100)*$G$42+(G16/100)*$G$43+(I16/100)*$G$44+(K16/100)*$G$45+(M16/100)*$G$46+(O16)*$G$47+(Q16*$G$48))</f>
        <v>1400.0672456289512</v>
      </c>
    </row>
    <row r="17">
      <c r="A17">
        <v>2</v>
      </c>
      <c r="B17">
        <v>8</v>
      </c>
      <c r="C17">
        <f>$J$11+B17</f>
        <v>39949</v>
      </c>
      <c r="E17">
        <f>IF((SUM(ReDiarioFert!C14:C20)*$C$12)&lt;=0,"0",((SUM(ReDiarioFert!C14:C20)*$C$12)))</f>
        <v>14.423898033129147</v>
      </c>
      <c r="G17">
        <f>IF((SUM(ReDiarioFert!E14:E20)*$C$12)&lt;=0,"0",((SUM(ReDiarioFert!E14:E20)*$C$12)))</f>
        <v>18.602263548721304</v>
      </c>
      <c r="I17">
        <f>IF((SUM(ReDiarioFert!G14:G20)*$C$12)&lt;=0,"0",((SUM(ReDiarioFert!G14:G20)*$C$12)))</f>
        <v>54.47583874015748</v>
      </c>
      <c r="K17">
        <f>IF((SUM(ReDiarioFert!I14:I20)*$C$12)&lt;=0,"0",((SUM(ReDiarioFert!I14:I20)*$C$12)))</f>
        <v>30.30166309308244</v>
      </c>
      <c r="M17">
        <f>IF((SUM(ReDiarioFert!K14:K20)*$C$12)&lt;=0,"0",((SUM(ReDiarioFert!K14:K20)*$C$12)))</f>
        <v>62.45958362157074</v>
      </c>
      <c r="O17">
        <f>IF((SUM(ReDiarioFert!M14:M20)*$C$12)&lt;=0,"0",((SUM(ReDiarioFert!M14:M20)*$C$12)))</f>
        <v>340.55386536585365</v>
      </c>
      <c r="Q17">
        <f>$C$12*Main!$D$63</f>
        <v>26.879999999999995</v>
      </c>
      <c r="S17">
        <f>((E17/100)*$G$42+(G17/100)*$G$43+(I17/100)*$G$44+(K17/100)*$G$45+(M17/100)*$G$46+(O17)*$G$47+(Q17*$G$48))</f>
        <v>1968.1071868232398</v>
      </c>
    </row>
    <row r="18">
      <c r="A18">
        <v>3</v>
      </c>
      <c r="B18">
        <v>15</v>
      </c>
      <c r="C18">
        <f>$J$11+B18</f>
        <v>39956</v>
      </c>
      <c r="E18">
        <f>IF((SUM(ReDiarioFert!C21:C27)*$C$12)&lt;=0,"0",((SUM(ReDiarioFert!C21:C27)*$C$12)))</f>
        <v>21.99644450052194</v>
      </c>
      <c r="G18">
        <f>IF((SUM(ReDiarioFert!E21:E27)*$C$12)&lt;=0,"0",((SUM(ReDiarioFert!E21:E27)*$C$12)))</f>
        <v>28.3684519118</v>
      </c>
      <c r="I18">
        <f>IF((SUM(ReDiarioFert!G21:G27)*$C$12)&lt;=0,"0",((SUM(ReDiarioFert!G21:G27)*$C$12)))</f>
        <v>83.07565407874016</v>
      </c>
      <c r="K18">
        <f>IF((SUM(ReDiarioFert!I21:I27)*$C$12)&lt;=0,"0",((SUM(ReDiarioFert!I21:I27)*$C$12)))</f>
        <v>46.210036216950726</v>
      </c>
      <c r="M18">
        <f>IF((SUM(ReDiarioFert!K21:K27)*$C$12)&lt;=0,"0",((SUM(ReDiarioFert!K21:K27)*$C$12)))</f>
        <v>95.2508650228954</v>
      </c>
      <c r="O18">
        <f>IF((SUM(ReDiarioFert!M21:M27)*$C$12)&lt;=0,"0",((SUM(ReDiarioFert!M21:M27)*$C$12)))</f>
        <v>500.8130809756097</v>
      </c>
      <c r="Q18">
        <f>$C$12*Main!$D$63</f>
        <v>26.879999999999995</v>
      </c>
      <c r="S18">
        <f>((E18/100)*$G$42+(G18/100)*$G$43+(I18/100)*$G$44+(K18/100)*$G$45+(M18/100)*$G$46+(O18)*$G$47+(Q18*$G$48))</f>
        <v>2961.1085973571494</v>
      </c>
    </row>
    <row r="19">
      <c r="A19">
        <v>4</v>
      </c>
      <c r="B19">
        <v>22</v>
      </c>
      <c r="C19">
        <f>$J$11+B19</f>
        <v>39963</v>
      </c>
      <c r="E19">
        <f>IF((SUM(ReDiarioFert!C28:C34)*$C$12)&lt;=0,"0",((SUM(ReDiarioFert!C28:C34)*$C$12)))</f>
        <v>25.241821557976</v>
      </c>
      <c r="G19">
        <f>IF((SUM(ReDiarioFert!E28:E34)*$C$12)&lt;=0,"0",((SUM(ReDiarioFert!E28:E34)*$C$12)))</f>
        <v>32.55396121026229</v>
      </c>
      <c r="I19">
        <f>IF((SUM(ReDiarioFert!G28:G34)*$C$12)&lt;=0,"0",((SUM(ReDiarioFert!G28:G34)*$C$12)))</f>
        <v>95.3327177952756</v>
      </c>
      <c r="K19">
        <f>IF((SUM(ReDiarioFert!I28:I34)*$C$12)&lt;=0,"0",((SUM(ReDiarioFert!I28:I34)*$C$12)))</f>
        <v>53.02791041289427</v>
      </c>
      <c r="M19">
        <f>IF((SUM(ReDiarioFert!K28:K34)*$C$12)&lt;=0,"0",((SUM(ReDiarioFert!K28:K34)*$C$12)))</f>
        <v>109.30427133774882</v>
      </c>
      <c r="O19">
        <f>IF((SUM(ReDiarioFert!M28:M34)*$C$12)&lt;=0,"0",((SUM(ReDiarioFert!M28:M34)*$C$12)))</f>
        <v>560.9095492682926</v>
      </c>
      <c r="Q19">
        <f>$C$12*Main!$D$63</f>
        <v>26.879999999999995</v>
      </c>
      <c r="S19">
        <f>((E19/100)*$G$42+(G19/100)*$G$43+(I19/100)*$G$44+(K19/100)*$G$45+(M19/100)*$G$46+(O19)*$G$47+(Q19*$G$48))</f>
        <v>3386.3371883357927</v>
      </c>
    </row>
    <row r="20">
      <c r="A20">
        <v>5</v>
      </c>
      <c r="B20">
        <v>29</v>
      </c>
      <c r="C20">
        <f>$J$11+B20</f>
        <v>39970</v>
      </c>
      <c r="E20">
        <f>IF((SUM(ReDiarioFert!C35:C41)*$C$12)&lt;=0,"0",((SUM(ReDiarioFert!C35:C41)*$C$12)))</f>
        <v>31.73257567288412</v>
      </c>
      <c r="G20">
        <f>IF((SUM(ReDiarioFert!E35:E41)*$C$12)&lt;=0,"0",((SUM(ReDiarioFert!E35:E41)*$C$12)))</f>
        <v>40.92497980718689</v>
      </c>
      <c r="I20">
        <f>IF((SUM(ReDiarioFert!G35:G41)*$C$12)&lt;=0,"0",((SUM(ReDiarioFert!G35:G41)*$C$12)))</f>
        <v>119.84684522834645</v>
      </c>
      <c r="K20">
        <f>IF((SUM(ReDiarioFert!I35:I41)*$C$12)&lt;=0,"0",((SUM(ReDiarioFert!I35:I41)*$C$12)))</f>
        <v>66.66365880478138</v>
      </c>
      <c r="M20">
        <f>IF((SUM(ReDiarioFert!K35:K41)*$C$12)&lt;=0,"0",((SUM(ReDiarioFert!K35:K41)*$C$12)))</f>
        <v>137.41108396745562</v>
      </c>
      <c r="O20">
        <f>IF((SUM(ReDiarioFert!M35:M41)*$C$12)&lt;=0,"0",((SUM(ReDiarioFert!M35:M41)*$C$12)))</f>
        <v>661.0742634146343</v>
      </c>
      <c r="Q20">
        <f>$C$12*Main!$D$63</f>
        <v>26.879999999999995</v>
      </c>
      <c r="S20">
        <f>((E20/100)*$G$42+(G20/100)*$G$43+(I20/100)*$G$44+(K20/100)*$G$45+(M20/100)*$G$46+(O20)*$G$47+(Q20*$G$48))</f>
        <v>4235.993241395519</v>
      </c>
    </row>
    <row r="21">
      <c r="A21">
        <v>6</v>
      </c>
      <c r="B21">
        <v>36</v>
      </c>
      <c r="C21">
        <f>$J$11+B21</f>
        <v>39977</v>
      </c>
      <c r="E21">
        <f>IF((SUM(ReDiarioFert!C42:C48)*$C$12)&lt;=0,"0",((SUM(ReDiarioFert!C42:C48)*$C$12)))</f>
        <v>40.38691449276161</v>
      </c>
      <c r="G21">
        <f>IF((SUM(ReDiarioFert!E42:E48)*$C$12)&lt;=0,"0",((SUM(ReDiarioFert!E42:E48)*$C$12)))</f>
        <v>52.08633793641967</v>
      </c>
      <c r="I21">
        <f>IF((SUM(ReDiarioFert!G42:G48)*$C$12)&lt;=0,"0",((SUM(ReDiarioFert!G42:G48)*$C$12)))</f>
        <v>152.532348472441</v>
      </c>
      <c r="K21">
        <f>IF((SUM(ReDiarioFert!I42:I48)*$C$12)&lt;=0,"0",((SUM(ReDiarioFert!I42:I48)*$C$12)))</f>
        <v>84.84465666063085</v>
      </c>
      <c r="M21">
        <f>IF((SUM(ReDiarioFert!K42:K48)*$C$12)&lt;=0,"0",((SUM(ReDiarioFert!K42:K48)*$C$12)))</f>
        <v>174.8868341403981</v>
      </c>
      <c r="O21">
        <f>IF((SUM(ReDiarioFert!M42:M48)*$C$12)&lt;=0,"0",((SUM(ReDiarioFert!M42:M48)*$C$12)))</f>
        <v>794.6272156097561</v>
      </c>
      <c r="Q21">
        <f>$C$12*Main!$D$63</f>
        <v>26.879999999999995</v>
      </c>
      <c r="S21">
        <f>((E21/100)*$G$42+(G21/100)*$G$43+(I21/100)*$G$44+(K21/100)*$G$45+(M21/100)*$G$46+(O21)*$G$47+(Q21*$G$48))</f>
        <v>5368.867978808488</v>
      </c>
    </row>
    <row r="22">
      <c r="A22">
        <v>7</v>
      </c>
      <c r="B22">
        <v>43</v>
      </c>
      <c r="C22">
        <f>$J$11+B22</f>
        <v>39984</v>
      </c>
      <c r="E22">
        <f>IF((SUM(ReDiarioFert!C49:C55)*$C$12)&lt;=0,"0",((SUM(ReDiarioFert!C49:C55)*$C$12)))</f>
        <v>47.13169855719065</v>
      </c>
      <c r="G22">
        <f>IF((SUM(ReDiarioFert!E49:E55)*$C$12)&lt;=0,"0",((SUM(ReDiarioFert!E49:E55)*$C$12)))</f>
        <v>63.247696065652434</v>
      </c>
      <c r="I22">
        <f>IF((SUM(ReDiarioFert!G49:G55)*$C$12)&lt;=0,"0",((SUM(ReDiarioFert!G49:G55)*$C$12)))</f>
        <v>211.8504839895013</v>
      </c>
      <c r="K22">
        <f>IF((SUM(ReDiarioFert!I49:I55)*$C$12)&lt;=0,"0",((SUM(ReDiarioFert!I49:I55)*$C$12)))</f>
        <v>117.83980091754282</v>
      </c>
      <c r="M22">
        <f>IF((SUM(ReDiarioFert!K49:K55)*$C$12)&lt;=0,"0",((SUM(ReDiarioFert!K49:K55)*$C$12)))</f>
        <v>242.8983807505529</v>
      </c>
      <c r="O22">
        <f>IF((SUM(ReDiarioFert!M49:M55)*$C$12)&lt;=0,"0",((SUM(ReDiarioFert!M49:M55)*$C$12)))</f>
        <v>874.7571512195123</v>
      </c>
      <c r="Q22">
        <f>$C$12*Main!$D$63</f>
        <v>26.879999999999995</v>
      </c>
      <c r="S22">
        <f>((E22/100)*$G$42+(G22/100)*$G$43+(I22/100)*$G$44+(K22/100)*$G$45+(M22/100)*$G$46+(O22)*$G$47+(Q22*$G$48))</f>
        <v>7099.037642136179</v>
      </c>
    </row>
    <row r="23">
      <c r="A23">
        <v>8</v>
      </c>
      <c r="B23">
        <v>50</v>
      </c>
      <c r="C23">
        <f>$J$11+B23</f>
        <v>39991</v>
      </c>
      <c r="E23">
        <f>IF((SUM(ReDiarioFert!C56:C62)*$C$12)&lt;=0,"0",((SUM(ReDiarioFert!C56:C62)*$C$12)))</f>
        <v>52.190286605512426</v>
      </c>
      <c r="G23">
        <f>IF((SUM(ReDiarioFert!E56:E62)*$C$12)&lt;=0,"0",((SUM(ReDiarioFert!E56:E62)*$C$12)))</f>
        <v>71.61871466257702</v>
      </c>
      <c r="I23">
        <f>IF((SUM(ReDiarioFert!G56:G62)*$C$12)&lt;=0,"0",((SUM(ReDiarioFert!G56:G62)*$C$12)))</f>
        <v>256.3390856272966</v>
      </c>
      <c r="K23">
        <f>IF((SUM(ReDiarioFert!I56:I62)*$C$12)&lt;=0,"0",((SUM(ReDiarioFert!I56:I62)*$C$12)))</f>
        <v>142.5861591102268</v>
      </c>
      <c r="M23">
        <f>IF((SUM(ReDiarioFert!K56:K62)*$C$12)&lt;=0,"0",((SUM(ReDiarioFert!K56:K62)*$C$12)))</f>
        <v>293.907040708169</v>
      </c>
      <c r="O23">
        <f>IF((SUM(ReDiarioFert!M56:M62)*$C$12)&lt;=0,"0",((SUM(ReDiarioFert!M56:M62)*$C$12)))</f>
        <v>1075.0819902439023</v>
      </c>
      <c r="Q23">
        <f>$C$12*Main!$D$63</f>
        <v>26.879999999999995</v>
      </c>
      <c r="S23">
        <f>((E23/100)*$G$42+(G23/100)*$G$43+(I23/100)*$G$44+(K23/100)*$G$45+(M23/100)*$G$46+(O23)*$G$47+(Q23*$G$48))</f>
        <v>8402.27398512463</v>
      </c>
    </row>
    <row r="24">
      <c r="A24">
        <v>9</v>
      </c>
      <c r="B24">
        <v>57</v>
      </c>
      <c r="C24">
        <f>$J$11+B24</f>
        <v>39998</v>
      </c>
      <c r="E24">
        <f>IF((SUM(ReDiarioFert!C63:C69)*$C$12)&lt;=0,"0",((SUM(ReDiarioFert!C63:C69)*$C$12)))</f>
        <v>52.190286605512426</v>
      </c>
      <c r="G24">
        <f>IF((SUM(ReDiarioFert!E63:E69)*$C$12)&lt;=0,"0",((SUM(ReDiarioFert!E63:E69)*$C$12)))</f>
        <v>71.61871466257702</v>
      </c>
      <c r="I24">
        <f>IF((SUM(ReDiarioFert!G63:G69)*$C$12)&lt;=0,"0",((SUM(ReDiarioFert!G63:G69)*$C$12)))</f>
        <v>256.3390856272966</v>
      </c>
      <c r="K24">
        <f>IF((SUM(ReDiarioFert!I63:I69)*$C$12)&lt;=0,"0",((SUM(ReDiarioFert!I63:I69)*$C$12)))</f>
        <v>142.5861591102268</v>
      </c>
      <c r="M24">
        <f>IF((SUM(ReDiarioFert!K63:K69)*$C$12)&lt;=0,"0",((SUM(ReDiarioFert!K63:K69)*$C$12)))</f>
        <v>293.907040708169</v>
      </c>
      <c r="O24">
        <f>IF((SUM(ReDiarioFert!M63:M69)*$C$12)&lt;=0,"0",((SUM(ReDiarioFert!M63:M69)*$C$12)))</f>
        <v>1115.1476136585366</v>
      </c>
      <c r="Q24">
        <f>$C$12*Main!$D$63</f>
        <v>26.879999999999995</v>
      </c>
      <c r="S24">
        <f>((E24/100)*$G$42+(G24/100)*$G$43+(I24/100)*$G$44+(K24/100)*$G$45+(M24/100)*$G$46+(O24)*$G$47+(Q24*$G$48))</f>
        <v>8403.876610061214</v>
      </c>
    </row>
    <row r="25">
      <c r="A25">
        <v>10</v>
      </c>
      <c r="B25">
        <v>64</v>
      </c>
      <c r="C25">
        <f>$J$11+B25</f>
        <v>40005</v>
      </c>
      <c r="E25">
        <f>IF((SUM(ReDiarioFert!C70:C76)*$C$12)&lt;=0,"0",((SUM(ReDiarioFert!C70:C76)*$C$12)))</f>
        <v>33.33851593525336</v>
      </c>
      <c r="G25">
        <f>IF((SUM(ReDiarioFert!E70:E76)*$C$12)&lt;=0,"0",((SUM(ReDiarioFert!E70:E76)*$C$12)))</f>
        <v>60.76739425915628</v>
      </c>
      <c r="I25">
        <f>IF((SUM(ReDiarioFert!G70:G76)*$C$12)&lt;=0,"0",((SUM(ReDiarioFert!G70:G76)*$C$12)))</f>
        <v>332.18155889553805</v>
      </c>
      <c r="K25">
        <f>IF((SUM(ReDiarioFert!I70:I76)*$C$12)&lt;=0,"0",((SUM(ReDiarioFert!I70:I76)*$C$12)))</f>
        <v>184.77280783870714</v>
      </c>
      <c r="M25">
        <f>IF((SUM(ReDiarioFert!K70:K76)*$C$12)&lt;=0,"0",((SUM(ReDiarioFert!K70:K76)*$C$12)))</f>
        <v>380.86466101686693</v>
      </c>
      <c r="O25">
        <f>IF((SUM(ReDiarioFert!M70:M76)*$C$12)&lt;=0,"0",((SUM(ReDiarioFert!M70:M76)*$C$12)))</f>
        <v>1355.5413541463415</v>
      </c>
      <c r="Q25">
        <f>$C$12*Main!$D$63</f>
        <v>26.879999999999995</v>
      </c>
      <c r="S25">
        <f>((E25/100)*$G$42+(G25/100)*$G$43+(I25/100)*$G$44+(K25/100)*$G$45+(M25/100)*$G$46+(O25)*$G$47+(Q25*$G$48))</f>
        <v>9722.656432634065</v>
      </c>
    </row>
    <row r="26">
      <c r="A26">
        <v>11</v>
      </c>
      <c r="B26">
        <v>71</v>
      </c>
      <c r="C26">
        <f>$J$11+B26</f>
        <v>40012</v>
      </c>
      <c r="E26">
        <f>IF((SUM(ReDiarioFert!C77:C83)*$C$12)&lt;=0,"0",((SUM(ReDiarioFert!C77:C83)*$C$12)))</f>
        <v>33.33851593525336</v>
      </c>
      <c r="G26">
        <f>IF((SUM(ReDiarioFert!E77:E83)*$C$12)&lt;=0,"0",((SUM(ReDiarioFert!E77:E83)*$C$12)))</f>
        <v>60.76739425915628</v>
      </c>
      <c r="I26">
        <f>IF((SUM(ReDiarioFert!G77:G83)*$C$12)&lt;=0,"0",((SUM(ReDiarioFert!G77:G83)*$C$12)))</f>
        <v>332.18155889553805</v>
      </c>
      <c r="K26">
        <f>IF((SUM(ReDiarioFert!I77:I83)*$C$12)&lt;=0,"0",((SUM(ReDiarioFert!I77:I83)*$C$12)))</f>
        <v>184.77280783870714</v>
      </c>
      <c r="M26">
        <f>IF((SUM(ReDiarioFert!K77:K83)*$C$12)&lt;=0,"0",((SUM(ReDiarioFert!K77:K83)*$C$12)))</f>
        <v>380.86466101686693</v>
      </c>
      <c r="O26">
        <f>IF((SUM(ReDiarioFert!M77:M83)*$C$12)&lt;=0,"0",((SUM(ReDiarioFert!M77:M83)*$C$12)))</f>
        <v>1355.5413541463415</v>
      </c>
      <c r="Q26">
        <f>$C$12*Main!$D$63</f>
        <v>26.879999999999995</v>
      </c>
      <c r="S26">
        <f>((E26/100)*$G$42+(G26/100)*$G$43+(I26/100)*$G$44+(K26/100)*$G$45+(M26/100)*$G$46+(O26)*$G$47+(Q26*$G$48))</f>
        <v>9722.656432634065</v>
      </c>
    </row>
    <row r="27">
      <c r="A27">
        <v>12</v>
      </c>
      <c r="B27">
        <v>78</v>
      </c>
      <c r="C27">
        <f>$J$11+B27</f>
        <v>40019</v>
      </c>
      <c r="E27">
        <f>IF((SUM(ReDiarioFert!C84:C90)*$C$12)&lt;=0,"0",((SUM(ReDiarioFert!C84:C90)*$C$12)))</f>
        <v>22.196015281523895</v>
      </c>
      <c r="G27">
        <f>IF((SUM(ReDiarioFert!E84:E90)*$C$12)&lt;=0,"0",((SUM(ReDiarioFert!E84:E90)*$C$12)))</f>
        <v>68.2082996786448</v>
      </c>
      <c r="I27">
        <f>IF((SUM(ReDiarioFert!G84:G90)*$C$12)&lt;=0,"0",((SUM(ReDiarioFert!G84:G90)*$C$12)))</f>
        <v>348.16113825931757</v>
      </c>
      <c r="K27">
        <f>IF((SUM(ReDiarioFert!I84:I90)*$C$12)&lt;=0,"0",((SUM(ReDiarioFert!I84:I90)*$C$12)))</f>
        <v>193.6612956793447</v>
      </c>
      <c r="M27">
        <f>IF((SUM(ReDiarioFert!K84:K90)*$C$12)&lt;=0,"0",((SUM(ReDiarioFert!K84:K90)*$C$12)))</f>
        <v>399.18613887919435</v>
      </c>
      <c r="O27">
        <f>IF((SUM(ReDiarioFert!M84:M90)*$C$12)&lt;=0,"0",((SUM(ReDiarioFert!M84:M90)*$C$12)))</f>
        <v>1515.8012253658535</v>
      </c>
      <c r="Q27">
        <f>$C$12*Main!$D$63</f>
        <v>26.879999999999995</v>
      </c>
      <c r="S27">
        <f>((E27/100)*$G$42+(G27/100)*$G$43+(I27/100)*$G$44+(K27/100)*$G$45+(M27/100)*$G$46+(O27)*$G$47+(Q27*$G$48))</f>
        <v>10242.53223223204</v>
      </c>
    </row>
    <row r="28" ht="18" customHeight="1">
      <c r="A28">
        <v>13</v>
      </c>
      <c r="B28">
        <v>85</v>
      </c>
      <c r="C28">
        <f>$J$11+B28</f>
        <v>40026</v>
      </c>
      <c r="E28">
        <f>IF((SUM(ReDiarioFert!C91:C97)*$C$12)&lt;=0,"0",((SUM(ReDiarioFert!C91:C97)*$C$12)))</f>
        <v>13.83913979122679</v>
      </c>
      <c r="G28">
        <f>IF((SUM(ReDiarioFert!E91:E97)*$C$12)&lt;=0,"0",((SUM(ReDiarioFert!E91:E97)*$C$12)))</f>
        <v>73.7889787432612</v>
      </c>
      <c r="I28">
        <f>IF((SUM(ReDiarioFert!G91:G97)*$C$12)&lt;=0,"0",((SUM(ReDiarioFert!G91:G97)*$C$12)))</f>
        <v>360.1458227821523</v>
      </c>
      <c r="K28">
        <f>IF((SUM(ReDiarioFert!I91:I97)*$C$12)&lt;=0,"0",((SUM(ReDiarioFert!I91:I97)*$C$12)))</f>
        <v>200.32766155982284</v>
      </c>
      <c r="M28">
        <f>IF((SUM(ReDiarioFert!K91:K97)*$C$12)&lt;=0,"0",((SUM(ReDiarioFert!K91:K97)*$C$12)))</f>
        <v>412.92724727594</v>
      </c>
      <c r="O28">
        <f>IF((SUM(ReDiarioFert!M91:M97)*$C$12)&lt;=0,"0",((SUM(ReDiarioFert!M91:M97)*$C$12)))</f>
        <v>1635.9961287804879</v>
      </c>
      <c r="Q28">
        <f>$C$12*Main!$D$63</f>
        <v>26.879999999999995</v>
      </c>
      <c r="S28">
        <f>((E28/100)*$G$42+(G28/100)*$G$43+(I28/100)*$G$44+(K28/100)*$G$45+(M28/100)*$G$46+(O28)*$G$47+(Q28*$G$48))</f>
        <v>10632.439081930524</v>
      </c>
    </row>
    <row r="29">
      <c r="A29">
        <v>14</v>
      </c>
      <c r="B29">
        <v>92</v>
      </c>
      <c r="C29">
        <f>$J$11+B29</f>
        <v>40033</v>
      </c>
      <c r="E29">
        <f>IF((SUM(ReDiarioFert!C98:C104)*$C$12)&lt;=0,"0",((SUM(ReDiarioFert!C98:C104)*$C$12)))</f>
        <v>13.83913979122679</v>
      </c>
      <c r="G29">
        <f>IF((SUM(ReDiarioFert!E98:E104)*$C$12)&lt;=0,"0",((SUM(ReDiarioFert!E98:E104)*$C$12)))</f>
        <v>73.7889787432612</v>
      </c>
      <c r="I29">
        <f>IF((SUM(ReDiarioFert!G98:G104)*$C$12)&lt;=0,"0",((SUM(ReDiarioFert!G98:G104)*$C$12)))</f>
        <v>360.1458227821523</v>
      </c>
      <c r="K29">
        <f>IF((SUM(ReDiarioFert!I98:I104)*$C$12)&lt;=0,"0",((SUM(ReDiarioFert!I98:I104)*$C$12)))</f>
        <v>200.32766155982284</v>
      </c>
      <c r="M29">
        <f>IF((SUM(ReDiarioFert!K98:K104)*$C$12)&lt;=0,"0",((SUM(ReDiarioFert!K98:K104)*$C$12)))</f>
        <v>412.92724727594</v>
      </c>
      <c r="O29">
        <f>IF((SUM(ReDiarioFert!M98:M104)*$C$12)&lt;=0,"0",((SUM(ReDiarioFert!M98:M104)*$C$12)))</f>
        <v>1635.9961287804879</v>
      </c>
      <c r="Q29">
        <f>$C$12*Main!$D$63</f>
        <v>26.879999999999995</v>
      </c>
      <c r="S29">
        <f>((E29/100)*$G$42+(G29/100)*$G$43+(I29/100)*$G$44+(K29/100)*$G$45+(M29/100)*$G$46+(O29)*$G$47+(Q29*$G$48))</f>
        <v>10632.439081930524</v>
      </c>
    </row>
    <row r="30">
      <c r="A30">
        <v>15</v>
      </c>
      <c r="B30">
        <v>99</v>
      </c>
      <c r="C30">
        <f>$J$11+B30</f>
        <v>40040</v>
      </c>
      <c r="E30">
        <f>IF((SUM(ReDiarioFert!C105:C111)*$C$12)&lt;=0,"0",((SUM(ReDiarioFert!C105:C111)*$C$12)))</f>
        <v>13.83913979122679</v>
      </c>
      <c r="G30">
        <f>IF((SUM(ReDiarioFert!E105:E111)*$C$12)&lt;=0,"0",((SUM(ReDiarioFert!E105:E111)*$C$12)))</f>
        <v>73.7889787432612</v>
      </c>
      <c r="I30">
        <f>IF((SUM(ReDiarioFert!G105:G111)*$C$12)&lt;=0,"0",((SUM(ReDiarioFert!G105:G111)*$C$12)))</f>
        <v>360.1458227821523</v>
      </c>
      <c r="K30">
        <f>IF((SUM(ReDiarioFert!I105:I111)*$C$12)&lt;=0,"0",((SUM(ReDiarioFert!I105:I111)*$C$12)))</f>
        <v>200.32766155982284</v>
      </c>
      <c r="M30">
        <f>IF((SUM(ReDiarioFert!K105:K111)*$C$12)&lt;=0,"0",((SUM(ReDiarioFert!K105:K111)*$C$12)))</f>
        <v>412.92724727594</v>
      </c>
      <c r="O30">
        <f>IF((SUM(ReDiarioFert!M105:M111)*$C$12)&lt;=0,"0",((SUM(ReDiarioFert!M105:M111)*$C$12)))</f>
        <v>1635.9961287804879</v>
      </c>
      <c r="Q30">
        <f>$C$12*Main!$D$63</f>
        <v>26.879999999999995</v>
      </c>
      <c r="S30">
        <f>((E30/100)*$G$42+(G30/100)*$G$43+(I30/100)*$G$44+(K30/100)*$G$45+(M30/100)*$G$46+(O30)*$G$47+(Q30*$G$48))</f>
        <v>10632.439081930524</v>
      </c>
    </row>
    <row r="31">
      <c r="A31">
        <v>16</v>
      </c>
      <c r="B31">
        <v>106</v>
      </c>
      <c r="C31">
        <f>$J$11+B31</f>
        <v>40047</v>
      </c>
      <c r="E31">
        <f>IF((SUM(ReDiarioFert!C112:C118)*$C$12)&lt;=0,"0",((SUM(ReDiarioFert!C112:C118)*$C$12)))</f>
        <v>13.83913979122679</v>
      </c>
      <c r="G31">
        <f>IF((SUM(ReDiarioFert!E112:E118)*$C$12)&lt;=0,"0",((SUM(ReDiarioFert!E112:E118)*$C$12)))</f>
        <v>73.7889787432612</v>
      </c>
      <c r="I31">
        <f>IF((SUM(ReDiarioFert!G112:G118)*$C$12)&lt;=0,"0",((SUM(ReDiarioFert!G112:G118)*$C$12)))</f>
        <v>360.1458227821523</v>
      </c>
      <c r="K31">
        <f>IF((SUM(ReDiarioFert!I112:I118)*$C$12)&lt;=0,"0",((SUM(ReDiarioFert!I112:I118)*$C$12)))</f>
        <v>200.32766155982284</v>
      </c>
      <c r="M31">
        <f>IF((SUM(ReDiarioFert!K112:K118)*$C$12)&lt;=0,"0",((SUM(ReDiarioFert!K112:K118)*$C$12)))</f>
        <v>412.92724727594</v>
      </c>
      <c r="O31">
        <f>IF((SUM(ReDiarioFert!M112:M118)*$C$12)&lt;=0,"0",((SUM(ReDiarioFert!M112:M118)*$C$12)))</f>
        <v>1635.9961287804879</v>
      </c>
      <c r="Q31">
        <f>$C$12*Main!$D$63</f>
        <v>26.879999999999995</v>
      </c>
      <c r="S31">
        <f>((E31/100)*$G$42+(G31/100)*$G$43+(I31/100)*$G$44+(K31/100)*$G$45+(M31/100)*$G$46+(O31)*$G$47+(Q31*$G$48))</f>
        <v>10632.439081930524</v>
      </c>
    </row>
    <row r="32">
      <c r="A32">
        <v>17</v>
      </c>
      <c r="B32">
        <v>113</v>
      </c>
      <c r="C32">
        <f>$J$11+B32</f>
        <v>40054</v>
      </c>
      <c r="E32">
        <f>IF((SUM(ReDiarioFert!C119:C125)*$C$12)&lt;=0,"0",((SUM(ReDiarioFert!C119:C125)*$C$12)))</f>
        <v>13.83913979122679</v>
      </c>
      <c r="G32">
        <f>IF((SUM(ReDiarioFert!E119:E125)*$C$12)&lt;=0,"0",((SUM(ReDiarioFert!E119:E125)*$C$12)))</f>
        <v>73.7889787432612</v>
      </c>
      <c r="I32">
        <f>IF((SUM(ReDiarioFert!G119:G125)*$C$12)&lt;=0,"0",((SUM(ReDiarioFert!G119:G125)*$C$12)))</f>
        <v>360.1458227821523</v>
      </c>
      <c r="K32">
        <f>IF((SUM(ReDiarioFert!I119:I125)*$C$12)&lt;=0,"0",((SUM(ReDiarioFert!I119:I125)*$C$12)))</f>
        <v>200.32766155982284</v>
      </c>
      <c r="M32">
        <f>IF((SUM(ReDiarioFert!K119:K125)*$C$12)&lt;=0,"0",((SUM(ReDiarioFert!K119:K125)*$C$12)))</f>
        <v>412.92724727594</v>
      </c>
      <c r="O32">
        <f>IF((SUM(ReDiarioFert!M119:M125)*$C$12)&lt;=0,"0",((SUM(ReDiarioFert!M119:M125)*$C$12)))</f>
        <v>1635.9961287804879</v>
      </c>
      <c r="Q32">
        <f>$C$12*Main!$D$63</f>
        <v>26.879999999999995</v>
      </c>
      <c r="S32">
        <f>((E32/100)*$G$42+(G32/100)*$G$43+(I32/100)*$G$44+(K32/100)*$G$45+(M32/100)*$G$46+(O32)*$G$47+(Q32*$G$48))</f>
        <v>10632.439081930524</v>
      </c>
    </row>
    <row r="33">
      <c r="A33">
        <v>18</v>
      </c>
      <c r="B33">
        <v>120</v>
      </c>
      <c r="C33">
        <f>$J$11+B33</f>
        <v>40061</v>
      </c>
      <c r="E33">
        <f>IF((SUM(ReDiarioFert!C126:C132)*$C$12)&lt;=0,"0",((SUM(ReDiarioFert!C126:C132)*$C$12)))</f>
        <v>13.83913979122679</v>
      </c>
      <c r="G33">
        <f>IF((SUM(ReDiarioFert!E126:E132)*$C$12)&lt;=0,"0",((SUM(ReDiarioFert!E126:E132)*$C$12)))</f>
        <v>73.7889787432612</v>
      </c>
      <c r="I33">
        <f>IF((SUM(ReDiarioFert!G126:G132)*$C$12)&lt;=0,"0",((SUM(ReDiarioFert!G126:G132)*$C$12)))</f>
        <v>360.1458227821523</v>
      </c>
      <c r="K33">
        <f>IF((SUM(ReDiarioFert!I126:I132)*$C$12)&lt;=0,"0",((SUM(ReDiarioFert!I126:I132)*$C$12)))</f>
        <v>200.32766155982284</v>
      </c>
      <c r="M33">
        <f>IF((SUM(ReDiarioFert!K126:K132)*$C$12)&lt;=0,"0",((SUM(ReDiarioFert!K126:K132)*$C$12)))</f>
        <v>412.92724727594</v>
      </c>
      <c r="O33">
        <f>IF((SUM(ReDiarioFert!M126:M132)*$C$12)&lt;=0,"0",((SUM(ReDiarioFert!M126:M132)*$C$12)))</f>
        <v>1635.9961287804879</v>
      </c>
      <c r="Q33">
        <f>$C$12*Main!$D$63</f>
        <v>26.879999999999995</v>
      </c>
      <c r="S33">
        <f>((E33/100)*$G$42+(G33/100)*$G$43+(I33/100)*$G$44+(K33/100)*$G$45+(M33/100)*$G$46+(O33)*$G$47+(Q33*$G$48))</f>
        <v>10632.439081930524</v>
      </c>
    </row>
    <row r="34">
      <c r="A34">
        <v>19</v>
      </c>
      <c r="B34">
        <v>127</v>
      </c>
      <c r="C34">
        <f>$J$11+B34</f>
        <v>40068</v>
      </c>
      <c r="E34">
        <f>IF((SUM(ReDiarioFert!C133:C139)*$C$12)&lt;=0,"0",((SUM(ReDiarioFert!C133:C139)*$C$12)))</f>
        <v>13.83913979122679</v>
      </c>
      <c r="G34">
        <f>IF((SUM(ReDiarioFert!E133:E139)*$C$12)&lt;=0,"0",((SUM(ReDiarioFert!E133:E139)*$C$12)))</f>
        <v>73.7889787432612</v>
      </c>
      <c r="I34">
        <f>IF((SUM(ReDiarioFert!G133:G139)*$C$12)&lt;=0,"0",((SUM(ReDiarioFert!G133:G139)*$C$12)))</f>
        <v>360.1458227821523</v>
      </c>
      <c r="K34">
        <f>IF((SUM(ReDiarioFert!I133:I139)*$C$12)&lt;=0,"0",((SUM(ReDiarioFert!I133:I139)*$C$12)))</f>
        <v>200.32766155982284</v>
      </c>
      <c r="M34">
        <f>IF((SUM(ReDiarioFert!K133:K139)*$C$12)&lt;=0,"0",((SUM(ReDiarioFert!K133:K139)*$C$12)))</f>
        <v>412.92724727594</v>
      </c>
      <c r="O34">
        <f>IF((SUM(ReDiarioFert!M133:M139)*$C$12)&lt;=0,"0",((SUM(ReDiarioFert!M133:M139)*$C$12)))</f>
        <v>1635.9961287804879</v>
      </c>
      <c r="Q34">
        <f>$C$12*Main!$D$63</f>
        <v>26.879999999999995</v>
      </c>
      <c r="S34">
        <f>((E34/100)*$G$42+(G34/100)*$G$43+(I34/100)*$G$44+(K34/100)*$G$45+(M34/100)*$G$46+(O34)*$G$47+(Q34*$G$48))</f>
        <v>10632.439081930524</v>
      </c>
    </row>
    <row r="35">
      <c r="A35">
        <v>20</v>
      </c>
      <c r="B35">
        <v>134</v>
      </c>
      <c r="C35">
        <f>$J$11+B35</f>
        <v>40075</v>
      </c>
      <c r="E35">
        <f>IF((SUM(ReDiarioFert!C140:C146)*$C$12)&lt;=0,"0",((SUM(ReDiarioFert!C140:C146)*$C$12)))</f>
        <v>13.83913979122679</v>
      </c>
      <c r="G35">
        <f>IF((SUM(ReDiarioFert!E140:E146)*$C$12)&lt;=0,"0",((SUM(ReDiarioFert!E140:E146)*$C$12)))</f>
        <v>73.7889787432612</v>
      </c>
      <c r="I35">
        <f>IF((SUM(ReDiarioFert!G140:G146)*$C$12)&lt;=0,"0",((SUM(ReDiarioFert!G140:G146)*$C$12)))</f>
        <v>360.1458227821523</v>
      </c>
      <c r="K35">
        <f>IF((SUM(ReDiarioFert!I140:I146)*$C$12)&lt;=0,"0",((SUM(ReDiarioFert!I140:I146)*$C$12)))</f>
        <v>200.32766155982284</v>
      </c>
      <c r="M35">
        <f>IF((SUM(ReDiarioFert!K140:K146)*$C$12)&lt;=0,"0",((SUM(ReDiarioFert!K140:K146)*$C$12)))</f>
        <v>412.92724727594</v>
      </c>
      <c r="O35">
        <f>IF((SUM(ReDiarioFert!M140:M146)*$C$12)&lt;=0,"0",((SUM(ReDiarioFert!M140:M146)*$C$12)))</f>
        <v>1635.9961287804879</v>
      </c>
      <c r="Q35">
        <f>$C$12*Main!$D$63</f>
        <v>26.879999999999995</v>
      </c>
      <c r="S35">
        <f>((E35/100)*$G$42+(G35/100)*$G$43+(I35/100)*$G$44+(K35/100)*$G$45+(M35/100)*$G$46+(O35)*$G$47+(Q35*$G$48))</f>
        <v>10632.439081930524</v>
      </c>
    </row>
    <row r="36">
      <c r="A36">
        <v>21</v>
      </c>
      <c r="B36">
        <v>141</v>
      </c>
      <c r="C36">
        <f>$J$11+B36</f>
        <v>40082</v>
      </c>
      <c r="E36">
        <f>IF((SUM(ReDiarioFert!C147:C153)*$C$12)&lt;=0,"0",((SUM(ReDiarioFert!C147:C153)*$C$12)))</f>
        <v>13.83913979122679</v>
      </c>
      <c r="G36">
        <f>IF((SUM(ReDiarioFert!E147:E153)*$C$12)&lt;=0,"0",((SUM(ReDiarioFert!E147:E153)*$C$12)))</f>
        <v>73.7889787432612</v>
      </c>
      <c r="I36">
        <f>IF((SUM(ReDiarioFert!G147:G153)*$C$12)&lt;=0,"0",((SUM(ReDiarioFert!G147:G153)*$C$12)))</f>
        <v>360.1458227821523</v>
      </c>
      <c r="K36">
        <f>IF((SUM(ReDiarioFert!I147:I153)*$C$12)&lt;=0,"0",((SUM(ReDiarioFert!I147:I153)*$C$12)))</f>
        <v>200.32766155982284</v>
      </c>
      <c r="M36">
        <f>IF((SUM(ReDiarioFert!K147:K153)*$C$12)&lt;=0,"0",((SUM(ReDiarioFert!K147:K153)*$C$12)))</f>
        <v>412.92724727594</v>
      </c>
      <c r="O36">
        <f>IF((SUM(ReDiarioFert!M147:M153)*$C$12)&lt;=0,"0",((SUM(ReDiarioFert!M147:M153)*$C$12)))</f>
        <v>1635.9961287804879</v>
      </c>
      <c r="Q36">
        <f>$C$12*Main!$D$63</f>
        <v>26.879999999999995</v>
      </c>
      <c r="S36">
        <f>((E36/100)*$G$42+(G36/100)*$G$43+(I36/100)*$G$44+(K36/100)*$G$45+(M36/100)*$G$46+(O36)*$G$47+(Q36*$G$48))</f>
        <v>10632.439081930524</v>
      </c>
    </row>
    <row r="37">
      <c r="A37">
        <v>22</v>
      </c>
      <c r="B37">
        <v>148</v>
      </c>
      <c r="C37">
        <f>$J$11+B37</f>
        <v>40089</v>
      </c>
      <c r="E37">
        <f>IF((SUM(ReDiarioFert!C154:C160)*$C$12)&lt;=0,"0",((SUM(ReDiarioFert!C154:C160)*$C$12)))</f>
        <v>13.83913979122679</v>
      </c>
      <c r="G37">
        <f>IF((SUM(ReDiarioFert!E154:E160)*$C$12)&lt;=0,"0",((SUM(ReDiarioFert!E154:E160)*$C$12)))</f>
        <v>73.7889787432612</v>
      </c>
      <c r="I37">
        <f>IF((SUM(ReDiarioFert!G154:G160)*$C$12)&lt;=0,"0",((SUM(ReDiarioFert!G154:G160)*$C$12)))</f>
        <v>360.1458227821523</v>
      </c>
      <c r="K37">
        <f>IF((SUM(ReDiarioFert!I154:I160)*$C$12)&lt;=0,"0",((SUM(ReDiarioFert!I154:I160)*$C$12)))</f>
        <v>200.32766155982284</v>
      </c>
      <c r="M37">
        <f>IF((SUM(ReDiarioFert!K154:K160)*$C$12)&lt;=0,"0",((SUM(ReDiarioFert!K154:K160)*$C$12)))</f>
        <v>412.92724727594</v>
      </c>
      <c r="O37">
        <f>IF((SUM(ReDiarioFert!M154:M160)*$C$12)&lt;=0,"0",((SUM(ReDiarioFert!M154:M160)*$C$12)))</f>
        <v>1635.9961287804879</v>
      </c>
      <c r="Q37">
        <f>$C$12*Main!$D$63</f>
        <v>26.879999999999995</v>
      </c>
      <c r="S37">
        <f>((E37/100)*$G$42+(G37/100)*$G$43+(I37/100)*$G$44+(K37/100)*$G$45+(M37/100)*$G$46+(O37)*$G$47+(Q37*$G$48))</f>
        <v>10632.439081930524</v>
      </c>
    </row>
    <row r="38">
      <c r="C38" t="str">
        <v>Total</v>
      </c>
      <c r="E38">
        <f>SUM(E16:E37)</f>
        <v>522.6550997129773</v>
      </c>
      <c r="G38">
        <f>SUM(G16:G37)</f>
        <v>1319.6755799188707</v>
      </c>
      <c r="I38">
        <f>SUM(I16:I37)</f>
        <v>5881.907630549081</v>
      </c>
      <c r="K38">
        <f>SUM(K16:K37)</f>
        <v>3271.754735446482</v>
      </c>
      <c r="M38">
        <f>SUM(M16:M37)</f>
        <v>6743.934742464389</v>
      </c>
      <c r="O38">
        <f>SUM(O16:O37)</f>
        <v>26743.523028292675</v>
      </c>
      <c r="Q38">
        <f>SUM(Q16:Q37)</f>
        <v>591.3599999999999</v>
      </c>
      <c r="S38">
        <f>SUM(S16:S37)</f>
        <v>179237.9055924766</v>
      </c>
    </row>
    <row r="39">
      <c r="D39" t="str">
        <v>OJO cualquier cultivo que no se termine la cosecha en el ultimo día del calendario solo seguir repitiendo la ultima aplicación de fertilizante.</v>
      </c>
    </row>
    <row r="40" ht="39.75" customHeight="1">
      <c r="B40" t="str">
        <v>Producto</v>
      </c>
      <c r="F40" t="str">
        <v>Lbs/Ha</v>
      </c>
      <c r="G40" t="str">
        <v>Costo por qq</v>
      </c>
    </row>
    <row r="41" ht="24" customHeight="1">
      <c r="G41" t="str">
        <f>Main!$E$25</f>
        <v>Lempiras</v>
      </c>
    </row>
    <row r="42">
      <c r="B42" t="str">
        <f>Main!D42</f>
        <v>Nitrato de Amonio</v>
      </c>
      <c r="F42">
        <f>E38/C12</f>
        <v>388.8802825245367</v>
      </c>
      <c r="G42">
        <f>Main!D43</f>
        <v>620</v>
      </c>
    </row>
    <row r="43">
      <c r="B43" t="str">
        <f>Main!D32</f>
        <v>MAP 12-61-0</v>
      </c>
      <c r="F43">
        <f>G38/C12</f>
        <v>981.9014731539218</v>
      </c>
      <c r="G43">
        <f>Main!D33</f>
        <v>2900</v>
      </c>
    </row>
    <row r="44">
      <c r="B44" t="str">
        <f>Main!D37</f>
        <v>Sulfato de Potasio</v>
      </c>
      <c r="F44">
        <f>I38/C12</f>
        <v>4376.419367968067</v>
      </c>
      <c r="G44">
        <f>Main!D38</f>
        <v>505</v>
      </c>
    </row>
    <row r="45">
      <c r="B45" t="str">
        <f>Main!D47</f>
        <v>Sulfato de Magnesio</v>
      </c>
      <c r="F45">
        <f>K38/C12</f>
        <v>2434.3413210167278</v>
      </c>
      <c r="G45">
        <f>Main!D48</f>
        <v>951</v>
      </c>
    </row>
    <row r="46">
      <c r="B46" t="str">
        <f>Main!D52</f>
        <v>Nitrato de Calcio</v>
      </c>
      <c r="F46">
        <f>M38/C12</f>
        <v>5017.808588143147</v>
      </c>
      <c r="G46">
        <f>Main!D53</f>
        <v>1100</v>
      </c>
    </row>
    <row r="47">
      <c r="B47" t="str">
        <f>Main!D57</f>
        <v>Solubor</v>
      </c>
      <c r="F47">
        <f>O38/C12</f>
        <v>19898.45463414634</v>
      </c>
      <c r="G47">
        <f>Main!D58</f>
        <v>0.04</v>
      </c>
      <c r="I47" t="str">
        <v xml:space="preserve">Preparado y Autorizado Por </v>
      </c>
    </row>
    <row r="48" ht="18" customHeight="1">
      <c r="B48" t="str">
        <f>Main!D61</f>
        <v>Melaza</v>
      </c>
      <c r="F48">
        <f>Q38/C12</f>
        <v>439.99999999999994</v>
      </c>
      <c r="G48">
        <f>Main!D62</f>
        <v>2.8</v>
      </c>
      <c r="I48" t="str">
        <v>MSc Ricardo D. Lardizábal</v>
      </c>
    </row>
    <row r="49" ht="17.45" customHeight="1">
      <c r="B49" t="str">
        <v>NOTA: El Nitrato de Calcio se debe de diluir en un barril aparte para inyectarse al sistema</v>
      </c>
    </row>
    <row r="51">
      <c r="B51" t="str">
        <v>Abreviaciones usadas</v>
      </c>
    </row>
    <row r="52">
      <c r="B52" t="str">
        <v>Mz.-Manzanas, Ha-Hectáreas, Lbs-Libras, Lts-Litros y DDT-Días después de Trasplante</v>
      </c>
    </row>
  </sheetData>
  <sheetProtection sheet="1"/>
  <mergeCells count="55">
    <mergeCell ref="B52:S52"/>
    <mergeCell ref="P5:S7"/>
    <mergeCell ref="P2:S3"/>
    <mergeCell ref="A8:M8"/>
    <mergeCell ref="C11:F11"/>
    <mergeCell ref="C10:F10"/>
    <mergeCell ref="G10:I10"/>
    <mergeCell ref="A9:B9"/>
    <mergeCell ref="G9:I9"/>
    <mergeCell ref="J11:M11"/>
    <mergeCell ref="B51:C51"/>
    <mergeCell ref="B43:E43"/>
    <mergeCell ref="B44:E44"/>
    <mergeCell ref="P9:S12"/>
    <mergeCell ref="G11:I11"/>
    <mergeCell ref="J10:M10"/>
    <mergeCell ref="B48:E48"/>
    <mergeCell ref="B46:E46"/>
    <mergeCell ref="B49:I50"/>
    <mergeCell ref="G48:H48"/>
    <mergeCell ref="J9:M9"/>
    <mergeCell ref="A14:A15"/>
    <mergeCell ref="B14:B15"/>
    <mergeCell ref="A10:B10"/>
    <mergeCell ref="A12:B12"/>
    <mergeCell ref="A11:B11"/>
    <mergeCell ref="K14:L14"/>
    <mergeCell ref="C14:D14"/>
    <mergeCell ref="C9:F9"/>
    <mergeCell ref="S14:S15"/>
    <mergeCell ref="M14:N14"/>
    <mergeCell ref="O14:P14"/>
    <mergeCell ref="Q14:R14"/>
    <mergeCell ref="C12:F12"/>
    <mergeCell ref="E14:F14"/>
    <mergeCell ref="I14:J14"/>
    <mergeCell ref="B45:E45"/>
    <mergeCell ref="B40:E40"/>
    <mergeCell ref="B42:E42"/>
    <mergeCell ref="G40:H40"/>
    <mergeCell ref="G41:H41"/>
    <mergeCell ref="B47:E47"/>
    <mergeCell ref="G46:H46"/>
    <mergeCell ref="G47:H47"/>
    <mergeCell ref="G42:H42"/>
    <mergeCell ref="I47:Q47"/>
    <mergeCell ref="I48:Q48"/>
    <mergeCell ref="G12:I12"/>
    <mergeCell ref="J12:M12"/>
    <mergeCell ref="I45:Q45"/>
    <mergeCell ref="I44:Q44"/>
    <mergeCell ref="G44:H44"/>
    <mergeCell ref="G45:H45"/>
    <mergeCell ref="G43:H43"/>
    <mergeCell ref="G14:H14"/>
  </mergeCells>
  <pageMargins left="0.35" right="0.25" top="0.32" bottom="0.53" header="0.17" footer="0.16"/>
  <ignoredErrors>
    <ignoredError numberStoredAsText="1" sqref="A1:V60"/>
  </ignoredErrors>
  <legacyDrawing r:id="rId1"/>
</worksheet>
</file>

<file path=xl/worksheets/sheet8.xml><?xml version="1.0" encoding="utf-8"?>
<worksheet xmlns="http://schemas.openxmlformats.org/spreadsheetml/2006/main" xmlns:r="http://schemas.openxmlformats.org/officeDocument/2006/relationships">
  <dimension ref="A1:T42"/>
  <sheetViews>
    <sheetView workbookViewId="0" rightToLeft="0"/>
  </sheetViews>
  <sheetData>
    <row r="1" ht="32.65" customHeight="1"/>
    <row r="2" ht="32.65" customHeight="1">
      <c r="P2" t="str">
        <v>Calendario de Fertilización Cada 14 Días o a Mano</v>
      </c>
    </row>
    <row r="3" ht="32.45" customHeight="1"/>
    <row r="5">
      <c r="P5" t="str">
        <f>Main!$E$21</f>
        <v>Tomate</v>
      </c>
    </row>
    <row r="6" ht="31.149999999999995" customHeight="1"/>
    <row r="7" ht="27" customHeight="1"/>
    <row r="8" ht="28.899999999999995" customHeight="1">
      <c r="A8" t="str">
        <f>Main!$C$13</f>
        <v>"Sin Fertilización Base"</v>
      </c>
    </row>
    <row r="9" ht="19.9" customHeight="1">
      <c r="A9" t="str">
        <v>Productor</v>
      </c>
      <c r="C9" t="str">
        <f>'1 Por Sem'!C9</f>
        <v>Alejandro Acosta</v>
      </c>
      <c r="F9" t="str">
        <v>Parcela</v>
      </c>
      <c r="I9" t="str">
        <f>'1 Por Sem'!J9</f>
        <v>El Mango</v>
      </c>
      <c r="P9" t="str">
        <f>Main!$G$21</f>
        <v>XP 675</v>
      </c>
    </row>
    <row r="10" ht="19.9" customHeight="1">
      <c r="A10" t="str">
        <v>Zona</v>
      </c>
      <c r="C10" t="str">
        <f>'1 Por Sem'!C10</f>
        <v>Cantarranas</v>
      </c>
      <c r="F10" t="str">
        <v>Técnico</v>
      </c>
      <c r="I10" t="str">
        <f>'1 Por Sem'!J10</f>
        <v>Marco Nuñez</v>
      </c>
    </row>
    <row r="11" ht="19.9" customHeight="1">
      <c r="A11" t="str">
        <v>Área Mz.</v>
      </c>
      <c r="C11">
        <f>'1 Por Sem'!C11</f>
        <v>1.92</v>
      </c>
      <c r="F11" t="str">
        <v>Fecha</v>
      </c>
      <c r="I11">
        <f>'1 Por Sem'!J11</f>
        <v>39941</v>
      </c>
    </row>
    <row r="12" ht="19.9" customHeight="1">
      <c r="A12" t="str">
        <v>Área Ha.</v>
      </c>
      <c r="C12">
        <f>Main!I22</f>
        <v>1.3439999999999999</v>
      </c>
      <c r="F12" t="str">
        <v>Fecha  de Cosecha</v>
      </c>
      <c r="I12">
        <f>'1 Por Sem'!J12</f>
        <v>40016</v>
      </c>
    </row>
    <row r="14" ht="28.899999999999995" customHeight="1">
      <c r="A14" t="str">
        <v>Semana</v>
      </c>
      <c r="B14" t="str">
        <v>DDT</v>
      </c>
      <c r="C14" t="str">
        <v>FECHA</v>
      </c>
      <c r="E14" t="str">
        <f>Main!$D$42</f>
        <v>Nitrato de Amonio</v>
      </c>
      <c r="G14" t="str">
        <f>Main!$D$32</f>
        <v>MAP 12-61-0</v>
      </c>
      <c r="I14" t="str">
        <f>Main!$D$37</f>
        <v>Sulfato de Potasio</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c r="A16">
        <v>2</v>
      </c>
      <c r="B16">
        <v>1</v>
      </c>
      <c r="C16">
        <f>$I$11+B16</f>
        <v>39942</v>
      </c>
      <c r="E16">
        <f>IF((SUM(ReDiarioFert!C7:C20)*$C$12)&lt;=0,"0",((SUM(ReDiarioFert!C7:C20)*$C$12)))</f>
        <v>24.520626656319546</v>
      </c>
      <c r="G16">
        <f>IF((SUM(ReDiarioFert!E7:E20)*$C$12)&lt;=0,"0",((SUM(ReDiarioFert!E7:E20)*$C$12)))</f>
        <v>31.62384803282623</v>
      </c>
      <c r="I16">
        <f>IF((SUM(ReDiarioFert!G7:G20)*$C$12)&lt;=0,"0",((SUM(ReDiarioFert!G7:G20)*$C$12)))</f>
        <v>92.60892585826772</v>
      </c>
      <c r="K16">
        <f>IF((SUM(ReDiarioFert!I7:I20)*$C$12)&lt;=0,"0",((SUM(ReDiarioFert!I7:I20)*$C$12)))</f>
        <v>51.51282725824016</v>
      </c>
      <c r="M16">
        <f>IF((SUM(ReDiarioFert!K7:K20)*$C$12)&lt;=0,"0",((SUM(ReDiarioFert!K7:K20)*$C$12)))</f>
        <v>106.18129215667025</v>
      </c>
      <c r="O16">
        <f>IF((SUM(ReDiarioFert!M7:M20)*$C$12)&lt;=0,"0",((SUM(ReDiarioFert!M7:M20)*$C$12)))</f>
        <v>574.2669424390244</v>
      </c>
      <c r="Q16">
        <f>$C$12*Main!$D$63</f>
        <v>26.879999999999995</v>
      </c>
      <c r="S16">
        <f>((E16/100)*$F$31+(G16/100)*$F$32+(I16/100)*$F$33+(K16/100)*$F$34+(M16/100)*$F$35+(O16)*$F$36+(Q16*$F$37))</f>
        <v>3292.9104324521913</v>
      </c>
    </row>
    <row r="17">
      <c r="A17">
        <v>4</v>
      </c>
      <c r="B17">
        <v>15</v>
      </c>
      <c r="C17">
        <f>$I$11+B17</f>
        <v>39956</v>
      </c>
      <c r="E17">
        <f>IF((SUM(ReDiarioFert!C21:C34)*$C$12)&lt;=0,"0",((SUM(ReDiarioFert!C21:C34)*$C$12)))</f>
        <v>47.238266058497935</v>
      </c>
      <c r="G17">
        <f>IF((SUM(ReDiarioFert!E21:E34)*$C$12)&lt;=0,"0",((SUM(ReDiarioFert!E21:E34)*$C$12)))</f>
        <v>60.92241312206228</v>
      </c>
      <c r="I17">
        <f>IF((SUM(ReDiarioFert!G21:G34)*$C$12)&lt;=0,"0",((SUM(ReDiarioFert!G21:G34)*$C$12)))</f>
        <v>178.40837187401578</v>
      </c>
      <c r="K17">
        <f>IF((SUM(ReDiarioFert!I21:I34)*$C$12)&lt;=0,"0",((SUM(ReDiarioFert!I21:I34)*$C$12)))</f>
        <v>99.23794662984498</v>
      </c>
      <c r="M17">
        <f>IF((SUM(ReDiarioFert!K21:K34)*$C$12)&lt;=0,"0",((SUM(ReDiarioFert!K21:K34)*$C$12)))</f>
        <v>204.55513636064418</v>
      </c>
      <c r="O17">
        <f>IF((SUM(ReDiarioFert!M21:M34)*$C$12)&lt;=0,"0",((SUM(ReDiarioFert!M21:M34)*$C$12)))</f>
        <v>1061.7226302439024</v>
      </c>
      <c r="Q17">
        <f>$C$12*Main!$D$63</f>
        <v>26.879999999999995</v>
      </c>
      <c r="S17">
        <f>((E17/100)*$F$31+(G17/100)*$F$32+(I17/100)*$F$33+(K17/100)*$F$34+(M17/100)*$F$35+(O17)*$F$36+(Q17*$F$37))</f>
        <v>6272.181785692942</v>
      </c>
    </row>
    <row r="18">
      <c r="A18">
        <v>6</v>
      </c>
      <c r="B18">
        <v>29</v>
      </c>
      <c r="C18">
        <f>$I$11+B18</f>
        <v>39970</v>
      </c>
      <c r="E18">
        <f>IF((SUM(ReDiarioFert!C35:C48)*$C$12)&lt;=0,"0",((SUM(ReDiarioFert!C35:C48)*$C$12)))</f>
        <v>72.11949016564573</v>
      </c>
      <c r="G18">
        <f>IF((SUM(ReDiarioFert!E35:E48)*$C$12)&lt;=0,"0",((SUM(ReDiarioFert!E35:E48)*$C$12)))</f>
        <v>93.01131774360655</v>
      </c>
      <c r="I18">
        <f>IF((SUM(ReDiarioFert!G35:G48)*$C$12)&lt;=0,"0",((SUM(ReDiarioFert!G35:G48)*$C$12)))</f>
        <v>272.3791937007875</v>
      </c>
      <c r="K18">
        <f>IF((SUM(ReDiarioFert!I35:I48)*$C$12)&lt;=0,"0",((SUM(ReDiarioFert!I35:I48)*$C$12)))</f>
        <v>151.50831546541227</v>
      </c>
      <c r="M18">
        <f>IF((SUM(ReDiarioFert!K35:K48)*$C$12)&lt;=0,"0",((SUM(ReDiarioFert!K35:K48)*$C$12)))</f>
        <v>312.2979181078537</v>
      </c>
      <c r="O18">
        <f>IF((SUM(ReDiarioFert!M35:M48)*$C$12)&lt;=0,"0",((SUM(ReDiarioFert!M35:M48)*$C$12)))</f>
        <v>1455.7014790243907</v>
      </c>
      <c r="Q18">
        <f>$C$12*Main!$D$63</f>
        <v>26.879999999999995</v>
      </c>
      <c r="S18">
        <f>((E18/100)*$F$31+(G18/100)*$F$32+(I18/100)*$F$33+(K18/100)*$F$34+(M18/100)*$F$35+(O18)*$F$36+(Q18*$F$37))</f>
        <v>9529.597220204008</v>
      </c>
    </row>
    <row r="19">
      <c r="A19">
        <v>8</v>
      </c>
      <c r="B19">
        <v>43</v>
      </c>
      <c r="C19">
        <f>$I$11+B19</f>
        <v>39984</v>
      </c>
      <c r="E19">
        <f>IF((SUM(ReDiarioFert!C49:C62)*$C$12)&lt;=0,"0",((SUM(ReDiarioFert!C49:C62)*$C$12)))</f>
        <v>99.32198516270307</v>
      </c>
      <c r="G19">
        <f>IF((SUM(ReDiarioFert!E49:E62)*$C$12)&lt;=0,"0",((SUM(ReDiarioFert!E49:E62)*$C$12)))</f>
        <v>134.86641072822948</v>
      </c>
      <c r="I19">
        <f>IF((SUM(ReDiarioFert!G49:G62)*$C$12)&lt;=0,"0",((SUM(ReDiarioFert!G49:G62)*$C$12)))</f>
        <v>468.18956961679777</v>
      </c>
      <c r="K19">
        <f>IF((SUM(ReDiarioFert!I49:I62)*$C$12)&lt;=0,"0",((SUM(ReDiarioFert!I49:I62)*$C$12)))</f>
        <v>260.4259600277696</v>
      </c>
      <c r="M19">
        <f>IF((SUM(ReDiarioFert!K49:K62)*$C$12)&lt;=0,"0",((SUM(ReDiarioFert!K49:K62)*$C$12)))</f>
        <v>536.8054214587219</v>
      </c>
      <c r="O19">
        <f>IF((SUM(ReDiarioFert!M49:M62)*$C$12)&lt;=0,"0",((SUM(ReDiarioFert!M49:M62)*$C$12)))</f>
        <v>1949.8391414634143</v>
      </c>
      <c r="Q19">
        <f>$C$12*Main!$D$63</f>
        <v>26.879999999999995</v>
      </c>
      <c r="S19">
        <f>((E19/100)*$F$31+(G19/100)*$F$32+(I19/100)*$F$33+(K19/100)*$F$34+(M19/100)*$F$35+(O19)*$F$36+(Q19*$F$37))</f>
        <v>15426.04762726081</v>
      </c>
    </row>
    <row r="20">
      <c r="A20">
        <v>10</v>
      </c>
      <c r="B20">
        <v>57</v>
      </c>
      <c r="C20">
        <f>$I$11+B20</f>
        <v>39998</v>
      </c>
      <c r="E20">
        <f>IF((SUM(ReDiarioFert!C63:C76)*$C$12)&lt;=0,"0",((SUM(ReDiarioFert!C63:C76)*$C$12)))</f>
        <v>85.52880254076582</v>
      </c>
      <c r="G20">
        <f>IF((SUM(ReDiarioFert!E63:E76)*$C$12)&lt;=0,"0",((SUM(ReDiarioFert!E63:E76)*$C$12)))</f>
        <v>132.3861089217333</v>
      </c>
      <c r="I20">
        <f>IF((SUM(ReDiarioFert!G63:G76)*$C$12)&lt;=0,"0",((SUM(ReDiarioFert!G63:G76)*$C$12)))</f>
        <v>588.5206445228346</v>
      </c>
      <c r="K20">
        <f>IF((SUM(ReDiarioFert!I63:I76)*$C$12)&lt;=0,"0",((SUM(ReDiarioFert!I63:I76)*$C$12)))</f>
        <v>327.358966948934</v>
      </c>
      <c r="M20">
        <f>IF((SUM(ReDiarioFert!K63:K76)*$C$12)&lt;=0,"0",((SUM(ReDiarioFert!K63:K76)*$C$12)))</f>
        <v>674.7717017250359</v>
      </c>
      <c r="O20">
        <f>IF((SUM(ReDiarioFert!M63:M76)*$C$12)&lt;=0,"0",((SUM(ReDiarioFert!M63:M76)*$C$12)))</f>
        <v>2470.6889678048774</v>
      </c>
      <c r="Q20">
        <f>$C$12*Main!$D$63</f>
        <v>26.879999999999995</v>
      </c>
      <c r="S20">
        <f>((E20/100)*$F$31+(G20/100)*$F$32+(I20/100)*$F$33+(K20/100)*$F$34+(M20/100)*$F$35+(O20)*$F$36+(Q20*$F$37))</f>
        <v>18051.269042695276</v>
      </c>
    </row>
    <row r="21">
      <c r="A21">
        <v>12</v>
      </c>
      <c r="B21">
        <v>71</v>
      </c>
      <c r="C21">
        <f>$I$11+B21</f>
        <v>40012</v>
      </c>
      <c r="E21">
        <f>IF((SUM(ReDiarioFert!C77:C90)*$C$12)&lt;=0,"0",((SUM(ReDiarioFert!C77:C90)*$C$12)))</f>
        <v>55.534531216777246</v>
      </c>
      <c r="G21">
        <f>IF((SUM(ReDiarioFert!E77:E90)*$C$12)&lt;=0,"0",((SUM(ReDiarioFert!E77:E90)*$C$12)))</f>
        <v>128.97569393780105</v>
      </c>
      <c r="I21">
        <f>IF((SUM(ReDiarioFert!G77:G90)*$C$12)&lt;=0,"0",((SUM(ReDiarioFert!G77:G90)*$C$12)))</f>
        <v>680.3426971548556</v>
      </c>
      <c r="K21">
        <f>IF((SUM(ReDiarioFert!I77:I90)*$C$12)&lt;=0,"0",((SUM(ReDiarioFert!I77:I90)*$C$12)))</f>
        <v>378.43410351805187</v>
      </c>
      <c r="M21">
        <f>IF((SUM(ReDiarioFert!K77:K90)*$C$12)&lt;=0,"0",((SUM(ReDiarioFert!K77:K90)*$C$12)))</f>
        <v>780.0507998960612</v>
      </c>
      <c r="O21">
        <f>IF((SUM(ReDiarioFert!M77:M90)*$C$12)&lt;=0,"0",((SUM(ReDiarioFert!M77:M90)*$C$12)))</f>
        <v>2871.342579512195</v>
      </c>
      <c r="Q21">
        <f>$C$12*Main!$D$63</f>
        <v>26.879999999999995</v>
      </c>
      <c r="S21">
        <f>((E21/100)*$F$31+(G21/100)*$F$32+(I21/100)*$F$33+(K21/100)*$F$34+(M21/100)*$F$35+(O21)*$F$36+(Q21*$F$37))</f>
        <v>19889.924664866103</v>
      </c>
    </row>
    <row r="22">
      <c r="A22">
        <v>14</v>
      </c>
      <c r="B22">
        <v>85</v>
      </c>
      <c r="C22">
        <f>$I$11+B22</f>
        <v>40026</v>
      </c>
      <c r="E22">
        <f>IF((SUM(ReDiarioFert!C91:C104)*$C$12)&lt;=0,"0",((SUM(ReDiarioFert!C91:C104)*$C$12)))</f>
        <v>27.678279582453577</v>
      </c>
      <c r="G22">
        <f>IF((SUM(ReDiarioFert!E91:E104)*$C$12)&lt;=0,"0",((SUM(ReDiarioFert!E91:E104)*$C$12)))</f>
        <v>147.57795748652237</v>
      </c>
      <c r="I22">
        <f>IF((SUM(ReDiarioFert!G91:G104)*$C$12)&lt;=0,"0",((SUM(ReDiarioFert!G91:G104)*$C$12)))</f>
        <v>720.2916455643043</v>
      </c>
      <c r="K22">
        <f>IF((SUM(ReDiarioFert!I91:I104)*$C$12)&lt;=0,"0",((SUM(ReDiarioFert!I91:I104)*$C$12)))</f>
        <v>400.6553231196457</v>
      </c>
      <c r="M22">
        <f>IF((SUM(ReDiarioFert!K91:K104)*$C$12)&lt;=0,"0",((SUM(ReDiarioFert!K91:K104)*$C$12)))</f>
        <v>825.85449455188</v>
      </c>
      <c r="O22">
        <f>IF((SUM(ReDiarioFert!M91:M104)*$C$12)&lt;=0,"0",((SUM(ReDiarioFert!M91:M104)*$C$12)))</f>
        <v>3271.9922575609767</v>
      </c>
      <c r="Q22">
        <f>$C$12*Main!$D$63</f>
        <v>26.879999999999995</v>
      </c>
      <c r="S22">
        <f>((E22/100)*$F$31+(G22/100)*$F$32+(I22/100)*$F$33+(K22/100)*$F$34+(M22/100)*$F$35+(O22)*$F$36+(Q22*$F$37))</f>
        <v>21189.614163861042</v>
      </c>
    </row>
    <row r="23">
      <c r="A23">
        <v>16</v>
      </c>
      <c r="B23">
        <v>99</v>
      </c>
      <c r="C23">
        <f>$I$11+B23</f>
        <v>40040</v>
      </c>
      <c r="E23">
        <f>IF((SUM(ReDiarioFert!C105:C118)*$C$12)&lt;=0,"0",((SUM(ReDiarioFert!C105:C118)*$C$12)))</f>
        <v>27.678279582453577</v>
      </c>
      <c r="G23">
        <f>IF((SUM(ReDiarioFert!E105:E118)*$C$12)&lt;=0,"0",((SUM(ReDiarioFert!E105:E118)*$C$12)))</f>
        <v>147.57795748652237</v>
      </c>
      <c r="I23">
        <f>IF((SUM(ReDiarioFert!G105:G118)*$C$12)&lt;=0,"0",((SUM(ReDiarioFert!G105:G118)*$C$12)))</f>
        <v>720.2916455643043</v>
      </c>
      <c r="K23">
        <f>IF((SUM(ReDiarioFert!I105:I118)*$C$12)&lt;=0,"0",((SUM(ReDiarioFert!I105:I118)*$C$12)))</f>
        <v>400.6553231196457</v>
      </c>
      <c r="M23">
        <f>IF((SUM(ReDiarioFert!K105:K118)*$C$12)&lt;=0,"0",((SUM(ReDiarioFert!K105:K118)*$C$12)))</f>
        <v>825.85449455188</v>
      </c>
      <c r="O23">
        <f>IF((SUM(ReDiarioFert!M105:M118)*$C$12)&lt;=0,"0",((SUM(ReDiarioFert!M105:M118)*$C$12)))</f>
        <v>3271.9922575609767</v>
      </c>
      <c r="Q23">
        <f>$C$12*Main!$D$63</f>
        <v>26.879999999999995</v>
      </c>
      <c r="S23">
        <f>((E23/100)*$F$31+(G23/100)*$F$32+(I23/100)*$F$33+(K23/100)*$F$34+(M23/100)*$F$35+(O23)*$F$36+(Q23*$F$37))</f>
        <v>21189.614163861042</v>
      </c>
    </row>
    <row r="24">
      <c r="A24">
        <v>18</v>
      </c>
      <c r="B24">
        <v>113</v>
      </c>
      <c r="C24">
        <f>$I$11+B24</f>
        <v>40054</v>
      </c>
      <c r="E24">
        <f>IF((SUM(ReDiarioFert!C119:C132)*$C$12)&lt;=0,"0",((SUM(ReDiarioFert!C119:C132)*$C$12)))</f>
        <v>27.678279582453577</v>
      </c>
      <c r="G24">
        <f>IF((SUM(ReDiarioFert!E119:E132)*$C$12)&lt;=0,"0",((SUM(ReDiarioFert!E119:E132)*$C$12)))</f>
        <v>147.57795748652237</v>
      </c>
      <c r="I24">
        <f>IF((SUM(ReDiarioFert!G119:G132)*$C$12)&lt;=0,"0",((SUM(ReDiarioFert!G119:G132)*$C$12)))</f>
        <v>720.2916455643043</v>
      </c>
      <c r="K24">
        <f>IF((SUM(ReDiarioFert!I119:I132)*$C$12)&lt;=0,"0",((SUM(ReDiarioFert!I119:I132)*$C$12)))</f>
        <v>400.6553231196457</v>
      </c>
      <c r="M24">
        <f>IF((SUM(ReDiarioFert!K119:K132)*$C$12)&lt;=0,"0",((SUM(ReDiarioFert!K119:K132)*$C$12)))</f>
        <v>825.85449455188</v>
      </c>
      <c r="O24">
        <f>IF((SUM(ReDiarioFert!M119:M132)*$C$12)&lt;=0,"0",((SUM(ReDiarioFert!M119:M132)*$C$12)))</f>
        <v>3271.9922575609767</v>
      </c>
      <c r="Q24">
        <f>$C$12*Main!$D$63</f>
        <v>26.879999999999995</v>
      </c>
      <c r="S24">
        <f>((E24/100)*$F$31+(G24/100)*$F$32+(I24/100)*$F$33+(K24/100)*$F$34+(M24/100)*$F$35+(O24)*$F$36+(Q24*$F$37))</f>
        <v>21189.614163861042</v>
      </c>
    </row>
    <row r="25">
      <c r="A25">
        <v>20</v>
      </c>
      <c r="B25">
        <v>127</v>
      </c>
      <c r="C25">
        <f>$I$11+B25</f>
        <v>40068</v>
      </c>
      <c r="E25">
        <f>IF((SUM(ReDiarioFert!C133:C146)*$C$12)&lt;=0,"0",((SUM(ReDiarioFert!C133:C146)*$C$12)))</f>
        <v>27.678279582453577</v>
      </c>
      <c r="G25">
        <f>IF((SUM(ReDiarioFert!E133:E146)*$C$12)&lt;=0,"0",((SUM(ReDiarioFert!E133:E146)*$C$12)))</f>
        <v>147.57795748652237</v>
      </c>
      <c r="I25">
        <f>IF((SUM(ReDiarioFert!G133:G146)*$C$12)&lt;=0,"0",((SUM(ReDiarioFert!G133:G146)*$C$12)))</f>
        <v>720.2916455643043</v>
      </c>
      <c r="K25">
        <f>IF((SUM(ReDiarioFert!I133:I146)*$C$12)&lt;=0,"0",((SUM(ReDiarioFert!I133:I146)*$C$12)))</f>
        <v>400.6553231196457</v>
      </c>
      <c r="M25">
        <f>IF((SUM(ReDiarioFert!K133:K146)*$C$12)&lt;=0,"0",((SUM(ReDiarioFert!K133:K146)*$C$12)))</f>
        <v>825.85449455188</v>
      </c>
      <c r="O25">
        <f>IF((SUM(ReDiarioFert!M133:M146)*$C$12)&lt;=0,"0",((SUM(ReDiarioFert!M133:M146)*$C$12)))</f>
        <v>3271.9922575609767</v>
      </c>
      <c r="Q25">
        <f>$C$12*Main!$D$63</f>
        <v>26.879999999999995</v>
      </c>
      <c r="S25">
        <f>((E25/100)*$F$31+(G25/100)*$F$32+(I25/100)*$F$33+(K25/100)*$F$34+(M25/100)*$F$35+(O25)*$F$36+(Q25*$F$37))</f>
        <v>21189.614163861042</v>
      </c>
    </row>
    <row r="26">
      <c r="A26">
        <v>22</v>
      </c>
      <c r="B26">
        <v>141</v>
      </c>
      <c r="C26">
        <f>$I$11+B26</f>
        <v>40082</v>
      </c>
      <c r="E26">
        <f>IF((SUM(ReDiarioFert!C147:C160)*$C$12)&lt;=0,"0",((SUM(ReDiarioFert!C147:C160)*$C$12)))</f>
        <v>27.678279582453577</v>
      </c>
      <c r="G26">
        <f>IF((SUM(ReDiarioFert!E147:E160)*$C$12)&lt;=0,"0",((SUM(ReDiarioFert!E147:E160)*$C$12)))</f>
        <v>147.57795748652237</v>
      </c>
      <c r="I26">
        <f>IF((SUM(ReDiarioFert!G147:G160)*$C$12)&lt;=0,"0",((SUM(ReDiarioFert!G147:G160)*$C$12)))</f>
        <v>720.2916455643043</v>
      </c>
      <c r="K26">
        <f>IF((SUM(ReDiarioFert!I147:I160)*$C$12)&lt;=0,"0",((SUM(ReDiarioFert!I147:I160)*$C$12)))</f>
        <v>400.6553231196457</v>
      </c>
      <c r="M26">
        <f>IF((SUM(ReDiarioFert!K147:K160)*$C$12)&lt;=0,"0",((SUM(ReDiarioFert!K147:K160)*$C$12)))</f>
        <v>825.85449455188</v>
      </c>
      <c r="O26">
        <f>IF((SUM(ReDiarioFert!M147:M160)*$C$12)&lt;=0,"0",((SUM(ReDiarioFert!M147:M160)*$C$12)))</f>
        <v>3271.9922575609767</v>
      </c>
      <c r="Q26">
        <f>$C$12*Main!$D$63</f>
        <v>26.879999999999995</v>
      </c>
      <c r="S26">
        <f>((E26/100)*$F$31+(G26/100)*$F$32+(I26/100)*$F$33+(K26/100)*$F$34+(M26/100)*$F$35+(O26)*$F$36+(Q26*$F$37))</f>
        <v>21189.614163861042</v>
      </c>
    </row>
    <row r="27">
      <c r="C27" t="str">
        <v>Total</v>
      </c>
      <c r="E27">
        <f>SUM(E16:E26)</f>
        <v>522.6550997129772</v>
      </c>
      <c r="G27">
        <f>SUM(G16:G26)</f>
        <v>1319.6755799188707</v>
      </c>
      <c r="I27">
        <f>SUM(I16:I26)</f>
        <v>5881.907630549081</v>
      </c>
      <c r="K27">
        <f>SUM(K16:K26)</f>
        <v>3271.754735446482</v>
      </c>
      <c r="M27">
        <f>SUM(M16:M26)</f>
        <v>6743.934742464386</v>
      </c>
      <c r="O27">
        <f>SUM(O16:O26)</f>
        <v>26743.52302829269</v>
      </c>
      <c r="Q27">
        <f>SUM(Q16:Q26)</f>
        <v>295.67999999999995</v>
      </c>
      <c r="S27">
        <f>SUM(S16:S26)</f>
        <v>178410.0015924765</v>
      </c>
    </row>
    <row r="28">
      <c r="D28" t="str">
        <v>OJO cualquier cultivo que no se termine la cosecha en el ultimo día del calendario solo seguir repitiendo la ultima aplicación de fertilizante.</v>
      </c>
    </row>
    <row r="29" ht="33.75" customHeight="1">
      <c r="B29" t="str">
        <v>Producto</v>
      </c>
      <c r="E29" t="str">
        <v>Lbs/Ha</v>
      </c>
      <c r="F29" t="str">
        <v>Costo por qq</v>
      </c>
    </row>
    <row r="30" ht="24" customHeight="1">
      <c r="F30" t="str">
        <f>Main!$E$25</f>
        <v>Lempiras</v>
      </c>
    </row>
    <row r="31">
      <c r="B31" t="str">
        <f>Main!D42</f>
        <v>Nitrato de Amonio</v>
      </c>
      <c r="E31">
        <f>E27/$C$12</f>
        <v>388.88028252453665</v>
      </c>
      <c r="F31">
        <f>Main!D43</f>
        <v>620</v>
      </c>
    </row>
    <row r="32">
      <c r="B32" t="str">
        <f>Main!D32</f>
        <v>MAP 12-61-0</v>
      </c>
      <c r="E32">
        <f>G27/$C$12</f>
        <v>981.9014731539218</v>
      </c>
      <c r="F32">
        <f>Main!D33</f>
        <v>2900</v>
      </c>
    </row>
    <row r="33">
      <c r="B33" t="str">
        <f>Main!D37</f>
        <v>Sulfato de Potasio</v>
      </c>
      <c r="E33">
        <f>I27/$C$12</f>
        <v>4376.419367968067</v>
      </c>
      <c r="F33">
        <f>Main!D38</f>
        <v>505</v>
      </c>
    </row>
    <row r="34">
      <c r="B34" t="str">
        <f>Main!D47</f>
        <v>Sulfato de Magnesio</v>
      </c>
      <c r="E34">
        <f>K27/$C$12</f>
        <v>2434.3413210167278</v>
      </c>
      <c r="F34">
        <f>Main!D48</f>
        <v>951</v>
      </c>
    </row>
    <row r="35">
      <c r="B35" t="str">
        <f>Main!D52</f>
        <v>Nitrato de Calcio</v>
      </c>
      <c r="E35">
        <f>M27/$C$12</f>
        <v>5017.808588143144</v>
      </c>
      <c r="F35">
        <f>Main!D53</f>
        <v>1100</v>
      </c>
    </row>
    <row r="36">
      <c r="B36" t="str">
        <f>Main!D57</f>
        <v>Solubor</v>
      </c>
      <c r="E36">
        <f>O27/$C$12</f>
        <v>19898.45463414635</v>
      </c>
      <c r="F36">
        <f>Main!D58</f>
        <v>0.04</v>
      </c>
      <c r="I36" t="str">
        <v xml:space="preserve">Preparado y Autorizado Por </v>
      </c>
    </row>
    <row r="37">
      <c r="B37" t="str">
        <f>Main!D61</f>
        <v>Melaza</v>
      </c>
      <c r="E37">
        <f>Q27/$C$12</f>
        <v>219.99999999999997</v>
      </c>
      <c r="F37">
        <f>Main!D62</f>
        <v>2.8</v>
      </c>
      <c r="I37" t="str">
        <v>MSc Ricardo D. Lardizábal</v>
      </c>
    </row>
    <row r="38">
      <c r="B38" t="str">
        <v>NOTA: El Nitrato de Calcio se debe de diluir en un barril aparte para inyectarse al sistema</v>
      </c>
    </row>
    <row r="39" ht="18.6" customHeight="1"/>
    <row r="41">
      <c r="B41" t="str">
        <v>Abreviaciones usadas</v>
      </c>
    </row>
    <row r="42">
      <c r="B42" t="str">
        <v>Mz.-Manzanas, Ha-Hectáreas, Lbs-Libras, Lts-Litros y DDT-Días después de Trasplante</v>
      </c>
    </row>
  </sheetData>
  <sheetProtection sheet="1"/>
  <mergeCells count="52">
    <mergeCell ref="I9:M9"/>
    <mergeCell ref="I10:M10"/>
    <mergeCell ref="B14:B15"/>
    <mergeCell ref="F29:G29"/>
    <mergeCell ref="P5:S7"/>
    <mergeCell ref="P2:S3"/>
    <mergeCell ref="A8:M8"/>
    <mergeCell ref="P9:S12"/>
    <mergeCell ref="A7:K7"/>
    <mergeCell ref="A9:B9"/>
    <mergeCell ref="C9:E9"/>
    <mergeCell ref="F9:H9"/>
    <mergeCell ref="B42:Q42"/>
    <mergeCell ref="B41:C41"/>
    <mergeCell ref="B38:I39"/>
    <mergeCell ref="F30:G30"/>
    <mergeCell ref="F31:G31"/>
    <mergeCell ref="B31:D31"/>
    <mergeCell ref="B35:D35"/>
    <mergeCell ref="B36:D36"/>
    <mergeCell ref="B37:D37"/>
    <mergeCell ref="F34:G34"/>
    <mergeCell ref="S14:S15"/>
    <mergeCell ref="Q14:R14"/>
    <mergeCell ref="O14:P14"/>
    <mergeCell ref="G14:H14"/>
    <mergeCell ref="F35:G35"/>
    <mergeCell ref="F36:G36"/>
    <mergeCell ref="F37:G37"/>
    <mergeCell ref="F32:G32"/>
    <mergeCell ref="I11:M11"/>
    <mergeCell ref="I12:M12"/>
    <mergeCell ref="I14:J14"/>
    <mergeCell ref="K14:L14"/>
    <mergeCell ref="M14:N14"/>
    <mergeCell ref="F11:H11"/>
    <mergeCell ref="F33:G33"/>
    <mergeCell ref="C12:E12"/>
    <mergeCell ref="B29:D29"/>
    <mergeCell ref="B32:D32"/>
    <mergeCell ref="B33:D33"/>
    <mergeCell ref="B34:D34"/>
    <mergeCell ref="A10:B10"/>
    <mergeCell ref="C11:E11"/>
    <mergeCell ref="C10:E10"/>
    <mergeCell ref="A14:A15"/>
    <mergeCell ref="C14:D14"/>
    <mergeCell ref="E14:F14"/>
    <mergeCell ref="F10:H10"/>
    <mergeCell ref="F12:H12"/>
    <mergeCell ref="A12:B12"/>
    <mergeCell ref="A11:B11"/>
  </mergeCells>
  <pageMargins left="0.81" right="0.47" top="0.26" bottom="0.37" header="0.18" footer="0.16"/>
  <ignoredErrors>
    <ignoredError numberStoredAsText="1" sqref="A1:T42"/>
  </ignoredErrors>
  <legacyDrawing r:id="rId1"/>
</worksheet>
</file>

<file path=xl/worksheets/sheet9.xml><?xml version="1.0" encoding="utf-8"?>
<worksheet xmlns="http://schemas.openxmlformats.org/spreadsheetml/2006/main" xmlns:r="http://schemas.openxmlformats.org/officeDocument/2006/relationships">
  <dimension ref="A1:Q162"/>
  <sheetViews>
    <sheetView workbookViewId="0" rightToLeft="0"/>
  </sheetViews>
  <sheetData>
    <row r="1">
      <c r="A1" t="str">
        <v>Requerimientos Diario para:</v>
      </c>
      <c r="E1" t="str">
        <f>Main!E21</f>
        <v>Tomate</v>
      </c>
    </row>
    <row r="4" ht="30" customHeight="1">
      <c r="A4" t="str">
        <v>Semana</v>
      </c>
      <c r="B4" t="str">
        <v>N</v>
      </c>
      <c r="C4" t="str">
        <f>Main!D42</f>
        <v>Nitrato de Amonio</v>
      </c>
      <c r="D4" t="str">
        <v>P2O5</v>
      </c>
      <c r="E4" t="str">
        <f>Main!D32</f>
        <v>MAP 12-61-0</v>
      </c>
      <c r="F4" t="str">
        <v>K2O</v>
      </c>
      <c r="G4" t="str">
        <f>Main!D37</f>
        <v>Sulfato de Potasio</v>
      </c>
      <c r="H4" t="str">
        <v>MgO</v>
      </c>
      <c r="I4" t="str">
        <f>Main!D47</f>
        <v>Sulfato de Magnesio</v>
      </c>
      <c r="J4" t="str">
        <v>Ca</v>
      </c>
      <c r="K4" t="str">
        <f>Main!D52</f>
        <v>Nitrato de Calcio</v>
      </c>
      <c r="L4" t="str">
        <v>B</v>
      </c>
      <c r="M4" t="str">
        <f>Main!D57</f>
        <v>Solubor</v>
      </c>
    </row>
    <row r="5" ht="17.25" customHeight="1">
      <c r="A5" t="str">
        <v>Porcentaje de Elemento</v>
      </c>
      <c r="C5">
        <f>Main!E41</f>
        <v>33.5</v>
      </c>
      <c r="E5">
        <f>Main!F31</f>
        <v>61</v>
      </c>
      <c r="G5">
        <f>Main!G36</f>
        <v>52</v>
      </c>
      <c r="I5">
        <f>Main!I46</f>
        <v>16</v>
      </c>
      <c r="K5">
        <f>Main!H51</f>
        <v>27</v>
      </c>
      <c r="M5">
        <f>Main!K56</f>
        <v>20.5</v>
      </c>
    </row>
    <row r="6">
      <c r="C6">
        <f>Main!E41/100</f>
        <v>0.335</v>
      </c>
      <c r="E6">
        <f>(Main!F31/100)/Main!F72</f>
        <v>0.61</v>
      </c>
      <c r="G6">
        <f>(Main!G36/100)/Main!F73</f>
        <v>0.52</v>
      </c>
      <c r="I6">
        <f>(I5/100)/Main!F74</f>
        <v>0.16</v>
      </c>
      <c r="K6">
        <f>(K5/100)/Main!F75</f>
        <v>0.27</v>
      </c>
      <c r="M6">
        <f>M5/100</f>
        <v>0.205</v>
      </c>
    </row>
    <row r="7">
      <c r="A7">
        <v>1</v>
      </c>
      <c r="B7">
        <f>'Req. Diario'!D6</f>
        <v>1.2459459024024024</v>
      </c>
      <c r="C7">
        <f>(B7-((E7*(Main!$E$31/100))+(G7*(Main!$E$36/100))+(I7*(Main!$E$46/100))+(K7*(Main!$E$51/100))))/$C$6</f>
        <v>1.073206698893538</v>
      </c>
      <c r="D7">
        <f>'Req. Diario'!E6</f>
        <v>0.8442991640416665</v>
      </c>
      <c r="E7">
        <f>(D7-((C7*(Main!$F$41/100))+(G7*(Main!$F$36/100))+(I7*(Main!$F$46/100))+(K7*(Main!$F$51/100))))/$E$6</f>
        <v>1.3840969902322402</v>
      </c>
      <c r="F7">
        <f>'Req. Diario'!F6</f>
        <v>2.107696141732284</v>
      </c>
      <c r="G7">
        <f>(F7-((C7*(Main!$G$41/100))+(E7*(Main!$G$31/100))+(I7*(Main!$G$46/100))+(K7*(Main!$G$51/100))))/$G$6</f>
        <v>4.0532618110236225</v>
      </c>
      <c r="H7">
        <f>'Req. Diario'!G6</f>
        <v>0.3607340844414577</v>
      </c>
      <c r="I7">
        <f>H7/$I$6</f>
        <v>2.2545880277591106</v>
      </c>
      <c r="J7">
        <f>'Req. Diario'!H6</f>
        <v>1.2547684209690555</v>
      </c>
      <c r="K7">
        <f>J7/$K$6</f>
        <v>4.647290448033538</v>
      </c>
      <c r="L7">
        <f>'Req. Diario'!I6</f>
        <v>5.0926</v>
      </c>
      <c r="M7">
        <f>L7/$M$6</f>
        <v>24.841951219512197</v>
      </c>
    </row>
    <row r="8">
      <c r="B8">
        <f>'Req. Diario'!D7</f>
        <v>1.2459459024024024</v>
      </c>
      <c r="C8">
        <f>(B8-((E8*(Main!$E$31/100))+(G8*(Main!$E$36/100))+(I8*(Main!$E$46/100))+(K8*(Main!$E$51/100))))/$C$6</f>
        <v>1.073206698893538</v>
      </c>
      <c r="D8">
        <f>'Req. Diario'!E7</f>
        <v>0.8442991640416665</v>
      </c>
      <c r="E8">
        <f>(D8-((C8*(Main!$F$41/100))+(G8*(Main!$F$36/100))+(I8*(Main!$F$46/100))+(K8*(Main!$F$51/100))))/$E$6</f>
        <v>1.3840969902322402</v>
      </c>
      <c r="F8">
        <f>'Req. Diario'!F7</f>
        <v>2.107696141732284</v>
      </c>
      <c r="G8">
        <f>(F8-((C8*(Main!$G$41/100))+(E8*(Main!$G$31/100))+(I8*(Main!$G$46/100))+(K8*(Main!$G$51/100))))/$G$6</f>
        <v>4.0532618110236225</v>
      </c>
      <c r="H8">
        <f>'Req. Diario'!G7</f>
        <v>0.3607340844414577</v>
      </c>
      <c r="I8">
        <f>H8/$I$6</f>
        <v>2.2545880277591106</v>
      </c>
      <c r="J8">
        <f>'Req. Diario'!H7</f>
        <v>1.2547684209690555</v>
      </c>
      <c r="K8">
        <f>J8/$K$6</f>
        <v>4.647290448033538</v>
      </c>
      <c r="L8">
        <f>'Req. Diario'!I7</f>
        <v>5.0926</v>
      </c>
      <c r="M8">
        <f>L8/$M$6</f>
        <v>24.841951219512197</v>
      </c>
    </row>
    <row r="9">
      <c r="B9">
        <f>'Req. Diario'!D8</f>
        <v>1.2459459024024024</v>
      </c>
      <c r="C9">
        <f>(B9-((E9*(Main!$E$31/100))+(G9*(Main!$E$36/100))+(I9*(Main!$E$46/100))+(K9*(Main!$E$51/100))))/$C$6</f>
        <v>1.073206698893538</v>
      </c>
      <c r="D9">
        <f>'Req. Diario'!E8</f>
        <v>0.8442991640416665</v>
      </c>
      <c r="E9">
        <f>(D9-((C9*(Main!$F$41/100))+(G9*(Main!$F$36/100))+(I9*(Main!$F$46/100))+(K9*(Main!$F$51/100))))/$E$6</f>
        <v>1.3840969902322402</v>
      </c>
      <c r="F9">
        <f>'Req. Diario'!F8</f>
        <v>2.107696141732284</v>
      </c>
      <c r="G9">
        <f>(F9-((C9*(Main!$G$41/100))+(E9*(Main!$G$31/100))+(I9*(Main!$G$46/100))+(K9*(Main!$G$51/100))))/$G$6</f>
        <v>4.0532618110236225</v>
      </c>
      <c r="H9">
        <f>'Req. Diario'!G8</f>
        <v>0.3607340844414577</v>
      </c>
      <c r="I9">
        <f>H9/$I$6</f>
        <v>2.2545880277591106</v>
      </c>
      <c r="J9">
        <f>'Req. Diario'!H8</f>
        <v>1.2547684209690555</v>
      </c>
      <c r="K9">
        <f>J9/$K$6</f>
        <v>4.647290448033538</v>
      </c>
      <c r="L9">
        <f>'Req. Diario'!I8</f>
        <v>5.0926</v>
      </c>
      <c r="M9">
        <f>L9/$M$6</f>
        <v>24.841951219512197</v>
      </c>
    </row>
    <row r="10">
      <c r="B10">
        <f>'Req. Diario'!D9</f>
        <v>1.2459459024024024</v>
      </c>
      <c r="C10">
        <f>(B10-((E10*(Main!$E$31/100))+(G10*(Main!$E$36/100))+(I10*(Main!$E$46/100))+(K10*(Main!$E$51/100))))/$C$6</f>
        <v>1.073206698893538</v>
      </c>
      <c r="D10">
        <f>'Req. Diario'!E9</f>
        <v>0.8442991640416665</v>
      </c>
      <c r="E10">
        <f>(D10-((C10*(Main!$F$41/100))+(G10*(Main!$F$36/100))+(I10*(Main!$F$46/100))+(K10*(Main!$F$51/100))))/$E$6</f>
        <v>1.3840969902322402</v>
      </c>
      <c r="F10">
        <f>'Req. Diario'!F9</f>
        <v>2.107696141732284</v>
      </c>
      <c r="G10">
        <f>(F10-((C10*(Main!$G$41/100))+(E10*(Main!$G$31/100))+(I10*(Main!$G$46/100))+(K10*(Main!$G$51/100))))/$G$6</f>
        <v>4.0532618110236225</v>
      </c>
      <c r="H10">
        <f>'Req. Diario'!G9</f>
        <v>0.3607340844414577</v>
      </c>
      <c r="I10">
        <f>H10/$I$6</f>
        <v>2.2545880277591106</v>
      </c>
      <c r="J10">
        <f>'Req. Diario'!H9</f>
        <v>1.2547684209690555</v>
      </c>
      <c r="K10">
        <f>J10/$K$6</f>
        <v>4.647290448033538</v>
      </c>
      <c r="L10">
        <f>'Req. Diario'!I9</f>
        <v>5.0926</v>
      </c>
      <c r="M10">
        <f>L10/$M$6</f>
        <v>24.841951219512197</v>
      </c>
    </row>
    <row r="11">
      <c r="B11">
        <f>'Req. Diario'!D10</f>
        <v>1.2459459024024024</v>
      </c>
      <c r="C11">
        <f>(B11-((E11*(Main!$E$31/100))+(G11*(Main!$E$36/100))+(I11*(Main!$E$46/100))+(K11*(Main!$E$51/100))))/$C$6</f>
        <v>1.073206698893538</v>
      </c>
      <c r="D11">
        <f>'Req. Diario'!E10</f>
        <v>0.8442991640416665</v>
      </c>
      <c r="E11">
        <f>(D11-((C11*(Main!$F$41/100))+(G11*(Main!$F$36/100))+(I11*(Main!$F$46/100))+(K11*(Main!$F$51/100))))/$E$6</f>
        <v>1.3840969902322402</v>
      </c>
      <c r="F11">
        <f>'Req. Diario'!F10</f>
        <v>2.107696141732284</v>
      </c>
      <c r="G11">
        <f>(F11-((C11*(Main!$G$41/100))+(E11*(Main!$G$31/100))+(I11*(Main!$G$46/100))+(K11*(Main!$G$51/100))))/$G$6</f>
        <v>4.0532618110236225</v>
      </c>
      <c r="H11">
        <f>'Req. Diario'!G10</f>
        <v>0.3607340844414577</v>
      </c>
      <c r="I11">
        <f>H11/$I$6</f>
        <v>2.2545880277591106</v>
      </c>
      <c r="J11">
        <f>'Req. Diario'!H10</f>
        <v>1.2547684209690555</v>
      </c>
      <c r="K11">
        <f>J11/$K$6</f>
        <v>4.647290448033538</v>
      </c>
      <c r="L11">
        <f>'Req. Diario'!I10</f>
        <v>5.0926</v>
      </c>
      <c r="M11">
        <f>L11/$M$6</f>
        <v>24.841951219512197</v>
      </c>
    </row>
    <row r="12">
      <c r="B12">
        <f>'Req. Diario'!D11</f>
        <v>1.2459459024024024</v>
      </c>
      <c r="C12">
        <f>(B12-((E12*(Main!$E$31/100))+(G12*(Main!$E$36/100))+(I12*(Main!$E$46/100))+(K12*(Main!$E$51/100))))/$C$6</f>
        <v>1.073206698893538</v>
      </c>
      <c r="D12">
        <f>'Req. Diario'!E11</f>
        <v>0.8442991640416665</v>
      </c>
      <c r="E12">
        <f>(D12-((C12*(Main!$F$41/100))+(G12*(Main!$F$36/100))+(I12*(Main!$F$46/100))+(K12*(Main!$F$51/100))))/$E$6</f>
        <v>1.3840969902322402</v>
      </c>
      <c r="F12">
        <f>'Req. Diario'!F11</f>
        <v>2.107696141732284</v>
      </c>
      <c r="G12">
        <f>(F12-((C12*(Main!$G$41/100))+(E12*(Main!$G$31/100))+(I12*(Main!$G$46/100))+(K12*(Main!$G$51/100))))/$G$6</f>
        <v>4.0532618110236225</v>
      </c>
      <c r="H12">
        <f>'Req. Diario'!G11</f>
        <v>0.3607340844414577</v>
      </c>
      <c r="I12">
        <f>H12/$I$6</f>
        <v>2.2545880277591106</v>
      </c>
      <c r="J12">
        <f>'Req. Diario'!H11</f>
        <v>1.2547684209690555</v>
      </c>
      <c r="K12">
        <f>J12/$K$6</f>
        <v>4.647290448033538</v>
      </c>
      <c r="L12">
        <f>'Req. Diario'!I11</f>
        <v>5.0926</v>
      </c>
      <c r="M12">
        <f>L12/$M$6</f>
        <v>24.841951219512197</v>
      </c>
    </row>
    <row r="13">
      <c r="B13">
        <f>'Req. Diario'!D12</f>
        <v>1.2459459024024024</v>
      </c>
      <c r="C13">
        <f>(B13-((E13*(Main!$E$31/100))+(G13*(Main!$E$36/100))+(I13*(Main!$E$46/100))+(K13*(Main!$E$51/100))))/$C$6</f>
        <v>1.073206698893538</v>
      </c>
      <c r="D13">
        <f>'Req. Diario'!E12</f>
        <v>0.8442991640416665</v>
      </c>
      <c r="E13">
        <f>(D13-((C13*(Main!$F$41/100))+(G13*(Main!$F$36/100))+(I13*(Main!$F$46/100))+(K13*(Main!$F$51/100))))/$E$6</f>
        <v>1.3840969902322402</v>
      </c>
      <c r="F13">
        <f>'Req. Diario'!F12</f>
        <v>2.107696141732284</v>
      </c>
      <c r="G13">
        <f>(F13-((C13*(Main!$G$41/100))+(E13*(Main!$G$31/100))+(I13*(Main!$G$46/100))+(K13*(Main!$G$51/100))))/$G$6</f>
        <v>4.0532618110236225</v>
      </c>
      <c r="H13">
        <f>'Req. Diario'!G12</f>
        <v>0.3607340844414577</v>
      </c>
      <c r="I13">
        <f>H13/$I$6</f>
        <v>2.2545880277591106</v>
      </c>
      <c r="J13">
        <f>'Req. Diario'!H12</f>
        <v>1.2547684209690555</v>
      </c>
      <c r="K13">
        <f>J13/$K$6</f>
        <v>4.647290448033538</v>
      </c>
      <c r="L13">
        <f>'Req. Diario'!I12</f>
        <v>5.0926</v>
      </c>
      <c r="M13">
        <f>L13/$M$6</f>
        <v>24.841951219512197</v>
      </c>
    </row>
    <row r="14">
      <c r="A14">
        <v>2</v>
      </c>
      <c r="B14">
        <f>'Req. Diario'!D13</f>
        <v>1.2459459024024024</v>
      </c>
      <c r="C14">
        <f>(B14-((E14*(Main!$E$31/100))+(G14*(Main!$E$36/100))+(I14*(Main!$E$46/100))+(K14*(Main!$E$51/100))))/$C$6</f>
        <v>1.073206698893538</v>
      </c>
      <c r="D14">
        <f>'Req. Diario'!E13</f>
        <v>0.8442991640416665</v>
      </c>
      <c r="E14">
        <f>(D14-((C14*(Main!$F$41/100))+(G14*(Main!$F$36/100))+(I14*(Main!$F$46/100))+(K14*(Main!$F$51/100))))/$E$6</f>
        <v>1.3840969902322402</v>
      </c>
      <c r="F14">
        <f>'Req. Diario'!F13</f>
        <v>2.107696141732284</v>
      </c>
      <c r="G14">
        <f>(F14-((C14*(Main!$G$41/100))+(E14*(Main!$G$31/100))+(I14*(Main!$G$46/100))+(K14*(Main!$G$51/100))))/$G$6</f>
        <v>4.0532618110236225</v>
      </c>
      <c r="H14">
        <f>'Req. Diario'!G13</f>
        <v>0.3607340844414577</v>
      </c>
      <c r="I14">
        <f>H14/$I$6</f>
        <v>2.2545880277591106</v>
      </c>
      <c r="J14">
        <f>'Req. Diario'!H13</f>
        <v>1.2547684209690555</v>
      </c>
      <c r="K14">
        <f>J14/$K$6</f>
        <v>4.647290448033538</v>
      </c>
      <c r="L14">
        <f>'Req. Diario'!I13</f>
        <v>5.0926</v>
      </c>
      <c r="M14">
        <f>L14/$M$6</f>
        <v>24.841951219512197</v>
      </c>
    </row>
    <row r="15">
      <c r="B15">
        <f>'Req. Diario'!D14</f>
        <v>1.2459459024024024</v>
      </c>
      <c r="C15">
        <f>(B15-((E15*(Main!$E$31/100))+(G15*(Main!$E$36/100))+(I15*(Main!$E$46/100))+(K15*(Main!$E$51/100))))/$C$6</f>
        <v>1.073206698893538</v>
      </c>
      <c r="D15">
        <f>'Req. Diario'!E14</f>
        <v>0.8442991640416665</v>
      </c>
      <c r="E15">
        <f>(D15-((C15*(Main!$F$41/100))+(G15*(Main!$F$36/100))+(I15*(Main!$F$46/100))+(K15*(Main!$F$51/100))))/$E$6</f>
        <v>1.3840969902322402</v>
      </c>
      <c r="F15">
        <f>'Req. Diario'!F14</f>
        <v>2.107696141732284</v>
      </c>
      <c r="G15">
        <f>(F15-((C15*(Main!$G$41/100))+(E15*(Main!$G$31/100))+(I15*(Main!$G$46/100))+(K15*(Main!$G$51/100))))/$G$6</f>
        <v>4.0532618110236225</v>
      </c>
      <c r="H15">
        <f>'Req. Diario'!G14</f>
        <v>0.3607340844414577</v>
      </c>
      <c r="I15">
        <f>H15/$I$6</f>
        <v>2.2545880277591106</v>
      </c>
      <c r="J15">
        <f>'Req. Diario'!H14</f>
        <v>1.2547684209690555</v>
      </c>
      <c r="K15">
        <f>J15/$K$6</f>
        <v>4.647290448033538</v>
      </c>
      <c r="L15">
        <f>'Req. Diario'!I14</f>
        <v>5.0926</v>
      </c>
      <c r="M15">
        <f>L15/$M$6</f>
        <v>24.841951219512197</v>
      </c>
    </row>
    <row r="16">
      <c r="B16">
        <f>'Req. Diario'!D15</f>
        <v>1.2459459024024024</v>
      </c>
      <c r="C16">
        <f>(B16-((E16*(Main!$E$31/100))+(G16*(Main!$E$36/100))+(I16*(Main!$E$46/100))+(K16*(Main!$E$51/100))))/$C$6</f>
        <v>1.073206698893538</v>
      </c>
      <c r="D16">
        <f>'Req. Diario'!E15</f>
        <v>0.8442991640416665</v>
      </c>
      <c r="E16">
        <f>(D16-((C16*(Main!$F$41/100))+(G16*(Main!$F$36/100))+(I16*(Main!$F$46/100))+(K16*(Main!$F$51/100))))/$E$6</f>
        <v>1.3840969902322402</v>
      </c>
      <c r="F16">
        <f>'Req. Diario'!F15</f>
        <v>2.107696141732284</v>
      </c>
      <c r="G16">
        <f>(F16-((C16*(Main!$G$41/100))+(E16*(Main!$G$31/100))+(I16*(Main!$G$46/100))+(K16*(Main!$G$51/100))))/$G$6</f>
        <v>4.0532618110236225</v>
      </c>
      <c r="H16">
        <f>'Req. Diario'!G15</f>
        <v>0.3607340844414577</v>
      </c>
      <c r="I16">
        <f>H16/$I$6</f>
        <v>2.2545880277591106</v>
      </c>
      <c r="J16">
        <f>'Req. Diario'!H15</f>
        <v>1.2547684209690555</v>
      </c>
      <c r="K16">
        <f>J16/$K$6</f>
        <v>4.647290448033538</v>
      </c>
      <c r="L16">
        <f>'Req. Diario'!I15</f>
        <v>5.0926</v>
      </c>
      <c r="M16">
        <f>L16/$M$6</f>
        <v>24.841951219512197</v>
      </c>
    </row>
    <row r="17">
      <c r="B17">
        <f>'Req. Diario'!D16</f>
        <v>2.180405329204204</v>
      </c>
      <c r="C17">
        <f>(B17-((E17*(Main!$E$31/100))+(G17*(Main!$E$36/100))+(I17*(Main!$E$46/100))+(K17*(Main!$E$51/100))))/$C$6</f>
        <v>1.8781117230636906</v>
      </c>
      <c r="D17">
        <f>'Req. Diario'!E16</f>
        <v>1.4775235370729165</v>
      </c>
      <c r="E17">
        <f>(D17-((C17*(Main!$F$41/100))+(G17*(Main!$F$36/100))+(I17*(Main!$F$46/100))+(K17*(Main!$F$51/100))))/$E$6</f>
        <v>2.4221697329064207</v>
      </c>
      <c r="F17">
        <f>'Req. Diario'!F16</f>
        <v>3.688468248031496</v>
      </c>
      <c r="G17">
        <f>(F17-((C17*(Main!$G$41/100))+(E17*(Main!$G$31/100))+(I17*(Main!$G$46/100))+(K17*(Main!$G$51/100))))/$G$6</f>
        <v>7.093208169291338</v>
      </c>
      <c r="H17">
        <f>'Req. Diario'!G16</f>
        <v>0.6312846477725509</v>
      </c>
      <c r="I17">
        <f>H17/$I$6</f>
        <v>3.945529048578443</v>
      </c>
      <c r="J17">
        <f>'Req. Diario'!H16</f>
        <v>2.1958447366958467</v>
      </c>
      <c r="K17">
        <f>J17/$K$6</f>
        <v>8.13275828405869</v>
      </c>
      <c r="L17">
        <f>'Req. Diario'!I16</f>
        <v>9.1667</v>
      </c>
      <c r="M17">
        <f>L17/$M$6</f>
        <v>44.715609756097564</v>
      </c>
    </row>
    <row r="18">
      <c r="B18">
        <f>'Req. Diario'!D17</f>
        <v>2.180405329204204</v>
      </c>
      <c r="C18">
        <f>(B18-((E18*(Main!$E$31/100))+(G18*(Main!$E$36/100))+(I18*(Main!$E$46/100))+(K18*(Main!$E$51/100))))/$C$6</f>
        <v>1.8781117230636906</v>
      </c>
      <c r="D18">
        <f>'Req. Diario'!E17</f>
        <v>1.4775235370729165</v>
      </c>
      <c r="E18">
        <f>(D18-((C18*(Main!$F$41/100))+(G18*(Main!$F$36/100))+(I18*(Main!$F$46/100))+(K18*(Main!$F$51/100))))/$E$6</f>
        <v>2.4221697329064207</v>
      </c>
      <c r="F18">
        <f>'Req. Diario'!F17</f>
        <v>3.688468248031496</v>
      </c>
      <c r="G18">
        <f>(F18-((C18*(Main!$G$41/100))+(E18*(Main!$G$31/100))+(I18*(Main!$G$46/100))+(K18*(Main!$G$51/100))))/$G$6</f>
        <v>7.093208169291338</v>
      </c>
      <c r="H18">
        <f>'Req. Diario'!G17</f>
        <v>0.6312846477725509</v>
      </c>
      <c r="I18">
        <f>H18/$I$6</f>
        <v>3.945529048578443</v>
      </c>
      <c r="J18">
        <f>'Req. Diario'!H17</f>
        <v>2.1958447366958467</v>
      </c>
      <c r="K18">
        <f>J18/$K$6</f>
        <v>8.13275828405869</v>
      </c>
      <c r="L18">
        <f>'Req. Diario'!I17</f>
        <v>9.1667</v>
      </c>
      <c r="M18">
        <f>L18/$M$6</f>
        <v>44.715609756097564</v>
      </c>
    </row>
    <row r="19">
      <c r="B19">
        <f>'Req. Diario'!D18</f>
        <v>2.180405329204204</v>
      </c>
      <c r="C19">
        <f>(B19-((E19*(Main!$E$31/100))+(G19*(Main!$E$36/100))+(I19*(Main!$E$46/100))+(K19*(Main!$E$51/100))))/$C$6</f>
        <v>1.8781117230636906</v>
      </c>
      <c r="D19">
        <f>'Req. Diario'!E18</f>
        <v>1.4775235370729165</v>
      </c>
      <c r="E19">
        <f>(D19-((C19*(Main!$F$41/100))+(G19*(Main!$F$36/100))+(I19*(Main!$F$46/100))+(K19*(Main!$F$51/100))))/$E$6</f>
        <v>2.4221697329064207</v>
      </c>
      <c r="F19">
        <f>'Req. Diario'!F18</f>
        <v>3.688468248031496</v>
      </c>
      <c r="G19">
        <f>(F19-((C19*(Main!$G$41/100))+(E19*(Main!$G$31/100))+(I19*(Main!$G$46/100))+(K19*(Main!$G$51/100))))/$G$6</f>
        <v>7.093208169291338</v>
      </c>
      <c r="H19">
        <f>'Req. Diario'!G18</f>
        <v>0.6312846477725509</v>
      </c>
      <c r="I19">
        <f>H19/$I$6</f>
        <v>3.945529048578443</v>
      </c>
      <c r="J19">
        <f>'Req. Diario'!H18</f>
        <v>2.1958447366958467</v>
      </c>
      <c r="K19">
        <f>J19/$K$6</f>
        <v>8.13275828405869</v>
      </c>
      <c r="L19">
        <f>'Req. Diario'!I18</f>
        <v>9.1667</v>
      </c>
      <c r="M19">
        <f>L19/$M$6</f>
        <v>44.715609756097564</v>
      </c>
    </row>
    <row r="20">
      <c r="B20">
        <f>'Req. Diario'!D19</f>
        <v>2.180405329204204</v>
      </c>
      <c r="C20">
        <f>(B20-((E20*(Main!$E$31/100))+(G20*(Main!$E$36/100))+(I20*(Main!$E$46/100))+(K20*(Main!$E$51/100))))/$C$6</f>
        <v>1.8781117230636906</v>
      </c>
      <c r="D20">
        <f>'Req. Diario'!E19</f>
        <v>1.4775235370729165</v>
      </c>
      <c r="E20">
        <f>(D20-((C20*(Main!$F$41/100))+(G20*(Main!$F$36/100))+(I20*(Main!$F$46/100))+(K20*(Main!$F$51/100))))/$E$6</f>
        <v>2.4221697329064207</v>
      </c>
      <c r="F20">
        <f>'Req. Diario'!F19</f>
        <v>3.688468248031496</v>
      </c>
      <c r="G20">
        <f>(F20-((C20*(Main!$G$41/100))+(E20*(Main!$G$31/100))+(I20*(Main!$G$46/100))+(K20*(Main!$G$51/100))))/$G$6</f>
        <v>7.093208169291338</v>
      </c>
      <c r="H20">
        <f>'Req. Diario'!G19</f>
        <v>0.6312846477725509</v>
      </c>
      <c r="I20">
        <f>H20/$I$6</f>
        <v>3.945529048578443</v>
      </c>
      <c r="J20">
        <f>'Req. Diario'!H19</f>
        <v>2.1958447366958467</v>
      </c>
      <c r="K20">
        <f>J20/$K$6</f>
        <v>8.13275828405869</v>
      </c>
      <c r="L20">
        <f>'Req. Diario'!I19</f>
        <v>9.1667</v>
      </c>
      <c r="M20">
        <f>L20/$M$6</f>
        <v>44.715609756097564</v>
      </c>
    </row>
    <row r="21">
      <c r="A21">
        <v>3</v>
      </c>
      <c r="B21">
        <f>'Req. Diario'!D20</f>
        <v>2.180405329204204</v>
      </c>
      <c r="C21">
        <f>(B21-((E21*(Main!$E$31/100))+(G21*(Main!$E$36/100))+(I21*(Main!$E$46/100))+(K21*(Main!$E$51/100))))/$C$6</f>
        <v>1.8781117230636906</v>
      </c>
      <c r="D21">
        <f>'Req. Diario'!E20</f>
        <v>1.4775235370729165</v>
      </c>
      <c r="E21">
        <f>(D21-((C21*(Main!$F$41/100))+(G21*(Main!$F$36/100))+(I21*(Main!$F$46/100))+(K21*(Main!$F$51/100))))/$E$6</f>
        <v>2.4221697329064207</v>
      </c>
      <c r="F21">
        <f>'Req. Diario'!F20</f>
        <v>3.688468248031496</v>
      </c>
      <c r="G21">
        <f>(F21-((C21*(Main!$G$41/100))+(E21*(Main!$G$31/100))+(I21*(Main!$G$46/100))+(K21*(Main!$G$51/100))))/$G$6</f>
        <v>7.093208169291338</v>
      </c>
      <c r="H21">
        <f>'Req. Diario'!G20</f>
        <v>0.6312846477725509</v>
      </c>
      <c r="I21">
        <f>H21/$I$6</f>
        <v>3.945529048578443</v>
      </c>
      <c r="J21">
        <f>'Req. Diario'!H20</f>
        <v>2.1958447366958467</v>
      </c>
      <c r="K21">
        <f>J21/$K$6</f>
        <v>8.13275828405869</v>
      </c>
      <c r="L21">
        <f>'Req. Diario'!I20</f>
        <v>9.1667</v>
      </c>
      <c r="M21">
        <f>L21/$M$6</f>
        <v>44.715609756097564</v>
      </c>
    </row>
    <row r="22">
      <c r="B22">
        <f>'Req. Diario'!D21</f>
        <v>2.180405329204204</v>
      </c>
      <c r="C22">
        <f>(B22-((E22*(Main!$E$31/100))+(G22*(Main!$E$36/100))+(I22*(Main!$E$46/100))+(K22*(Main!$E$51/100))))/$C$6</f>
        <v>1.8781117230636906</v>
      </c>
      <c r="D22">
        <f>'Req. Diario'!E21</f>
        <v>1.4775235370729165</v>
      </c>
      <c r="E22">
        <f>(D22-((C22*(Main!$F$41/100))+(G22*(Main!$F$36/100))+(I22*(Main!$F$46/100))+(K22*(Main!$F$51/100))))/$E$6</f>
        <v>2.4221697329064207</v>
      </c>
      <c r="F22">
        <f>'Req. Diario'!F21</f>
        <v>3.688468248031496</v>
      </c>
      <c r="G22">
        <f>(F22-((C22*(Main!$G$41/100))+(E22*(Main!$G$31/100))+(I22*(Main!$G$46/100))+(K22*(Main!$G$51/100))))/$G$6</f>
        <v>7.093208169291338</v>
      </c>
      <c r="H22">
        <f>'Req. Diario'!G21</f>
        <v>0.6312846477725509</v>
      </c>
      <c r="I22">
        <f>H22/$I$6</f>
        <v>3.945529048578443</v>
      </c>
      <c r="J22">
        <f>'Req. Diario'!H21</f>
        <v>2.1958447366958467</v>
      </c>
      <c r="K22">
        <f>J22/$K$6</f>
        <v>8.13275828405869</v>
      </c>
      <c r="L22">
        <f>'Req. Diario'!I21</f>
        <v>9.1667</v>
      </c>
      <c r="M22">
        <f>L22/$M$6</f>
        <v>44.715609756097564</v>
      </c>
    </row>
    <row r="23">
      <c r="B23">
        <f>'Req. Diario'!D22</f>
        <v>2.180405329204204</v>
      </c>
      <c r="C23">
        <f>(B23-((E23*(Main!$E$31/100))+(G23*(Main!$E$36/100))+(I23*(Main!$E$46/100))+(K23*(Main!$E$51/100))))/$C$6</f>
        <v>1.8781117230636906</v>
      </c>
      <c r="D23">
        <f>'Req. Diario'!E22</f>
        <v>1.4775235370729165</v>
      </c>
      <c r="E23">
        <f>(D23-((C23*(Main!$F$41/100))+(G23*(Main!$F$36/100))+(I23*(Main!$F$46/100))+(K23*(Main!$F$51/100))))/$E$6</f>
        <v>2.4221697329064207</v>
      </c>
      <c r="F23">
        <f>'Req. Diario'!F22</f>
        <v>3.688468248031496</v>
      </c>
      <c r="G23">
        <f>(F23-((C23*(Main!$G$41/100))+(E23*(Main!$G$31/100))+(I23*(Main!$G$46/100))+(K23*(Main!$G$51/100))))/$G$6</f>
        <v>7.093208169291338</v>
      </c>
      <c r="H23">
        <f>'Req. Diario'!G22</f>
        <v>0.6312846477725509</v>
      </c>
      <c r="I23">
        <f>H23/$I$6</f>
        <v>3.945529048578443</v>
      </c>
      <c r="J23">
        <f>'Req. Diario'!H22</f>
        <v>2.1958447366958467</v>
      </c>
      <c r="K23">
        <f>J23/$K$6</f>
        <v>8.13275828405869</v>
      </c>
      <c r="L23">
        <f>'Req. Diario'!I22</f>
        <v>9.1667</v>
      </c>
      <c r="M23">
        <f>L23/$M$6</f>
        <v>44.715609756097564</v>
      </c>
    </row>
    <row r="24">
      <c r="B24">
        <f>'Req. Diario'!D23</f>
        <v>3.114864756006006</v>
      </c>
      <c r="C24">
        <f>(B24-((E24*(Main!$E$31/100))+(G24*(Main!$E$36/100))+(I24*(Main!$E$46/100))+(K24*(Main!$E$51/100))))/$C$6</f>
        <v>2.683016747233844</v>
      </c>
      <c r="D24">
        <f>'Req. Diario'!E23</f>
        <v>2.110747910104167</v>
      </c>
      <c r="E24">
        <f>(D24-((C24*(Main!$F$41/100))+(G24*(Main!$F$36/100))+(I24*(Main!$F$46/100))+(K24*(Main!$F$51/100))))/$E$6</f>
        <v>3.4602424755806016</v>
      </c>
      <c r="F24">
        <f>'Req. Diario'!F23</f>
        <v>5.26924035433071</v>
      </c>
      <c r="G24">
        <f>(F24-((C24*(Main!$G$41/100))+(E24*(Main!$G$31/100))+(I24*(Main!$G$46/100))+(K24*(Main!$G$51/100))))/$G$6</f>
        <v>10.133154527559057</v>
      </c>
      <c r="H24">
        <f>'Req. Diario'!G23</f>
        <v>0.9018352111036443</v>
      </c>
      <c r="I24">
        <f>H24/$I$6</f>
        <v>5.6364700693977765</v>
      </c>
      <c r="J24">
        <f>'Req. Diario'!H23</f>
        <v>3.1369210524226387</v>
      </c>
      <c r="K24">
        <f>J24/$K$6</f>
        <v>11.618226120083847</v>
      </c>
      <c r="L24">
        <f>'Req. Diario'!I23</f>
        <v>12.2222</v>
      </c>
      <c r="M24">
        <f>L24/$M$6</f>
        <v>59.62048780487805</v>
      </c>
    </row>
    <row r="25">
      <c r="B25">
        <f>'Req. Diario'!D24</f>
        <v>3.114864756006006</v>
      </c>
      <c r="C25">
        <f>(B25-((E25*(Main!$E$31/100))+(G25*(Main!$E$36/100))+(I25*(Main!$E$46/100))+(K25*(Main!$E$51/100))))/$C$6</f>
        <v>2.683016747233844</v>
      </c>
      <c r="D25">
        <f>'Req. Diario'!E24</f>
        <v>2.110747910104167</v>
      </c>
      <c r="E25">
        <f>(D25-((C25*(Main!$F$41/100))+(G25*(Main!$F$36/100))+(I25*(Main!$F$46/100))+(K25*(Main!$F$51/100))))/$E$6</f>
        <v>3.4602424755806016</v>
      </c>
      <c r="F25">
        <f>'Req. Diario'!F24</f>
        <v>5.26924035433071</v>
      </c>
      <c r="G25">
        <f>(F25-((C25*(Main!$G$41/100))+(E25*(Main!$G$31/100))+(I25*(Main!$G$46/100))+(K25*(Main!$G$51/100))))/$G$6</f>
        <v>10.133154527559057</v>
      </c>
      <c r="H25">
        <f>'Req. Diario'!G24</f>
        <v>0.9018352111036443</v>
      </c>
      <c r="I25">
        <f>H25/$I$6</f>
        <v>5.6364700693977765</v>
      </c>
      <c r="J25">
        <f>'Req. Diario'!H24</f>
        <v>3.1369210524226387</v>
      </c>
      <c r="K25">
        <f>J25/$K$6</f>
        <v>11.618226120083847</v>
      </c>
      <c r="L25">
        <f>'Req. Diario'!I24</f>
        <v>12.2222</v>
      </c>
      <c r="M25">
        <f>L25/$M$6</f>
        <v>59.62048780487805</v>
      </c>
    </row>
    <row r="26">
      <c r="B26">
        <f>'Req. Diario'!D25</f>
        <v>3.114864756006006</v>
      </c>
      <c r="C26">
        <f>(B26-((E26*(Main!$E$31/100))+(G26*(Main!$E$36/100))+(I26*(Main!$E$46/100))+(K26*(Main!$E$51/100))))/$C$6</f>
        <v>2.683016747233844</v>
      </c>
      <c r="D26">
        <f>'Req. Diario'!E25</f>
        <v>2.110747910104167</v>
      </c>
      <c r="E26">
        <f>(D26-((C26*(Main!$F$41/100))+(G26*(Main!$F$36/100))+(I26*(Main!$F$46/100))+(K26*(Main!$F$51/100))))/$E$6</f>
        <v>3.4602424755806016</v>
      </c>
      <c r="F26">
        <f>'Req. Diario'!F25</f>
        <v>5.26924035433071</v>
      </c>
      <c r="G26">
        <f>(F26-((C26*(Main!$G$41/100))+(E26*(Main!$G$31/100))+(I26*(Main!$G$46/100))+(K26*(Main!$G$51/100))))/$G$6</f>
        <v>10.133154527559057</v>
      </c>
      <c r="H26">
        <f>'Req. Diario'!G25</f>
        <v>0.9018352111036443</v>
      </c>
      <c r="I26">
        <f>H26/$I$6</f>
        <v>5.6364700693977765</v>
      </c>
      <c r="J26">
        <f>'Req. Diario'!H25</f>
        <v>3.1369210524226387</v>
      </c>
      <c r="K26">
        <f>J26/$K$6</f>
        <v>11.618226120083847</v>
      </c>
      <c r="L26">
        <f>'Req. Diario'!I25</f>
        <v>12.2222</v>
      </c>
      <c r="M26">
        <f>L26/$M$6</f>
        <v>59.62048780487805</v>
      </c>
    </row>
    <row r="27">
      <c r="B27">
        <f>'Req. Diario'!D26</f>
        <v>3.114864756006006</v>
      </c>
      <c r="C27">
        <f>(B27-((E27*(Main!$E$31/100))+(G27*(Main!$E$36/100))+(I27*(Main!$E$46/100))+(K27*(Main!$E$51/100))))/$C$6</f>
        <v>2.683016747233844</v>
      </c>
      <c r="D27">
        <f>'Req. Diario'!E26</f>
        <v>2.110747910104167</v>
      </c>
      <c r="E27">
        <f>(D27-((C27*(Main!$F$41/100))+(G27*(Main!$F$36/100))+(I27*(Main!$F$46/100))+(K27*(Main!$F$51/100))))/$E$6</f>
        <v>3.4602424755806016</v>
      </c>
      <c r="F27">
        <f>'Req. Diario'!F26</f>
        <v>5.26924035433071</v>
      </c>
      <c r="G27">
        <f>(F27-((C27*(Main!$G$41/100))+(E27*(Main!$G$31/100))+(I27*(Main!$G$46/100))+(K27*(Main!$G$51/100))))/$G$6</f>
        <v>10.133154527559057</v>
      </c>
      <c r="H27">
        <f>'Req. Diario'!G26</f>
        <v>0.9018352111036443</v>
      </c>
      <c r="I27">
        <f>H27/$I$6</f>
        <v>5.6364700693977765</v>
      </c>
      <c r="J27">
        <f>'Req. Diario'!H26</f>
        <v>3.1369210524226387</v>
      </c>
      <c r="K27">
        <f>J27/$K$6</f>
        <v>11.618226120083847</v>
      </c>
      <c r="L27">
        <f>'Req. Diario'!I26</f>
        <v>12.2222</v>
      </c>
      <c r="M27">
        <f>L27/$M$6</f>
        <v>59.62048780487805</v>
      </c>
    </row>
    <row r="28">
      <c r="A28">
        <v>4</v>
      </c>
      <c r="B28">
        <f>'Req. Diario'!D27</f>
        <v>3.114864756006006</v>
      </c>
      <c r="C28">
        <f>(B28-((E28*(Main!$E$31/100))+(G28*(Main!$E$36/100))+(I28*(Main!$E$46/100))+(K28*(Main!$E$51/100))))/$C$6</f>
        <v>2.683016747233844</v>
      </c>
      <c r="D28">
        <f>'Req. Diario'!E27</f>
        <v>2.110747910104167</v>
      </c>
      <c r="E28">
        <f>(D28-((C28*(Main!$F$41/100))+(G28*(Main!$F$36/100))+(I28*(Main!$F$46/100))+(K28*(Main!$F$51/100))))/$E$6</f>
        <v>3.4602424755806016</v>
      </c>
      <c r="F28">
        <f>'Req. Diario'!F27</f>
        <v>5.26924035433071</v>
      </c>
      <c r="G28">
        <f>(F28-((C28*(Main!$G$41/100))+(E28*(Main!$G$31/100))+(I28*(Main!$G$46/100))+(K28*(Main!$G$51/100))))/$G$6</f>
        <v>10.133154527559057</v>
      </c>
      <c r="H28">
        <f>'Req. Diario'!G27</f>
        <v>0.9018352111036443</v>
      </c>
      <c r="I28">
        <f>H28/$I$6</f>
        <v>5.6364700693977765</v>
      </c>
      <c r="J28">
        <f>'Req. Diario'!H27</f>
        <v>3.1369210524226387</v>
      </c>
      <c r="K28">
        <f>J28/$K$6</f>
        <v>11.618226120083847</v>
      </c>
      <c r="L28">
        <f>'Req. Diario'!I27</f>
        <v>12.2222</v>
      </c>
      <c r="M28">
        <f>L28/$M$6</f>
        <v>59.62048780487805</v>
      </c>
    </row>
    <row r="29">
      <c r="B29">
        <f>'Req. Diario'!D28</f>
        <v>3.114864756006006</v>
      </c>
      <c r="C29">
        <f>(B29-((E29*(Main!$E$31/100))+(G29*(Main!$E$36/100))+(I29*(Main!$E$46/100))+(K29*(Main!$E$51/100))))/$C$6</f>
        <v>2.683016747233844</v>
      </c>
      <c r="D29">
        <f>'Req. Diario'!E28</f>
        <v>2.110747910104167</v>
      </c>
      <c r="E29">
        <f>(D29-((C29*(Main!$F$41/100))+(G29*(Main!$F$36/100))+(I29*(Main!$F$46/100))+(K29*(Main!$F$51/100))))/$E$6</f>
        <v>3.4602424755806016</v>
      </c>
      <c r="F29">
        <f>'Req. Diario'!F28</f>
        <v>5.26924035433071</v>
      </c>
      <c r="G29">
        <f>(F29-((C29*(Main!$G$41/100))+(E29*(Main!$G$31/100))+(I29*(Main!$G$46/100))+(K29*(Main!$G$51/100))))/$G$6</f>
        <v>10.133154527559057</v>
      </c>
      <c r="H29">
        <f>'Req. Diario'!G28</f>
        <v>0.9018352111036443</v>
      </c>
      <c r="I29">
        <f>H29/$I$6</f>
        <v>5.6364700693977765</v>
      </c>
      <c r="J29">
        <f>'Req. Diario'!H28</f>
        <v>3.1369210524226387</v>
      </c>
      <c r="K29">
        <f>J29/$K$6</f>
        <v>11.618226120083847</v>
      </c>
      <c r="L29">
        <f>'Req. Diario'!I28</f>
        <v>12.2222</v>
      </c>
      <c r="M29">
        <f>L29/$M$6</f>
        <v>59.62048780487805</v>
      </c>
    </row>
    <row r="30">
      <c r="B30">
        <f>'Req. Diario'!D29</f>
        <v>3.114864756006006</v>
      </c>
      <c r="C30">
        <f>(B30-((E30*(Main!$E$31/100))+(G30*(Main!$E$36/100))+(I30*(Main!$E$46/100))+(K30*(Main!$E$51/100))))/$C$6</f>
        <v>2.683016747233844</v>
      </c>
      <c r="D30">
        <f>'Req. Diario'!E29</f>
        <v>2.110747910104167</v>
      </c>
      <c r="E30">
        <f>(D30-((C30*(Main!$F$41/100))+(G30*(Main!$F$36/100))+(I30*(Main!$F$46/100))+(K30*(Main!$F$51/100))))/$E$6</f>
        <v>3.4602424755806016</v>
      </c>
      <c r="F30">
        <f>'Req. Diario'!F29</f>
        <v>5.26924035433071</v>
      </c>
      <c r="G30">
        <f>(F30-((C30*(Main!$G$41/100))+(E30*(Main!$G$31/100))+(I30*(Main!$G$46/100))+(K30*(Main!$G$51/100))))/$G$6</f>
        <v>10.133154527559057</v>
      </c>
      <c r="H30">
        <f>'Req. Diario'!G29</f>
        <v>0.9018352111036443</v>
      </c>
      <c r="I30">
        <f>H30/$I$6</f>
        <v>5.6364700693977765</v>
      </c>
      <c r="J30">
        <f>'Req. Diario'!H29</f>
        <v>3.1369210524226387</v>
      </c>
      <c r="K30">
        <f>J30/$K$6</f>
        <v>11.618226120083847</v>
      </c>
      <c r="L30">
        <f>'Req. Diario'!I29</f>
        <v>12.2222</v>
      </c>
      <c r="M30">
        <f>L30/$M$6</f>
        <v>59.62048780487805</v>
      </c>
    </row>
    <row r="31">
      <c r="B31">
        <f>'Req. Diario'!D30</f>
        <v>3.114864756006006</v>
      </c>
      <c r="C31">
        <f>(B31-((E31*(Main!$E$31/100))+(G31*(Main!$E$36/100))+(I31*(Main!$E$46/100))+(K31*(Main!$E$51/100))))/$C$6</f>
        <v>2.683016747233844</v>
      </c>
      <c r="D31">
        <f>'Req. Diario'!E30</f>
        <v>2.110747910104167</v>
      </c>
      <c r="E31">
        <f>(D31-((C31*(Main!$F$41/100))+(G31*(Main!$F$36/100))+(I31*(Main!$F$46/100))+(K31*(Main!$F$51/100))))/$E$6</f>
        <v>3.4602424755806016</v>
      </c>
      <c r="F31">
        <f>'Req. Diario'!F30</f>
        <v>5.26924035433071</v>
      </c>
      <c r="G31">
        <f>(F31-((C31*(Main!$G$41/100))+(E31*(Main!$G$31/100))+(I31*(Main!$G$46/100))+(K31*(Main!$G$51/100))))/$G$6</f>
        <v>10.133154527559057</v>
      </c>
      <c r="H31">
        <f>'Req. Diario'!G30</f>
        <v>0.9018352111036443</v>
      </c>
      <c r="I31">
        <f>H31/$I$6</f>
        <v>5.6364700693977765</v>
      </c>
      <c r="J31">
        <f>'Req. Diario'!H30</f>
        <v>3.1369210524226387</v>
      </c>
      <c r="K31">
        <f>J31/$K$6</f>
        <v>11.618226120083847</v>
      </c>
      <c r="L31">
        <f>'Req. Diario'!I30</f>
        <v>12.2222</v>
      </c>
      <c r="M31">
        <f>L31/$M$6</f>
        <v>59.62048780487805</v>
      </c>
    </row>
    <row r="32">
      <c r="B32">
        <f>'Req. Diario'!D31</f>
        <v>3.114864756006006</v>
      </c>
      <c r="C32">
        <f>(B32-((E32*(Main!$E$31/100))+(G32*(Main!$E$36/100))+(I32*(Main!$E$46/100))+(K32*(Main!$E$51/100))))/$C$6</f>
        <v>2.683016747233844</v>
      </c>
      <c r="D32">
        <f>'Req. Diario'!E31</f>
        <v>2.110747910104167</v>
      </c>
      <c r="E32">
        <f>(D32-((C32*(Main!$F$41/100))+(G32*(Main!$F$36/100))+(I32*(Main!$F$46/100))+(K32*(Main!$F$51/100))))/$E$6</f>
        <v>3.4602424755806016</v>
      </c>
      <c r="F32">
        <f>'Req. Diario'!F31</f>
        <v>5.26924035433071</v>
      </c>
      <c r="G32">
        <f>(F32-((C32*(Main!$G$41/100))+(E32*(Main!$G$31/100))+(I32*(Main!$G$46/100))+(K32*(Main!$G$51/100))))/$G$6</f>
        <v>10.133154527559057</v>
      </c>
      <c r="H32">
        <f>'Req. Diario'!G31</f>
        <v>0.9018352111036443</v>
      </c>
      <c r="I32">
        <f>H32/$I$6</f>
        <v>5.6364700693977765</v>
      </c>
      <c r="J32">
        <f>'Req. Diario'!H31</f>
        <v>3.1369210524226387</v>
      </c>
      <c r="K32">
        <f>J32/$K$6</f>
        <v>11.618226120083847</v>
      </c>
      <c r="L32">
        <f>'Req. Diario'!I31</f>
        <v>12.2222</v>
      </c>
      <c r="M32">
        <f>L32/$M$6</f>
        <v>59.62048780487805</v>
      </c>
    </row>
    <row r="33">
      <c r="B33">
        <f>'Req. Diario'!D32</f>
        <v>3.114864756006006</v>
      </c>
      <c r="C33">
        <f>(B33-((E33*(Main!$E$31/100))+(G33*(Main!$E$36/100))+(I33*(Main!$E$46/100))+(K33*(Main!$E$51/100))))/$C$6</f>
        <v>2.683016747233844</v>
      </c>
      <c r="D33">
        <f>'Req. Diario'!E32</f>
        <v>2.110747910104167</v>
      </c>
      <c r="E33">
        <f>(D33-((C33*(Main!$F$41/100))+(G33*(Main!$F$36/100))+(I33*(Main!$F$46/100))+(K33*(Main!$F$51/100))))/$E$6</f>
        <v>3.4602424755806016</v>
      </c>
      <c r="F33">
        <f>'Req. Diario'!F32</f>
        <v>5.26924035433071</v>
      </c>
      <c r="G33">
        <f>(F33-((C33*(Main!$G$41/100))+(E33*(Main!$G$31/100))+(I33*(Main!$G$46/100))+(K33*(Main!$G$51/100))))/$G$6</f>
        <v>10.133154527559057</v>
      </c>
      <c r="H33">
        <f>'Req. Diario'!G32</f>
        <v>0.9018352111036443</v>
      </c>
      <c r="I33">
        <f>H33/$I$6</f>
        <v>5.6364700693977765</v>
      </c>
      <c r="J33">
        <f>'Req. Diario'!H32</f>
        <v>3.1369210524226387</v>
      </c>
      <c r="K33">
        <f>J33/$K$6</f>
        <v>11.618226120083847</v>
      </c>
      <c r="L33">
        <f>'Req. Diario'!I32</f>
        <v>12.2222</v>
      </c>
      <c r="M33">
        <f>L33/$M$6</f>
        <v>59.62048780487805</v>
      </c>
    </row>
    <row r="34">
      <c r="B34">
        <f>'Req. Diario'!D33</f>
        <v>3.114864756006006</v>
      </c>
      <c r="C34">
        <f>(B34-((E34*(Main!$E$31/100))+(G34*(Main!$E$36/100))+(I34*(Main!$E$46/100))+(K34*(Main!$E$51/100))))/$C$6</f>
        <v>2.683016747233844</v>
      </c>
      <c r="D34">
        <f>'Req. Diario'!E33</f>
        <v>2.110747910104167</v>
      </c>
      <c r="E34">
        <f>(D34-((C34*(Main!$F$41/100))+(G34*(Main!$F$36/100))+(I34*(Main!$F$46/100))+(K34*(Main!$F$51/100))))/$E$6</f>
        <v>3.4602424755806016</v>
      </c>
      <c r="F34">
        <f>'Req. Diario'!F33</f>
        <v>5.26924035433071</v>
      </c>
      <c r="G34">
        <f>(F34-((C34*(Main!$G$41/100))+(E34*(Main!$G$31/100))+(I34*(Main!$G$46/100))+(K34*(Main!$G$51/100))))/$G$6</f>
        <v>10.133154527559057</v>
      </c>
      <c r="H34">
        <f>'Req. Diario'!G33</f>
        <v>0.9018352111036443</v>
      </c>
      <c r="I34">
        <f>H34/$I$6</f>
        <v>5.6364700693977765</v>
      </c>
      <c r="J34">
        <f>'Req. Diario'!H33</f>
        <v>3.1369210524226387</v>
      </c>
      <c r="K34">
        <f>J34/$K$6</f>
        <v>11.618226120083847</v>
      </c>
      <c r="L34">
        <f>'Req. Diario'!I33</f>
        <v>12.2222</v>
      </c>
      <c r="M34">
        <f>L34/$M$6</f>
        <v>59.62048780487805</v>
      </c>
    </row>
    <row r="35">
      <c r="A35">
        <v>5</v>
      </c>
      <c r="B35">
        <f>'Req. Diario'!D34</f>
        <v>3.114864756006006</v>
      </c>
      <c r="C35">
        <f>(B35-((E35*(Main!$E$31/100))+(G35*(Main!$E$36/100))+(I35*(Main!$E$46/100))+(K35*(Main!$E$51/100))))/$C$6</f>
        <v>2.683016747233844</v>
      </c>
      <c r="D35">
        <f>'Req. Diario'!E34</f>
        <v>2.110747910104167</v>
      </c>
      <c r="E35">
        <f>(D35-((C35*(Main!$F$41/100))+(G35*(Main!$F$36/100))+(I35*(Main!$F$46/100))+(K35*(Main!$F$51/100))))/$E$6</f>
        <v>3.4602424755806016</v>
      </c>
      <c r="F35">
        <f>'Req. Diario'!F34</f>
        <v>5.26924035433071</v>
      </c>
      <c r="G35">
        <f>(F35-((C35*(Main!$G$41/100))+(E35*(Main!$G$31/100))+(I35*(Main!$G$46/100))+(K35*(Main!$G$51/100))))/$G$6</f>
        <v>10.133154527559057</v>
      </c>
      <c r="H35">
        <f>'Req. Diario'!G34</f>
        <v>0.9018352111036443</v>
      </c>
      <c r="I35">
        <f>H35/$I$6</f>
        <v>5.6364700693977765</v>
      </c>
      <c r="J35">
        <f>'Req. Diario'!H34</f>
        <v>3.1369210524226387</v>
      </c>
      <c r="K35">
        <f>J35/$K$6</f>
        <v>11.618226120083847</v>
      </c>
      <c r="L35">
        <f>'Req. Diario'!I34</f>
        <v>12.2222</v>
      </c>
      <c r="M35">
        <f>L35/$M$6</f>
        <v>59.62048780487805</v>
      </c>
    </row>
    <row r="36">
      <c r="B36">
        <f>'Req. Diario'!D35</f>
        <v>3.114864756006006</v>
      </c>
      <c r="C36">
        <f>(B36-((E36*(Main!$E$31/100))+(G36*(Main!$E$36/100))+(I36*(Main!$E$46/100))+(K36*(Main!$E$51/100))))/$C$6</f>
        <v>2.683016747233844</v>
      </c>
      <c r="D36">
        <f>'Req. Diario'!E35</f>
        <v>2.110747910104167</v>
      </c>
      <c r="E36">
        <f>(D36-((C36*(Main!$F$41/100))+(G36*(Main!$F$36/100))+(I36*(Main!$F$46/100))+(K36*(Main!$F$51/100))))/$E$6</f>
        <v>3.4602424755806016</v>
      </c>
      <c r="F36">
        <f>'Req. Diario'!F35</f>
        <v>5.26924035433071</v>
      </c>
      <c r="G36">
        <f>(F36-((C36*(Main!$G$41/100))+(E36*(Main!$G$31/100))+(I36*(Main!$G$46/100))+(K36*(Main!$G$51/100))))/$G$6</f>
        <v>10.133154527559057</v>
      </c>
      <c r="H36">
        <f>'Req. Diario'!G35</f>
        <v>0.9018352111036443</v>
      </c>
      <c r="I36">
        <f>H36/$I$6</f>
        <v>5.6364700693977765</v>
      </c>
      <c r="J36">
        <f>'Req. Diario'!H35</f>
        <v>3.1369210524226387</v>
      </c>
      <c r="K36">
        <f>J36/$K$6</f>
        <v>11.618226120083847</v>
      </c>
      <c r="L36">
        <f>'Req. Diario'!I35</f>
        <v>12.2222</v>
      </c>
      <c r="M36">
        <f>L36/$M$6</f>
        <v>59.62048780487805</v>
      </c>
    </row>
    <row r="37">
      <c r="B37">
        <f>'Req. Diario'!D36</f>
        <v>3.114864756006006</v>
      </c>
      <c r="C37">
        <f>(B37-((E37*(Main!$E$31/100))+(G37*(Main!$E$36/100))+(I37*(Main!$E$46/100))+(K37*(Main!$E$51/100))))/$C$6</f>
        <v>2.683016747233844</v>
      </c>
      <c r="D37">
        <f>'Req. Diario'!E36</f>
        <v>2.110747910104167</v>
      </c>
      <c r="E37">
        <f>(D37-((C37*(Main!$F$41/100))+(G37*(Main!$F$36/100))+(I37*(Main!$F$46/100))+(K37*(Main!$F$51/100))))/$E$6</f>
        <v>3.4602424755806016</v>
      </c>
      <c r="F37">
        <f>'Req. Diario'!F36</f>
        <v>5.26924035433071</v>
      </c>
      <c r="G37">
        <f>(F37-((C37*(Main!$G$41/100))+(E37*(Main!$G$31/100))+(I37*(Main!$G$46/100))+(K37*(Main!$G$51/100))))/$G$6</f>
        <v>10.133154527559057</v>
      </c>
      <c r="H37">
        <f>'Req. Diario'!G36</f>
        <v>0.9018352111036443</v>
      </c>
      <c r="I37">
        <f>H37/$I$6</f>
        <v>5.6364700693977765</v>
      </c>
      <c r="J37">
        <f>'Req. Diario'!H36</f>
        <v>3.1369210524226387</v>
      </c>
      <c r="K37">
        <f>J37/$K$6</f>
        <v>11.618226120083847</v>
      </c>
      <c r="L37">
        <f>'Req. Diario'!I36</f>
        <v>12.2222</v>
      </c>
      <c r="M37">
        <f>L37/$M$6</f>
        <v>59.62048780487805</v>
      </c>
    </row>
    <row r="38">
      <c r="B38">
        <f>'Req. Diario'!D37</f>
        <v>3.114864756006006</v>
      </c>
      <c r="C38">
        <f>(B38-((E38*(Main!$E$31/100))+(G38*(Main!$E$36/100))+(I38*(Main!$E$46/100))+(K38*(Main!$E$51/100))))/$C$6</f>
        <v>2.683016747233844</v>
      </c>
      <c r="D38">
        <f>'Req. Diario'!E37</f>
        <v>2.110747910104167</v>
      </c>
      <c r="E38">
        <f>(D38-((C38*(Main!$F$41/100))+(G38*(Main!$F$36/100))+(I38*(Main!$F$46/100))+(K38*(Main!$F$51/100))))/$E$6</f>
        <v>3.4602424755806016</v>
      </c>
      <c r="F38">
        <f>'Req. Diario'!F37</f>
        <v>5.26924035433071</v>
      </c>
      <c r="G38">
        <f>(F38-((C38*(Main!$G$41/100))+(E38*(Main!$G$31/100))+(I38*(Main!$G$46/100))+(K38*(Main!$G$51/100))))/$G$6</f>
        <v>10.133154527559057</v>
      </c>
      <c r="H38">
        <f>'Req. Diario'!G37</f>
        <v>0.9018352111036443</v>
      </c>
      <c r="I38">
        <f>H38/$I$6</f>
        <v>5.6364700693977765</v>
      </c>
      <c r="J38">
        <f>'Req. Diario'!H37</f>
        <v>3.1369210524226387</v>
      </c>
      <c r="K38">
        <f>J38/$K$6</f>
        <v>11.618226120083847</v>
      </c>
      <c r="L38">
        <f>'Req. Diario'!I37</f>
        <v>12.2222</v>
      </c>
      <c r="M38">
        <f>L38/$M$6</f>
        <v>59.62048780487805</v>
      </c>
    </row>
    <row r="39">
      <c r="B39">
        <f>'Req. Diario'!D38</f>
        <v>4.98378360960961</v>
      </c>
      <c r="C39">
        <f>(B39-((E39*(Main!$E$31/100))+(G39*(Main!$E$36/100))+(I39*(Main!$E$46/100))+(K39*(Main!$E$51/100))))/$C$6</f>
        <v>4.292826795574152</v>
      </c>
      <c r="D39">
        <f>'Req. Diario'!E38</f>
        <v>3.377196656166666</v>
      </c>
      <c r="E39">
        <f>(D39-((C39*(Main!$F$41/100))+(G39*(Main!$F$36/100))+(I39*(Main!$F$46/100))+(K39*(Main!$F$51/100))))/$E$6</f>
        <v>5.536387960928961</v>
      </c>
      <c r="F39">
        <f>'Req. Diario'!F38</f>
        <v>8.430784566929136</v>
      </c>
      <c r="G39">
        <f>(F39-((C39*(Main!$G$41/100))+(E39*(Main!$G$31/100))+(I39*(Main!$G$46/100))+(K39*(Main!$G$51/100))))/$G$6</f>
        <v>16.21304724409449</v>
      </c>
      <c r="H39">
        <f>'Req. Diario'!G38</f>
        <v>1.4429363377658309</v>
      </c>
      <c r="I39">
        <f>H39/$I$6</f>
        <v>9.018352111036442</v>
      </c>
      <c r="J39">
        <f>'Req. Diario'!H38</f>
        <v>5.019073683876222</v>
      </c>
      <c r="K39">
        <f>J39/$K$6</f>
        <v>18.589161792134153</v>
      </c>
      <c r="L39">
        <f>'Req. Diario'!I38</f>
        <v>17.3149</v>
      </c>
      <c r="M39">
        <f>L39/$M$6</f>
        <v>84.46292682926831</v>
      </c>
    </row>
    <row r="40">
      <c r="B40">
        <f>'Req. Diario'!D39</f>
        <v>4.98378360960961</v>
      </c>
      <c r="C40">
        <f>(B40-((E40*(Main!$E$31/100))+(G40*(Main!$E$36/100))+(I40*(Main!$E$46/100))+(K40*(Main!$E$51/100))))/$C$6</f>
        <v>4.292826795574152</v>
      </c>
      <c r="D40">
        <f>'Req. Diario'!E39</f>
        <v>3.377196656166666</v>
      </c>
      <c r="E40">
        <f>(D40-((C40*(Main!$F$41/100))+(G40*(Main!$F$36/100))+(I40*(Main!$F$46/100))+(K40*(Main!$F$51/100))))/$E$6</f>
        <v>5.536387960928961</v>
      </c>
      <c r="F40">
        <f>'Req. Diario'!F39</f>
        <v>8.430784566929136</v>
      </c>
      <c r="G40">
        <f>(F40-((C40*(Main!$G$41/100))+(E40*(Main!$G$31/100))+(I40*(Main!$G$46/100))+(K40*(Main!$G$51/100))))/$G$6</f>
        <v>16.21304724409449</v>
      </c>
      <c r="H40">
        <f>'Req. Diario'!G39</f>
        <v>1.4429363377658309</v>
      </c>
      <c r="I40">
        <f>H40/$I$6</f>
        <v>9.018352111036442</v>
      </c>
      <c r="J40">
        <f>'Req. Diario'!H39</f>
        <v>5.019073683876222</v>
      </c>
      <c r="K40">
        <f>J40/$K$6</f>
        <v>18.589161792134153</v>
      </c>
      <c r="L40">
        <f>'Req. Diario'!I39</f>
        <v>17.3149</v>
      </c>
      <c r="M40">
        <f>L40/$M$6</f>
        <v>84.46292682926831</v>
      </c>
    </row>
    <row r="41">
      <c r="B41">
        <f>'Req. Diario'!D40</f>
        <v>4.98378360960961</v>
      </c>
      <c r="C41">
        <f>(B41-((E41*(Main!$E$31/100))+(G41*(Main!$E$36/100))+(I41*(Main!$E$46/100))+(K41*(Main!$E$51/100))))/$C$6</f>
        <v>4.292826795574152</v>
      </c>
      <c r="D41">
        <f>'Req. Diario'!E40</f>
        <v>3.377196656166666</v>
      </c>
      <c r="E41">
        <f>(D41-((C41*(Main!$F$41/100))+(G41*(Main!$F$36/100))+(I41*(Main!$F$46/100))+(K41*(Main!$F$51/100))))/$E$6</f>
        <v>5.536387960928961</v>
      </c>
      <c r="F41">
        <f>'Req. Diario'!F40</f>
        <v>8.430784566929136</v>
      </c>
      <c r="G41">
        <f>(F41-((C41*(Main!$G$41/100))+(E41*(Main!$G$31/100))+(I41*(Main!$G$46/100))+(K41*(Main!$G$51/100))))/$G$6</f>
        <v>16.21304724409449</v>
      </c>
      <c r="H41">
        <f>'Req. Diario'!G40</f>
        <v>1.4429363377658309</v>
      </c>
      <c r="I41">
        <f>H41/$I$6</f>
        <v>9.018352111036442</v>
      </c>
      <c r="J41">
        <f>'Req. Diario'!H40</f>
        <v>5.019073683876222</v>
      </c>
      <c r="K41">
        <f>J41/$K$6</f>
        <v>18.589161792134153</v>
      </c>
      <c r="L41">
        <f>'Req. Diario'!I40</f>
        <v>17.3149</v>
      </c>
      <c r="M41">
        <f>L41/$M$6</f>
        <v>84.46292682926831</v>
      </c>
    </row>
    <row r="42">
      <c r="A42">
        <v>6</v>
      </c>
      <c r="B42">
        <f>'Req. Diario'!D41</f>
        <v>4.98378360960961</v>
      </c>
      <c r="C42">
        <f>(B42-((E42*(Main!$E$31/100))+(G42*(Main!$E$36/100))+(I42*(Main!$E$46/100))+(K42*(Main!$E$51/100))))/$C$6</f>
        <v>4.292826795574152</v>
      </c>
      <c r="D42">
        <f>'Req. Diario'!E41</f>
        <v>3.377196656166666</v>
      </c>
      <c r="E42">
        <f>(D42-((C42*(Main!$F$41/100))+(G42*(Main!$F$36/100))+(I42*(Main!$F$46/100))+(K42*(Main!$F$51/100))))/$E$6</f>
        <v>5.536387960928961</v>
      </c>
      <c r="F42">
        <f>'Req. Diario'!F41</f>
        <v>8.430784566929136</v>
      </c>
      <c r="G42">
        <f>(F42-((C42*(Main!$G$41/100))+(E42*(Main!$G$31/100))+(I42*(Main!$G$46/100))+(K42*(Main!$G$51/100))))/$G$6</f>
        <v>16.21304724409449</v>
      </c>
      <c r="H42">
        <f>'Req. Diario'!G41</f>
        <v>1.4429363377658309</v>
      </c>
      <c r="I42">
        <f>H42/$I$6</f>
        <v>9.018352111036442</v>
      </c>
      <c r="J42">
        <f>'Req. Diario'!H41</f>
        <v>5.019073683876222</v>
      </c>
      <c r="K42">
        <f>J42/$K$6</f>
        <v>18.589161792134153</v>
      </c>
      <c r="L42">
        <f>'Req. Diario'!I41</f>
        <v>17.3149</v>
      </c>
      <c r="M42">
        <f>L42/$M$6</f>
        <v>84.46292682926831</v>
      </c>
    </row>
    <row r="43">
      <c r="B43">
        <f>'Req. Diario'!D42</f>
        <v>4.98378360960961</v>
      </c>
      <c r="C43">
        <f>(B43-((E43*(Main!$E$31/100))+(G43*(Main!$E$36/100))+(I43*(Main!$E$46/100))+(K43*(Main!$E$51/100))))/$C$6</f>
        <v>4.292826795574152</v>
      </c>
      <c r="D43">
        <f>'Req. Diario'!E42</f>
        <v>3.377196656166666</v>
      </c>
      <c r="E43">
        <f>(D43-((C43*(Main!$F$41/100))+(G43*(Main!$F$36/100))+(I43*(Main!$F$46/100))+(K43*(Main!$F$51/100))))/$E$6</f>
        <v>5.536387960928961</v>
      </c>
      <c r="F43">
        <f>'Req. Diario'!F42</f>
        <v>8.430784566929136</v>
      </c>
      <c r="G43">
        <f>(F43-((C43*(Main!$G$41/100))+(E43*(Main!$G$31/100))+(I43*(Main!$G$46/100))+(K43*(Main!$G$51/100))))/$G$6</f>
        <v>16.21304724409449</v>
      </c>
      <c r="H43">
        <f>'Req. Diario'!G42</f>
        <v>1.4429363377658309</v>
      </c>
      <c r="I43">
        <f>H43/$I$6</f>
        <v>9.018352111036442</v>
      </c>
      <c r="J43">
        <f>'Req. Diario'!H42</f>
        <v>5.019073683876222</v>
      </c>
      <c r="K43">
        <f>J43/$K$6</f>
        <v>18.589161792134153</v>
      </c>
      <c r="L43">
        <f>'Req. Diario'!I42</f>
        <v>17.3149</v>
      </c>
      <c r="M43">
        <f>L43/$M$6</f>
        <v>84.46292682926831</v>
      </c>
    </row>
    <row r="44">
      <c r="B44">
        <f>'Req. Diario'!D43</f>
        <v>4.98378360960961</v>
      </c>
      <c r="C44">
        <f>(B44-((E44*(Main!$E$31/100))+(G44*(Main!$E$36/100))+(I44*(Main!$E$46/100))+(K44*(Main!$E$51/100))))/$C$6</f>
        <v>4.292826795574152</v>
      </c>
      <c r="D44">
        <f>'Req. Diario'!E43</f>
        <v>3.377196656166666</v>
      </c>
      <c r="E44">
        <f>(D44-((C44*(Main!$F$41/100))+(G44*(Main!$F$36/100))+(I44*(Main!$F$46/100))+(K44*(Main!$F$51/100))))/$E$6</f>
        <v>5.536387960928961</v>
      </c>
      <c r="F44">
        <f>'Req. Diario'!F43</f>
        <v>8.430784566929136</v>
      </c>
      <c r="G44">
        <f>(F44-((C44*(Main!$G$41/100))+(E44*(Main!$G$31/100))+(I44*(Main!$G$46/100))+(K44*(Main!$G$51/100))))/$G$6</f>
        <v>16.21304724409449</v>
      </c>
      <c r="H44">
        <f>'Req. Diario'!G43</f>
        <v>1.4429363377658309</v>
      </c>
      <c r="I44">
        <f>H44/$I$6</f>
        <v>9.018352111036442</v>
      </c>
      <c r="J44">
        <f>'Req. Diario'!H43</f>
        <v>5.019073683876222</v>
      </c>
      <c r="K44">
        <f>J44/$K$6</f>
        <v>18.589161792134153</v>
      </c>
      <c r="L44">
        <f>'Req. Diario'!I43</f>
        <v>17.3149</v>
      </c>
      <c r="M44">
        <f>L44/$M$6</f>
        <v>84.46292682926831</v>
      </c>
    </row>
    <row r="45">
      <c r="B45">
        <f>'Req. Diario'!D44</f>
        <v>4.98378360960961</v>
      </c>
      <c r="C45">
        <f>(B45-((E45*(Main!$E$31/100))+(G45*(Main!$E$36/100))+(I45*(Main!$E$46/100))+(K45*(Main!$E$51/100))))/$C$6</f>
        <v>4.292826795574152</v>
      </c>
      <c r="D45">
        <f>'Req. Diario'!E44</f>
        <v>3.377196656166666</v>
      </c>
      <c r="E45">
        <f>(D45-((C45*(Main!$F$41/100))+(G45*(Main!$F$36/100))+(I45*(Main!$F$46/100))+(K45*(Main!$F$51/100))))/$E$6</f>
        <v>5.536387960928961</v>
      </c>
      <c r="F45">
        <f>'Req. Diario'!F44</f>
        <v>8.430784566929136</v>
      </c>
      <c r="G45">
        <f>(F45-((C45*(Main!$G$41/100))+(E45*(Main!$G$31/100))+(I45*(Main!$G$46/100))+(K45*(Main!$G$51/100))))/$G$6</f>
        <v>16.21304724409449</v>
      </c>
      <c r="H45">
        <f>'Req. Diario'!G44</f>
        <v>1.4429363377658309</v>
      </c>
      <c r="I45">
        <f>H45/$I$6</f>
        <v>9.018352111036442</v>
      </c>
      <c r="J45">
        <f>'Req. Diario'!H44</f>
        <v>5.019073683876222</v>
      </c>
      <c r="K45">
        <f>J45/$K$6</f>
        <v>18.589161792134153</v>
      </c>
      <c r="L45">
        <f>'Req. Diario'!I44</f>
        <v>17.3149</v>
      </c>
      <c r="M45">
        <f>L45/$M$6</f>
        <v>84.46292682926831</v>
      </c>
    </row>
    <row r="46">
      <c r="B46">
        <f>'Req. Diario'!D45</f>
        <v>4.98378360960961</v>
      </c>
      <c r="C46">
        <f>(B46-((E46*(Main!$E$31/100))+(G46*(Main!$E$36/100))+(I46*(Main!$E$46/100))+(K46*(Main!$E$51/100))))/$C$6</f>
        <v>4.292826795574152</v>
      </c>
      <c r="D46">
        <f>'Req. Diario'!E45</f>
        <v>3.377196656166666</v>
      </c>
      <c r="E46">
        <f>(D46-((C46*(Main!$F$41/100))+(G46*(Main!$F$36/100))+(I46*(Main!$F$46/100))+(K46*(Main!$F$51/100))))/$E$6</f>
        <v>5.536387960928961</v>
      </c>
      <c r="F46">
        <f>'Req. Diario'!F45</f>
        <v>8.430784566929136</v>
      </c>
      <c r="G46">
        <f>(F46-((C46*(Main!$G$41/100))+(E46*(Main!$G$31/100))+(I46*(Main!$G$46/100))+(K46*(Main!$G$51/100))))/$G$6</f>
        <v>16.21304724409449</v>
      </c>
      <c r="H46">
        <f>'Req. Diario'!G45</f>
        <v>1.4429363377658309</v>
      </c>
      <c r="I46">
        <f>H46/$I$6</f>
        <v>9.018352111036442</v>
      </c>
      <c r="J46">
        <f>'Req. Diario'!H45</f>
        <v>5.019073683876222</v>
      </c>
      <c r="K46">
        <f>J46/$K$6</f>
        <v>18.589161792134153</v>
      </c>
      <c r="L46">
        <f>'Req. Diario'!I45</f>
        <v>17.3149</v>
      </c>
      <c r="M46">
        <f>L46/$M$6</f>
        <v>84.46292682926831</v>
      </c>
    </row>
    <row r="47">
      <c r="B47">
        <f>'Req. Diario'!D46</f>
        <v>4.98378360960961</v>
      </c>
      <c r="C47">
        <f>(B47-((E47*(Main!$E$31/100))+(G47*(Main!$E$36/100))+(I47*(Main!$E$46/100))+(K47*(Main!$E$51/100))))/$C$6</f>
        <v>4.292826795574152</v>
      </c>
      <c r="D47">
        <f>'Req. Diario'!E46</f>
        <v>3.377196656166666</v>
      </c>
      <c r="E47">
        <f>(D47-((C47*(Main!$F$41/100))+(G47*(Main!$F$36/100))+(I47*(Main!$F$46/100))+(K47*(Main!$F$51/100))))/$E$6</f>
        <v>5.536387960928961</v>
      </c>
      <c r="F47">
        <f>'Req. Diario'!F46</f>
        <v>8.430784566929136</v>
      </c>
      <c r="G47">
        <f>(F47-((C47*(Main!$G$41/100))+(E47*(Main!$G$31/100))+(I47*(Main!$G$46/100))+(K47*(Main!$G$51/100))))/$G$6</f>
        <v>16.21304724409449</v>
      </c>
      <c r="H47">
        <f>'Req. Diario'!G46</f>
        <v>1.4429363377658309</v>
      </c>
      <c r="I47">
        <f>H47/$I$6</f>
        <v>9.018352111036442</v>
      </c>
      <c r="J47">
        <f>'Req. Diario'!H46</f>
        <v>5.019073683876222</v>
      </c>
      <c r="K47">
        <f>J47/$K$6</f>
        <v>18.589161792134153</v>
      </c>
      <c r="L47">
        <f>'Req. Diario'!I46</f>
        <v>17.3149</v>
      </c>
      <c r="M47">
        <f>L47/$M$6</f>
        <v>84.46292682926831</v>
      </c>
    </row>
    <row r="48">
      <c r="B48">
        <f>'Req. Diario'!D47</f>
        <v>4.98378360960961</v>
      </c>
      <c r="C48">
        <f>(B48-((E48*(Main!$E$31/100))+(G48*(Main!$E$36/100))+(I48*(Main!$E$46/100))+(K48*(Main!$E$51/100))))/$C$6</f>
        <v>4.292826795574152</v>
      </c>
      <c r="D48">
        <f>'Req. Diario'!E47</f>
        <v>3.377196656166666</v>
      </c>
      <c r="E48">
        <f>(D48-((C48*(Main!$F$41/100))+(G48*(Main!$F$36/100))+(I48*(Main!$F$46/100))+(K48*(Main!$F$51/100))))/$E$6</f>
        <v>5.536387960928961</v>
      </c>
      <c r="F48">
        <f>'Req. Diario'!F47</f>
        <v>8.430784566929136</v>
      </c>
      <c r="G48">
        <f>(F48-((C48*(Main!$G$41/100))+(E48*(Main!$G$31/100))+(I48*(Main!$G$46/100))+(K48*(Main!$G$51/100))))/$G$6</f>
        <v>16.21304724409449</v>
      </c>
      <c r="H48">
        <f>'Req. Diario'!G47</f>
        <v>1.4429363377658309</v>
      </c>
      <c r="I48">
        <f>H48/$I$6</f>
        <v>9.018352111036442</v>
      </c>
      <c r="J48">
        <f>'Req. Diario'!H47</f>
        <v>5.019073683876222</v>
      </c>
      <c r="K48">
        <f>J48/$K$6</f>
        <v>18.589161792134153</v>
      </c>
      <c r="L48">
        <f>'Req. Diario'!I47</f>
        <v>17.3149</v>
      </c>
      <c r="M48">
        <f>L48/$M$6</f>
        <v>84.46292682926831</v>
      </c>
    </row>
    <row r="49">
      <c r="A49">
        <v>7</v>
      </c>
      <c r="B49">
        <f>'Req. Diario'!D48</f>
        <v>4.98378360960961</v>
      </c>
      <c r="C49">
        <f>(B49-((E49*(Main!$E$31/100))+(G49*(Main!$E$36/100))+(I49*(Main!$E$46/100))+(K49*(Main!$E$51/100))))/$C$6</f>
        <v>4.292826795574152</v>
      </c>
      <c r="D49">
        <f>'Req. Diario'!E48</f>
        <v>3.377196656166666</v>
      </c>
      <c r="E49">
        <f>(D49-((C49*(Main!$F$41/100))+(G49*(Main!$F$36/100))+(I49*(Main!$F$46/100))+(K49*(Main!$F$51/100))))/$E$6</f>
        <v>5.536387960928961</v>
      </c>
      <c r="F49">
        <f>'Req. Diario'!F48</f>
        <v>8.430784566929136</v>
      </c>
      <c r="G49">
        <f>(F49-((C49*(Main!$G$41/100))+(E49*(Main!$G$31/100))+(I49*(Main!$G$46/100))+(K49*(Main!$G$51/100))))/$G$6</f>
        <v>16.21304724409449</v>
      </c>
      <c r="H49">
        <f>'Req. Diario'!G48</f>
        <v>1.4429363377658309</v>
      </c>
      <c r="I49">
        <f>H49/$I$6</f>
        <v>9.018352111036442</v>
      </c>
      <c r="J49">
        <f>'Req. Diario'!H48</f>
        <v>5.019073683876222</v>
      </c>
      <c r="K49">
        <f>J49/$K$6</f>
        <v>18.589161792134153</v>
      </c>
      <c r="L49">
        <f>'Req. Diario'!I48</f>
        <v>17.3149</v>
      </c>
      <c r="M49">
        <f>L49/$M$6</f>
        <v>84.46292682926831</v>
      </c>
    </row>
    <row r="50">
      <c r="B50">
        <f>'Req. Diario'!D49</f>
        <v>4.98378360960961</v>
      </c>
      <c r="C50">
        <f>(B50-((E50*(Main!$E$31/100))+(G50*(Main!$E$36/100))+(I50*(Main!$E$46/100))+(K50*(Main!$E$51/100))))/$C$6</f>
        <v>4.292826795574152</v>
      </c>
      <c r="D50">
        <f>'Req. Diario'!E49</f>
        <v>3.377196656166666</v>
      </c>
      <c r="E50">
        <f>(D50-((C50*(Main!$F$41/100))+(G50*(Main!$F$36/100))+(I50*(Main!$F$46/100))+(K50*(Main!$F$51/100))))/$E$6</f>
        <v>5.536387960928961</v>
      </c>
      <c r="F50">
        <f>'Req. Diario'!F49</f>
        <v>8.430784566929136</v>
      </c>
      <c r="G50">
        <f>(F50-((C50*(Main!$G$41/100))+(E50*(Main!$G$31/100))+(I50*(Main!$G$46/100))+(K50*(Main!$G$51/100))))/$G$6</f>
        <v>16.21304724409449</v>
      </c>
      <c r="H50">
        <f>'Req. Diario'!G49</f>
        <v>1.4429363377658309</v>
      </c>
      <c r="I50">
        <f>H50/$I$6</f>
        <v>9.018352111036442</v>
      </c>
      <c r="J50">
        <f>'Req. Diario'!H49</f>
        <v>5.019073683876222</v>
      </c>
      <c r="K50">
        <f>J50/$K$6</f>
        <v>18.589161792134153</v>
      </c>
      <c r="L50">
        <f>'Req. Diario'!I49</f>
        <v>17.3149</v>
      </c>
      <c r="M50">
        <f>L50/$M$6</f>
        <v>84.46292682926831</v>
      </c>
    </row>
    <row r="51">
      <c r="B51">
        <f>'Req. Diario'!D50</f>
        <v>4.98378360960961</v>
      </c>
      <c r="C51">
        <f>(B51-((E51*(Main!$E$31/100))+(G51*(Main!$E$36/100))+(I51*(Main!$E$46/100))+(K51*(Main!$E$51/100))))/$C$6</f>
        <v>4.292826795574152</v>
      </c>
      <c r="D51">
        <f>'Req. Diario'!E50</f>
        <v>3.377196656166666</v>
      </c>
      <c r="E51">
        <f>(D51-((C51*(Main!$F$41/100))+(G51*(Main!$F$36/100))+(I51*(Main!$F$46/100))+(K51*(Main!$F$51/100))))/$E$6</f>
        <v>5.536387960928961</v>
      </c>
      <c r="F51">
        <f>'Req. Diario'!F50</f>
        <v>8.430784566929136</v>
      </c>
      <c r="G51">
        <f>(F51-((C51*(Main!$G$41/100))+(E51*(Main!$G$31/100))+(I51*(Main!$G$46/100))+(K51*(Main!$G$51/100))))/$G$6</f>
        <v>16.21304724409449</v>
      </c>
      <c r="H51">
        <f>'Req. Diario'!G50</f>
        <v>1.4429363377658309</v>
      </c>
      <c r="I51">
        <f>H51/$I$6</f>
        <v>9.018352111036442</v>
      </c>
      <c r="J51">
        <f>'Req. Diario'!H50</f>
        <v>5.019073683876222</v>
      </c>
      <c r="K51">
        <f>J51/$K$6</f>
        <v>18.589161792134153</v>
      </c>
      <c r="L51">
        <f>'Req. Diario'!I50</f>
        <v>17.3149</v>
      </c>
      <c r="M51">
        <f>L51/$M$6</f>
        <v>84.46292682926831</v>
      </c>
    </row>
    <row r="52">
      <c r="B52">
        <f>'Req. Diario'!D51</f>
        <v>7.6141138480146795</v>
      </c>
      <c r="C52">
        <f>(B52-((E52*(Main!$E$31/100))+(G52*(Main!$E$36/100))+(I52*(Main!$E$46/100))+(K52*(Main!$E$51/100))))/$C$6</f>
        <v>5.547436926606339</v>
      </c>
      <c r="D52">
        <f>'Req. Diario'!E51</f>
        <v>4.643645402229166</v>
      </c>
      <c r="E52">
        <f>(D52-((C52*(Main!$F$41/100))+(G52*(Main!$F$36/100))+(I52*(Main!$F$46/100))+(K52*(Main!$F$51/100))))/$E$6</f>
        <v>7.612533446277321</v>
      </c>
      <c r="F52">
        <f>'Req. Diario'!F51</f>
        <v>14.168401841644794</v>
      </c>
      <c r="G52">
        <f>(F52-((C52*(Main!$G$41/100))+(E52*(Main!$G$31/100))+(I52*(Main!$G$46/100))+(K52*(Main!$G$51/100))))/$G$6</f>
        <v>27.24692661854768</v>
      </c>
      <c r="H52">
        <f>'Req. Diario'!G51</f>
        <v>2.424934678745354</v>
      </c>
      <c r="I52">
        <f>H52/$I$6</f>
        <v>15.155841742158463</v>
      </c>
      <c r="J52">
        <f>'Req. Diario'!H51</f>
        <v>8.434832163180872</v>
      </c>
      <c r="K52">
        <f>J52/$K$6</f>
        <v>31.240119122892114</v>
      </c>
      <c r="L52">
        <f>'Req. Diario'!I51</f>
        <v>17.3149</v>
      </c>
      <c r="M52">
        <f>L52/$M$6</f>
        <v>84.46292682926831</v>
      </c>
    </row>
    <row r="53">
      <c r="B53">
        <f>'Req. Diario'!D52</f>
        <v>7.6141138480146795</v>
      </c>
      <c r="C53">
        <f>(B53-((E53*(Main!$E$31/100))+(G53*(Main!$E$36/100))+(I53*(Main!$E$46/100))+(K53*(Main!$E$51/100))))/$C$6</f>
        <v>5.547436926606339</v>
      </c>
      <c r="D53">
        <f>'Req. Diario'!E52</f>
        <v>4.643645402229166</v>
      </c>
      <c r="E53">
        <f>(D53-((C53*(Main!$F$41/100))+(G53*(Main!$F$36/100))+(I53*(Main!$F$46/100))+(K53*(Main!$F$51/100))))/$E$6</f>
        <v>7.612533446277321</v>
      </c>
      <c r="F53">
        <f>'Req. Diario'!F52</f>
        <v>14.168401841644794</v>
      </c>
      <c r="G53">
        <f>(F53-((C53*(Main!$G$41/100))+(E53*(Main!$G$31/100))+(I53*(Main!$G$46/100))+(K53*(Main!$G$51/100))))/$G$6</f>
        <v>27.24692661854768</v>
      </c>
      <c r="H53">
        <f>'Req. Diario'!G52</f>
        <v>2.424934678745354</v>
      </c>
      <c r="I53">
        <f>H53/$I$6</f>
        <v>15.155841742158463</v>
      </c>
      <c r="J53">
        <f>'Req. Diario'!H52</f>
        <v>8.434832163180872</v>
      </c>
      <c r="K53">
        <f>J53/$K$6</f>
        <v>31.240119122892114</v>
      </c>
      <c r="L53">
        <f>'Req. Diario'!I52</f>
        <v>17.3149</v>
      </c>
      <c r="M53">
        <f>L53/$M$6</f>
        <v>84.46292682926831</v>
      </c>
    </row>
    <row r="54">
      <c r="B54">
        <f>'Req. Diario'!D53</f>
        <v>7.6141138480146795</v>
      </c>
      <c r="C54">
        <f>(B54-((E54*(Main!$E$31/100))+(G54*(Main!$E$36/100))+(I54*(Main!$E$46/100))+(K54*(Main!$E$51/100))))/$C$6</f>
        <v>5.547436926606339</v>
      </c>
      <c r="D54">
        <f>'Req. Diario'!E53</f>
        <v>4.643645402229166</v>
      </c>
      <c r="E54">
        <f>(D54-((C54*(Main!$F$41/100))+(G54*(Main!$F$36/100))+(I54*(Main!$F$46/100))+(K54*(Main!$F$51/100))))/$E$6</f>
        <v>7.612533446277321</v>
      </c>
      <c r="F54">
        <f>'Req. Diario'!F53</f>
        <v>14.168401841644794</v>
      </c>
      <c r="G54">
        <f>(F54-((C54*(Main!$G$41/100))+(E54*(Main!$G$31/100))+(I54*(Main!$G$46/100))+(K54*(Main!$G$51/100))))/$G$6</f>
        <v>27.24692661854768</v>
      </c>
      <c r="H54">
        <f>'Req. Diario'!G53</f>
        <v>2.424934678745354</v>
      </c>
      <c r="I54">
        <f>H54/$I$6</f>
        <v>15.155841742158463</v>
      </c>
      <c r="J54">
        <f>'Req. Diario'!H53</f>
        <v>8.434832163180872</v>
      </c>
      <c r="K54">
        <f>J54/$K$6</f>
        <v>31.240119122892114</v>
      </c>
      <c r="L54">
        <f>'Req. Diario'!I53</f>
        <v>23.426</v>
      </c>
      <c r="M54">
        <f>L54/$M$6</f>
        <v>114.27317073170731</v>
      </c>
    </row>
    <row r="55">
      <c r="B55">
        <f>'Req. Diario'!D54</f>
        <v>7.6141138480146795</v>
      </c>
      <c r="C55">
        <f>(B55-((E55*(Main!$E$31/100))+(G55*(Main!$E$36/100))+(I55*(Main!$E$46/100))+(K55*(Main!$E$51/100))))/$C$6</f>
        <v>5.547436926606339</v>
      </c>
      <c r="D55">
        <f>'Req. Diario'!E54</f>
        <v>4.643645402229166</v>
      </c>
      <c r="E55">
        <f>(D55-((C55*(Main!$F$41/100))+(G55*(Main!$F$36/100))+(I55*(Main!$F$46/100))+(K55*(Main!$F$51/100))))/$E$6</f>
        <v>7.612533446277321</v>
      </c>
      <c r="F55">
        <f>'Req. Diario'!F54</f>
        <v>14.168401841644794</v>
      </c>
      <c r="G55">
        <f>(F55-((C55*(Main!$G$41/100))+(E55*(Main!$G$31/100))+(I55*(Main!$G$46/100))+(K55*(Main!$G$51/100))))/$G$6</f>
        <v>27.24692661854768</v>
      </c>
      <c r="H55">
        <f>'Req. Diario'!G54</f>
        <v>2.424934678745354</v>
      </c>
      <c r="I55">
        <f>H55/$I$6</f>
        <v>15.155841742158463</v>
      </c>
      <c r="J55">
        <f>'Req. Diario'!H54</f>
        <v>8.434832163180872</v>
      </c>
      <c r="K55">
        <f>J55/$K$6</f>
        <v>31.240119122892114</v>
      </c>
      <c r="L55">
        <f>'Req. Diario'!I54</f>
        <v>23.426</v>
      </c>
      <c r="M55">
        <f>L55/$M$6</f>
        <v>114.27317073170731</v>
      </c>
    </row>
    <row r="56">
      <c r="A56">
        <v>8</v>
      </c>
      <c r="B56">
        <f>'Req. Diario'!D55</f>
        <v>7.6141138480146795</v>
      </c>
      <c r="C56">
        <f>(B56-((E56*(Main!$E$31/100))+(G56*(Main!$E$36/100))+(I56*(Main!$E$46/100))+(K56*(Main!$E$51/100))))/$C$6</f>
        <v>5.547436926606339</v>
      </c>
      <c r="D56">
        <f>'Req. Diario'!E55</f>
        <v>4.643645402229166</v>
      </c>
      <c r="E56">
        <f>(D56-((C56*(Main!$F$41/100))+(G56*(Main!$F$36/100))+(I56*(Main!$F$46/100))+(K56*(Main!$F$51/100))))/$E$6</f>
        <v>7.612533446277321</v>
      </c>
      <c r="F56">
        <f>'Req. Diario'!F55</f>
        <v>14.168401841644794</v>
      </c>
      <c r="G56">
        <f>(F56-((C56*(Main!$G$41/100))+(E56*(Main!$G$31/100))+(I56*(Main!$G$46/100))+(K56*(Main!$G$51/100))))/$G$6</f>
        <v>27.24692661854768</v>
      </c>
      <c r="H56">
        <f>'Req. Diario'!G55</f>
        <v>2.424934678745354</v>
      </c>
      <c r="I56">
        <f>H56/$I$6</f>
        <v>15.155841742158463</v>
      </c>
      <c r="J56">
        <f>'Req. Diario'!H55</f>
        <v>8.434832163180872</v>
      </c>
      <c r="K56">
        <f>J56/$K$6</f>
        <v>31.240119122892114</v>
      </c>
      <c r="L56">
        <f>'Req. Diario'!I55</f>
        <v>23.426</v>
      </c>
      <c r="M56">
        <f>L56/$M$6</f>
        <v>114.27317073170731</v>
      </c>
    </row>
    <row r="57">
      <c r="B57">
        <f>'Req. Diario'!D56</f>
        <v>7.6141138480146795</v>
      </c>
      <c r="C57">
        <f>(B57-((E57*(Main!$E$31/100))+(G57*(Main!$E$36/100))+(I57*(Main!$E$46/100))+(K57*(Main!$E$51/100))))/$C$6</f>
        <v>5.547436926606339</v>
      </c>
      <c r="D57">
        <f>'Req. Diario'!E56</f>
        <v>4.643645402229166</v>
      </c>
      <c r="E57">
        <f>(D57-((C57*(Main!$F$41/100))+(G57*(Main!$F$36/100))+(I57*(Main!$F$46/100))+(K57*(Main!$F$51/100))))/$E$6</f>
        <v>7.612533446277321</v>
      </c>
      <c r="F57">
        <f>'Req. Diario'!F56</f>
        <v>14.168401841644794</v>
      </c>
      <c r="G57">
        <f>(F57-((C57*(Main!$G$41/100))+(E57*(Main!$G$31/100))+(I57*(Main!$G$46/100))+(K57*(Main!$G$51/100))))/$G$6</f>
        <v>27.24692661854768</v>
      </c>
      <c r="H57">
        <f>'Req. Diario'!G56</f>
        <v>2.424934678745354</v>
      </c>
      <c r="I57">
        <f>H57/$I$6</f>
        <v>15.155841742158463</v>
      </c>
      <c r="J57">
        <f>'Req. Diario'!H56</f>
        <v>8.434832163180872</v>
      </c>
      <c r="K57">
        <f>J57/$K$6</f>
        <v>31.240119122892114</v>
      </c>
      <c r="L57">
        <f>'Req. Diario'!I56</f>
        <v>23.426</v>
      </c>
      <c r="M57">
        <f>L57/$M$6</f>
        <v>114.27317073170731</v>
      </c>
    </row>
    <row r="58">
      <c r="B58">
        <f>'Req. Diario'!D57</f>
        <v>7.6141138480146795</v>
      </c>
      <c r="C58">
        <f>(B58-((E58*(Main!$E$31/100))+(G58*(Main!$E$36/100))+(I58*(Main!$E$46/100))+(K58*(Main!$E$51/100))))/$C$6</f>
        <v>5.547436926606339</v>
      </c>
      <c r="D58">
        <f>'Req. Diario'!E57</f>
        <v>4.643645402229166</v>
      </c>
      <c r="E58">
        <f>(D58-((C58*(Main!$F$41/100))+(G58*(Main!$F$36/100))+(I58*(Main!$F$46/100))+(K58*(Main!$F$51/100))))/$E$6</f>
        <v>7.612533446277321</v>
      </c>
      <c r="F58">
        <f>'Req. Diario'!F57</f>
        <v>14.168401841644794</v>
      </c>
      <c r="G58">
        <f>(F58-((C58*(Main!$G$41/100))+(E58*(Main!$G$31/100))+(I58*(Main!$G$46/100))+(K58*(Main!$G$51/100))))/$G$6</f>
        <v>27.24692661854768</v>
      </c>
      <c r="H58">
        <f>'Req. Diario'!G57</f>
        <v>2.424934678745354</v>
      </c>
      <c r="I58">
        <f>H58/$I$6</f>
        <v>15.155841742158463</v>
      </c>
      <c r="J58">
        <f>'Req. Diario'!H57</f>
        <v>8.434832163180872</v>
      </c>
      <c r="K58">
        <f>J58/$K$6</f>
        <v>31.240119122892114</v>
      </c>
      <c r="L58">
        <f>'Req. Diario'!I57</f>
        <v>23.426</v>
      </c>
      <c r="M58">
        <f>L58/$M$6</f>
        <v>114.27317073170731</v>
      </c>
    </row>
    <row r="59">
      <c r="B59">
        <f>'Req. Diario'!D58</f>
        <v>7.6141138480146795</v>
      </c>
      <c r="C59">
        <f>(B59-((E59*(Main!$E$31/100))+(G59*(Main!$E$36/100))+(I59*(Main!$E$46/100))+(K59*(Main!$E$51/100))))/$C$6</f>
        <v>5.547436926606339</v>
      </c>
      <c r="D59">
        <f>'Req. Diario'!E58</f>
        <v>4.643645402229166</v>
      </c>
      <c r="E59">
        <f>(D59-((C59*(Main!$F$41/100))+(G59*(Main!$F$36/100))+(I59*(Main!$F$46/100))+(K59*(Main!$F$51/100))))/$E$6</f>
        <v>7.612533446277321</v>
      </c>
      <c r="F59">
        <f>'Req. Diario'!F58</f>
        <v>14.168401841644794</v>
      </c>
      <c r="G59">
        <f>(F59-((C59*(Main!$G$41/100))+(E59*(Main!$G$31/100))+(I59*(Main!$G$46/100))+(K59*(Main!$G$51/100))))/$G$6</f>
        <v>27.24692661854768</v>
      </c>
      <c r="H59">
        <f>'Req. Diario'!G58</f>
        <v>2.424934678745354</v>
      </c>
      <c r="I59">
        <f>H59/$I$6</f>
        <v>15.155841742158463</v>
      </c>
      <c r="J59">
        <f>'Req. Diario'!H58</f>
        <v>8.434832163180872</v>
      </c>
      <c r="K59">
        <f>J59/$K$6</f>
        <v>31.240119122892114</v>
      </c>
      <c r="L59">
        <f>'Req. Diario'!I58</f>
        <v>23.426</v>
      </c>
      <c r="M59">
        <f>L59/$M$6</f>
        <v>114.27317073170731</v>
      </c>
    </row>
    <row r="60">
      <c r="B60">
        <f>'Req. Diario'!D59</f>
        <v>7.6141138480146795</v>
      </c>
      <c r="C60">
        <f>(B60-((E60*(Main!$E$31/100))+(G60*(Main!$E$36/100))+(I60*(Main!$E$46/100))+(K60*(Main!$E$51/100))))/$C$6</f>
        <v>5.547436926606339</v>
      </c>
      <c r="D60">
        <f>'Req. Diario'!E59</f>
        <v>4.643645402229166</v>
      </c>
      <c r="E60">
        <f>(D60-((C60*(Main!$F$41/100))+(G60*(Main!$F$36/100))+(I60*(Main!$F$46/100))+(K60*(Main!$F$51/100))))/$E$6</f>
        <v>7.612533446277321</v>
      </c>
      <c r="F60">
        <f>'Req. Diario'!F59</f>
        <v>14.168401841644794</v>
      </c>
      <c r="G60">
        <f>(F60-((C60*(Main!$G$41/100))+(E60*(Main!$G$31/100))+(I60*(Main!$G$46/100))+(K60*(Main!$G$51/100))))/$G$6</f>
        <v>27.24692661854768</v>
      </c>
      <c r="H60">
        <f>'Req. Diario'!G59</f>
        <v>2.424934678745354</v>
      </c>
      <c r="I60">
        <f>H60/$I$6</f>
        <v>15.155841742158463</v>
      </c>
      <c r="J60">
        <f>'Req. Diario'!H59</f>
        <v>8.434832163180872</v>
      </c>
      <c r="K60">
        <f>J60/$K$6</f>
        <v>31.240119122892114</v>
      </c>
      <c r="L60">
        <f>'Req. Diario'!I59</f>
        <v>23.426</v>
      </c>
      <c r="M60">
        <f>L60/$M$6</f>
        <v>114.27317073170731</v>
      </c>
    </row>
    <row r="61">
      <c r="B61">
        <f>'Req. Diario'!D60</f>
        <v>7.6141138480146795</v>
      </c>
      <c r="C61">
        <f>(B61-((E61*(Main!$E$31/100))+(G61*(Main!$E$36/100))+(I61*(Main!$E$46/100))+(K61*(Main!$E$51/100))))/$C$6</f>
        <v>5.547436926606339</v>
      </c>
      <c r="D61">
        <f>'Req. Diario'!E60</f>
        <v>4.643645402229166</v>
      </c>
      <c r="E61">
        <f>(D61-((C61*(Main!$F$41/100))+(G61*(Main!$F$36/100))+(I61*(Main!$F$46/100))+(K61*(Main!$F$51/100))))/$E$6</f>
        <v>7.612533446277321</v>
      </c>
      <c r="F61">
        <f>'Req. Diario'!F60</f>
        <v>14.168401841644794</v>
      </c>
      <c r="G61">
        <f>(F61-((C61*(Main!$G$41/100))+(E61*(Main!$G$31/100))+(I61*(Main!$G$46/100))+(K61*(Main!$G$51/100))))/$G$6</f>
        <v>27.24692661854768</v>
      </c>
      <c r="H61">
        <f>'Req. Diario'!G60</f>
        <v>2.424934678745354</v>
      </c>
      <c r="I61">
        <f>H61/$I$6</f>
        <v>15.155841742158463</v>
      </c>
      <c r="J61">
        <f>'Req. Diario'!H60</f>
        <v>8.434832163180872</v>
      </c>
      <c r="K61">
        <f>J61/$K$6</f>
        <v>31.240119122892114</v>
      </c>
      <c r="L61">
        <f>'Req. Diario'!I60</f>
        <v>23.426</v>
      </c>
      <c r="M61">
        <f>L61/$M$6</f>
        <v>114.27317073170731</v>
      </c>
    </row>
    <row r="62">
      <c r="B62">
        <f>'Req. Diario'!D61</f>
        <v>7.6141138480146795</v>
      </c>
      <c r="C62">
        <f>(B62-((E62*(Main!$E$31/100))+(G62*(Main!$E$36/100))+(I62*(Main!$E$46/100))+(K62*(Main!$E$51/100))))/$C$6</f>
        <v>5.547436926606339</v>
      </c>
      <c r="D62">
        <f>'Req. Diario'!E61</f>
        <v>4.643645402229166</v>
      </c>
      <c r="E62">
        <f>(D62-((C62*(Main!$F$41/100))+(G62*(Main!$F$36/100))+(I62*(Main!$F$46/100))+(K62*(Main!$F$51/100))))/$E$6</f>
        <v>7.612533446277321</v>
      </c>
      <c r="F62">
        <f>'Req. Diario'!F61</f>
        <v>14.168401841644794</v>
      </c>
      <c r="G62">
        <f>(F62-((C62*(Main!$G$41/100))+(E62*(Main!$G$31/100))+(I62*(Main!$G$46/100))+(K62*(Main!$G$51/100))))/$G$6</f>
        <v>27.24692661854768</v>
      </c>
      <c r="H62">
        <f>'Req. Diario'!G61</f>
        <v>2.424934678745354</v>
      </c>
      <c r="I62">
        <f>H62/$I$6</f>
        <v>15.155841742158463</v>
      </c>
      <c r="J62">
        <f>'Req. Diario'!H61</f>
        <v>8.434832163180872</v>
      </c>
      <c r="K62">
        <f>J62/$K$6</f>
        <v>31.240119122892114</v>
      </c>
      <c r="L62">
        <f>'Req. Diario'!I61</f>
        <v>23.426</v>
      </c>
      <c r="M62">
        <f>L62/$M$6</f>
        <v>114.27317073170731</v>
      </c>
    </row>
    <row r="63">
      <c r="A63">
        <v>9</v>
      </c>
      <c r="B63">
        <f>'Req. Diario'!D62</f>
        <v>7.6141138480146795</v>
      </c>
      <c r="C63">
        <f>(B63-((E63*(Main!$E$31/100))+(G63*(Main!$E$36/100))+(I63*(Main!$E$46/100))+(K63*(Main!$E$51/100))))/$C$6</f>
        <v>5.547436926606339</v>
      </c>
      <c r="D63">
        <f>'Req. Diario'!E62</f>
        <v>4.643645402229166</v>
      </c>
      <c r="E63">
        <f>(D63-((C63*(Main!$F$41/100))+(G63*(Main!$F$36/100))+(I63*(Main!$F$46/100))+(K63*(Main!$F$51/100))))/$E$6</f>
        <v>7.612533446277321</v>
      </c>
      <c r="F63">
        <f>'Req. Diario'!F62</f>
        <v>14.168401841644794</v>
      </c>
      <c r="G63">
        <f>(F63-((C63*(Main!$G$41/100))+(E63*(Main!$G$31/100))+(I63*(Main!$G$46/100))+(K63*(Main!$G$51/100))))/$G$6</f>
        <v>27.24692661854768</v>
      </c>
      <c r="H63">
        <f>'Req. Diario'!G62</f>
        <v>2.424934678745354</v>
      </c>
      <c r="I63">
        <f>H63/$I$6</f>
        <v>15.155841742158463</v>
      </c>
      <c r="J63">
        <f>'Req. Diario'!H62</f>
        <v>8.434832163180872</v>
      </c>
      <c r="K63">
        <f>J63/$K$6</f>
        <v>31.240119122892114</v>
      </c>
      <c r="L63">
        <f>'Req. Diario'!I62</f>
        <v>23.426</v>
      </c>
      <c r="M63">
        <f>L63/$M$6</f>
        <v>114.27317073170731</v>
      </c>
    </row>
    <row r="64">
      <c r="B64">
        <f>'Req. Diario'!D63</f>
        <v>7.6141138480146795</v>
      </c>
      <c r="C64">
        <f>(B64-((E64*(Main!$E$31/100))+(G64*(Main!$E$36/100))+(I64*(Main!$E$46/100))+(K64*(Main!$E$51/100))))/$C$6</f>
        <v>5.547436926606339</v>
      </c>
      <c r="D64">
        <f>'Req. Diario'!E63</f>
        <v>4.643645402229166</v>
      </c>
      <c r="E64">
        <f>(D64-((C64*(Main!$F$41/100))+(G64*(Main!$F$36/100))+(I64*(Main!$F$46/100))+(K64*(Main!$F$51/100))))/$E$6</f>
        <v>7.612533446277321</v>
      </c>
      <c r="F64">
        <f>'Req. Diario'!F63</f>
        <v>14.168401841644794</v>
      </c>
      <c r="G64">
        <f>(F64-((C64*(Main!$G$41/100))+(E64*(Main!$G$31/100))+(I64*(Main!$G$46/100))+(K64*(Main!$G$51/100))))/$G$6</f>
        <v>27.24692661854768</v>
      </c>
      <c r="H64">
        <f>'Req. Diario'!G63</f>
        <v>2.424934678745354</v>
      </c>
      <c r="I64">
        <f>H64/$I$6</f>
        <v>15.155841742158463</v>
      </c>
      <c r="J64">
        <f>'Req. Diario'!H63</f>
        <v>8.434832163180872</v>
      </c>
      <c r="K64">
        <f>J64/$K$6</f>
        <v>31.240119122892114</v>
      </c>
      <c r="L64">
        <f>'Req. Diario'!I63</f>
        <v>23.426</v>
      </c>
      <c r="M64">
        <f>L64/$M$6</f>
        <v>114.27317073170731</v>
      </c>
    </row>
    <row r="65">
      <c r="B65">
        <f>'Req. Diario'!D64</f>
        <v>7.6141138480146795</v>
      </c>
      <c r="C65">
        <f>(B65-((E65*(Main!$E$31/100))+(G65*(Main!$E$36/100))+(I65*(Main!$E$46/100))+(K65*(Main!$E$51/100))))/$C$6</f>
        <v>5.547436926606339</v>
      </c>
      <c r="D65">
        <f>'Req. Diario'!E64</f>
        <v>4.643645402229166</v>
      </c>
      <c r="E65">
        <f>(D65-((C65*(Main!$F$41/100))+(G65*(Main!$F$36/100))+(I65*(Main!$F$46/100))+(K65*(Main!$F$51/100))))/$E$6</f>
        <v>7.612533446277321</v>
      </c>
      <c r="F65">
        <f>'Req. Diario'!F64</f>
        <v>14.168401841644794</v>
      </c>
      <c r="G65">
        <f>(F65-((C65*(Main!$G$41/100))+(E65*(Main!$G$31/100))+(I65*(Main!$G$46/100))+(K65*(Main!$G$51/100))))/$G$6</f>
        <v>27.24692661854768</v>
      </c>
      <c r="H65">
        <f>'Req. Diario'!G64</f>
        <v>2.424934678745354</v>
      </c>
      <c r="I65">
        <f>H65/$I$6</f>
        <v>15.155841742158463</v>
      </c>
      <c r="J65">
        <f>'Req. Diario'!H64</f>
        <v>8.434832163180872</v>
      </c>
      <c r="K65">
        <f>J65/$K$6</f>
        <v>31.240119122892114</v>
      </c>
      <c r="L65">
        <f>'Req. Diario'!I64</f>
        <v>23.426</v>
      </c>
      <c r="M65">
        <f>L65/$M$6</f>
        <v>114.27317073170731</v>
      </c>
    </row>
    <row r="66">
      <c r="B66">
        <f>'Req. Diario'!D65</f>
        <v>7.6141138480146795</v>
      </c>
      <c r="C66">
        <f>(B66-((E66*(Main!$E$31/100))+(G66*(Main!$E$36/100))+(I66*(Main!$E$46/100))+(K66*(Main!$E$51/100))))/$C$6</f>
        <v>5.547436926606339</v>
      </c>
      <c r="D66">
        <f>'Req. Diario'!E65</f>
        <v>4.643645402229166</v>
      </c>
      <c r="E66">
        <f>(D66-((C66*(Main!$F$41/100))+(G66*(Main!$F$36/100))+(I66*(Main!$F$46/100))+(K66*(Main!$F$51/100))))/$E$6</f>
        <v>7.612533446277321</v>
      </c>
      <c r="F66">
        <f>'Req. Diario'!F65</f>
        <v>14.168401841644794</v>
      </c>
      <c r="G66">
        <f>(F66-((C66*(Main!$G$41/100))+(E66*(Main!$G$31/100))+(I66*(Main!$G$46/100))+(K66*(Main!$G$51/100))))/$G$6</f>
        <v>27.24692661854768</v>
      </c>
      <c r="H66">
        <f>'Req. Diario'!G65</f>
        <v>2.424934678745354</v>
      </c>
      <c r="I66">
        <f>H66/$I$6</f>
        <v>15.155841742158463</v>
      </c>
      <c r="J66">
        <f>'Req. Diario'!H65</f>
        <v>8.434832163180872</v>
      </c>
      <c r="K66">
        <f>J66/$K$6</f>
        <v>31.240119122892114</v>
      </c>
      <c r="L66">
        <f>'Req. Diario'!I65</f>
        <v>23.426</v>
      </c>
      <c r="M66">
        <f>L66/$M$6</f>
        <v>114.27317073170731</v>
      </c>
    </row>
    <row r="67">
      <c r="B67">
        <f>'Req. Diario'!D66</f>
        <v>7.6141138480146795</v>
      </c>
      <c r="C67">
        <f>(B67-((E67*(Main!$E$31/100))+(G67*(Main!$E$36/100))+(I67*(Main!$E$46/100))+(K67*(Main!$E$51/100))))/$C$6</f>
        <v>5.547436926606339</v>
      </c>
      <c r="D67">
        <f>'Req. Diario'!E66</f>
        <v>4.643645402229166</v>
      </c>
      <c r="E67">
        <f>(D67-((C67*(Main!$F$41/100))+(G67*(Main!$F$36/100))+(I67*(Main!$F$46/100))+(K67*(Main!$F$51/100))))/$E$6</f>
        <v>7.612533446277321</v>
      </c>
      <c r="F67">
        <f>'Req. Diario'!F66</f>
        <v>14.168401841644794</v>
      </c>
      <c r="G67">
        <f>(F67-((C67*(Main!$G$41/100))+(E67*(Main!$G$31/100))+(I67*(Main!$G$46/100))+(K67*(Main!$G$51/100))))/$G$6</f>
        <v>27.24692661854768</v>
      </c>
      <c r="H67">
        <f>'Req. Diario'!G66</f>
        <v>2.424934678745354</v>
      </c>
      <c r="I67">
        <f>H67/$I$6</f>
        <v>15.155841742158463</v>
      </c>
      <c r="J67">
        <f>'Req. Diario'!H66</f>
        <v>8.434832163180872</v>
      </c>
      <c r="K67">
        <f>J67/$K$6</f>
        <v>31.240119122892114</v>
      </c>
      <c r="L67">
        <f>'Req. Diario'!I66</f>
        <v>23.426</v>
      </c>
      <c r="M67">
        <f>L67/$M$6</f>
        <v>114.27317073170731</v>
      </c>
    </row>
    <row r="68">
      <c r="B68">
        <f>'Req. Diario'!D67</f>
        <v>7.6141138480146795</v>
      </c>
      <c r="C68">
        <f>(B68-((E68*(Main!$E$31/100))+(G68*(Main!$E$36/100))+(I68*(Main!$E$46/100))+(K68*(Main!$E$51/100))))/$C$6</f>
        <v>5.547436926606339</v>
      </c>
      <c r="D68">
        <f>'Req. Diario'!E67</f>
        <v>4.643645402229166</v>
      </c>
      <c r="E68">
        <f>(D68-((C68*(Main!$F$41/100))+(G68*(Main!$F$36/100))+(I68*(Main!$F$46/100))+(K68*(Main!$F$51/100))))/$E$6</f>
        <v>7.612533446277321</v>
      </c>
      <c r="F68">
        <f>'Req. Diario'!F67</f>
        <v>14.168401841644794</v>
      </c>
      <c r="G68">
        <f>(F68-((C68*(Main!$G$41/100))+(E68*(Main!$G$31/100))+(I68*(Main!$G$46/100))+(K68*(Main!$G$51/100))))/$G$6</f>
        <v>27.24692661854768</v>
      </c>
      <c r="H68">
        <f>'Req. Diario'!G67</f>
        <v>2.424934678745354</v>
      </c>
      <c r="I68">
        <f>H68/$I$6</f>
        <v>15.155841742158463</v>
      </c>
      <c r="J68">
        <f>'Req. Diario'!H67</f>
        <v>8.434832163180872</v>
      </c>
      <c r="K68">
        <f>J68/$K$6</f>
        <v>31.240119122892114</v>
      </c>
      <c r="L68">
        <f>'Req. Diario'!I67</f>
        <v>23.426</v>
      </c>
      <c r="M68">
        <f>L68/$M$6</f>
        <v>114.27317073170731</v>
      </c>
    </row>
    <row r="69">
      <c r="B69">
        <f>'Req. Diario'!D68</f>
        <v>7.6141138480146795</v>
      </c>
      <c r="C69">
        <f>(B69-((E69*(Main!$E$31/100))+(G69*(Main!$E$36/100))+(I69*(Main!$E$46/100))+(K69*(Main!$E$51/100))))/$C$6</f>
        <v>5.547436926606339</v>
      </c>
      <c r="D69">
        <f>'Req. Diario'!E68</f>
        <v>4.643645402229166</v>
      </c>
      <c r="E69">
        <f>(D69-((C69*(Main!$F$41/100))+(G69*(Main!$F$36/100))+(I69*(Main!$F$46/100))+(K69*(Main!$F$51/100))))/$E$6</f>
        <v>7.612533446277321</v>
      </c>
      <c r="F69">
        <f>'Req. Diario'!F68</f>
        <v>14.168401841644794</v>
      </c>
      <c r="G69">
        <f>(F69-((C69*(Main!$G$41/100))+(E69*(Main!$G$31/100))+(I69*(Main!$G$46/100))+(K69*(Main!$G$51/100))))/$G$6</f>
        <v>27.24692661854768</v>
      </c>
      <c r="H69">
        <f>'Req. Diario'!G68</f>
        <v>2.424934678745354</v>
      </c>
      <c r="I69">
        <f>H69/$I$6</f>
        <v>15.155841742158463</v>
      </c>
      <c r="J69">
        <f>'Req. Diario'!H68</f>
        <v>8.434832163180872</v>
      </c>
      <c r="K69">
        <f>J69/$K$6</f>
        <v>31.240119122892114</v>
      </c>
      <c r="L69">
        <f>'Req. Diario'!I68</f>
        <v>29.5372</v>
      </c>
      <c r="M69">
        <f>L69/$M$6</f>
        <v>144.0839024390244</v>
      </c>
    </row>
    <row r="70">
      <c r="A70">
        <v>10</v>
      </c>
      <c r="B70">
        <f>'Req. Diario'!D69</f>
        <v>8.237086799215882</v>
      </c>
      <c r="C70">
        <f>(B70-((E70*(Main!$E$31/100))+(G70*(Main!$E$36/100))+(I70*(Main!$E$46/100))+(K70*(Main!$E$51/100))))/$C$6</f>
        <v>3.5436347720294825</v>
      </c>
      <c r="D70">
        <f>'Req. Diario'!E69</f>
        <v>3.9400627655277782</v>
      </c>
      <c r="E70">
        <f>(D70-((C70*(Main!$F$41/100))+(G70*(Main!$F$36/100))+(I70*(Main!$F$46/100))+(K70*(Main!$F$51/100))))/$E$6</f>
        <v>6.459119287750457</v>
      </c>
      <c r="F70">
        <f>'Req. Diario'!F69</f>
        <v>18.360375279090118</v>
      </c>
      <c r="G70">
        <f>(F70-((C70*(Main!$G$41/100))+(E70*(Main!$G$31/100))+(I70*(Main!$G$46/100))+(K70*(Main!$G$51/100))))/$G$6</f>
        <v>35.308413998250224</v>
      </c>
      <c r="H70">
        <f>'Req. Diario'!G69</f>
        <v>3.142394691134476</v>
      </c>
      <c r="I70">
        <f>H70/$I$6</f>
        <v>19.639966819590473</v>
      </c>
      <c r="J70">
        <f>'Req. Diario'!H69</f>
        <v>10.930427133774883</v>
      </c>
      <c r="K70">
        <f>J70/$K$6</f>
        <v>40.48306345842549</v>
      </c>
      <c r="L70">
        <f>'Req. Diario'!I69</f>
        <v>29.5372</v>
      </c>
      <c r="M70">
        <f>L70/$M$6</f>
        <v>144.0839024390244</v>
      </c>
    </row>
    <row r="71">
      <c r="B71">
        <f>'Req. Diario'!D70</f>
        <v>8.237086799215882</v>
      </c>
      <c r="C71">
        <f>(B71-((E71*(Main!$E$31/100))+(G71*(Main!$E$36/100))+(I71*(Main!$E$46/100))+(K71*(Main!$E$51/100))))/$C$6</f>
        <v>3.5436347720294825</v>
      </c>
      <c r="D71">
        <f>'Req. Diario'!E70</f>
        <v>3.9400627655277782</v>
      </c>
      <c r="E71">
        <f>(D71-((C71*(Main!$F$41/100))+(G71*(Main!$F$36/100))+(I71*(Main!$F$46/100))+(K71*(Main!$F$51/100))))/$E$6</f>
        <v>6.459119287750457</v>
      </c>
      <c r="F71">
        <f>'Req. Diario'!F70</f>
        <v>18.360375279090118</v>
      </c>
      <c r="G71">
        <f>(F71-((C71*(Main!$G$41/100))+(E71*(Main!$G$31/100))+(I71*(Main!$G$46/100))+(K71*(Main!$G$51/100))))/$G$6</f>
        <v>35.308413998250224</v>
      </c>
      <c r="H71">
        <f>'Req. Diario'!G70</f>
        <v>3.142394691134476</v>
      </c>
      <c r="I71">
        <f>H71/$I$6</f>
        <v>19.639966819590473</v>
      </c>
      <c r="J71">
        <f>'Req. Diario'!H70</f>
        <v>10.930427133774883</v>
      </c>
      <c r="K71">
        <f>J71/$K$6</f>
        <v>40.48306345842549</v>
      </c>
      <c r="L71">
        <f>'Req. Diario'!I70</f>
        <v>29.5372</v>
      </c>
      <c r="M71">
        <f>L71/$M$6</f>
        <v>144.0839024390244</v>
      </c>
    </row>
    <row r="72">
      <c r="B72">
        <f>'Req. Diario'!D71</f>
        <v>8.237086799215882</v>
      </c>
      <c r="C72">
        <f>(B72-((E72*(Main!$E$31/100))+(G72*(Main!$E$36/100))+(I72*(Main!$E$46/100))+(K72*(Main!$E$51/100))))/$C$6</f>
        <v>3.5436347720294825</v>
      </c>
      <c r="D72">
        <f>'Req. Diario'!E71</f>
        <v>3.9400627655277782</v>
      </c>
      <c r="E72">
        <f>(D72-((C72*(Main!$F$41/100))+(G72*(Main!$F$36/100))+(I72*(Main!$F$46/100))+(K72*(Main!$F$51/100))))/$E$6</f>
        <v>6.459119287750457</v>
      </c>
      <c r="F72">
        <f>'Req. Diario'!F71</f>
        <v>18.360375279090118</v>
      </c>
      <c r="G72">
        <f>(F72-((C72*(Main!$G$41/100))+(E72*(Main!$G$31/100))+(I72*(Main!$G$46/100))+(K72*(Main!$G$51/100))))/$G$6</f>
        <v>35.308413998250224</v>
      </c>
      <c r="H72">
        <f>'Req. Diario'!G71</f>
        <v>3.142394691134476</v>
      </c>
      <c r="I72">
        <f>H72/$I$6</f>
        <v>19.639966819590473</v>
      </c>
      <c r="J72">
        <f>'Req. Diario'!H71</f>
        <v>10.930427133774883</v>
      </c>
      <c r="K72">
        <f>J72/$K$6</f>
        <v>40.48306345842549</v>
      </c>
      <c r="L72">
        <f>'Req. Diario'!I71</f>
        <v>29.5372</v>
      </c>
      <c r="M72">
        <f>L72/$M$6</f>
        <v>144.0839024390244</v>
      </c>
    </row>
    <row r="73">
      <c r="B73">
        <f>'Req. Diario'!D72</f>
        <v>8.237086799215882</v>
      </c>
      <c r="C73">
        <f>(B73-((E73*(Main!$E$31/100))+(G73*(Main!$E$36/100))+(I73*(Main!$E$46/100))+(K73*(Main!$E$51/100))))/$C$6</f>
        <v>3.5436347720294825</v>
      </c>
      <c r="D73">
        <f>'Req. Diario'!E72</f>
        <v>3.9400627655277782</v>
      </c>
      <c r="E73">
        <f>(D73-((C73*(Main!$F$41/100))+(G73*(Main!$F$36/100))+(I73*(Main!$F$46/100))+(K73*(Main!$F$51/100))))/$E$6</f>
        <v>6.459119287750457</v>
      </c>
      <c r="F73">
        <f>'Req. Diario'!F72</f>
        <v>18.360375279090118</v>
      </c>
      <c r="G73">
        <f>(F73-((C73*(Main!$G$41/100))+(E73*(Main!$G$31/100))+(I73*(Main!$G$46/100))+(K73*(Main!$G$51/100))))/$G$6</f>
        <v>35.308413998250224</v>
      </c>
      <c r="H73">
        <f>'Req. Diario'!G72</f>
        <v>3.142394691134476</v>
      </c>
      <c r="I73">
        <f>H73/$I$6</f>
        <v>19.639966819590473</v>
      </c>
      <c r="J73">
        <f>'Req. Diario'!H72</f>
        <v>10.930427133774883</v>
      </c>
      <c r="K73">
        <f>J73/$K$6</f>
        <v>40.48306345842549</v>
      </c>
      <c r="L73">
        <f>'Req. Diario'!I72</f>
        <v>29.5372</v>
      </c>
      <c r="M73">
        <f>L73/$M$6</f>
        <v>144.0839024390244</v>
      </c>
    </row>
    <row r="74">
      <c r="B74">
        <f>'Req. Diario'!D73</f>
        <v>8.237086799215882</v>
      </c>
      <c r="C74">
        <f>(B74-((E74*(Main!$E$31/100))+(G74*(Main!$E$36/100))+(I74*(Main!$E$46/100))+(K74*(Main!$E$51/100))))/$C$6</f>
        <v>3.5436347720294825</v>
      </c>
      <c r="D74">
        <f>'Req. Diario'!E73</f>
        <v>3.9400627655277782</v>
      </c>
      <c r="E74">
        <f>(D74-((C74*(Main!$F$41/100))+(G74*(Main!$F$36/100))+(I74*(Main!$F$46/100))+(K74*(Main!$F$51/100))))/$E$6</f>
        <v>6.459119287750457</v>
      </c>
      <c r="F74">
        <f>'Req. Diario'!F73</f>
        <v>18.360375279090118</v>
      </c>
      <c r="G74">
        <f>(F74-((C74*(Main!$G$41/100))+(E74*(Main!$G$31/100))+(I74*(Main!$G$46/100))+(K74*(Main!$G$51/100))))/$G$6</f>
        <v>35.308413998250224</v>
      </c>
      <c r="H74">
        <f>'Req. Diario'!G73</f>
        <v>3.142394691134476</v>
      </c>
      <c r="I74">
        <f>H74/$I$6</f>
        <v>19.639966819590473</v>
      </c>
      <c r="J74">
        <f>'Req. Diario'!H73</f>
        <v>10.930427133774883</v>
      </c>
      <c r="K74">
        <f>J74/$K$6</f>
        <v>40.48306345842549</v>
      </c>
      <c r="L74">
        <f>'Req. Diario'!I73</f>
        <v>29.5372</v>
      </c>
      <c r="M74">
        <f>L74/$M$6</f>
        <v>144.0839024390244</v>
      </c>
    </row>
    <row r="75">
      <c r="B75">
        <f>'Req. Diario'!D74</f>
        <v>8.237086799215882</v>
      </c>
      <c r="C75">
        <f>(B75-((E75*(Main!$E$31/100))+(G75*(Main!$E$36/100))+(I75*(Main!$E$46/100))+(K75*(Main!$E$51/100))))/$C$6</f>
        <v>3.5436347720294825</v>
      </c>
      <c r="D75">
        <f>'Req. Diario'!E74</f>
        <v>3.9400627655277782</v>
      </c>
      <c r="E75">
        <f>(D75-((C75*(Main!$F$41/100))+(G75*(Main!$F$36/100))+(I75*(Main!$F$46/100))+(K75*(Main!$F$51/100))))/$E$6</f>
        <v>6.459119287750457</v>
      </c>
      <c r="F75">
        <f>'Req. Diario'!F74</f>
        <v>18.360375279090118</v>
      </c>
      <c r="G75">
        <f>(F75-((C75*(Main!$G$41/100))+(E75*(Main!$G$31/100))+(I75*(Main!$G$46/100))+(K75*(Main!$G$51/100))))/$G$6</f>
        <v>35.308413998250224</v>
      </c>
      <c r="H75">
        <f>'Req. Diario'!G74</f>
        <v>3.142394691134476</v>
      </c>
      <c r="I75">
        <f>H75/$I$6</f>
        <v>19.639966819590473</v>
      </c>
      <c r="J75">
        <f>'Req. Diario'!H74</f>
        <v>10.930427133774883</v>
      </c>
      <c r="K75">
        <f>J75/$K$6</f>
        <v>40.48306345842549</v>
      </c>
      <c r="L75">
        <f>'Req. Diario'!I74</f>
        <v>29.5372</v>
      </c>
      <c r="M75">
        <f>L75/$M$6</f>
        <v>144.0839024390244</v>
      </c>
    </row>
    <row r="76">
      <c r="B76">
        <f>'Req. Diario'!D75</f>
        <v>8.237086799215882</v>
      </c>
      <c r="C76">
        <f>(B76-((E76*(Main!$E$31/100))+(G76*(Main!$E$36/100))+(I76*(Main!$E$46/100))+(K76*(Main!$E$51/100))))/$C$6</f>
        <v>3.5436347720294825</v>
      </c>
      <c r="D76">
        <f>'Req. Diario'!E75</f>
        <v>3.9400627655277782</v>
      </c>
      <c r="E76">
        <f>(D76-((C76*(Main!$F$41/100))+(G76*(Main!$F$36/100))+(I76*(Main!$F$46/100))+(K76*(Main!$F$51/100))))/$E$6</f>
        <v>6.459119287750457</v>
      </c>
      <c r="F76">
        <f>'Req. Diario'!F75</f>
        <v>18.360375279090118</v>
      </c>
      <c r="G76">
        <f>(F76-((C76*(Main!$G$41/100))+(E76*(Main!$G$31/100))+(I76*(Main!$G$46/100))+(K76*(Main!$G$51/100))))/$G$6</f>
        <v>35.308413998250224</v>
      </c>
      <c r="H76">
        <f>'Req. Diario'!G75</f>
        <v>3.142394691134476</v>
      </c>
      <c r="I76">
        <f>H76/$I$6</f>
        <v>19.639966819590473</v>
      </c>
      <c r="J76">
        <f>'Req. Diario'!H75</f>
        <v>10.930427133774883</v>
      </c>
      <c r="K76">
        <f>J76/$K$6</f>
        <v>40.48306345842549</v>
      </c>
      <c r="L76">
        <f>'Req. Diario'!I75</f>
        <v>29.5372</v>
      </c>
      <c r="M76">
        <f>L76/$M$6</f>
        <v>144.0839024390244</v>
      </c>
    </row>
    <row r="77">
      <c r="A77">
        <v>11</v>
      </c>
      <c r="B77">
        <f>'Req. Diario'!D76</f>
        <v>8.237086799215882</v>
      </c>
      <c r="C77">
        <f>(B77-((E77*(Main!$E$31/100))+(G77*(Main!$E$36/100))+(I77*(Main!$E$46/100))+(K77*(Main!$E$51/100))))/$C$6</f>
        <v>3.5436347720294825</v>
      </c>
      <c r="D77">
        <f>'Req. Diario'!E76</f>
        <v>3.9400627655277782</v>
      </c>
      <c r="E77">
        <f>(D77-((C77*(Main!$F$41/100))+(G77*(Main!$F$36/100))+(I77*(Main!$F$46/100))+(K77*(Main!$F$51/100))))/$E$6</f>
        <v>6.459119287750457</v>
      </c>
      <c r="F77">
        <f>'Req. Diario'!F76</f>
        <v>18.360375279090118</v>
      </c>
      <c r="G77">
        <f>(F77-((C77*(Main!$G$41/100))+(E77*(Main!$G$31/100))+(I77*(Main!$G$46/100))+(K77*(Main!$G$51/100))))/$G$6</f>
        <v>35.308413998250224</v>
      </c>
      <c r="H77">
        <f>'Req. Diario'!G76</f>
        <v>3.142394691134476</v>
      </c>
      <c r="I77">
        <f>H77/$I$6</f>
        <v>19.639966819590473</v>
      </c>
      <c r="J77">
        <f>'Req. Diario'!H76</f>
        <v>10.930427133774883</v>
      </c>
      <c r="K77">
        <f>J77/$K$6</f>
        <v>40.48306345842549</v>
      </c>
      <c r="L77">
        <f>'Req. Diario'!I76</f>
        <v>29.5372</v>
      </c>
      <c r="M77">
        <f>L77/$M$6</f>
        <v>144.0839024390244</v>
      </c>
    </row>
    <row r="78">
      <c r="B78">
        <f>'Req. Diario'!D77</f>
        <v>8.237086799215882</v>
      </c>
      <c r="C78">
        <f>(B78-((E78*(Main!$E$31/100))+(G78*(Main!$E$36/100))+(I78*(Main!$E$46/100))+(K78*(Main!$E$51/100))))/$C$6</f>
        <v>3.5436347720294825</v>
      </c>
      <c r="D78">
        <f>'Req. Diario'!E77</f>
        <v>3.9400627655277782</v>
      </c>
      <c r="E78">
        <f>(D78-((C78*(Main!$F$41/100))+(G78*(Main!$F$36/100))+(I78*(Main!$F$46/100))+(K78*(Main!$F$51/100))))/$E$6</f>
        <v>6.459119287750457</v>
      </c>
      <c r="F78">
        <f>'Req. Diario'!F77</f>
        <v>18.360375279090118</v>
      </c>
      <c r="G78">
        <f>(F78-((C78*(Main!$G$41/100))+(E78*(Main!$G$31/100))+(I78*(Main!$G$46/100))+(K78*(Main!$G$51/100))))/$G$6</f>
        <v>35.308413998250224</v>
      </c>
      <c r="H78">
        <f>'Req. Diario'!G77</f>
        <v>3.142394691134476</v>
      </c>
      <c r="I78">
        <f>H78/$I$6</f>
        <v>19.639966819590473</v>
      </c>
      <c r="J78">
        <f>'Req. Diario'!H77</f>
        <v>10.930427133774883</v>
      </c>
      <c r="K78">
        <f>J78/$K$6</f>
        <v>40.48306345842549</v>
      </c>
      <c r="L78">
        <f>'Req. Diario'!I77</f>
        <v>29.5372</v>
      </c>
      <c r="M78">
        <f>L78/$M$6</f>
        <v>144.0839024390244</v>
      </c>
    </row>
    <row r="79">
      <c r="B79">
        <f>'Req. Diario'!D78</f>
        <v>8.237086799215882</v>
      </c>
      <c r="C79">
        <f>(B79-((E79*(Main!$E$31/100))+(G79*(Main!$E$36/100))+(I79*(Main!$E$46/100))+(K79*(Main!$E$51/100))))/$C$6</f>
        <v>3.5436347720294825</v>
      </c>
      <c r="D79">
        <f>'Req. Diario'!E78</f>
        <v>3.9400627655277782</v>
      </c>
      <c r="E79">
        <f>(D79-((C79*(Main!$F$41/100))+(G79*(Main!$F$36/100))+(I79*(Main!$F$46/100))+(K79*(Main!$F$51/100))))/$E$6</f>
        <v>6.459119287750457</v>
      </c>
      <c r="F79">
        <f>'Req. Diario'!F78</f>
        <v>18.360375279090118</v>
      </c>
      <c r="G79">
        <f>(F79-((C79*(Main!$G$41/100))+(E79*(Main!$G$31/100))+(I79*(Main!$G$46/100))+(K79*(Main!$G$51/100))))/$G$6</f>
        <v>35.308413998250224</v>
      </c>
      <c r="H79">
        <f>'Req. Diario'!G78</f>
        <v>3.142394691134476</v>
      </c>
      <c r="I79">
        <f>H79/$I$6</f>
        <v>19.639966819590473</v>
      </c>
      <c r="J79">
        <f>'Req. Diario'!H78</f>
        <v>10.930427133774883</v>
      </c>
      <c r="K79">
        <f>J79/$K$6</f>
        <v>40.48306345842549</v>
      </c>
      <c r="L79">
        <f>'Req. Diario'!I78</f>
        <v>29.5372</v>
      </c>
      <c r="M79">
        <f>L79/$M$6</f>
        <v>144.0839024390244</v>
      </c>
    </row>
    <row r="80">
      <c r="B80">
        <f>'Req. Diario'!D79</f>
        <v>8.237086799215882</v>
      </c>
      <c r="C80">
        <f>(B80-((E80*(Main!$E$31/100))+(G80*(Main!$E$36/100))+(I80*(Main!$E$46/100))+(K80*(Main!$E$51/100))))/$C$6</f>
        <v>3.5436347720294825</v>
      </c>
      <c r="D80">
        <f>'Req. Diario'!E79</f>
        <v>3.9400627655277782</v>
      </c>
      <c r="E80">
        <f>(D80-((C80*(Main!$F$41/100))+(G80*(Main!$F$36/100))+(I80*(Main!$F$46/100))+(K80*(Main!$F$51/100))))/$E$6</f>
        <v>6.459119287750457</v>
      </c>
      <c r="F80">
        <f>'Req. Diario'!F79</f>
        <v>18.360375279090118</v>
      </c>
      <c r="G80">
        <f>(F80-((C80*(Main!$G$41/100))+(E80*(Main!$G$31/100))+(I80*(Main!$G$46/100))+(K80*(Main!$G$51/100))))/$G$6</f>
        <v>35.308413998250224</v>
      </c>
      <c r="H80">
        <f>'Req. Diario'!G79</f>
        <v>3.142394691134476</v>
      </c>
      <c r="I80">
        <f>H80/$I$6</f>
        <v>19.639966819590473</v>
      </c>
      <c r="J80">
        <f>'Req. Diario'!H79</f>
        <v>10.930427133774883</v>
      </c>
      <c r="K80">
        <f>J80/$K$6</f>
        <v>40.48306345842549</v>
      </c>
      <c r="L80">
        <f>'Req. Diario'!I79</f>
        <v>29.5372</v>
      </c>
      <c r="M80">
        <f>L80/$M$6</f>
        <v>144.0839024390244</v>
      </c>
    </row>
    <row r="81">
      <c r="B81">
        <f>'Req. Diario'!D80</f>
        <v>8.237086799215882</v>
      </c>
      <c r="C81">
        <f>(B81-((E81*(Main!$E$31/100))+(G81*(Main!$E$36/100))+(I81*(Main!$E$46/100))+(K81*(Main!$E$51/100))))/$C$6</f>
        <v>3.5436347720294825</v>
      </c>
      <c r="D81">
        <f>'Req. Diario'!E80</f>
        <v>3.9400627655277782</v>
      </c>
      <c r="E81">
        <f>(D81-((C81*(Main!$F$41/100))+(G81*(Main!$F$36/100))+(I81*(Main!$F$46/100))+(K81*(Main!$F$51/100))))/$E$6</f>
        <v>6.459119287750457</v>
      </c>
      <c r="F81">
        <f>'Req. Diario'!F80</f>
        <v>18.360375279090118</v>
      </c>
      <c r="G81">
        <f>(F81-((C81*(Main!$G$41/100))+(E81*(Main!$G$31/100))+(I81*(Main!$G$46/100))+(K81*(Main!$G$51/100))))/$G$6</f>
        <v>35.308413998250224</v>
      </c>
      <c r="H81">
        <f>'Req. Diario'!G80</f>
        <v>3.142394691134476</v>
      </c>
      <c r="I81">
        <f>H81/$I$6</f>
        <v>19.639966819590473</v>
      </c>
      <c r="J81">
        <f>'Req. Diario'!H80</f>
        <v>10.930427133774883</v>
      </c>
      <c r="K81">
        <f>J81/$K$6</f>
        <v>40.48306345842549</v>
      </c>
      <c r="L81">
        <f>'Req. Diario'!I80</f>
        <v>29.5372</v>
      </c>
      <c r="M81">
        <f>L81/$M$6</f>
        <v>144.0839024390244</v>
      </c>
    </row>
    <row r="82">
      <c r="B82">
        <f>'Req. Diario'!D81</f>
        <v>8.237086799215882</v>
      </c>
      <c r="C82">
        <f>(B82-((E82*(Main!$E$31/100))+(G82*(Main!$E$36/100))+(I82*(Main!$E$46/100))+(K82*(Main!$E$51/100))))/$C$6</f>
        <v>3.5436347720294825</v>
      </c>
      <c r="D82">
        <f>'Req. Diario'!E81</f>
        <v>3.9400627655277782</v>
      </c>
      <c r="E82">
        <f>(D82-((C82*(Main!$F$41/100))+(G82*(Main!$F$36/100))+(I82*(Main!$F$46/100))+(K82*(Main!$F$51/100))))/$E$6</f>
        <v>6.459119287750457</v>
      </c>
      <c r="F82">
        <f>'Req. Diario'!F81</f>
        <v>18.360375279090118</v>
      </c>
      <c r="G82">
        <f>(F82-((C82*(Main!$G$41/100))+(E82*(Main!$G$31/100))+(I82*(Main!$G$46/100))+(K82*(Main!$G$51/100))))/$G$6</f>
        <v>35.308413998250224</v>
      </c>
      <c r="H82">
        <f>'Req. Diario'!G81</f>
        <v>3.142394691134476</v>
      </c>
      <c r="I82">
        <f>H82/$I$6</f>
        <v>19.639966819590473</v>
      </c>
      <c r="J82">
        <f>'Req. Diario'!H81</f>
        <v>10.930427133774883</v>
      </c>
      <c r="K82">
        <f>J82/$K$6</f>
        <v>40.48306345842549</v>
      </c>
      <c r="L82">
        <f>'Req. Diario'!I81</f>
        <v>29.5372</v>
      </c>
      <c r="M82">
        <f>L82/$M$6</f>
        <v>144.0839024390244</v>
      </c>
    </row>
    <row r="83">
      <c r="B83">
        <f>'Req. Diario'!D82</f>
        <v>8.237086799215882</v>
      </c>
      <c r="C83">
        <f>(B83-((E83*(Main!$E$31/100))+(G83*(Main!$E$36/100))+(I83*(Main!$E$46/100))+(K83*(Main!$E$51/100))))/$C$6</f>
        <v>3.5436347720294825</v>
      </c>
      <c r="D83">
        <f>'Req. Diario'!E82</f>
        <v>3.9400627655277782</v>
      </c>
      <c r="E83">
        <f>(D83-((C83*(Main!$F$41/100))+(G83*(Main!$F$36/100))+(I83*(Main!$F$46/100))+(K83*(Main!$F$51/100))))/$E$6</f>
        <v>6.459119287750457</v>
      </c>
      <c r="F83">
        <f>'Req. Diario'!F82</f>
        <v>18.360375279090118</v>
      </c>
      <c r="G83">
        <f>(F83-((C83*(Main!$G$41/100))+(E83*(Main!$G$31/100))+(I83*(Main!$G$46/100))+(K83*(Main!$G$51/100))))/$G$6</f>
        <v>35.308413998250224</v>
      </c>
      <c r="H83">
        <f>'Req. Diario'!G82</f>
        <v>3.142394691134476</v>
      </c>
      <c r="I83">
        <f>H83/$I$6</f>
        <v>19.639966819590473</v>
      </c>
      <c r="J83">
        <f>'Req. Diario'!H82</f>
        <v>10.930427133774883</v>
      </c>
      <c r="K83">
        <f>J83/$K$6</f>
        <v>40.48306345842549</v>
      </c>
      <c r="L83">
        <f>'Req. Diario'!I82</f>
        <v>29.5372</v>
      </c>
      <c r="M83">
        <f>L83/$M$6</f>
        <v>144.0839024390244</v>
      </c>
    </row>
    <row r="84">
      <c r="A84">
        <v>12</v>
      </c>
      <c r="B84">
        <f>'Req. Diario'!D83</f>
        <v>8.237086799215882</v>
      </c>
      <c r="C84">
        <f>(B84-((E84*(Main!$E$31/100))+(G84*(Main!$E$36/100))+(I84*(Main!$E$46/100))+(K84*(Main!$E$51/100))))/$C$6</f>
        <v>3.5436347720294825</v>
      </c>
      <c r="D84">
        <f>'Req. Diario'!E83</f>
        <v>3.9400627655277782</v>
      </c>
      <c r="E84">
        <f>(D84-((C84*(Main!$F$41/100))+(G84*(Main!$F$36/100))+(I84*(Main!$F$46/100))+(K84*(Main!$F$51/100))))/$E$6</f>
        <v>6.459119287750457</v>
      </c>
      <c r="F84">
        <f>'Req. Diario'!F83</f>
        <v>18.360375279090118</v>
      </c>
      <c r="G84">
        <f>(F84-((C84*(Main!$G$41/100))+(E84*(Main!$G$31/100))+(I84*(Main!$G$46/100))+(K84*(Main!$G$51/100))))/$G$6</f>
        <v>35.308413998250224</v>
      </c>
      <c r="H84">
        <f>'Req. Diario'!G83</f>
        <v>3.142394691134476</v>
      </c>
      <c r="I84">
        <f>H84/$I$6</f>
        <v>19.639966819590473</v>
      </c>
      <c r="J84">
        <f>'Req. Diario'!H83</f>
        <v>10.930427133774883</v>
      </c>
      <c r="K84">
        <f>J84/$K$6</f>
        <v>40.48306345842549</v>
      </c>
      <c r="L84">
        <f>'Req. Diario'!I83</f>
        <v>29.5372</v>
      </c>
      <c r="M84">
        <f>L84/$M$6</f>
        <v>144.0839024390244</v>
      </c>
    </row>
    <row r="85">
      <c r="B85">
        <f>'Req. Diario'!D84</f>
        <v>8.237086799215882</v>
      </c>
      <c r="C85">
        <f>(B85-((E85*(Main!$E$31/100))+(G85*(Main!$E$36/100))+(I85*(Main!$E$46/100))+(K85*(Main!$E$51/100))))/$C$6</f>
        <v>3.5436347720294825</v>
      </c>
      <c r="D85">
        <f>'Req. Diario'!E84</f>
        <v>3.9400627655277782</v>
      </c>
      <c r="E85">
        <f>(D85-((C85*(Main!$F$41/100))+(G85*(Main!$F$36/100))+(I85*(Main!$F$46/100))+(K85*(Main!$F$51/100))))/$E$6</f>
        <v>6.459119287750457</v>
      </c>
      <c r="F85">
        <f>'Req. Diario'!F84</f>
        <v>18.360375279090118</v>
      </c>
      <c r="G85">
        <f>(F85-((C85*(Main!$G$41/100))+(E85*(Main!$G$31/100))+(I85*(Main!$G$46/100))+(K85*(Main!$G$51/100))))/$G$6</f>
        <v>35.308413998250224</v>
      </c>
      <c r="H85">
        <f>'Req. Diario'!G84</f>
        <v>3.142394691134476</v>
      </c>
      <c r="I85">
        <f>H85/$I$6</f>
        <v>19.639966819590473</v>
      </c>
      <c r="J85">
        <f>'Req. Diario'!H84</f>
        <v>10.930427133774883</v>
      </c>
      <c r="K85">
        <f>J85/$K$6</f>
        <v>40.48306345842549</v>
      </c>
      <c r="L85">
        <f>'Req. Diario'!I84</f>
        <v>29.5372</v>
      </c>
      <c r="M85">
        <f>L85/$M$6</f>
        <v>144.0839024390244</v>
      </c>
    </row>
    <row r="86">
      <c r="B86">
        <f>'Req. Diario'!D85</f>
        <v>8.237086799215882</v>
      </c>
      <c r="C86">
        <f>(B86-((E86*(Main!$E$31/100))+(G86*(Main!$E$36/100))+(I86*(Main!$E$46/100))+(K86*(Main!$E$51/100))))/$C$6</f>
        <v>3.5436347720294825</v>
      </c>
      <c r="D86">
        <f>'Req. Diario'!E85</f>
        <v>3.9400627655277782</v>
      </c>
      <c r="E86">
        <f>(D86-((C86*(Main!$F$41/100))+(G86*(Main!$F$36/100))+(I86*(Main!$F$46/100))+(K86*(Main!$F$51/100))))/$E$6</f>
        <v>6.459119287750457</v>
      </c>
      <c r="F86">
        <f>'Req. Diario'!F85</f>
        <v>18.360375279090118</v>
      </c>
      <c r="G86">
        <f>(F86-((C86*(Main!$G$41/100))+(E86*(Main!$G$31/100))+(I86*(Main!$G$46/100))+(K86*(Main!$G$51/100))))/$G$6</f>
        <v>35.308413998250224</v>
      </c>
      <c r="H86">
        <f>'Req. Diario'!G85</f>
        <v>3.142394691134476</v>
      </c>
      <c r="I86">
        <f>H86/$I$6</f>
        <v>19.639966819590473</v>
      </c>
      <c r="J86">
        <f>'Req. Diario'!H85</f>
        <v>10.930427133774883</v>
      </c>
      <c r="K86">
        <f>J86/$K$6</f>
        <v>40.48306345842549</v>
      </c>
      <c r="L86">
        <f>'Req. Diario'!I85</f>
        <v>29.5372</v>
      </c>
      <c r="M86">
        <f>L86/$M$6</f>
        <v>144.0839024390244</v>
      </c>
    </row>
    <row r="87">
      <c r="B87">
        <f>'Req. Diario'!D86</f>
        <v>8.23708679921588</v>
      </c>
      <c r="C87">
        <f>(B87-((E87*(Main!$E$31/100))+(G87*(Main!$E$36/100))+(I87*(Main!$E$46/100))+(K87*(Main!$E$51/100))))/$C$6</f>
        <v>1.4709970016184941</v>
      </c>
      <c r="D87">
        <f>'Req. Diario'!E86</f>
        <v>4.784361929569444</v>
      </c>
      <c r="E87">
        <f>(D87-((C87*(Main!$F$41/100))+(G87*(Main!$F$36/100))+(I87*(Main!$F$46/100))+(K87*(Main!$F$51/100))))/$E$6</f>
        <v>7.8432162779826955</v>
      </c>
      <c r="F87">
        <f>'Req. Diario'!F86</f>
        <v>19.906019116360458</v>
      </c>
      <c r="G87">
        <f>(F87-((C87*(Main!$G$41/100))+(E87*(Main!$G$31/100))+(I87*(Main!$G$46/100))+(K87*(Main!$G$51/100))))/$G$6</f>
        <v>38.28080599300088</v>
      </c>
      <c r="H87">
        <f>'Req. Diario'!G86</f>
        <v>3.406933019724878</v>
      </c>
      <c r="I87">
        <f>H87/$I$6</f>
        <v>21.293331373280488</v>
      </c>
      <c r="J87">
        <f>'Req. Diario'!H86</f>
        <v>11.850590642485523</v>
      </c>
      <c r="K87">
        <f>J87/$K$6</f>
        <v>43.89107645365008</v>
      </c>
      <c r="L87">
        <f>'Req. Diario'!I86</f>
        <v>35.6483</v>
      </c>
      <c r="M87">
        <f>L87/$M$6</f>
        <v>173.89414634146343</v>
      </c>
    </row>
    <row r="88">
      <c r="B88">
        <f>'Req. Diario'!D87</f>
        <v>8.23708679921588</v>
      </c>
      <c r="C88">
        <f>(B88-((E88*(Main!$E$31/100))+(G88*(Main!$E$36/100))+(I88*(Main!$E$46/100))+(K88*(Main!$E$51/100))))/$C$6</f>
        <v>1.4709970016184941</v>
      </c>
      <c r="D88">
        <f>'Req. Diario'!E87</f>
        <v>4.784361929569444</v>
      </c>
      <c r="E88">
        <f>(D88-((C88*(Main!$F$41/100))+(G88*(Main!$F$36/100))+(I88*(Main!$F$46/100))+(K88*(Main!$F$51/100))))/$E$6</f>
        <v>7.8432162779826955</v>
      </c>
      <c r="F88">
        <f>'Req. Diario'!F87</f>
        <v>19.906019116360458</v>
      </c>
      <c r="G88">
        <f>(F88-((C88*(Main!$G$41/100))+(E88*(Main!$G$31/100))+(I88*(Main!$G$46/100))+(K88*(Main!$G$51/100))))/$G$6</f>
        <v>38.28080599300088</v>
      </c>
      <c r="H88">
        <f>'Req. Diario'!G87</f>
        <v>3.406933019724878</v>
      </c>
      <c r="I88">
        <f>H88/$I$6</f>
        <v>21.293331373280488</v>
      </c>
      <c r="J88">
        <f>'Req. Diario'!H87</f>
        <v>11.850590642485523</v>
      </c>
      <c r="K88">
        <f>J88/$K$6</f>
        <v>43.89107645365008</v>
      </c>
      <c r="L88">
        <f>'Req. Diario'!I87</f>
        <v>35.6483</v>
      </c>
      <c r="M88">
        <f>L88/$M$6</f>
        <v>173.89414634146343</v>
      </c>
    </row>
    <row r="89">
      <c r="B89">
        <f>'Req. Diario'!D88</f>
        <v>8.23708679921588</v>
      </c>
      <c r="C89">
        <f>(B89-((E89*(Main!$E$31/100))+(G89*(Main!$E$36/100))+(I89*(Main!$E$46/100))+(K89*(Main!$E$51/100))))/$C$6</f>
        <v>1.4709970016184941</v>
      </c>
      <c r="D89">
        <f>'Req. Diario'!E88</f>
        <v>4.784361929569444</v>
      </c>
      <c r="E89">
        <f>(D89-((C89*(Main!$F$41/100))+(G89*(Main!$F$36/100))+(I89*(Main!$F$46/100))+(K89*(Main!$F$51/100))))/$E$6</f>
        <v>7.8432162779826955</v>
      </c>
      <c r="F89">
        <f>'Req. Diario'!F88</f>
        <v>19.906019116360458</v>
      </c>
      <c r="G89">
        <f>(F89-((C89*(Main!$G$41/100))+(E89*(Main!$G$31/100))+(I89*(Main!$G$46/100))+(K89*(Main!$G$51/100))))/$G$6</f>
        <v>38.28080599300088</v>
      </c>
      <c r="H89">
        <f>'Req. Diario'!G88</f>
        <v>3.406933019724878</v>
      </c>
      <c r="I89">
        <f>H89/$I$6</f>
        <v>21.293331373280488</v>
      </c>
      <c r="J89">
        <f>'Req. Diario'!H88</f>
        <v>11.850590642485523</v>
      </c>
      <c r="K89">
        <f>J89/$K$6</f>
        <v>43.89107645365008</v>
      </c>
      <c r="L89">
        <f>'Req. Diario'!I88</f>
        <v>35.6483</v>
      </c>
      <c r="M89">
        <f>L89/$M$6</f>
        <v>173.89414634146343</v>
      </c>
    </row>
    <row r="90">
      <c r="B90">
        <f>'Req. Diario'!D89</f>
        <v>8.23708679921588</v>
      </c>
      <c r="C90">
        <f>(B90-((E90*(Main!$E$31/100))+(G90*(Main!$E$36/100))+(I90*(Main!$E$46/100))+(K90*(Main!$E$51/100))))/$C$6</f>
        <v>1.4709970016184941</v>
      </c>
      <c r="D90">
        <f>'Req. Diario'!E89</f>
        <v>4.784361929569444</v>
      </c>
      <c r="E90">
        <f>(D90-((C90*(Main!$F$41/100))+(G90*(Main!$F$36/100))+(I90*(Main!$F$46/100))+(K90*(Main!$F$51/100))))/$E$6</f>
        <v>7.8432162779826955</v>
      </c>
      <c r="F90">
        <f>'Req. Diario'!F89</f>
        <v>19.906019116360458</v>
      </c>
      <c r="G90">
        <f>(F90-((C90*(Main!$G$41/100))+(E90*(Main!$G$31/100))+(I90*(Main!$G$46/100))+(K90*(Main!$G$51/100))))/$G$6</f>
        <v>38.28080599300088</v>
      </c>
      <c r="H90">
        <f>'Req. Diario'!G89</f>
        <v>3.406933019724878</v>
      </c>
      <c r="I90">
        <f>H90/$I$6</f>
        <v>21.293331373280488</v>
      </c>
      <c r="J90">
        <f>'Req. Diario'!H89</f>
        <v>11.850590642485523</v>
      </c>
      <c r="K90">
        <f>J90/$K$6</f>
        <v>43.89107645365008</v>
      </c>
      <c r="L90">
        <f>'Req. Diario'!I89</f>
        <v>35.6483</v>
      </c>
      <c r="M90">
        <f>L90/$M$6</f>
        <v>173.89414634146343</v>
      </c>
    </row>
    <row r="91">
      <c r="A91">
        <v>13</v>
      </c>
      <c r="B91">
        <f>'Req. Diario'!D90</f>
        <v>8.23708679921588</v>
      </c>
      <c r="C91">
        <f>(B91-((E91*(Main!$E$31/100))+(G91*(Main!$E$36/100))+(I91*(Main!$E$46/100))+(K91*(Main!$E$51/100))))/$C$6</f>
        <v>1.4709970016184941</v>
      </c>
      <c r="D91">
        <f>'Req. Diario'!E90</f>
        <v>4.784361929569444</v>
      </c>
      <c r="E91">
        <f>(D91-((C91*(Main!$F$41/100))+(G91*(Main!$F$36/100))+(I91*(Main!$F$46/100))+(K91*(Main!$F$51/100))))/$E$6</f>
        <v>7.8432162779826955</v>
      </c>
      <c r="F91">
        <f>'Req. Diario'!F90</f>
        <v>19.906019116360458</v>
      </c>
      <c r="G91">
        <f>(F91-((C91*(Main!$G$41/100))+(E91*(Main!$G$31/100))+(I91*(Main!$G$46/100))+(K91*(Main!$G$51/100))))/$G$6</f>
        <v>38.28080599300088</v>
      </c>
      <c r="H91">
        <f>'Req. Diario'!G90</f>
        <v>3.406933019724878</v>
      </c>
      <c r="I91">
        <f>H91/$I$6</f>
        <v>21.293331373280488</v>
      </c>
      <c r="J91">
        <f>'Req. Diario'!H90</f>
        <v>11.850590642485523</v>
      </c>
      <c r="K91">
        <f>J91/$K$6</f>
        <v>43.89107645365008</v>
      </c>
      <c r="L91">
        <f>'Req. Diario'!I90</f>
        <v>35.6483</v>
      </c>
      <c r="M91">
        <f>L91/$M$6</f>
        <v>173.89414634146343</v>
      </c>
    </row>
    <row r="92">
      <c r="B92">
        <f>'Req. Diario'!D91</f>
        <v>8.23708679921588</v>
      </c>
      <c r="C92">
        <f>(B92-((E92*(Main!$E$31/100))+(G92*(Main!$E$36/100))+(I92*(Main!$E$46/100))+(K92*(Main!$E$51/100))))/$C$6</f>
        <v>1.4709970016184941</v>
      </c>
      <c r="D92">
        <f>'Req. Diario'!E91</f>
        <v>4.784361929569444</v>
      </c>
      <c r="E92">
        <f>(D92-((C92*(Main!$F$41/100))+(G92*(Main!$F$36/100))+(I92*(Main!$F$46/100))+(K92*(Main!$F$51/100))))/$E$6</f>
        <v>7.8432162779826955</v>
      </c>
      <c r="F92">
        <f>'Req. Diario'!F91</f>
        <v>19.906019116360458</v>
      </c>
      <c r="G92">
        <f>(F92-((C92*(Main!$G$41/100))+(E92*(Main!$G$31/100))+(I92*(Main!$G$46/100))+(K92*(Main!$G$51/100))))/$G$6</f>
        <v>38.28080599300088</v>
      </c>
      <c r="H92">
        <f>'Req. Diario'!G91</f>
        <v>3.406933019724878</v>
      </c>
      <c r="I92">
        <f>H92/$I$6</f>
        <v>21.293331373280488</v>
      </c>
      <c r="J92">
        <f>'Req. Diario'!H91</f>
        <v>11.850590642485523</v>
      </c>
      <c r="K92">
        <f>J92/$K$6</f>
        <v>43.89107645365008</v>
      </c>
      <c r="L92">
        <f>'Req. Diario'!I91</f>
        <v>35.6483</v>
      </c>
      <c r="M92">
        <f>L92/$M$6</f>
        <v>173.89414634146343</v>
      </c>
    </row>
    <row r="93">
      <c r="B93">
        <f>'Req. Diario'!D92</f>
        <v>8.23708679921588</v>
      </c>
      <c r="C93">
        <f>(B93-((E93*(Main!$E$31/100))+(G93*(Main!$E$36/100))+(I93*(Main!$E$46/100))+(K93*(Main!$E$51/100))))/$C$6</f>
        <v>1.4709970016184941</v>
      </c>
      <c r="D93">
        <f>'Req. Diario'!E92</f>
        <v>4.784361929569444</v>
      </c>
      <c r="E93">
        <f>(D93-((C93*(Main!$F$41/100))+(G93*(Main!$F$36/100))+(I93*(Main!$F$46/100))+(K93*(Main!$F$51/100))))/$E$6</f>
        <v>7.8432162779826955</v>
      </c>
      <c r="F93">
        <f>'Req. Diario'!F92</f>
        <v>19.906019116360458</v>
      </c>
      <c r="G93">
        <f>(F93-((C93*(Main!$G$41/100))+(E93*(Main!$G$31/100))+(I93*(Main!$G$46/100))+(K93*(Main!$G$51/100))))/$G$6</f>
        <v>38.28080599300088</v>
      </c>
      <c r="H93">
        <f>'Req. Diario'!G92</f>
        <v>3.406933019724878</v>
      </c>
      <c r="I93">
        <f>H93/$I$6</f>
        <v>21.293331373280488</v>
      </c>
      <c r="J93">
        <f>'Req. Diario'!H92</f>
        <v>11.850590642485523</v>
      </c>
      <c r="K93">
        <f>J93/$K$6</f>
        <v>43.89107645365008</v>
      </c>
      <c r="L93">
        <f>'Req. Diario'!I92</f>
        <v>35.6483</v>
      </c>
      <c r="M93">
        <f>L93/$M$6</f>
        <v>173.89414634146343</v>
      </c>
    </row>
    <row r="94">
      <c r="B94">
        <f>'Req. Diario'!D93</f>
        <v>8.23708679921588</v>
      </c>
      <c r="C94">
        <f>(B94-((E94*(Main!$E$31/100))+(G94*(Main!$E$36/100))+(I94*(Main!$E$46/100))+(K94*(Main!$E$51/100))))/$C$6</f>
        <v>1.4709970016184941</v>
      </c>
      <c r="D94">
        <f>'Req. Diario'!E93</f>
        <v>4.784361929569444</v>
      </c>
      <c r="E94">
        <f>(D94-((C94*(Main!$F$41/100))+(G94*(Main!$F$36/100))+(I94*(Main!$F$46/100))+(K94*(Main!$F$51/100))))/$E$6</f>
        <v>7.8432162779826955</v>
      </c>
      <c r="F94">
        <f>'Req. Diario'!F93</f>
        <v>19.906019116360458</v>
      </c>
      <c r="G94">
        <f>(F94-((C94*(Main!$G$41/100))+(E94*(Main!$G$31/100))+(I94*(Main!$G$46/100))+(K94*(Main!$G$51/100))))/$G$6</f>
        <v>38.28080599300088</v>
      </c>
      <c r="H94">
        <f>'Req. Diario'!G93</f>
        <v>3.406933019724878</v>
      </c>
      <c r="I94">
        <f>H94/$I$6</f>
        <v>21.293331373280488</v>
      </c>
      <c r="J94">
        <f>'Req. Diario'!H93</f>
        <v>11.850590642485523</v>
      </c>
      <c r="K94">
        <f>J94/$K$6</f>
        <v>43.89107645365008</v>
      </c>
      <c r="L94">
        <f>'Req. Diario'!I93</f>
        <v>35.6483</v>
      </c>
      <c r="M94">
        <f>L94/$M$6</f>
        <v>173.89414634146343</v>
      </c>
    </row>
    <row r="95">
      <c r="B95">
        <f>'Req. Diario'!D94</f>
        <v>8.23708679921588</v>
      </c>
      <c r="C95">
        <f>(B95-((E95*(Main!$E$31/100))+(G95*(Main!$E$36/100))+(I95*(Main!$E$46/100))+(K95*(Main!$E$51/100))))/$C$6</f>
        <v>1.4709970016184941</v>
      </c>
      <c r="D95">
        <f>'Req. Diario'!E94</f>
        <v>4.784361929569444</v>
      </c>
      <c r="E95">
        <f>(D95-((C95*(Main!$F$41/100))+(G95*(Main!$F$36/100))+(I95*(Main!$F$46/100))+(K95*(Main!$F$51/100))))/$E$6</f>
        <v>7.8432162779826955</v>
      </c>
      <c r="F95">
        <f>'Req. Diario'!F94</f>
        <v>19.906019116360458</v>
      </c>
      <c r="G95">
        <f>(F95-((C95*(Main!$G$41/100))+(E95*(Main!$G$31/100))+(I95*(Main!$G$46/100))+(K95*(Main!$G$51/100))))/$G$6</f>
        <v>38.28080599300088</v>
      </c>
      <c r="H95">
        <f>'Req. Diario'!G94</f>
        <v>3.406933019724878</v>
      </c>
      <c r="I95">
        <f>H95/$I$6</f>
        <v>21.293331373280488</v>
      </c>
      <c r="J95">
        <f>'Req. Diario'!H94</f>
        <v>11.850590642485523</v>
      </c>
      <c r="K95">
        <f>J95/$K$6</f>
        <v>43.89107645365008</v>
      </c>
      <c r="L95">
        <f>'Req. Diario'!I94</f>
        <v>35.6483</v>
      </c>
      <c r="M95">
        <f>L95/$M$6</f>
        <v>173.89414634146343</v>
      </c>
    </row>
    <row r="96">
      <c r="B96">
        <f>'Req. Diario'!D95</f>
        <v>8.23708679921588</v>
      </c>
      <c r="C96">
        <f>(B96-((E96*(Main!$E$31/100))+(G96*(Main!$E$36/100))+(I96*(Main!$E$46/100))+(K96*(Main!$E$51/100))))/$C$6</f>
        <v>1.4709970016184941</v>
      </c>
      <c r="D96">
        <f>'Req. Diario'!E95</f>
        <v>4.784361929569444</v>
      </c>
      <c r="E96">
        <f>(D96-((C96*(Main!$F$41/100))+(G96*(Main!$F$36/100))+(I96*(Main!$F$46/100))+(K96*(Main!$F$51/100))))/$E$6</f>
        <v>7.8432162779826955</v>
      </c>
      <c r="F96">
        <f>'Req. Diario'!F95</f>
        <v>19.906019116360458</v>
      </c>
      <c r="G96">
        <f>(F96-((C96*(Main!$G$41/100))+(E96*(Main!$G$31/100))+(I96*(Main!$G$46/100))+(K96*(Main!$G$51/100))))/$G$6</f>
        <v>38.28080599300088</v>
      </c>
      <c r="H96">
        <f>'Req. Diario'!G95</f>
        <v>3.406933019724878</v>
      </c>
      <c r="I96">
        <f>H96/$I$6</f>
        <v>21.293331373280488</v>
      </c>
      <c r="J96">
        <f>'Req. Diario'!H95</f>
        <v>11.850590642485523</v>
      </c>
      <c r="K96">
        <f>J96/$K$6</f>
        <v>43.89107645365008</v>
      </c>
      <c r="L96">
        <f>'Req. Diario'!I95</f>
        <v>35.6483</v>
      </c>
      <c r="M96">
        <f>L96/$M$6</f>
        <v>173.89414634146343</v>
      </c>
    </row>
    <row r="97">
      <c r="B97">
        <f>'Req. Diario'!D96</f>
        <v>8.23708679921588</v>
      </c>
      <c r="C97">
        <f>(B97-((E97*(Main!$E$31/100))+(G97*(Main!$E$36/100))+(I97*(Main!$E$46/100))+(K97*(Main!$E$51/100))))/$C$6</f>
        <v>1.4709970016184941</v>
      </c>
      <c r="D97">
        <f>'Req. Diario'!E96</f>
        <v>4.784361929569444</v>
      </c>
      <c r="E97">
        <f>(D97-((C97*(Main!$F$41/100))+(G97*(Main!$F$36/100))+(I97*(Main!$F$46/100))+(K97*(Main!$F$51/100))))/$E$6</f>
        <v>7.8432162779826955</v>
      </c>
      <c r="F97">
        <f>'Req. Diario'!F96</f>
        <v>19.906019116360458</v>
      </c>
      <c r="G97">
        <f>(F97-((C97*(Main!$G$41/100))+(E97*(Main!$G$31/100))+(I97*(Main!$G$46/100))+(K97*(Main!$G$51/100))))/$G$6</f>
        <v>38.28080599300088</v>
      </c>
      <c r="H97">
        <f>'Req. Diario'!G96</f>
        <v>3.406933019724878</v>
      </c>
      <c r="I97">
        <f>H97/$I$6</f>
        <v>21.293331373280488</v>
      </c>
      <c r="J97">
        <f>'Req. Diario'!H96</f>
        <v>11.850590642485523</v>
      </c>
      <c r="K97">
        <f>J97/$K$6</f>
        <v>43.89107645365008</v>
      </c>
      <c r="L97">
        <f>'Req. Diario'!I96</f>
        <v>35.6483</v>
      </c>
      <c r="M97">
        <f>L97/$M$6</f>
        <v>173.89414634146343</v>
      </c>
    </row>
    <row r="98">
      <c r="A98">
        <v>14</v>
      </c>
      <c r="B98">
        <f>'Req. Diario'!D97</f>
        <v>8.23708679921588</v>
      </c>
      <c r="C98">
        <f>(B98-((E98*(Main!$E$31/100))+(G98*(Main!$E$36/100))+(I98*(Main!$E$46/100))+(K98*(Main!$E$51/100))))/$C$6</f>
        <v>1.4709970016184941</v>
      </c>
      <c r="D98">
        <f>'Req. Diario'!E97</f>
        <v>4.784361929569444</v>
      </c>
      <c r="E98">
        <f>(D98-((C98*(Main!$F$41/100))+(G98*(Main!$F$36/100))+(I98*(Main!$F$46/100))+(K98*(Main!$F$51/100))))/$E$6</f>
        <v>7.8432162779826955</v>
      </c>
      <c r="F98">
        <f>'Req. Diario'!F97</f>
        <v>19.906019116360458</v>
      </c>
      <c r="G98">
        <f>(F98-((C98*(Main!$G$41/100))+(E98*(Main!$G$31/100))+(I98*(Main!$G$46/100))+(K98*(Main!$G$51/100))))/$G$6</f>
        <v>38.28080599300088</v>
      </c>
      <c r="H98">
        <f>'Req. Diario'!G97</f>
        <v>3.406933019724878</v>
      </c>
      <c r="I98">
        <f>H98/$I$6</f>
        <v>21.293331373280488</v>
      </c>
      <c r="J98">
        <f>'Req. Diario'!H97</f>
        <v>11.850590642485523</v>
      </c>
      <c r="K98">
        <f>J98/$K$6</f>
        <v>43.89107645365008</v>
      </c>
      <c r="L98">
        <f>'Req. Diario'!I97</f>
        <v>35.6483</v>
      </c>
      <c r="M98">
        <f>L98/$M$6</f>
        <v>173.89414634146343</v>
      </c>
    </row>
    <row r="99">
      <c r="B99">
        <f>'Req. Diario'!D98</f>
        <v>8.23708679921588</v>
      </c>
      <c r="C99">
        <f>(B99-((E99*(Main!$E$31/100))+(G99*(Main!$E$36/100))+(I99*(Main!$E$46/100))+(K99*(Main!$E$51/100))))/$C$6</f>
        <v>1.4709970016184941</v>
      </c>
      <c r="D99">
        <f>'Req. Diario'!E98</f>
        <v>4.784361929569444</v>
      </c>
      <c r="E99">
        <f>(D99-((C99*(Main!$F$41/100))+(G99*(Main!$F$36/100))+(I99*(Main!$F$46/100))+(K99*(Main!$F$51/100))))/$E$6</f>
        <v>7.8432162779826955</v>
      </c>
      <c r="F99">
        <f>'Req. Diario'!F98</f>
        <v>19.906019116360458</v>
      </c>
      <c r="G99">
        <f>(F99-((C99*(Main!$G$41/100))+(E99*(Main!$G$31/100))+(I99*(Main!$G$46/100))+(K99*(Main!$G$51/100))))/$G$6</f>
        <v>38.28080599300088</v>
      </c>
      <c r="H99">
        <f>'Req. Diario'!G98</f>
        <v>3.406933019724878</v>
      </c>
      <c r="I99">
        <f>H99/$I$6</f>
        <v>21.293331373280488</v>
      </c>
      <c r="J99">
        <f>'Req. Diario'!H98</f>
        <v>11.850590642485523</v>
      </c>
      <c r="K99">
        <f>J99/$K$6</f>
        <v>43.89107645365008</v>
      </c>
      <c r="L99">
        <f>'Req. Diario'!I98</f>
        <v>35.6483</v>
      </c>
      <c r="M99">
        <f>L99/$M$6</f>
        <v>173.89414634146343</v>
      </c>
    </row>
    <row r="100">
      <c r="B100">
        <f>'Req. Diario'!D99</f>
        <v>8.23708679921588</v>
      </c>
      <c r="C100">
        <f>(B100-((E100*(Main!$E$31/100))+(G100*(Main!$E$36/100))+(I100*(Main!$E$46/100))+(K100*(Main!$E$51/100))))/$C$6</f>
        <v>1.4709970016184941</v>
      </c>
      <c r="D100">
        <f>'Req. Diario'!E99</f>
        <v>4.784361929569444</v>
      </c>
      <c r="E100">
        <f>(D100-((C100*(Main!$F$41/100))+(G100*(Main!$F$36/100))+(I100*(Main!$F$46/100))+(K100*(Main!$F$51/100))))/$E$6</f>
        <v>7.8432162779826955</v>
      </c>
      <c r="F100">
        <f>'Req. Diario'!F99</f>
        <v>19.906019116360458</v>
      </c>
      <c r="G100">
        <f>(F100-((C100*(Main!$G$41/100))+(E100*(Main!$G$31/100))+(I100*(Main!$G$46/100))+(K100*(Main!$G$51/100))))/$G$6</f>
        <v>38.28080599300088</v>
      </c>
      <c r="H100">
        <f>'Req. Diario'!G99</f>
        <v>3.406933019724878</v>
      </c>
      <c r="I100">
        <f>H100/$I$6</f>
        <v>21.293331373280488</v>
      </c>
      <c r="J100">
        <f>'Req. Diario'!H99</f>
        <v>11.850590642485523</v>
      </c>
      <c r="K100">
        <f>J100/$K$6</f>
        <v>43.89107645365008</v>
      </c>
      <c r="L100">
        <f>'Req. Diario'!I99</f>
        <v>35.6483</v>
      </c>
      <c r="M100">
        <f>L100/$M$6</f>
        <v>173.89414634146343</v>
      </c>
    </row>
    <row r="101">
      <c r="B101">
        <f>'Req. Diario'!D100</f>
        <v>8.23708679921588</v>
      </c>
      <c r="C101">
        <f>(B101-((E101*(Main!$E$31/100))+(G101*(Main!$E$36/100))+(I101*(Main!$E$46/100))+(K101*(Main!$E$51/100))))/$C$6</f>
        <v>1.4709970016184941</v>
      </c>
      <c r="D101">
        <f>'Req. Diario'!E100</f>
        <v>4.784361929569444</v>
      </c>
      <c r="E101">
        <f>(D101-((C101*(Main!$F$41/100))+(G101*(Main!$F$36/100))+(I101*(Main!$F$46/100))+(K101*(Main!$F$51/100))))/$E$6</f>
        <v>7.8432162779826955</v>
      </c>
      <c r="F101">
        <f>'Req. Diario'!F100</f>
        <v>19.906019116360458</v>
      </c>
      <c r="G101">
        <f>(F101-((C101*(Main!$G$41/100))+(E101*(Main!$G$31/100))+(I101*(Main!$G$46/100))+(K101*(Main!$G$51/100))))/$G$6</f>
        <v>38.28080599300088</v>
      </c>
      <c r="H101">
        <f>'Req. Diario'!G100</f>
        <v>3.406933019724878</v>
      </c>
      <c r="I101">
        <f>H101/$I$6</f>
        <v>21.293331373280488</v>
      </c>
      <c r="J101">
        <f>'Req. Diario'!H100</f>
        <v>11.850590642485523</v>
      </c>
      <c r="K101">
        <f>J101/$K$6</f>
        <v>43.89107645365008</v>
      </c>
      <c r="L101">
        <f>'Req. Diario'!I100</f>
        <v>35.6483</v>
      </c>
      <c r="M101">
        <f>L101/$M$6</f>
        <v>173.89414634146343</v>
      </c>
    </row>
    <row r="102">
      <c r="B102">
        <f>'Req. Diario'!D101</f>
        <v>8.23708679921588</v>
      </c>
      <c r="C102">
        <f>(B102-((E102*(Main!$E$31/100))+(G102*(Main!$E$36/100))+(I102*(Main!$E$46/100))+(K102*(Main!$E$51/100))))/$C$6</f>
        <v>1.4709970016184941</v>
      </c>
      <c r="D102">
        <f>'Req. Diario'!E101</f>
        <v>4.784361929569444</v>
      </c>
      <c r="E102">
        <f>(D102-((C102*(Main!$F$41/100))+(G102*(Main!$F$36/100))+(I102*(Main!$F$46/100))+(K102*(Main!$F$51/100))))/$E$6</f>
        <v>7.8432162779826955</v>
      </c>
      <c r="F102">
        <f>'Req. Diario'!F101</f>
        <v>19.906019116360458</v>
      </c>
      <c r="G102">
        <f>(F102-((C102*(Main!$G$41/100))+(E102*(Main!$G$31/100))+(I102*(Main!$G$46/100))+(K102*(Main!$G$51/100))))/$G$6</f>
        <v>38.28080599300088</v>
      </c>
      <c r="H102">
        <f>'Req. Diario'!G101</f>
        <v>3.406933019724878</v>
      </c>
      <c r="I102">
        <f>H102/$I$6</f>
        <v>21.293331373280488</v>
      </c>
      <c r="J102">
        <f>'Req. Diario'!H101</f>
        <v>11.850590642485523</v>
      </c>
      <c r="K102">
        <f>J102/$K$6</f>
        <v>43.89107645365008</v>
      </c>
      <c r="L102">
        <f>'Req. Diario'!I101</f>
        <v>35.6483</v>
      </c>
      <c r="M102">
        <f>L102/$M$6</f>
        <v>173.89414634146343</v>
      </c>
    </row>
    <row r="103">
      <c r="B103">
        <f>'Req. Diario'!D102</f>
        <v>8.23708679921588</v>
      </c>
      <c r="C103">
        <f>(B103-((E103*(Main!$E$31/100))+(G103*(Main!$E$36/100))+(I103*(Main!$E$46/100))+(K103*(Main!$E$51/100))))/$C$6</f>
        <v>1.4709970016184941</v>
      </c>
      <c r="D103">
        <f>'Req. Diario'!E102</f>
        <v>4.784361929569444</v>
      </c>
      <c r="E103">
        <f>(D103-((C103*(Main!$F$41/100))+(G103*(Main!$F$36/100))+(I103*(Main!$F$46/100))+(K103*(Main!$F$51/100))))/$E$6</f>
        <v>7.8432162779826955</v>
      </c>
      <c r="F103">
        <f>'Req. Diario'!F102</f>
        <v>19.906019116360458</v>
      </c>
      <c r="G103">
        <f>(F103-((C103*(Main!$G$41/100))+(E103*(Main!$G$31/100))+(I103*(Main!$G$46/100))+(K103*(Main!$G$51/100))))/$G$6</f>
        <v>38.28080599300088</v>
      </c>
      <c r="H103">
        <f>'Req. Diario'!G102</f>
        <v>3.406933019724878</v>
      </c>
      <c r="I103">
        <f>H103/$I$6</f>
        <v>21.293331373280488</v>
      </c>
      <c r="J103">
        <f>'Req. Diario'!H102</f>
        <v>11.850590642485523</v>
      </c>
      <c r="K103">
        <f>J103/$K$6</f>
        <v>43.89107645365008</v>
      </c>
      <c r="L103">
        <f>'Req. Diario'!I102</f>
        <v>35.6483</v>
      </c>
      <c r="M103">
        <f>L103/$M$6</f>
        <v>173.89414634146343</v>
      </c>
    </row>
    <row r="104">
      <c r="B104">
        <f>'Req. Diario'!D103</f>
        <v>8.23708679921588</v>
      </c>
      <c r="C104">
        <f>(B104-((E104*(Main!$E$31/100))+(G104*(Main!$E$36/100))+(I104*(Main!$E$46/100))+(K104*(Main!$E$51/100))))/$C$6</f>
        <v>1.4709970016184941</v>
      </c>
      <c r="D104">
        <f>'Req. Diario'!E103</f>
        <v>4.784361929569444</v>
      </c>
      <c r="E104">
        <f>(D104-((C104*(Main!$F$41/100))+(G104*(Main!$F$36/100))+(I104*(Main!$F$46/100))+(K104*(Main!$F$51/100))))/$E$6</f>
        <v>7.8432162779826955</v>
      </c>
      <c r="F104">
        <f>'Req. Diario'!F103</f>
        <v>19.906019116360458</v>
      </c>
      <c r="G104">
        <f>(F104-((C104*(Main!$G$41/100))+(E104*(Main!$G$31/100))+(I104*(Main!$G$46/100))+(K104*(Main!$G$51/100))))/$G$6</f>
        <v>38.28080599300088</v>
      </c>
      <c r="H104">
        <f>'Req. Diario'!G103</f>
        <v>3.406933019724878</v>
      </c>
      <c r="I104">
        <f>H104/$I$6</f>
        <v>21.293331373280488</v>
      </c>
      <c r="J104">
        <f>'Req. Diario'!H103</f>
        <v>11.850590642485523</v>
      </c>
      <c r="K104">
        <f>J104/$K$6</f>
        <v>43.89107645365008</v>
      </c>
      <c r="L104">
        <f>'Req. Diario'!I103</f>
        <v>35.6483</v>
      </c>
      <c r="M104">
        <f>L104/$M$6</f>
        <v>173.89414634146343</v>
      </c>
    </row>
    <row r="105">
      <c r="A105">
        <v>15</v>
      </c>
      <c r="B105">
        <f>'Req. Diario'!D104</f>
        <v>8.23708679921588</v>
      </c>
      <c r="C105">
        <f>(B105-((E105*(Main!$E$31/100))+(G105*(Main!$E$36/100))+(I105*(Main!$E$46/100))+(K105*(Main!$E$51/100))))/$C$6</f>
        <v>1.4709970016184941</v>
      </c>
      <c r="D105">
        <f>'Req. Diario'!E104</f>
        <v>4.784361929569444</v>
      </c>
      <c r="E105">
        <f>(D105-((C105*(Main!$F$41/100))+(G105*(Main!$F$36/100))+(I105*(Main!$F$46/100))+(K105*(Main!$F$51/100))))/$E$6</f>
        <v>7.8432162779826955</v>
      </c>
      <c r="F105">
        <f>'Req. Diario'!F104</f>
        <v>19.906019116360458</v>
      </c>
      <c r="G105">
        <f>(F105-((C105*(Main!$G$41/100))+(E105*(Main!$G$31/100))+(I105*(Main!$G$46/100))+(K105*(Main!$G$51/100))))/$G$6</f>
        <v>38.28080599300088</v>
      </c>
      <c r="H105">
        <f>'Req. Diario'!G104</f>
        <v>3.406933019724878</v>
      </c>
      <c r="I105">
        <f>H105/$I$6</f>
        <v>21.293331373280488</v>
      </c>
      <c r="J105">
        <f>'Req. Diario'!H104</f>
        <v>11.850590642485523</v>
      </c>
      <c r="K105">
        <f>J105/$K$6</f>
        <v>43.89107645365008</v>
      </c>
      <c r="L105">
        <f>'Req. Diario'!I104</f>
        <v>35.6483</v>
      </c>
      <c r="M105">
        <f>L105/$M$6</f>
        <v>173.89414634146343</v>
      </c>
    </row>
    <row r="106">
      <c r="B106">
        <f>'Req. Diario'!D105</f>
        <v>8.23708679921588</v>
      </c>
      <c r="C106">
        <f>(B106-((E106*(Main!$E$31/100))+(G106*(Main!$E$36/100))+(I106*(Main!$E$46/100))+(K106*(Main!$E$51/100))))/$C$6</f>
        <v>1.4709970016184941</v>
      </c>
      <c r="D106">
        <f>'Req. Diario'!E105</f>
        <v>4.784361929569444</v>
      </c>
      <c r="E106">
        <f>(D106-((C106*(Main!$F$41/100))+(G106*(Main!$F$36/100))+(I106*(Main!$F$46/100))+(K106*(Main!$F$51/100))))/$E$6</f>
        <v>7.8432162779826955</v>
      </c>
      <c r="F106">
        <f>'Req. Diario'!F105</f>
        <v>19.906019116360458</v>
      </c>
      <c r="G106">
        <f>(F106-((C106*(Main!$G$41/100))+(E106*(Main!$G$31/100))+(I106*(Main!$G$46/100))+(K106*(Main!$G$51/100))))/$G$6</f>
        <v>38.28080599300088</v>
      </c>
      <c r="H106">
        <f>'Req. Diario'!G105</f>
        <v>3.406933019724878</v>
      </c>
      <c r="I106">
        <f>H106/$I$6</f>
        <v>21.293331373280488</v>
      </c>
      <c r="J106">
        <f>'Req. Diario'!H105</f>
        <v>11.850590642485523</v>
      </c>
      <c r="K106">
        <f>J106/$K$6</f>
        <v>43.89107645365008</v>
      </c>
      <c r="L106">
        <f>'Req. Diario'!I105</f>
        <v>35.6483</v>
      </c>
      <c r="M106">
        <f>L106/$M$6</f>
        <v>173.89414634146343</v>
      </c>
    </row>
    <row r="107">
      <c r="B107">
        <f>'Req. Diario'!D106</f>
        <v>8.23708679921588</v>
      </c>
      <c r="C107">
        <f>(B107-((E107*(Main!$E$31/100))+(G107*(Main!$E$36/100))+(I107*(Main!$E$46/100))+(K107*(Main!$E$51/100))))/$C$6</f>
        <v>1.4709970016184941</v>
      </c>
      <c r="D107">
        <f>'Req. Diario'!E106</f>
        <v>4.784361929569444</v>
      </c>
      <c r="E107">
        <f>(D107-((C107*(Main!$F$41/100))+(G107*(Main!$F$36/100))+(I107*(Main!$F$46/100))+(K107*(Main!$F$51/100))))/$E$6</f>
        <v>7.8432162779826955</v>
      </c>
      <c r="F107">
        <f>'Req. Diario'!F106</f>
        <v>19.906019116360458</v>
      </c>
      <c r="G107">
        <f>(F107-((C107*(Main!$G$41/100))+(E107*(Main!$G$31/100))+(I107*(Main!$G$46/100))+(K107*(Main!$G$51/100))))/$G$6</f>
        <v>38.28080599300088</v>
      </c>
      <c r="H107">
        <f>'Req. Diario'!G106</f>
        <v>3.406933019724878</v>
      </c>
      <c r="I107">
        <f>H107/$I$6</f>
        <v>21.293331373280488</v>
      </c>
      <c r="J107">
        <f>'Req. Diario'!H106</f>
        <v>11.850590642485523</v>
      </c>
      <c r="K107">
        <f>J107/$K$6</f>
        <v>43.89107645365008</v>
      </c>
      <c r="L107">
        <f>'Req. Diario'!I106</f>
        <v>35.6483</v>
      </c>
      <c r="M107">
        <f>L107/$M$6</f>
        <v>173.89414634146343</v>
      </c>
    </row>
    <row r="108">
      <c r="B108">
        <f>'Req. Diario'!D107</f>
        <v>8.23708679921588</v>
      </c>
      <c r="C108">
        <f>(B108-((E108*(Main!$E$31/100))+(G108*(Main!$E$36/100))+(I108*(Main!$E$46/100))+(K108*(Main!$E$51/100))))/$C$6</f>
        <v>1.4709970016184941</v>
      </c>
      <c r="D108">
        <f>'Req. Diario'!E107</f>
        <v>4.784361929569444</v>
      </c>
      <c r="E108">
        <f>(D108-((C108*(Main!$F$41/100))+(G108*(Main!$F$36/100))+(I108*(Main!$F$46/100))+(K108*(Main!$F$51/100))))/$E$6</f>
        <v>7.8432162779826955</v>
      </c>
      <c r="F108">
        <f>'Req. Diario'!F107</f>
        <v>19.906019116360458</v>
      </c>
      <c r="G108">
        <f>(F108-((C108*(Main!$G$41/100))+(E108*(Main!$G$31/100))+(I108*(Main!$G$46/100))+(K108*(Main!$G$51/100))))/$G$6</f>
        <v>38.28080599300088</v>
      </c>
      <c r="H108">
        <f>'Req. Diario'!G107</f>
        <v>3.406933019724878</v>
      </c>
      <c r="I108">
        <f>H108/$I$6</f>
        <v>21.293331373280488</v>
      </c>
      <c r="J108">
        <f>'Req. Diario'!H107</f>
        <v>11.850590642485523</v>
      </c>
      <c r="K108">
        <f>J108/$K$6</f>
        <v>43.89107645365008</v>
      </c>
      <c r="L108">
        <f>'Req. Diario'!I107</f>
        <v>35.6483</v>
      </c>
      <c r="M108">
        <f>L108/$M$6</f>
        <v>173.89414634146343</v>
      </c>
    </row>
    <row r="109">
      <c r="B109">
        <f>'Req. Diario'!D108</f>
        <v>8.23708679921588</v>
      </c>
      <c r="C109">
        <f>(B109-((E109*(Main!$E$31/100))+(G109*(Main!$E$36/100))+(I109*(Main!$E$46/100))+(K109*(Main!$E$51/100))))/$C$6</f>
        <v>1.4709970016184941</v>
      </c>
      <c r="D109">
        <f>'Req. Diario'!E108</f>
        <v>4.784361929569444</v>
      </c>
      <c r="E109">
        <f>(D109-((C109*(Main!$F$41/100))+(G109*(Main!$F$36/100))+(I109*(Main!$F$46/100))+(K109*(Main!$F$51/100))))/$E$6</f>
        <v>7.8432162779826955</v>
      </c>
      <c r="F109">
        <f>'Req. Diario'!F108</f>
        <v>19.906019116360458</v>
      </c>
      <c r="G109">
        <f>(F109-((C109*(Main!$G$41/100))+(E109*(Main!$G$31/100))+(I109*(Main!$G$46/100))+(K109*(Main!$G$51/100))))/$G$6</f>
        <v>38.28080599300088</v>
      </c>
      <c r="H109">
        <f>'Req. Diario'!G108</f>
        <v>3.406933019724878</v>
      </c>
      <c r="I109">
        <f>H109/$I$6</f>
        <v>21.293331373280488</v>
      </c>
      <c r="J109">
        <f>'Req. Diario'!H108</f>
        <v>11.850590642485523</v>
      </c>
      <c r="K109">
        <f>J109/$K$6</f>
        <v>43.89107645365008</v>
      </c>
      <c r="L109">
        <f>'Req. Diario'!I108</f>
        <v>35.6483</v>
      </c>
      <c r="M109">
        <f>L109/$M$6</f>
        <v>173.89414634146343</v>
      </c>
    </row>
    <row r="110">
      <c r="B110">
        <f>'Req. Diario'!D109</f>
        <v>8.23708679921588</v>
      </c>
      <c r="C110">
        <f>(B110-((E110*(Main!$E$31/100))+(G110*(Main!$E$36/100))+(I110*(Main!$E$46/100))+(K110*(Main!$E$51/100))))/$C$6</f>
        <v>1.4709970016184941</v>
      </c>
      <c r="D110">
        <f>'Req. Diario'!E109</f>
        <v>4.784361929569444</v>
      </c>
      <c r="E110">
        <f>(D110-((C110*(Main!$F$41/100))+(G110*(Main!$F$36/100))+(I110*(Main!$F$46/100))+(K110*(Main!$F$51/100))))/$E$6</f>
        <v>7.8432162779826955</v>
      </c>
      <c r="F110">
        <f>'Req. Diario'!F109</f>
        <v>19.906019116360458</v>
      </c>
      <c r="G110">
        <f>(F110-((C110*(Main!$G$41/100))+(E110*(Main!$G$31/100))+(I110*(Main!$G$46/100))+(K110*(Main!$G$51/100))))/$G$6</f>
        <v>38.28080599300088</v>
      </c>
      <c r="H110">
        <f>'Req. Diario'!G109</f>
        <v>3.406933019724878</v>
      </c>
      <c r="I110">
        <f>H110/$I$6</f>
        <v>21.293331373280488</v>
      </c>
      <c r="J110">
        <f>'Req. Diario'!H109</f>
        <v>11.850590642485523</v>
      </c>
      <c r="K110">
        <f>J110/$K$6</f>
        <v>43.89107645365008</v>
      </c>
      <c r="L110">
        <f>'Req. Diario'!I109</f>
        <v>35.6483</v>
      </c>
      <c r="M110">
        <f>L110/$M$6</f>
        <v>173.89414634146343</v>
      </c>
    </row>
    <row r="111">
      <c r="B111">
        <f>'Req. Diario'!D110</f>
        <v>8.23708679921588</v>
      </c>
      <c r="C111">
        <f>(B111-((E111*(Main!$E$31/100))+(G111*(Main!$E$36/100))+(I111*(Main!$E$46/100))+(K111*(Main!$E$51/100))))/$C$6</f>
        <v>1.4709970016184941</v>
      </c>
      <c r="D111">
        <f>'Req. Diario'!E110</f>
        <v>4.784361929569444</v>
      </c>
      <c r="E111">
        <f>(D111-((C111*(Main!$F$41/100))+(G111*(Main!$F$36/100))+(I111*(Main!$F$46/100))+(K111*(Main!$F$51/100))))/$E$6</f>
        <v>7.8432162779826955</v>
      </c>
      <c r="F111">
        <f>'Req. Diario'!F110</f>
        <v>19.906019116360458</v>
      </c>
      <c r="G111">
        <f>(F111-((C111*(Main!$G$41/100))+(E111*(Main!$G$31/100))+(I111*(Main!$G$46/100))+(K111*(Main!$G$51/100))))/$G$6</f>
        <v>38.28080599300088</v>
      </c>
      <c r="H111">
        <f>'Req. Diario'!G110</f>
        <v>3.406933019724878</v>
      </c>
      <c r="I111">
        <f>H111/$I$6</f>
        <v>21.293331373280488</v>
      </c>
      <c r="J111">
        <f>'Req. Diario'!H110</f>
        <v>11.850590642485523</v>
      </c>
      <c r="K111">
        <f>J111/$K$6</f>
        <v>43.89107645365008</v>
      </c>
      <c r="L111">
        <f>'Req. Diario'!I110</f>
        <v>35.6483</v>
      </c>
      <c r="M111">
        <f>L111/$M$6</f>
        <v>173.89414634146343</v>
      </c>
    </row>
    <row r="112">
      <c r="A112">
        <v>16</v>
      </c>
      <c r="B112">
        <f>'Req. Diario'!D111</f>
        <v>8.23708679921588</v>
      </c>
      <c r="C112">
        <f>(B112-((E112*(Main!$E$31/100))+(G112*(Main!$E$36/100))+(I112*(Main!$E$46/100))+(K112*(Main!$E$51/100))))/$C$6</f>
        <v>1.4709970016184941</v>
      </c>
      <c r="D112">
        <f>'Req. Diario'!E111</f>
        <v>4.784361929569444</v>
      </c>
      <c r="E112">
        <f>(D112-((C112*(Main!$F$41/100))+(G112*(Main!$F$36/100))+(I112*(Main!$F$46/100))+(K112*(Main!$F$51/100))))/$E$6</f>
        <v>7.8432162779826955</v>
      </c>
      <c r="F112">
        <f>'Req. Diario'!F111</f>
        <v>19.906019116360458</v>
      </c>
      <c r="G112">
        <f>(F112-((C112*(Main!$G$41/100))+(E112*(Main!$G$31/100))+(I112*(Main!$G$46/100))+(K112*(Main!$G$51/100))))/$G$6</f>
        <v>38.28080599300088</v>
      </c>
      <c r="H112">
        <f>'Req. Diario'!G111</f>
        <v>3.406933019724878</v>
      </c>
      <c r="I112">
        <f>H112/$I$6</f>
        <v>21.293331373280488</v>
      </c>
      <c r="J112">
        <f>'Req. Diario'!H111</f>
        <v>11.850590642485523</v>
      </c>
      <c r="K112">
        <f>J112/$K$6</f>
        <v>43.89107645365008</v>
      </c>
      <c r="L112">
        <f>'Req. Diario'!I111</f>
        <v>35.6483</v>
      </c>
      <c r="M112">
        <f>L112/$M$6</f>
        <v>173.89414634146343</v>
      </c>
    </row>
    <row r="113">
      <c r="B113">
        <f>'Req. Diario'!D112</f>
        <v>8.23708679921588</v>
      </c>
      <c r="C113">
        <f>(B113-((E113*(Main!$E$31/100))+(G113*(Main!$E$36/100))+(I113*(Main!$E$46/100))+(K113*(Main!$E$51/100))))/$C$6</f>
        <v>1.4709970016184941</v>
      </c>
      <c r="D113">
        <f>'Req. Diario'!E112</f>
        <v>4.784361929569444</v>
      </c>
      <c r="E113">
        <f>(D113-((C113*(Main!$F$41/100))+(G113*(Main!$F$36/100))+(I113*(Main!$F$46/100))+(K113*(Main!$F$51/100))))/$E$6</f>
        <v>7.8432162779826955</v>
      </c>
      <c r="F113">
        <f>'Req. Diario'!F112</f>
        <v>19.906019116360458</v>
      </c>
      <c r="G113">
        <f>(F113-((C113*(Main!$G$41/100))+(E113*(Main!$G$31/100))+(I113*(Main!$G$46/100))+(K113*(Main!$G$51/100))))/$G$6</f>
        <v>38.28080599300088</v>
      </c>
      <c r="H113">
        <f>'Req. Diario'!G112</f>
        <v>3.406933019724878</v>
      </c>
      <c r="I113">
        <f>H113/$I$6</f>
        <v>21.293331373280488</v>
      </c>
      <c r="J113">
        <f>'Req. Diario'!H112</f>
        <v>11.850590642485523</v>
      </c>
      <c r="K113">
        <f>J113/$K$6</f>
        <v>43.89107645365008</v>
      </c>
      <c r="L113">
        <f>'Req. Diario'!I112</f>
        <v>35.6483</v>
      </c>
      <c r="M113">
        <f>L113/$M$6</f>
        <v>173.89414634146343</v>
      </c>
    </row>
    <row r="114">
      <c r="B114">
        <f>'Req. Diario'!D113</f>
        <v>8.23708679921588</v>
      </c>
      <c r="C114">
        <f>(B114-((E114*(Main!$E$31/100))+(G114*(Main!$E$36/100))+(I114*(Main!$E$46/100))+(K114*(Main!$E$51/100))))/$C$6</f>
        <v>1.4709970016184941</v>
      </c>
      <c r="D114">
        <f>'Req. Diario'!E113</f>
        <v>4.784361929569444</v>
      </c>
      <c r="E114">
        <f>(D114-((C114*(Main!$F$41/100))+(G114*(Main!$F$36/100))+(I114*(Main!$F$46/100))+(K114*(Main!$F$51/100))))/$E$6</f>
        <v>7.8432162779826955</v>
      </c>
      <c r="F114">
        <f>'Req. Diario'!F113</f>
        <v>19.906019116360458</v>
      </c>
      <c r="G114">
        <f>(F114-((C114*(Main!$G$41/100))+(E114*(Main!$G$31/100))+(I114*(Main!$G$46/100))+(K114*(Main!$G$51/100))))/$G$6</f>
        <v>38.28080599300088</v>
      </c>
      <c r="H114">
        <f>'Req. Diario'!G113</f>
        <v>3.406933019724878</v>
      </c>
      <c r="I114">
        <f>H114/$I$6</f>
        <v>21.293331373280488</v>
      </c>
      <c r="J114">
        <f>'Req. Diario'!H113</f>
        <v>11.850590642485523</v>
      </c>
      <c r="K114">
        <f>J114/$K$6</f>
        <v>43.89107645365008</v>
      </c>
      <c r="L114">
        <f>'Req. Diario'!I113</f>
        <v>35.6483</v>
      </c>
      <c r="M114">
        <f>L114/$M$6</f>
        <v>173.89414634146343</v>
      </c>
    </row>
    <row r="115">
      <c r="B115">
        <f>'Req. Diario'!D114</f>
        <v>8.23708679921588</v>
      </c>
      <c r="C115">
        <f>(B115-((E115*(Main!$E$31/100))+(G115*(Main!$E$36/100))+(I115*(Main!$E$46/100))+(K115*(Main!$E$51/100))))/$C$6</f>
        <v>1.4709970016184941</v>
      </c>
      <c r="D115">
        <f>'Req. Diario'!E114</f>
        <v>4.784361929569444</v>
      </c>
      <c r="E115">
        <f>(D115-((C115*(Main!$F$41/100))+(G115*(Main!$F$36/100))+(I115*(Main!$F$46/100))+(K115*(Main!$F$51/100))))/$E$6</f>
        <v>7.8432162779826955</v>
      </c>
      <c r="F115">
        <f>'Req. Diario'!F114</f>
        <v>19.906019116360458</v>
      </c>
      <c r="G115">
        <f>(F115-((C115*(Main!$G$41/100))+(E115*(Main!$G$31/100))+(I115*(Main!$G$46/100))+(K115*(Main!$G$51/100))))/$G$6</f>
        <v>38.28080599300088</v>
      </c>
      <c r="H115">
        <f>'Req. Diario'!G114</f>
        <v>3.406933019724878</v>
      </c>
      <c r="I115">
        <f>H115/$I$6</f>
        <v>21.293331373280488</v>
      </c>
      <c r="J115">
        <f>'Req. Diario'!H114</f>
        <v>11.850590642485523</v>
      </c>
      <c r="K115">
        <f>J115/$K$6</f>
        <v>43.89107645365008</v>
      </c>
      <c r="L115">
        <f>'Req. Diario'!I114</f>
        <v>35.6483</v>
      </c>
      <c r="M115">
        <f>L115/$M$6</f>
        <v>173.89414634146343</v>
      </c>
    </row>
    <row r="116">
      <c r="B116">
        <f>'Req. Diario'!D115</f>
        <v>8.23708679921588</v>
      </c>
      <c r="C116">
        <f>(B116-((E116*(Main!$E$31/100))+(G116*(Main!$E$36/100))+(I116*(Main!$E$46/100))+(K116*(Main!$E$51/100))))/$C$6</f>
        <v>1.4709970016184941</v>
      </c>
      <c r="D116">
        <f>'Req. Diario'!E115</f>
        <v>4.784361929569444</v>
      </c>
      <c r="E116">
        <f>(D116-((C116*(Main!$F$41/100))+(G116*(Main!$F$36/100))+(I116*(Main!$F$46/100))+(K116*(Main!$F$51/100))))/$E$6</f>
        <v>7.8432162779826955</v>
      </c>
      <c r="F116">
        <f>'Req. Diario'!F115</f>
        <v>19.906019116360458</v>
      </c>
      <c r="G116">
        <f>(F116-((C116*(Main!$G$41/100))+(E116*(Main!$G$31/100))+(I116*(Main!$G$46/100))+(K116*(Main!$G$51/100))))/$G$6</f>
        <v>38.28080599300088</v>
      </c>
      <c r="H116">
        <f>'Req. Diario'!G115</f>
        <v>3.406933019724878</v>
      </c>
      <c r="I116">
        <f>H116/$I$6</f>
        <v>21.293331373280488</v>
      </c>
      <c r="J116">
        <f>'Req. Diario'!H115</f>
        <v>11.850590642485523</v>
      </c>
      <c r="K116">
        <f>J116/$K$6</f>
        <v>43.89107645365008</v>
      </c>
      <c r="L116">
        <f>'Req. Diario'!I115</f>
        <v>35.6483</v>
      </c>
      <c r="M116">
        <f>L116/$M$6</f>
        <v>173.89414634146343</v>
      </c>
    </row>
    <row r="117">
      <c r="B117">
        <f>'Req. Diario'!D116</f>
        <v>8.23708679921588</v>
      </c>
      <c r="C117">
        <f>(B117-((E117*(Main!$E$31/100))+(G117*(Main!$E$36/100))+(I117*(Main!$E$46/100))+(K117*(Main!$E$51/100))))/$C$6</f>
        <v>1.4709970016184941</v>
      </c>
      <c r="D117">
        <f>'Req. Diario'!E116</f>
        <v>4.784361929569444</v>
      </c>
      <c r="E117">
        <f>(D117-((C117*(Main!$F$41/100))+(G117*(Main!$F$36/100))+(I117*(Main!$F$46/100))+(K117*(Main!$F$51/100))))/$E$6</f>
        <v>7.8432162779826955</v>
      </c>
      <c r="F117">
        <f>'Req. Diario'!F116</f>
        <v>19.906019116360458</v>
      </c>
      <c r="G117">
        <f>(F117-((C117*(Main!$G$41/100))+(E117*(Main!$G$31/100))+(I117*(Main!$G$46/100))+(K117*(Main!$G$51/100))))/$G$6</f>
        <v>38.28080599300088</v>
      </c>
      <c r="H117">
        <f>'Req. Diario'!G116</f>
        <v>3.406933019724878</v>
      </c>
      <c r="I117">
        <f>H117/$I$6</f>
        <v>21.293331373280488</v>
      </c>
      <c r="J117">
        <f>'Req. Diario'!H116</f>
        <v>11.850590642485523</v>
      </c>
      <c r="K117">
        <f>J117/$K$6</f>
        <v>43.89107645365008</v>
      </c>
      <c r="L117">
        <f>'Req. Diario'!I116</f>
        <v>35.6483</v>
      </c>
      <c r="M117">
        <f>L117/$M$6</f>
        <v>173.89414634146343</v>
      </c>
    </row>
    <row r="118">
      <c r="B118">
        <f>'Req. Diario'!D117</f>
        <v>8.23708679921588</v>
      </c>
      <c r="C118">
        <f>(B118-((E118*(Main!$E$31/100))+(G118*(Main!$E$36/100))+(I118*(Main!$E$46/100))+(K118*(Main!$E$51/100))))/$C$6</f>
        <v>1.4709970016184941</v>
      </c>
      <c r="D118">
        <f>'Req. Diario'!E117</f>
        <v>4.784361929569444</v>
      </c>
      <c r="E118">
        <f>(D118-((C118*(Main!$F$41/100))+(G118*(Main!$F$36/100))+(I118*(Main!$F$46/100))+(K118*(Main!$F$51/100))))/$E$6</f>
        <v>7.8432162779826955</v>
      </c>
      <c r="F118">
        <f>'Req. Diario'!F117</f>
        <v>19.906019116360458</v>
      </c>
      <c r="G118">
        <f>(F118-((C118*(Main!$G$41/100))+(E118*(Main!$G$31/100))+(I118*(Main!$G$46/100))+(K118*(Main!$G$51/100))))/$G$6</f>
        <v>38.28080599300088</v>
      </c>
      <c r="H118">
        <f>'Req. Diario'!G117</f>
        <v>3.406933019724878</v>
      </c>
      <c r="I118">
        <f>H118/$I$6</f>
        <v>21.293331373280488</v>
      </c>
      <c r="J118">
        <f>'Req. Diario'!H117</f>
        <v>11.850590642485523</v>
      </c>
      <c r="K118">
        <f>J118/$K$6</f>
        <v>43.89107645365008</v>
      </c>
      <c r="L118">
        <f>'Req. Diario'!I117</f>
        <v>35.6483</v>
      </c>
      <c r="M118">
        <f>L118/$M$6</f>
        <v>173.89414634146343</v>
      </c>
    </row>
    <row r="119">
      <c r="A119">
        <v>17</v>
      </c>
      <c r="B119">
        <f>'Req. Diario'!D118</f>
        <v>8.23708679921588</v>
      </c>
      <c r="C119">
        <f>(B119-((E119*(Main!$E$31/100))+(G119*(Main!$E$36/100))+(I119*(Main!$E$46/100))+(K119*(Main!$E$51/100))))/$C$6</f>
        <v>1.4709970016184941</v>
      </c>
      <c r="D119">
        <f>'Req. Diario'!E118</f>
        <v>4.784361929569444</v>
      </c>
      <c r="E119">
        <f>(D119-((C119*(Main!$F$41/100))+(G119*(Main!$F$36/100))+(I119*(Main!$F$46/100))+(K119*(Main!$F$51/100))))/$E$6</f>
        <v>7.8432162779826955</v>
      </c>
      <c r="F119">
        <f>'Req. Diario'!F118</f>
        <v>19.906019116360458</v>
      </c>
      <c r="G119">
        <f>(F119-((C119*(Main!$G$41/100))+(E119*(Main!$G$31/100))+(I119*(Main!$G$46/100))+(K119*(Main!$G$51/100))))/$G$6</f>
        <v>38.28080599300088</v>
      </c>
      <c r="H119">
        <f>'Req. Diario'!G118</f>
        <v>3.406933019724878</v>
      </c>
      <c r="I119">
        <f>H119/$I$6</f>
        <v>21.293331373280488</v>
      </c>
      <c r="J119">
        <f>'Req. Diario'!H118</f>
        <v>11.850590642485523</v>
      </c>
      <c r="K119">
        <f>J119/$K$6</f>
        <v>43.89107645365008</v>
      </c>
      <c r="L119">
        <f>'Req. Diario'!I118</f>
        <v>35.6483</v>
      </c>
      <c r="M119">
        <f>L119/$M$6</f>
        <v>173.89414634146343</v>
      </c>
    </row>
    <row r="120">
      <c r="B120">
        <f>'Req. Diario'!D119</f>
        <v>8.23708679921588</v>
      </c>
      <c r="C120">
        <f>(B120-((E120*(Main!$E$31/100))+(G120*(Main!$E$36/100))+(I120*(Main!$E$46/100))+(K120*(Main!$E$51/100))))/$C$6</f>
        <v>1.4709970016184941</v>
      </c>
      <c r="D120">
        <f>'Req. Diario'!E119</f>
        <v>4.784361929569444</v>
      </c>
      <c r="E120">
        <f>(D120-((C120*(Main!$F$41/100))+(G120*(Main!$F$36/100))+(I120*(Main!$F$46/100))+(K120*(Main!$F$51/100))))/$E$6</f>
        <v>7.8432162779826955</v>
      </c>
      <c r="F120">
        <f>'Req. Diario'!F119</f>
        <v>19.906019116360458</v>
      </c>
      <c r="G120">
        <f>(F120-((C120*(Main!$G$41/100))+(E120*(Main!$G$31/100))+(I120*(Main!$G$46/100))+(K120*(Main!$G$51/100))))/$G$6</f>
        <v>38.28080599300088</v>
      </c>
      <c r="H120">
        <f>'Req. Diario'!G119</f>
        <v>3.406933019724878</v>
      </c>
      <c r="I120">
        <f>H120/$I$6</f>
        <v>21.293331373280488</v>
      </c>
      <c r="J120">
        <f>'Req. Diario'!H119</f>
        <v>11.850590642485523</v>
      </c>
      <c r="K120">
        <f>J120/$K$6</f>
        <v>43.89107645365008</v>
      </c>
      <c r="L120">
        <f>'Req. Diario'!I119</f>
        <v>35.6483</v>
      </c>
      <c r="M120">
        <f>L120/$M$6</f>
        <v>173.89414634146343</v>
      </c>
    </row>
    <row r="121">
      <c r="B121">
        <f>'Req. Diario'!D120</f>
        <v>8.23708679921588</v>
      </c>
      <c r="C121">
        <f>(B121-((E121*(Main!$E$31/100))+(G121*(Main!$E$36/100))+(I121*(Main!$E$46/100))+(K121*(Main!$E$51/100))))/$C$6</f>
        <v>1.4709970016184941</v>
      </c>
      <c r="D121">
        <f>'Req. Diario'!E120</f>
        <v>4.784361929569444</v>
      </c>
      <c r="E121">
        <f>(D121-((C121*(Main!$F$41/100))+(G121*(Main!$F$36/100))+(I121*(Main!$F$46/100))+(K121*(Main!$F$51/100))))/$E$6</f>
        <v>7.8432162779826955</v>
      </c>
      <c r="F121">
        <f>'Req. Diario'!F120</f>
        <v>19.906019116360458</v>
      </c>
      <c r="G121">
        <f>(F121-((C121*(Main!$G$41/100))+(E121*(Main!$G$31/100))+(I121*(Main!$G$46/100))+(K121*(Main!$G$51/100))))/$G$6</f>
        <v>38.28080599300088</v>
      </c>
      <c r="H121">
        <f>'Req. Diario'!G120</f>
        <v>3.406933019724878</v>
      </c>
      <c r="I121">
        <f>H121/$I$6</f>
        <v>21.293331373280488</v>
      </c>
      <c r="J121">
        <f>'Req. Diario'!H120</f>
        <v>11.850590642485523</v>
      </c>
      <c r="K121">
        <f>J121/$K$6</f>
        <v>43.89107645365008</v>
      </c>
      <c r="L121">
        <f>'Req. Diario'!I120</f>
        <v>35.6483</v>
      </c>
      <c r="M121">
        <f>L121/$M$6</f>
        <v>173.89414634146343</v>
      </c>
    </row>
    <row r="122">
      <c r="B122">
        <f>'Req. Diario'!D121</f>
        <v>8.23708679921588</v>
      </c>
      <c r="C122">
        <f>(B122-((E122*(Main!$E$31/100))+(G122*(Main!$E$36/100))+(I122*(Main!$E$46/100))+(K122*(Main!$E$51/100))))/$C$6</f>
        <v>1.4709970016184941</v>
      </c>
      <c r="D122">
        <f>'Req. Diario'!E121</f>
        <v>4.784361929569444</v>
      </c>
      <c r="E122">
        <f>(D122-((C122*(Main!$F$41/100))+(G122*(Main!$F$36/100))+(I122*(Main!$F$46/100))+(K122*(Main!$F$51/100))))/$E$6</f>
        <v>7.8432162779826955</v>
      </c>
      <c r="F122">
        <f>'Req. Diario'!F121</f>
        <v>19.906019116360458</v>
      </c>
      <c r="G122">
        <f>(F122-((C122*(Main!$G$41/100))+(E122*(Main!$G$31/100))+(I122*(Main!$G$46/100))+(K122*(Main!$G$51/100))))/$G$6</f>
        <v>38.28080599300088</v>
      </c>
      <c r="H122">
        <f>'Req. Diario'!G121</f>
        <v>3.406933019724878</v>
      </c>
      <c r="I122">
        <f>H122/$I$6</f>
        <v>21.293331373280488</v>
      </c>
      <c r="J122">
        <f>'Req. Diario'!H121</f>
        <v>11.850590642485523</v>
      </c>
      <c r="K122">
        <f>J122/$K$6</f>
        <v>43.89107645365008</v>
      </c>
      <c r="L122">
        <f>'Req. Diario'!I121</f>
        <v>35.6483</v>
      </c>
      <c r="M122">
        <f>L122/$M$6</f>
        <v>173.89414634146343</v>
      </c>
    </row>
    <row r="123">
      <c r="B123">
        <f>'Req. Diario'!D122</f>
        <v>8.23708679921588</v>
      </c>
      <c r="C123">
        <f>(B123-((E123*(Main!$E$31/100))+(G123*(Main!$E$36/100))+(I123*(Main!$E$46/100))+(K123*(Main!$E$51/100))))/$C$6</f>
        <v>1.4709970016184941</v>
      </c>
      <c r="D123">
        <f>'Req. Diario'!E122</f>
        <v>4.784361929569444</v>
      </c>
      <c r="E123">
        <f>(D123-((C123*(Main!$F$41/100))+(G123*(Main!$F$36/100))+(I123*(Main!$F$46/100))+(K123*(Main!$F$51/100))))/$E$6</f>
        <v>7.8432162779826955</v>
      </c>
      <c r="F123">
        <f>'Req. Diario'!F122</f>
        <v>19.906019116360458</v>
      </c>
      <c r="G123">
        <f>(F123-((C123*(Main!$G$41/100))+(E123*(Main!$G$31/100))+(I123*(Main!$G$46/100))+(K123*(Main!$G$51/100))))/$G$6</f>
        <v>38.28080599300088</v>
      </c>
      <c r="H123">
        <f>'Req. Diario'!G122</f>
        <v>3.406933019724878</v>
      </c>
      <c r="I123">
        <f>H123/$I$6</f>
        <v>21.293331373280488</v>
      </c>
      <c r="J123">
        <f>'Req. Diario'!H122</f>
        <v>11.850590642485523</v>
      </c>
      <c r="K123">
        <f>J123/$K$6</f>
        <v>43.89107645365008</v>
      </c>
      <c r="L123">
        <f>'Req. Diario'!I122</f>
        <v>35.6483</v>
      </c>
      <c r="M123">
        <f>L123/$M$6</f>
        <v>173.89414634146343</v>
      </c>
    </row>
    <row r="124">
      <c r="B124">
        <f>'Req. Diario'!D123</f>
        <v>8.23708679921588</v>
      </c>
      <c r="C124">
        <f>(B124-((E124*(Main!$E$31/100))+(G124*(Main!$E$36/100))+(I124*(Main!$E$46/100))+(K124*(Main!$E$51/100))))/$C$6</f>
        <v>1.4709970016184941</v>
      </c>
      <c r="D124">
        <f>'Req. Diario'!E123</f>
        <v>4.784361929569444</v>
      </c>
      <c r="E124">
        <f>(D124-((C124*(Main!$F$41/100))+(G124*(Main!$F$36/100))+(I124*(Main!$F$46/100))+(K124*(Main!$F$51/100))))/$E$6</f>
        <v>7.8432162779826955</v>
      </c>
      <c r="F124">
        <f>'Req. Diario'!F123</f>
        <v>19.906019116360458</v>
      </c>
      <c r="G124">
        <f>(F124-((C124*(Main!$G$41/100))+(E124*(Main!$G$31/100))+(I124*(Main!$G$46/100))+(K124*(Main!$G$51/100))))/$G$6</f>
        <v>38.28080599300088</v>
      </c>
      <c r="H124">
        <f>'Req. Diario'!G123</f>
        <v>3.406933019724878</v>
      </c>
      <c r="I124">
        <f>H124/$I$6</f>
        <v>21.293331373280488</v>
      </c>
      <c r="J124">
        <f>'Req. Diario'!H123</f>
        <v>11.850590642485523</v>
      </c>
      <c r="K124">
        <f>J124/$K$6</f>
        <v>43.89107645365008</v>
      </c>
      <c r="L124">
        <f>'Req. Diario'!I123</f>
        <v>35.6483</v>
      </c>
      <c r="M124">
        <f>L124/$M$6</f>
        <v>173.89414634146343</v>
      </c>
    </row>
    <row r="125">
      <c r="B125">
        <f>'Req. Diario'!D124</f>
        <v>8.23708679921588</v>
      </c>
      <c r="C125">
        <f>(B125-((E125*(Main!$E$31/100))+(G125*(Main!$E$36/100))+(I125*(Main!$E$46/100))+(K125*(Main!$E$51/100))))/$C$6</f>
        <v>1.4709970016184941</v>
      </c>
      <c r="D125">
        <f>'Req. Diario'!E124</f>
        <v>4.784361929569444</v>
      </c>
      <c r="E125">
        <f>(D125-((C125*(Main!$F$41/100))+(G125*(Main!$F$36/100))+(I125*(Main!$F$46/100))+(K125*(Main!$F$51/100))))/$E$6</f>
        <v>7.8432162779826955</v>
      </c>
      <c r="F125">
        <f>'Req. Diario'!F124</f>
        <v>19.906019116360458</v>
      </c>
      <c r="G125">
        <f>(F125-((C125*(Main!$G$41/100))+(E125*(Main!$G$31/100))+(I125*(Main!$G$46/100))+(K125*(Main!$G$51/100))))/$G$6</f>
        <v>38.28080599300088</v>
      </c>
      <c r="H125">
        <f>'Req. Diario'!G124</f>
        <v>3.406933019724878</v>
      </c>
      <c r="I125">
        <f>H125/$I$6</f>
        <v>21.293331373280488</v>
      </c>
      <c r="J125">
        <f>'Req. Diario'!H124</f>
        <v>11.850590642485523</v>
      </c>
      <c r="K125">
        <f>J125/$K$6</f>
        <v>43.89107645365008</v>
      </c>
      <c r="L125">
        <f>'Req. Diario'!I124</f>
        <v>35.6483</v>
      </c>
      <c r="M125">
        <f>L125/$M$6</f>
        <v>173.89414634146343</v>
      </c>
    </row>
    <row r="126">
      <c r="A126">
        <v>18</v>
      </c>
      <c r="B126">
        <f>'Req. Diario'!D125</f>
        <v>8.23708679921588</v>
      </c>
      <c r="C126">
        <f>(B126-((E126*(Main!$E$31/100))+(G126*(Main!$E$36/100))+(I126*(Main!$E$46/100))+(K126*(Main!$E$51/100))))/$C$6</f>
        <v>1.4709970016184941</v>
      </c>
      <c r="D126">
        <f>'Req. Diario'!E125</f>
        <v>4.784361929569444</v>
      </c>
      <c r="E126">
        <f>(D126-((C126*(Main!$F$41/100))+(G126*(Main!$F$36/100))+(I126*(Main!$F$46/100))+(K126*(Main!$F$51/100))))/$E$6</f>
        <v>7.8432162779826955</v>
      </c>
      <c r="F126">
        <f>'Req. Diario'!F125</f>
        <v>19.906019116360458</v>
      </c>
      <c r="G126">
        <f>(F126-((C126*(Main!$G$41/100))+(E126*(Main!$G$31/100))+(I126*(Main!$G$46/100))+(K126*(Main!$G$51/100))))/$G$6</f>
        <v>38.28080599300088</v>
      </c>
      <c r="H126">
        <f>'Req. Diario'!G125</f>
        <v>3.406933019724878</v>
      </c>
      <c r="I126">
        <f>H126/$I$6</f>
        <v>21.293331373280488</v>
      </c>
      <c r="J126">
        <f>'Req. Diario'!H125</f>
        <v>11.850590642485523</v>
      </c>
      <c r="K126">
        <f>J126/$K$6</f>
        <v>43.89107645365008</v>
      </c>
      <c r="L126">
        <f>'Req. Diario'!I125</f>
        <v>35.6483</v>
      </c>
      <c r="M126">
        <f>L126/$M$6</f>
        <v>173.89414634146343</v>
      </c>
    </row>
    <row r="127">
      <c r="B127">
        <f>'Req. Diario'!D126</f>
        <v>8.23708679921588</v>
      </c>
      <c r="C127">
        <f>(B127-((E127*(Main!$E$31/100))+(G127*(Main!$E$36/100))+(I127*(Main!$E$46/100))+(K127*(Main!$E$51/100))))/$C$6</f>
        <v>1.4709970016184941</v>
      </c>
      <c r="D127">
        <f>'Req. Diario'!E126</f>
        <v>4.784361929569444</v>
      </c>
      <c r="E127">
        <f>(D127-((C127*(Main!$F$41/100))+(G127*(Main!$F$36/100))+(I127*(Main!$F$46/100))+(K127*(Main!$F$51/100))))/$E$6</f>
        <v>7.8432162779826955</v>
      </c>
      <c r="F127">
        <f>'Req. Diario'!F126</f>
        <v>19.906019116360458</v>
      </c>
      <c r="G127">
        <f>(F127-((C127*(Main!$G$41/100))+(E127*(Main!$G$31/100))+(I127*(Main!$G$46/100))+(K127*(Main!$G$51/100))))/$G$6</f>
        <v>38.28080599300088</v>
      </c>
      <c r="H127">
        <f>'Req. Diario'!G126</f>
        <v>3.406933019724878</v>
      </c>
      <c r="I127">
        <f>H127/$I$6</f>
        <v>21.293331373280488</v>
      </c>
      <c r="J127">
        <f>'Req. Diario'!H126</f>
        <v>11.850590642485523</v>
      </c>
      <c r="K127">
        <f>J127/$K$6</f>
        <v>43.89107645365008</v>
      </c>
      <c r="L127">
        <f>'Req. Diario'!I126</f>
        <v>35.6483</v>
      </c>
      <c r="M127">
        <f>L127/$M$6</f>
        <v>173.89414634146343</v>
      </c>
    </row>
    <row r="128">
      <c r="B128">
        <f>'Req. Diario'!D127</f>
        <v>8.23708679921588</v>
      </c>
      <c r="C128">
        <f>(B128-((E128*(Main!$E$31/100))+(G128*(Main!$E$36/100))+(I128*(Main!$E$46/100))+(K128*(Main!$E$51/100))))/$C$6</f>
        <v>1.4709970016184941</v>
      </c>
      <c r="D128">
        <f>'Req. Diario'!E127</f>
        <v>4.784361929569444</v>
      </c>
      <c r="E128">
        <f>(D128-((C128*(Main!$F$41/100))+(G128*(Main!$F$36/100))+(I128*(Main!$F$46/100))+(K128*(Main!$F$51/100))))/$E$6</f>
        <v>7.8432162779826955</v>
      </c>
      <c r="F128">
        <f>'Req. Diario'!F127</f>
        <v>19.906019116360458</v>
      </c>
      <c r="G128">
        <f>(F128-((C128*(Main!$G$41/100))+(E128*(Main!$G$31/100))+(I128*(Main!$G$46/100))+(K128*(Main!$G$51/100))))/$G$6</f>
        <v>38.28080599300088</v>
      </c>
      <c r="H128">
        <f>'Req. Diario'!G127</f>
        <v>3.406933019724878</v>
      </c>
      <c r="I128">
        <f>H128/$I$6</f>
        <v>21.293331373280488</v>
      </c>
      <c r="J128">
        <f>'Req. Diario'!H127</f>
        <v>11.850590642485523</v>
      </c>
      <c r="K128">
        <f>J128/$K$6</f>
        <v>43.89107645365008</v>
      </c>
      <c r="L128">
        <f>'Req. Diario'!I127</f>
        <v>35.6483</v>
      </c>
      <c r="M128">
        <f>L128/$M$6</f>
        <v>173.89414634146343</v>
      </c>
    </row>
    <row r="129">
      <c r="B129">
        <f>'Req. Diario'!D128</f>
        <v>8.23708679921588</v>
      </c>
      <c r="C129">
        <f>(B129-((E129*(Main!$E$31/100))+(G129*(Main!$E$36/100))+(I129*(Main!$E$46/100))+(K129*(Main!$E$51/100))))/$C$6</f>
        <v>1.4709970016184941</v>
      </c>
      <c r="D129">
        <f>'Req. Diario'!E128</f>
        <v>4.784361929569444</v>
      </c>
      <c r="E129">
        <f>(D129-((C129*(Main!$F$41/100))+(G129*(Main!$F$36/100))+(I129*(Main!$F$46/100))+(K129*(Main!$F$51/100))))/$E$6</f>
        <v>7.8432162779826955</v>
      </c>
      <c r="F129">
        <f>'Req. Diario'!F128</f>
        <v>19.906019116360458</v>
      </c>
      <c r="G129">
        <f>(F129-((C129*(Main!$G$41/100))+(E129*(Main!$G$31/100))+(I129*(Main!$G$46/100))+(K129*(Main!$G$51/100))))/$G$6</f>
        <v>38.28080599300088</v>
      </c>
      <c r="H129">
        <f>'Req. Diario'!G128</f>
        <v>3.406933019724878</v>
      </c>
      <c r="I129">
        <f>H129/$I$6</f>
        <v>21.293331373280488</v>
      </c>
      <c r="J129">
        <f>'Req. Diario'!H128</f>
        <v>11.850590642485523</v>
      </c>
      <c r="K129">
        <f>J129/$K$6</f>
        <v>43.89107645365008</v>
      </c>
      <c r="L129">
        <f>'Req. Diario'!I128</f>
        <v>35.6483</v>
      </c>
      <c r="M129">
        <f>L129/$M$6</f>
        <v>173.89414634146343</v>
      </c>
    </row>
    <row r="130">
      <c r="B130">
        <f>'Req. Diario'!D129</f>
        <v>8.23708679921588</v>
      </c>
      <c r="C130">
        <f>(B130-((E130*(Main!$E$31/100))+(G130*(Main!$E$36/100))+(I130*(Main!$E$46/100))+(K130*(Main!$E$51/100))))/$C$6</f>
        <v>1.4709970016184941</v>
      </c>
      <c r="D130">
        <f>'Req. Diario'!E129</f>
        <v>4.784361929569444</v>
      </c>
      <c r="E130">
        <f>(D130-((C130*(Main!$F$41/100))+(G130*(Main!$F$36/100))+(I130*(Main!$F$46/100))+(K130*(Main!$F$51/100))))/$E$6</f>
        <v>7.8432162779826955</v>
      </c>
      <c r="F130">
        <f>'Req. Diario'!F129</f>
        <v>19.906019116360458</v>
      </c>
      <c r="G130">
        <f>(F130-((C130*(Main!$G$41/100))+(E130*(Main!$G$31/100))+(I130*(Main!$G$46/100))+(K130*(Main!$G$51/100))))/$G$6</f>
        <v>38.28080599300088</v>
      </c>
      <c r="H130">
        <f>'Req. Diario'!G129</f>
        <v>3.406933019724878</v>
      </c>
      <c r="I130">
        <f>H130/$I$6</f>
        <v>21.293331373280488</v>
      </c>
      <c r="J130">
        <f>'Req. Diario'!H129</f>
        <v>11.850590642485523</v>
      </c>
      <c r="K130">
        <f>J130/$K$6</f>
        <v>43.89107645365008</v>
      </c>
      <c r="L130">
        <f>'Req. Diario'!I129</f>
        <v>35.6483</v>
      </c>
      <c r="M130">
        <f>L130/$M$6</f>
        <v>173.89414634146343</v>
      </c>
    </row>
    <row r="131">
      <c r="B131">
        <f>'Req. Diario'!D130</f>
        <v>8.23708679921588</v>
      </c>
      <c r="C131">
        <f>(B131-((E131*(Main!$E$31/100))+(G131*(Main!$E$36/100))+(I131*(Main!$E$46/100))+(K131*(Main!$E$51/100))))/$C$6</f>
        <v>1.4709970016184941</v>
      </c>
      <c r="D131">
        <f>'Req. Diario'!E130</f>
        <v>4.784361929569444</v>
      </c>
      <c r="E131">
        <f>(D131-((C131*(Main!$F$41/100))+(G131*(Main!$F$36/100))+(I131*(Main!$F$46/100))+(K131*(Main!$F$51/100))))/$E$6</f>
        <v>7.8432162779826955</v>
      </c>
      <c r="F131">
        <f>'Req. Diario'!F130</f>
        <v>19.906019116360458</v>
      </c>
      <c r="G131">
        <f>(F131-((C131*(Main!$G$41/100))+(E131*(Main!$G$31/100))+(I131*(Main!$G$46/100))+(K131*(Main!$G$51/100))))/$G$6</f>
        <v>38.28080599300088</v>
      </c>
      <c r="H131">
        <f>'Req. Diario'!G130</f>
        <v>3.406933019724878</v>
      </c>
      <c r="I131">
        <f>H131/$I$6</f>
        <v>21.293331373280488</v>
      </c>
      <c r="J131">
        <f>'Req. Diario'!H130</f>
        <v>11.850590642485523</v>
      </c>
      <c r="K131">
        <f>J131/$K$6</f>
        <v>43.89107645365008</v>
      </c>
      <c r="L131">
        <f>'Req. Diario'!I130</f>
        <v>35.6483</v>
      </c>
      <c r="M131">
        <f>L131/$M$6</f>
        <v>173.89414634146343</v>
      </c>
    </row>
    <row r="132">
      <c r="B132">
        <f>'Req. Diario'!D131</f>
        <v>8.23708679921588</v>
      </c>
      <c r="C132">
        <f>(B132-((E132*(Main!$E$31/100))+(G132*(Main!$E$36/100))+(I132*(Main!$E$46/100))+(K132*(Main!$E$51/100))))/$C$6</f>
        <v>1.4709970016184941</v>
      </c>
      <c r="D132">
        <f>'Req. Diario'!E131</f>
        <v>4.784361929569444</v>
      </c>
      <c r="E132">
        <f>(D132-((C132*(Main!$F$41/100))+(G132*(Main!$F$36/100))+(I132*(Main!$F$46/100))+(K132*(Main!$F$51/100))))/$E$6</f>
        <v>7.8432162779826955</v>
      </c>
      <c r="F132">
        <f>'Req. Diario'!F131</f>
        <v>19.906019116360458</v>
      </c>
      <c r="G132">
        <f>(F132-((C132*(Main!$G$41/100))+(E132*(Main!$G$31/100))+(I132*(Main!$G$46/100))+(K132*(Main!$G$51/100))))/$G$6</f>
        <v>38.28080599300088</v>
      </c>
      <c r="H132">
        <f>'Req. Diario'!G131</f>
        <v>3.406933019724878</v>
      </c>
      <c r="I132">
        <f>H132/$I$6</f>
        <v>21.293331373280488</v>
      </c>
      <c r="J132">
        <f>'Req. Diario'!H131</f>
        <v>11.850590642485523</v>
      </c>
      <c r="K132">
        <f>J132/$K$6</f>
        <v>43.89107645365008</v>
      </c>
      <c r="L132">
        <f>'Req. Diario'!I131</f>
        <v>35.6483</v>
      </c>
      <c r="M132">
        <f>L132/$M$6</f>
        <v>173.89414634146343</v>
      </c>
    </row>
    <row r="133">
      <c r="A133">
        <v>19</v>
      </c>
      <c r="B133">
        <f>'Req. Diario'!D132</f>
        <v>8.23708679921588</v>
      </c>
      <c r="C133">
        <f>(B133-((E133*(Main!$E$31/100))+(G133*(Main!$E$36/100))+(I133*(Main!$E$46/100))+(K133*(Main!$E$51/100))))/$C$6</f>
        <v>1.4709970016184941</v>
      </c>
      <c r="D133">
        <f>'Req. Diario'!E132</f>
        <v>4.784361929569444</v>
      </c>
      <c r="E133">
        <f>(D133-((C133*(Main!$F$41/100))+(G133*(Main!$F$36/100))+(I133*(Main!$F$46/100))+(K133*(Main!$F$51/100))))/$E$6</f>
        <v>7.8432162779826955</v>
      </c>
      <c r="F133">
        <f>'Req. Diario'!F132</f>
        <v>19.906019116360458</v>
      </c>
      <c r="G133">
        <f>(F133-((C133*(Main!$G$41/100))+(E133*(Main!$G$31/100))+(I133*(Main!$G$46/100))+(K133*(Main!$G$51/100))))/$G$6</f>
        <v>38.28080599300088</v>
      </c>
      <c r="H133">
        <f>'Req. Diario'!G132</f>
        <v>3.406933019724878</v>
      </c>
      <c r="I133">
        <f>H133/$I$6</f>
        <v>21.293331373280488</v>
      </c>
      <c r="J133">
        <f>'Req. Diario'!H132</f>
        <v>11.850590642485523</v>
      </c>
      <c r="K133">
        <f>J133/$K$6</f>
        <v>43.89107645365008</v>
      </c>
      <c r="L133">
        <f>'Req. Diario'!I132</f>
        <v>35.6483</v>
      </c>
      <c r="M133">
        <f>L133/$M$6</f>
        <v>173.89414634146343</v>
      </c>
    </row>
    <row r="134">
      <c r="B134">
        <f>'Req. Diario'!D133</f>
        <v>8.23708679921588</v>
      </c>
      <c r="C134">
        <f>(B134-((E134*(Main!$E$31/100))+(G134*(Main!$E$36/100))+(I134*(Main!$E$46/100))+(K134*(Main!$E$51/100))))/$C$6</f>
        <v>1.4709970016184941</v>
      </c>
      <c r="D134">
        <f>'Req. Diario'!E133</f>
        <v>4.784361929569444</v>
      </c>
      <c r="E134">
        <f>(D134-((C134*(Main!$F$41/100))+(G134*(Main!$F$36/100))+(I134*(Main!$F$46/100))+(K134*(Main!$F$51/100))))/$E$6</f>
        <v>7.8432162779826955</v>
      </c>
      <c r="F134">
        <f>'Req. Diario'!F133</f>
        <v>19.906019116360458</v>
      </c>
      <c r="G134">
        <f>(F134-((C134*(Main!$G$41/100))+(E134*(Main!$G$31/100))+(I134*(Main!$G$46/100))+(K134*(Main!$G$51/100))))/$G$6</f>
        <v>38.28080599300088</v>
      </c>
      <c r="H134">
        <f>'Req. Diario'!G133</f>
        <v>3.406933019724878</v>
      </c>
      <c r="I134">
        <f>H134/$I$6</f>
        <v>21.293331373280488</v>
      </c>
      <c r="J134">
        <f>'Req. Diario'!H133</f>
        <v>11.850590642485523</v>
      </c>
      <c r="K134">
        <f>J134/$K$6</f>
        <v>43.89107645365008</v>
      </c>
      <c r="L134">
        <f>'Req. Diario'!I133</f>
        <v>35.6483</v>
      </c>
      <c r="M134">
        <f>L134/$M$6</f>
        <v>173.89414634146343</v>
      </c>
    </row>
    <row r="135">
      <c r="B135">
        <f>'Req. Diario'!D134</f>
        <v>8.23708679921588</v>
      </c>
      <c r="C135">
        <f>(B135-((E135*(Main!$E$31/100))+(G135*(Main!$E$36/100))+(I135*(Main!$E$46/100))+(K135*(Main!$E$51/100))))/$C$6</f>
        <v>1.4709970016184941</v>
      </c>
      <c r="D135">
        <f>'Req. Diario'!E134</f>
        <v>4.784361929569444</v>
      </c>
      <c r="E135">
        <f>(D135-((C135*(Main!$F$41/100))+(G135*(Main!$F$36/100))+(I135*(Main!$F$46/100))+(K135*(Main!$F$51/100))))/$E$6</f>
        <v>7.8432162779826955</v>
      </c>
      <c r="F135">
        <f>'Req. Diario'!F134</f>
        <v>19.906019116360458</v>
      </c>
      <c r="G135">
        <f>(F135-((C135*(Main!$G$41/100))+(E135*(Main!$G$31/100))+(I135*(Main!$G$46/100))+(K135*(Main!$G$51/100))))/$G$6</f>
        <v>38.28080599300088</v>
      </c>
      <c r="H135">
        <f>'Req. Diario'!G134</f>
        <v>3.406933019724878</v>
      </c>
      <c r="I135">
        <f>H135/$I$6</f>
        <v>21.293331373280488</v>
      </c>
      <c r="J135">
        <f>'Req. Diario'!H134</f>
        <v>11.850590642485523</v>
      </c>
      <c r="K135">
        <f>J135/$K$6</f>
        <v>43.89107645365008</v>
      </c>
      <c r="L135">
        <f>'Req. Diario'!I134</f>
        <v>35.6483</v>
      </c>
      <c r="M135">
        <f>L135/$M$6</f>
        <v>173.89414634146343</v>
      </c>
    </row>
    <row r="136">
      <c r="B136">
        <f>'Req. Diario'!D135</f>
        <v>8.23708679921588</v>
      </c>
      <c r="C136">
        <f>(B136-((E136*(Main!$E$31/100))+(G136*(Main!$E$36/100))+(I136*(Main!$E$46/100))+(K136*(Main!$E$51/100))))/$C$6</f>
        <v>1.4709970016184941</v>
      </c>
      <c r="D136">
        <f>'Req. Diario'!E135</f>
        <v>4.784361929569444</v>
      </c>
      <c r="E136">
        <f>(D136-((C136*(Main!$F$41/100))+(G136*(Main!$F$36/100))+(I136*(Main!$F$46/100))+(K136*(Main!$F$51/100))))/$E$6</f>
        <v>7.8432162779826955</v>
      </c>
      <c r="F136">
        <f>'Req. Diario'!F135</f>
        <v>19.906019116360458</v>
      </c>
      <c r="G136">
        <f>(F136-((C136*(Main!$G$41/100))+(E136*(Main!$G$31/100))+(I136*(Main!$G$46/100))+(K136*(Main!$G$51/100))))/$G$6</f>
        <v>38.28080599300088</v>
      </c>
      <c r="H136">
        <f>'Req. Diario'!G135</f>
        <v>3.406933019724878</v>
      </c>
      <c r="I136">
        <f>H136/$I$6</f>
        <v>21.293331373280488</v>
      </c>
      <c r="J136">
        <f>'Req. Diario'!H135</f>
        <v>11.850590642485523</v>
      </c>
      <c r="K136">
        <f>J136/$K$6</f>
        <v>43.89107645365008</v>
      </c>
      <c r="L136">
        <f>'Req. Diario'!I135</f>
        <v>35.6483</v>
      </c>
      <c r="M136">
        <f>L136/$M$6</f>
        <v>173.89414634146343</v>
      </c>
    </row>
    <row r="137">
      <c r="B137">
        <f>'Req. Diario'!D136</f>
        <v>8.23708679921588</v>
      </c>
      <c r="C137">
        <f>(B137-((E137*(Main!$E$31/100))+(G137*(Main!$E$36/100))+(I137*(Main!$E$46/100))+(K137*(Main!$E$51/100))))/$C$6</f>
        <v>1.4709970016184941</v>
      </c>
      <c r="D137">
        <f>'Req. Diario'!E136</f>
        <v>4.784361929569444</v>
      </c>
      <c r="E137">
        <f>(D137-((C137*(Main!$F$41/100))+(G137*(Main!$F$36/100))+(I137*(Main!$F$46/100))+(K137*(Main!$F$51/100))))/$E$6</f>
        <v>7.8432162779826955</v>
      </c>
      <c r="F137">
        <f>'Req. Diario'!F136</f>
        <v>19.906019116360458</v>
      </c>
      <c r="G137">
        <f>(F137-((C137*(Main!$G$41/100))+(E137*(Main!$G$31/100))+(I137*(Main!$G$46/100))+(K137*(Main!$G$51/100))))/$G$6</f>
        <v>38.28080599300088</v>
      </c>
      <c r="H137">
        <f>'Req. Diario'!G136</f>
        <v>3.406933019724878</v>
      </c>
      <c r="I137">
        <f>H137/$I$6</f>
        <v>21.293331373280488</v>
      </c>
      <c r="J137">
        <f>'Req. Diario'!H136</f>
        <v>11.850590642485523</v>
      </c>
      <c r="K137">
        <f>J137/$K$6</f>
        <v>43.89107645365008</v>
      </c>
      <c r="L137">
        <f>'Req. Diario'!I136</f>
        <v>35.6483</v>
      </c>
      <c r="M137">
        <f>L137/$M$6</f>
        <v>173.89414634146343</v>
      </c>
    </row>
    <row r="138">
      <c r="B138">
        <f>'Req. Diario'!D137</f>
        <v>8.23708679921588</v>
      </c>
      <c r="C138">
        <f>(B138-((E138*(Main!$E$31/100))+(G138*(Main!$E$36/100))+(I138*(Main!$E$46/100))+(K138*(Main!$E$51/100))))/$C$6</f>
        <v>1.4709970016184941</v>
      </c>
      <c r="D138">
        <f>'Req. Diario'!E137</f>
        <v>4.784361929569444</v>
      </c>
      <c r="E138">
        <f>(D138-((C138*(Main!$F$41/100))+(G138*(Main!$F$36/100))+(I138*(Main!$F$46/100))+(K138*(Main!$F$51/100))))/$E$6</f>
        <v>7.8432162779826955</v>
      </c>
      <c r="F138">
        <f>'Req. Diario'!F137</f>
        <v>19.906019116360458</v>
      </c>
      <c r="G138">
        <f>(F138-((C138*(Main!$G$41/100))+(E138*(Main!$G$31/100))+(I138*(Main!$G$46/100))+(K138*(Main!$G$51/100))))/$G$6</f>
        <v>38.28080599300088</v>
      </c>
      <c r="H138">
        <f>'Req. Diario'!G137</f>
        <v>3.406933019724878</v>
      </c>
      <c r="I138">
        <f>H138/$I$6</f>
        <v>21.293331373280488</v>
      </c>
      <c r="J138">
        <f>'Req. Diario'!H137</f>
        <v>11.850590642485523</v>
      </c>
      <c r="K138">
        <f>J138/$K$6</f>
        <v>43.89107645365008</v>
      </c>
      <c r="L138">
        <f>'Req. Diario'!I137</f>
        <v>35.6483</v>
      </c>
      <c r="M138">
        <f>L138/$M$6</f>
        <v>173.89414634146343</v>
      </c>
    </row>
    <row r="139">
      <c r="B139">
        <f>'Req. Diario'!D138</f>
        <v>8.23708679921588</v>
      </c>
      <c r="C139">
        <f>(B139-((E139*(Main!$E$31/100))+(G139*(Main!$E$36/100))+(I139*(Main!$E$46/100))+(K139*(Main!$E$51/100))))/$C$6</f>
        <v>1.4709970016184941</v>
      </c>
      <c r="D139">
        <f>'Req. Diario'!E138</f>
        <v>4.784361929569444</v>
      </c>
      <c r="E139">
        <f>(D139-((C139*(Main!$F$41/100))+(G139*(Main!$F$36/100))+(I139*(Main!$F$46/100))+(K139*(Main!$F$51/100))))/$E$6</f>
        <v>7.8432162779826955</v>
      </c>
      <c r="F139">
        <f>'Req. Diario'!F138</f>
        <v>19.906019116360458</v>
      </c>
      <c r="G139">
        <f>(F139-((C139*(Main!$G$41/100))+(E139*(Main!$G$31/100))+(I139*(Main!$G$46/100))+(K139*(Main!$G$51/100))))/$G$6</f>
        <v>38.28080599300088</v>
      </c>
      <c r="H139">
        <f>'Req. Diario'!G138</f>
        <v>3.406933019724878</v>
      </c>
      <c r="I139">
        <f>H139/$I$6</f>
        <v>21.293331373280488</v>
      </c>
      <c r="J139">
        <f>'Req. Diario'!H138</f>
        <v>11.850590642485523</v>
      </c>
      <c r="K139">
        <f>J139/$K$6</f>
        <v>43.89107645365008</v>
      </c>
      <c r="L139">
        <f>'Req. Diario'!I138</f>
        <v>35.6483</v>
      </c>
      <c r="M139">
        <f>L139/$M$6</f>
        <v>173.89414634146343</v>
      </c>
    </row>
    <row r="140">
      <c r="A140">
        <v>20</v>
      </c>
      <c r="B140">
        <f>'Req. Diario'!D139</f>
        <v>8.23708679921588</v>
      </c>
      <c r="C140">
        <f>(B140-((E140*(Main!$E$31/100))+(G140*(Main!$E$36/100))+(I140*(Main!$E$46/100))+(K140*(Main!$E$51/100))))/$C$6</f>
        <v>1.4709970016184941</v>
      </c>
      <c r="D140">
        <f>'Req. Diario'!E139</f>
        <v>4.784361929569444</v>
      </c>
      <c r="E140">
        <f>(D140-((C140*(Main!$F$41/100))+(G140*(Main!$F$36/100))+(I140*(Main!$F$46/100))+(K140*(Main!$F$51/100))))/$E$6</f>
        <v>7.8432162779826955</v>
      </c>
      <c r="F140">
        <f>'Req. Diario'!F139</f>
        <v>19.906019116360458</v>
      </c>
      <c r="G140">
        <f>(F140-((C140*(Main!$G$41/100))+(E140*(Main!$G$31/100))+(I140*(Main!$G$46/100))+(K140*(Main!$G$51/100))))/$G$6</f>
        <v>38.28080599300088</v>
      </c>
      <c r="H140">
        <f>'Req. Diario'!G139</f>
        <v>3.406933019724878</v>
      </c>
      <c r="I140">
        <f>H140/$I$6</f>
        <v>21.293331373280488</v>
      </c>
      <c r="J140">
        <f>'Req. Diario'!H139</f>
        <v>11.850590642485523</v>
      </c>
      <c r="K140">
        <f>J140/$K$6</f>
        <v>43.89107645365008</v>
      </c>
      <c r="L140">
        <f>'Req. Diario'!I139</f>
        <v>35.6483</v>
      </c>
      <c r="M140">
        <f>L140/$M$6</f>
        <v>173.89414634146343</v>
      </c>
    </row>
    <row r="141">
      <c r="B141">
        <f>'Req. Diario'!D140</f>
        <v>8.23708679921588</v>
      </c>
      <c r="C141">
        <f>(B141-((E141*(Main!$E$31/100))+(G141*(Main!$E$36/100))+(I141*(Main!$E$46/100))+(K141*(Main!$E$51/100))))/$C$6</f>
        <v>1.4709970016184941</v>
      </c>
      <c r="D141">
        <f>'Req. Diario'!E140</f>
        <v>4.784361929569444</v>
      </c>
      <c r="E141">
        <f>(D141-((C141*(Main!$F$41/100))+(G141*(Main!$F$36/100))+(I141*(Main!$F$46/100))+(K141*(Main!$F$51/100))))/$E$6</f>
        <v>7.8432162779826955</v>
      </c>
      <c r="F141">
        <f>'Req. Diario'!F140</f>
        <v>19.906019116360458</v>
      </c>
      <c r="G141">
        <f>(F141-((C141*(Main!$G$41/100))+(E141*(Main!$G$31/100))+(I141*(Main!$G$46/100))+(K141*(Main!$G$51/100))))/$G$6</f>
        <v>38.28080599300088</v>
      </c>
      <c r="H141">
        <f>'Req. Diario'!G140</f>
        <v>3.406933019724878</v>
      </c>
      <c r="I141">
        <f>H141/$I$6</f>
        <v>21.293331373280488</v>
      </c>
      <c r="J141">
        <f>'Req. Diario'!H140</f>
        <v>11.850590642485523</v>
      </c>
      <c r="K141">
        <f>J141/$K$6</f>
        <v>43.89107645365008</v>
      </c>
      <c r="L141">
        <f>'Req. Diario'!I140</f>
        <v>35.6483</v>
      </c>
      <c r="M141">
        <f>L141/$M$6</f>
        <v>173.89414634146343</v>
      </c>
    </row>
    <row r="142">
      <c r="B142">
        <f>'Req. Diario'!D141</f>
        <v>8.23708679921588</v>
      </c>
      <c r="C142">
        <f>(B142-((E142*(Main!$E$31/100))+(G142*(Main!$E$36/100))+(I142*(Main!$E$46/100))+(K142*(Main!$E$51/100))))/$C$6</f>
        <v>1.4709970016184941</v>
      </c>
      <c r="D142">
        <f>'Req. Diario'!E141</f>
        <v>4.784361929569444</v>
      </c>
      <c r="E142">
        <f>(D142-((C142*(Main!$F$41/100))+(G142*(Main!$F$36/100))+(I142*(Main!$F$46/100))+(K142*(Main!$F$51/100))))/$E$6</f>
        <v>7.8432162779826955</v>
      </c>
      <c r="F142">
        <f>'Req. Diario'!F141</f>
        <v>19.906019116360458</v>
      </c>
      <c r="G142">
        <f>(F142-((C142*(Main!$G$41/100))+(E142*(Main!$G$31/100))+(I142*(Main!$G$46/100))+(K142*(Main!$G$51/100))))/$G$6</f>
        <v>38.28080599300088</v>
      </c>
      <c r="H142">
        <f>'Req. Diario'!G141</f>
        <v>3.406933019724878</v>
      </c>
      <c r="I142">
        <f>H142/$I$6</f>
        <v>21.293331373280488</v>
      </c>
      <c r="J142">
        <f>'Req. Diario'!H141</f>
        <v>11.850590642485523</v>
      </c>
      <c r="K142">
        <f>J142/$K$6</f>
        <v>43.89107645365008</v>
      </c>
      <c r="L142">
        <f>'Req. Diario'!I141</f>
        <v>35.6483</v>
      </c>
      <c r="M142">
        <f>L142/$M$6</f>
        <v>173.89414634146343</v>
      </c>
    </row>
    <row r="143">
      <c r="B143">
        <f>'Req. Diario'!D142</f>
        <v>8.23708679921588</v>
      </c>
      <c r="C143">
        <f>(B143-((E143*(Main!$E$31/100))+(G143*(Main!$E$36/100))+(I143*(Main!$E$46/100))+(K143*(Main!$E$51/100))))/$C$6</f>
        <v>1.4709970016184941</v>
      </c>
      <c r="D143">
        <f>'Req. Diario'!E142</f>
        <v>4.784361929569444</v>
      </c>
      <c r="E143">
        <f>(D143-((C143*(Main!$F$41/100))+(G143*(Main!$F$36/100))+(I143*(Main!$F$46/100))+(K143*(Main!$F$51/100))))/$E$6</f>
        <v>7.8432162779826955</v>
      </c>
      <c r="F143">
        <f>'Req. Diario'!F142</f>
        <v>19.906019116360458</v>
      </c>
      <c r="G143">
        <f>(F143-((C143*(Main!$G$41/100))+(E143*(Main!$G$31/100))+(I143*(Main!$G$46/100))+(K143*(Main!$G$51/100))))/$G$6</f>
        <v>38.28080599300088</v>
      </c>
      <c r="H143">
        <f>'Req. Diario'!G142</f>
        <v>3.406933019724878</v>
      </c>
      <c r="I143">
        <f>H143/$I$6</f>
        <v>21.293331373280488</v>
      </c>
      <c r="J143">
        <f>'Req. Diario'!H142</f>
        <v>11.850590642485523</v>
      </c>
      <c r="K143">
        <f>J143/$K$6</f>
        <v>43.89107645365008</v>
      </c>
      <c r="L143">
        <f>'Req. Diario'!I142</f>
        <v>35.6483</v>
      </c>
      <c r="M143">
        <f>L143/$M$6</f>
        <v>173.89414634146343</v>
      </c>
    </row>
    <row r="144">
      <c r="B144">
        <f>'Req. Diario'!D143</f>
        <v>8.23708679921588</v>
      </c>
      <c r="C144">
        <f>(B144-((E144*(Main!$E$31/100))+(G144*(Main!$E$36/100))+(I144*(Main!$E$46/100))+(K144*(Main!$E$51/100))))/$C$6</f>
        <v>1.4709970016184941</v>
      </c>
      <c r="D144">
        <f>'Req. Diario'!E143</f>
        <v>4.784361929569444</v>
      </c>
      <c r="E144">
        <f>(D144-((C144*(Main!$F$41/100))+(G144*(Main!$F$36/100))+(I144*(Main!$F$46/100))+(K144*(Main!$F$51/100))))/$E$6</f>
        <v>7.8432162779826955</v>
      </c>
      <c r="F144">
        <f>'Req. Diario'!F143</f>
        <v>19.906019116360458</v>
      </c>
      <c r="G144">
        <f>(F144-((C144*(Main!$G$41/100))+(E144*(Main!$G$31/100))+(I144*(Main!$G$46/100))+(K144*(Main!$G$51/100))))/$G$6</f>
        <v>38.28080599300088</v>
      </c>
      <c r="H144">
        <f>'Req. Diario'!G143</f>
        <v>3.406933019724878</v>
      </c>
      <c r="I144">
        <f>H144/$I$6</f>
        <v>21.293331373280488</v>
      </c>
      <c r="J144">
        <f>'Req. Diario'!H143</f>
        <v>11.850590642485523</v>
      </c>
      <c r="K144">
        <f>J144/$K$6</f>
        <v>43.89107645365008</v>
      </c>
      <c r="L144">
        <f>'Req. Diario'!I143</f>
        <v>35.6483</v>
      </c>
      <c r="M144">
        <f>L144/$M$6</f>
        <v>173.89414634146343</v>
      </c>
    </row>
    <row r="145">
      <c r="B145">
        <f>'Req. Diario'!D144</f>
        <v>8.23708679921588</v>
      </c>
      <c r="C145">
        <f>(B145-((E145*(Main!$E$31/100))+(G145*(Main!$E$36/100))+(I145*(Main!$E$46/100))+(K145*(Main!$E$51/100))))/$C$6</f>
        <v>1.4709970016184941</v>
      </c>
      <c r="D145">
        <f>'Req. Diario'!E144</f>
        <v>4.784361929569444</v>
      </c>
      <c r="E145">
        <f>(D145-((C145*(Main!$F$41/100))+(G145*(Main!$F$36/100))+(I145*(Main!$F$46/100))+(K145*(Main!$F$51/100))))/$E$6</f>
        <v>7.8432162779826955</v>
      </c>
      <c r="F145">
        <f>'Req. Diario'!F144</f>
        <v>19.906019116360458</v>
      </c>
      <c r="G145">
        <f>(F145-((C145*(Main!$G$41/100))+(E145*(Main!$G$31/100))+(I145*(Main!$G$46/100))+(K145*(Main!$G$51/100))))/$G$6</f>
        <v>38.28080599300088</v>
      </c>
      <c r="H145">
        <f>'Req. Diario'!G144</f>
        <v>3.406933019724878</v>
      </c>
      <c r="I145">
        <f>H145/$I$6</f>
        <v>21.293331373280488</v>
      </c>
      <c r="J145">
        <f>'Req. Diario'!H144</f>
        <v>11.850590642485523</v>
      </c>
      <c r="K145">
        <f>J145/$K$6</f>
        <v>43.89107645365008</v>
      </c>
      <c r="L145">
        <f>'Req. Diario'!I144</f>
        <v>35.6483</v>
      </c>
      <c r="M145">
        <f>L145/$M$6</f>
        <v>173.89414634146343</v>
      </c>
    </row>
    <row r="146">
      <c r="B146">
        <f>'Req. Diario'!D145</f>
        <v>8.23708679921588</v>
      </c>
      <c r="C146">
        <f>(B146-((E146*(Main!$E$31/100))+(G146*(Main!$E$36/100))+(I146*(Main!$E$46/100))+(K146*(Main!$E$51/100))))/$C$6</f>
        <v>1.4709970016184941</v>
      </c>
      <c r="D146">
        <f>'Req. Diario'!E145</f>
        <v>4.784361929569444</v>
      </c>
      <c r="E146">
        <f>(D146-((C146*(Main!$F$41/100))+(G146*(Main!$F$36/100))+(I146*(Main!$F$46/100))+(K146*(Main!$F$51/100))))/$E$6</f>
        <v>7.8432162779826955</v>
      </c>
      <c r="F146">
        <f>'Req. Diario'!F145</f>
        <v>19.906019116360458</v>
      </c>
      <c r="G146">
        <f>(F146-((C146*(Main!$G$41/100))+(E146*(Main!$G$31/100))+(I146*(Main!$G$46/100))+(K146*(Main!$G$51/100))))/$G$6</f>
        <v>38.28080599300088</v>
      </c>
      <c r="H146">
        <f>'Req. Diario'!G145</f>
        <v>3.406933019724878</v>
      </c>
      <c r="I146">
        <f>H146/$I$6</f>
        <v>21.293331373280488</v>
      </c>
      <c r="J146">
        <f>'Req. Diario'!H145</f>
        <v>11.850590642485523</v>
      </c>
      <c r="K146">
        <f>J146/$K$6</f>
        <v>43.89107645365008</v>
      </c>
      <c r="L146">
        <f>'Req. Diario'!I145</f>
        <v>35.6483</v>
      </c>
      <c r="M146">
        <f>L146/$M$6</f>
        <v>173.89414634146343</v>
      </c>
    </row>
    <row r="147">
      <c r="A147">
        <v>21</v>
      </c>
      <c r="B147">
        <f>'Req. Diario'!D146</f>
        <v>8.23708679921588</v>
      </c>
      <c r="C147">
        <f>(B147-((E147*(Main!$E$31/100))+(G147*(Main!$E$36/100))+(I147*(Main!$E$46/100))+(K147*(Main!$E$51/100))))/$C$6</f>
        <v>1.4709970016184941</v>
      </c>
      <c r="D147">
        <f>'Req. Diario'!E146</f>
        <v>4.784361929569444</v>
      </c>
      <c r="E147">
        <f>(D147-((C147*(Main!$F$41/100))+(G147*(Main!$F$36/100))+(I147*(Main!$F$46/100))+(K147*(Main!$F$51/100))))/$E$6</f>
        <v>7.8432162779826955</v>
      </c>
      <c r="F147">
        <f>'Req. Diario'!F146</f>
        <v>19.906019116360458</v>
      </c>
      <c r="G147">
        <f>(F147-((C147*(Main!$G$41/100))+(E147*(Main!$G$31/100))+(I147*(Main!$G$46/100))+(K147*(Main!$G$51/100))))/$G$6</f>
        <v>38.28080599300088</v>
      </c>
      <c r="H147">
        <f>'Req. Diario'!G146</f>
        <v>3.406933019724878</v>
      </c>
      <c r="I147">
        <f>H147/$I$6</f>
        <v>21.293331373280488</v>
      </c>
      <c r="J147">
        <f>'Req. Diario'!H146</f>
        <v>11.850590642485523</v>
      </c>
      <c r="K147">
        <f>J147/$K$6</f>
        <v>43.89107645365008</v>
      </c>
      <c r="L147">
        <f>'Req. Diario'!I146</f>
        <v>35.6483</v>
      </c>
      <c r="M147">
        <f>L147/$M$6</f>
        <v>173.89414634146343</v>
      </c>
    </row>
    <row r="148">
      <c r="B148">
        <f>'Req. Diario'!D147</f>
        <v>8.23708679921588</v>
      </c>
      <c r="C148">
        <f>(B148-((E148*(Main!$E$31/100))+(G148*(Main!$E$36/100))+(I148*(Main!$E$46/100))+(K148*(Main!$E$51/100))))/$C$6</f>
        <v>1.4709970016184941</v>
      </c>
      <c r="D148">
        <f>'Req. Diario'!E147</f>
        <v>4.784361929569444</v>
      </c>
      <c r="E148">
        <f>(D148-((C148*(Main!$F$41/100))+(G148*(Main!$F$36/100))+(I148*(Main!$F$46/100))+(K148*(Main!$F$51/100))))/$E$6</f>
        <v>7.8432162779826955</v>
      </c>
      <c r="F148">
        <f>'Req. Diario'!F147</f>
        <v>19.906019116360458</v>
      </c>
      <c r="G148">
        <f>(F148-((C148*(Main!$G$41/100))+(E148*(Main!$G$31/100))+(I148*(Main!$G$46/100))+(K148*(Main!$G$51/100))))/$G$6</f>
        <v>38.28080599300088</v>
      </c>
      <c r="H148">
        <f>'Req. Diario'!G147</f>
        <v>3.406933019724878</v>
      </c>
      <c r="I148">
        <f>H148/$I$6</f>
        <v>21.293331373280488</v>
      </c>
      <c r="J148">
        <f>'Req. Diario'!H147</f>
        <v>11.850590642485523</v>
      </c>
      <c r="K148">
        <f>J148/$K$6</f>
        <v>43.89107645365008</v>
      </c>
      <c r="L148">
        <f>'Req. Diario'!I147</f>
        <v>35.6483</v>
      </c>
      <c r="M148">
        <f>L148/$M$6</f>
        <v>173.89414634146343</v>
      </c>
    </row>
    <row r="149">
      <c r="B149">
        <f>'Req. Diario'!D148</f>
        <v>8.23708679921588</v>
      </c>
      <c r="C149">
        <f>(B149-((E149*(Main!$E$31/100))+(G149*(Main!$E$36/100))+(I149*(Main!$E$46/100))+(K149*(Main!$E$51/100))))/$C$6</f>
        <v>1.4709970016184941</v>
      </c>
      <c r="D149">
        <f>'Req. Diario'!E148</f>
        <v>4.784361929569444</v>
      </c>
      <c r="E149">
        <f>(D149-((C149*(Main!$F$41/100))+(G149*(Main!$F$36/100))+(I149*(Main!$F$46/100))+(K149*(Main!$F$51/100))))/$E$6</f>
        <v>7.8432162779826955</v>
      </c>
      <c r="F149">
        <f>'Req. Diario'!F148</f>
        <v>19.906019116360458</v>
      </c>
      <c r="G149">
        <f>(F149-((C149*(Main!$G$41/100))+(E149*(Main!$G$31/100))+(I149*(Main!$G$46/100))+(K149*(Main!$G$51/100))))/$G$6</f>
        <v>38.28080599300088</v>
      </c>
      <c r="H149">
        <f>'Req. Diario'!G148</f>
        <v>3.406933019724878</v>
      </c>
      <c r="I149">
        <f>H149/$I$6</f>
        <v>21.293331373280488</v>
      </c>
      <c r="J149">
        <f>'Req. Diario'!H148</f>
        <v>11.850590642485523</v>
      </c>
      <c r="K149">
        <f>J149/$K$6</f>
        <v>43.89107645365008</v>
      </c>
      <c r="L149">
        <f>'Req. Diario'!I148</f>
        <v>35.6483</v>
      </c>
      <c r="M149">
        <f>L149/$M$6</f>
        <v>173.89414634146343</v>
      </c>
    </row>
    <row r="150">
      <c r="B150">
        <f>'Req. Diario'!D149</f>
        <v>8.23708679921588</v>
      </c>
      <c r="C150">
        <f>(B150-((E150*(Main!$E$31/100))+(G150*(Main!$E$36/100))+(I150*(Main!$E$46/100))+(K150*(Main!$E$51/100))))/$C$6</f>
        <v>1.4709970016184941</v>
      </c>
      <c r="D150">
        <f>'Req. Diario'!E149</f>
        <v>4.784361929569444</v>
      </c>
      <c r="E150">
        <f>(D150-((C150*(Main!$F$41/100))+(G150*(Main!$F$36/100))+(I150*(Main!$F$46/100))+(K150*(Main!$F$51/100))))/$E$6</f>
        <v>7.8432162779826955</v>
      </c>
      <c r="F150">
        <f>'Req. Diario'!F149</f>
        <v>19.906019116360458</v>
      </c>
      <c r="G150">
        <f>(F150-((C150*(Main!$G$41/100))+(E150*(Main!$G$31/100))+(I150*(Main!$G$46/100))+(K150*(Main!$G$51/100))))/$G$6</f>
        <v>38.28080599300088</v>
      </c>
      <c r="H150">
        <f>'Req. Diario'!G149</f>
        <v>3.406933019724878</v>
      </c>
      <c r="I150">
        <f>H150/$I$6</f>
        <v>21.293331373280488</v>
      </c>
      <c r="J150">
        <f>'Req. Diario'!H149</f>
        <v>11.850590642485523</v>
      </c>
      <c r="K150">
        <f>J150/$K$6</f>
        <v>43.89107645365008</v>
      </c>
      <c r="L150">
        <f>'Req. Diario'!I149</f>
        <v>35.6483</v>
      </c>
      <c r="M150">
        <f>L150/$M$6</f>
        <v>173.89414634146343</v>
      </c>
    </row>
    <row r="151">
      <c r="B151">
        <f>'Req. Diario'!D150</f>
        <v>8.23708679921588</v>
      </c>
      <c r="C151">
        <f>(B151-((E151*(Main!$E$31/100))+(G151*(Main!$E$36/100))+(I151*(Main!$E$46/100))+(K151*(Main!$E$51/100))))/$C$6</f>
        <v>1.4709970016184941</v>
      </c>
      <c r="D151">
        <f>'Req. Diario'!E150</f>
        <v>4.784361929569444</v>
      </c>
      <c r="E151">
        <f>(D151-((C151*(Main!$F$41/100))+(G151*(Main!$F$36/100))+(I151*(Main!$F$46/100))+(K151*(Main!$F$51/100))))/$E$6</f>
        <v>7.8432162779826955</v>
      </c>
      <c r="F151">
        <f>'Req. Diario'!F150</f>
        <v>19.906019116360458</v>
      </c>
      <c r="G151">
        <f>(F151-((C151*(Main!$G$41/100))+(E151*(Main!$G$31/100))+(I151*(Main!$G$46/100))+(K151*(Main!$G$51/100))))/$G$6</f>
        <v>38.28080599300088</v>
      </c>
      <c r="H151">
        <f>'Req. Diario'!G150</f>
        <v>3.406933019724878</v>
      </c>
      <c r="I151">
        <f>H151/$I$6</f>
        <v>21.293331373280488</v>
      </c>
      <c r="J151">
        <f>'Req. Diario'!H150</f>
        <v>11.850590642485523</v>
      </c>
      <c r="K151">
        <f>J151/$K$6</f>
        <v>43.89107645365008</v>
      </c>
      <c r="L151">
        <f>'Req. Diario'!I150</f>
        <v>35.6483</v>
      </c>
      <c r="M151">
        <f>L151/$M$6</f>
        <v>173.89414634146343</v>
      </c>
    </row>
    <row r="152">
      <c r="B152">
        <f>'Req. Diario'!D151</f>
        <v>8.23708679921588</v>
      </c>
      <c r="C152">
        <f>(B152-((E152*(Main!$E$31/100))+(G152*(Main!$E$36/100))+(I152*(Main!$E$46/100))+(K152*(Main!$E$51/100))))/$C$6</f>
        <v>1.4709970016184941</v>
      </c>
      <c r="D152">
        <f>'Req. Diario'!E151</f>
        <v>4.784361929569444</v>
      </c>
      <c r="E152">
        <f>(D152-((C152*(Main!$F$41/100))+(G152*(Main!$F$36/100))+(I152*(Main!$F$46/100))+(K152*(Main!$F$51/100))))/$E$6</f>
        <v>7.8432162779826955</v>
      </c>
      <c r="F152">
        <f>'Req. Diario'!F151</f>
        <v>19.906019116360458</v>
      </c>
      <c r="G152">
        <f>(F152-((C152*(Main!$G$41/100))+(E152*(Main!$G$31/100))+(I152*(Main!$G$46/100))+(K152*(Main!$G$51/100))))/$G$6</f>
        <v>38.28080599300088</v>
      </c>
      <c r="H152">
        <f>'Req. Diario'!G151</f>
        <v>3.406933019724878</v>
      </c>
      <c r="I152">
        <f>H152/$I$6</f>
        <v>21.293331373280488</v>
      </c>
      <c r="J152">
        <f>'Req. Diario'!H151</f>
        <v>11.850590642485523</v>
      </c>
      <c r="K152">
        <f>J152/$K$6</f>
        <v>43.89107645365008</v>
      </c>
      <c r="L152">
        <f>'Req. Diario'!I151</f>
        <v>35.6483</v>
      </c>
      <c r="M152">
        <f>L152/$M$6</f>
        <v>173.89414634146343</v>
      </c>
    </row>
    <row r="153">
      <c r="B153">
        <f>'Req. Diario'!D152</f>
        <v>8.23708679921588</v>
      </c>
      <c r="C153">
        <f>(B153-((E153*(Main!$E$31/100))+(G153*(Main!$E$36/100))+(I153*(Main!$E$46/100))+(K153*(Main!$E$51/100))))/$C$6</f>
        <v>1.4709970016184941</v>
      </c>
      <c r="D153">
        <f>'Req. Diario'!E152</f>
        <v>4.784361929569444</v>
      </c>
      <c r="E153">
        <f>(D153-((C153*(Main!$F$41/100))+(G153*(Main!$F$36/100))+(I153*(Main!$F$46/100))+(K153*(Main!$F$51/100))))/$E$6</f>
        <v>7.8432162779826955</v>
      </c>
      <c r="F153">
        <f>'Req. Diario'!F152</f>
        <v>19.906019116360458</v>
      </c>
      <c r="G153">
        <f>(F153-((C153*(Main!$G$41/100))+(E153*(Main!$G$31/100))+(I153*(Main!$G$46/100))+(K153*(Main!$G$51/100))))/$G$6</f>
        <v>38.28080599300088</v>
      </c>
      <c r="H153">
        <f>'Req. Diario'!G152</f>
        <v>3.406933019724878</v>
      </c>
      <c r="I153">
        <f>H153/$I$6</f>
        <v>21.293331373280488</v>
      </c>
      <c r="J153">
        <f>'Req. Diario'!H152</f>
        <v>11.850590642485523</v>
      </c>
      <c r="K153">
        <f>J153/$K$6</f>
        <v>43.89107645365008</v>
      </c>
      <c r="L153">
        <f>'Req. Diario'!I152</f>
        <v>35.6483</v>
      </c>
      <c r="M153">
        <f>L153/$M$6</f>
        <v>173.89414634146343</v>
      </c>
    </row>
    <row r="154">
      <c r="A154">
        <v>22</v>
      </c>
      <c r="B154">
        <f>'Req. Diario'!D153</f>
        <v>8.23708679921588</v>
      </c>
      <c r="C154">
        <f>(B154-((E154*(Main!$E$31/100))+(G154*(Main!$E$36/100))+(I154*(Main!$E$46/100))+(K154*(Main!$E$51/100))))/$C$6</f>
        <v>1.4709970016184941</v>
      </c>
      <c r="D154">
        <f>'Req. Diario'!E153</f>
        <v>4.784361929569444</v>
      </c>
      <c r="E154">
        <f>(D154-((C154*(Main!$F$41/100))+(G154*(Main!$F$36/100))+(I154*(Main!$F$46/100))+(K154*(Main!$F$51/100))))/$E$6</f>
        <v>7.8432162779826955</v>
      </c>
      <c r="F154">
        <f>'Req. Diario'!F153</f>
        <v>19.906019116360458</v>
      </c>
      <c r="G154">
        <f>(F154-((C154*(Main!$G$41/100))+(E154*(Main!$G$31/100))+(I154*(Main!$G$46/100))+(K154*(Main!$G$51/100))))/$G$6</f>
        <v>38.28080599300088</v>
      </c>
      <c r="H154">
        <f>'Req. Diario'!G153</f>
        <v>3.406933019724878</v>
      </c>
      <c r="I154">
        <f>H154/$I$6</f>
        <v>21.293331373280488</v>
      </c>
      <c r="J154">
        <f>'Req. Diario'!H153</f>
        <v>11.850590642485523</v>
      </c>
      <c r="K154">
        <f>J154/$K$6</f>
        <v>43.89107645365008</v>
      </c>
      <c r="L154">
        <f>'Req. Diario'!I153</f>
        <v>35.6483</v>
      </c>
      <c r="M154">
        <f>L154/$M$6</f>
        <v>173.89414634146343</v>
      </c>
    </row>
    <row r="155">
      <c r="B155">
        <f>'Req. Diario'!D154</f>
        <v>8.23708679921588</v>
      </c>
      <c r="C155">
        <f>(B155-((E155*(Main!$E$31/100))+(G155*(Main!$E$36/100))+(I155*(Main!$E$46/100))+(K155*(Main!$E$51/100))))/$C$6</f>
        <v>1.4709970016184941</v>
      </c>
      <c r="D155">
        <f>'Req. Diario'!E154</f>
        <v>4.784361929569444</v>
      </c>
      <c r="E155">
        <f>(D155-((C155*(Main!$F$41/100))+(G155*(Main!$F$36/100))+(I155*(Main!$F$46/100))+(K155*(Main!$F$51/100))))/$E$6</f>
        <v>7.8432162779826955</v>
      </c>
      <c r="F155">
        <f>'Req. Diario'!F154</f>
        <v>19.906019116360458</v>
      </c>
      <c r="G155">
        <f>(F155-((C155*(Main!$G$41/100))+(E155*(Main!$G$31/100))+(I155*(Main!$G$46/100))+(K155*(Main!$G$51/100))))/$G$6</f>
        <v>38.28080599300088</v>
      </c>
      <c r="H155">
        <f>'Req. Diario'!G154</f>
        <v>3.406933019724878</v>
      </c>
      <c r="I155">
        <f>H155/$I$6</f>
        <v>21.293331373280488</v>
      </c>
      <c r="J155">
        <f>'Req. Diario'!H154</f>
        <v>11.850590642485523</v>
      </c>
      <c r="K155">
        <f>J155/$K$6</f>
        <v>43.89107645365008</v>
      </c>
      <c r="L155">
        <f>'Req. Diario'!I154</f>
        <v>35.6483</v>
      </c>
      <c r="M155">
        <f>L155/$M$6</f>
        <v>173.89414634146343</v>
      </c>
    </row>
    <row r="156">
      <c r="B156">
        <f>'Req. Diario'!D155</f>
        <v>8.23708679921588</v>
      </c>
      <c r="C156">
        <f>(B156-((E156*(Main!$E$31/100))+(G156*(Main!$E$36/100))+(I156*(Main!$E$46/100))+(K156*(Main!$E$51/100))))/$C$6</f>
        <v>1.4709970016184941</v>
      </c>
      <c r="D156">
        <f>'Req. Diario'!E155</f>
        <v>4.784361929569444</v>
      </c>
      <c r="E156">
        <f>(D156-((C156*(Main!$F$41/100))+(G156*(Main!$F$36/100))+(I156*(Main!$F$46/100))+(K156*(Main!$F$51/100))))/$E$6</f>
        <v>7.8432162779826955</v>
      </c>
      <c r="F156">
        <f>'Req. Diario'!F155</f>
        <v>19.906019116360458</v>
      </c>
      <c r="G156">
        <f>(F156-((C156*(Main!$G$41/100))+(E156*(Main!$G$31/100))+(I156*(Main!$G$46/100))+(K156*(Main!$G$51/100))))/$G$6</f>
        <v>38.28080599300088</v>
      </c>
      <c r="H156">
        <f>'Req. Diario'!G155</f>
        <v>3.406933019724878</v>
      </c>
      <c r="I156">
        <f>H156/$I$6</f>
        <v>21.293331373280488</v>
      </c>
      <c r="J156">
        <f>'Req. Diario'!H155</f>
        <v>11.850590642485523</v>
      </c>
      <c r="K156">
        <f>J156/$K$6</f>
        <v>43.89107645365008</v>
      </c>
      <c r="L156">
        <f>'Req. Diario'!I155</f>
        <v>35.6483</v>
      </c>
      <c r="M156">
        <f>L156/$M$6</f>
        <v>173.89414634146343</v>
      </c>
    </row>
    <row r="157">
      <c r="B157">
        <f>'Req. Diario'!D156</f>
        <v>8.23708679921588</v>
      </c>
      <c r="C157">
        <f>(B157-((E157*(Main!$E$31/100))+(G157*(Main!$E$36/100))+(I157*(Main!$E$46/100))+(K157*(Main!$E$51/100))))/$C$6</f>
        <v>1.4709970016184941</v>
      </c>
      <c r="D157">
        <f>'Req. Diario'!E156</f>
        <v>4.784361929569444</v>
      </c>
      <c r="E157">
        <f>(D157-((C157*(Main!$F$41/100))+(G157*(Main!$F$36/100))+(I157*(Main!$F$46/100))+(K157*(Main!$F$51/100))))/$E$6</f>
        <v>7.8432162779826955</v>
      </c>
      <c r="F157">
        <f>'Req. Diario'!F156</f>
        <v>19.906019116360458</v>
      </c>
      <c r="G157">
        <f>(F157-((C157*(Main!$G$41/100))+(E157*(Main!$G$31/100))+(I157*(Main!$G$46/100))+(K157*(Main!$G$51/100))))/$G$6</f>
        <v>38.28080599300088</v>
      </c>
      <c r="H157">
        <f>'Req. Diario'!G156</f>
        <v>3.406933019724878</v>
      </c>
      <c r="I157">
        <f>H157/$I$6</f>
        <v>21.293331373280488</v>
      </c>
      <c r="J157">
        <f>'Req. Diario'!H156</f>
        <v>11.850590642485523</v>
      </c>
      <c r="K157">
        <f>J157/$K$6</f>
        <v>43.89107645365008</v>
      </c>
      <c r="L157">
        <f>'Req. Diario'!I156</f>
        <v>35.6483</v>
      </c>
      <c r="M157">
        <f>L157/$M$6</f>
        <v>173.89414634146343</v>
      </c>
    </row>
    <row r="158">
      <c r="B158">
        <f>'Req. Diario'!D157</f>
        <v>8.23708679921588</v>
      </c>
      <c r="C158">
        <f>(B158-((E158*(Main!$E$31/100))+(G158*(Main!$E$36/100))+(I158*(Main!$E$46/100))+(K158*(Main!$E$51/100))))/$C$6</f>
        <v>1.4709970016184941</v>
      </c>
      <c r="D158">
        <f>'Req. Diario'!E157</f>
        <v>4.784361929569444</v>
      </c>
      <c r="E158">
        <f>(D158-((C158*(Main!$F$41/100))+(G158*(Main!$F$36/100))+(I158*(Main!$F$46/100))+(K158*(Main!$F$51/100))))/$E$6</f>
        <v>7.8432162779826955</v>
      </c>
      <c r="F158">
        <f>'Req. Diario'!F157</f>
        <v>19.906019116360458</v>
      </c>
      <c r="G158">
        <f>(F158-((C158*(Main!$G$41/100))+(E158*(Main!$G$31/100))+(I158*(Main!$G$46/100))+(K158*(Main!$G$51/100))))/$G$6</f>
        <v>38.28080599300088</v>
      </c>
      <c r="H158">
        <f>'Req. Diario'!G157</f>
        <v>3.406933019724878</v>
      </c>
      <c r="I158">
        <f>H158/$I$6</f>
        <v>21.293331373280488</v>
      </c>
      <c r="J158">
        <f>'Req. Diario'!H157</f>
        <v>11.850590642485523</v>
      </c>
      <c r="K158">
        <f>J158/$K$6</f>
        <v>43.89107645365008</v>
      </c>
      <c r="L158">
        <f>'Req. Diario'!I157</f>
        <v>35.6483</v>
      </c>
      <c r="M158">
        <f>L158/$M$6</f>
        <v>173.89414634146343</v>
      </c>
    </row>
    <row r="159">
      <c r="B159">
        <f>'Req. Diario'!D158</f>
        <v>8.23708679921588</v>
      </c>
      <c r="C159">
        <f>(B159-((E159*(Main!$E$31/100))+(G159*(Main!$E$36/100))+(I159*(Main!$E$46/100))+(K159*(Main!$E$51/100))))/$C$6</f>
        <v>1.4709970016184941</v>
      </c>
      <c r="D159">
        <f>'Req. Diario'!E158</f>
        <v>4.784361929569444</v>
      </c>
      <c r="E159">
        <f>(D159-((C159*(Main!$F$41/100))+(G159*(Main!$F$36/100))+(I159*(Main!$F$46/100))+(K159*(Main!$F$51/100))))/$E$6</f>
        <v>7.8432162779826955</v>
      </c>
      <c r="F159">
        <f>'Req. Diario'!F158</f>
        <v>19.906019116360458</v>
      </c>
      <c r="G159">
        <f>(F159-((C159*(Main!$G$41/100))+(E159*(Main!$G$31/100))+(I159*(Main!$G$46/100))+(K159*(Main!$G$51/100))))/$G$6</f>
        <v>38.28080599300088</v>
      </c>
      <c r="H159">
        <f>'Req. Diario'!G158</f>
        <v>3.406933019724878</v>
      </c>
      <c r="I159">
        <f>H159/$I$6</f>
        <v>21.293331373280488</v>
      </c>
      <c r="J159">
        <f>'Req. Diario'!H158</f>
        <v>11.850590642485523</v>
      </c>
      <c r="K159">
        <f>J159/$K$6</f>
        <v>43.89107645365008</v>
      </c>
      <c r="L159">
        <f>'Req. Diario'!I158</f>
        <v>35.6483</v>
      </c>
      <c r="M159">
        <f>L159/$M$6</f>
        <v>173.89414634146343</v>
      </c>
    </row>
    <row r="160">
      <c r="B160">
        <f>'Req. Diario'!D159</f>
        <v>8.23708679921588</v>
      </c>
      <c r="C160">
        <f>(B160-((E160*(Main!$E$31/100))+(G160*(Main!$E$36/100))+(I160*(Main!$E$46/100))+(K160*(Main!$E$51/100))))/$C$6</f>
        <v>1.4709970016184941</v>
      </c>
      <c r="D160">
        <f>'Req. Diario'!E159</f>
        <v>4.784361929569444</v>
      </c>
      <c r="E160">
        <f>(D160-((C160*(Main!$F$41/100))+(G160*(Main!$F$36/100))+(I160*(Main!$F$46/100))+(K160*(Main!$F$51/100))))/$E$6</f>
        <v>7.8432162779826955</v>
      </c>
      <c r="F160">
        <f>'Req. Diario'!F159</f>
        <v>19.906019116360458</v>
      </c>
      <c r="G160">
        <f>(F160-((C160*(Main!$G$41/100))+(E160*(Main!$G$31/100))+(I160*(Main!$G$46/100))+(K160*(Main!$G$51/100))))/$G$6</f>
        <v>38.28080599300088</v>
      </c>
      <c r="H160">
        <f>'Req. Diario'!G159</f>
        <v>3.406933019724878</v>
      </c>
      <c r="I160">
        <f>H160/$I$6</f>
        <v>21.293331373280488</v>
      </c>
      <c r="J160">
        <f>'Req. Diario'!H159</f>
        <v>11.850590642485523</v>
      </c>
      <c r="K160">
        <f>J160/$K$6</f>
        <v>43.89107645365008</v>
      </c>
      <c r="L160">
        <f>'Req. Diario'!I159</f>
        <v>35.6483</v>
      </c>
      <c r="M160">
        <f>L160/$M$6</f>
        <v>173.89414634146343</v>
      </c>
    </row>
    <row r="162">
      <c r="B162">
        <f>SUM(B6:B160)</f>
        <v>1025.863402586375</v>
      </c>
      <c r="C162">
        <f>SUM(C6:C160)</f>
        <v>389.2152825245382</v>
      </c>
      <c r="D162">
        <f>SUM(D6:D160)</f>
        <v>598.9598986238923</v>
      </c>
      <c r="E162">
        <f>SUM(E6:E160)</f>
        <v>982.5114731539238</v>
      </c>
      <c r="F162">
        <f>SUM(F6:F160)</f>
        <v>2275.7380713433977</v>
      </c>
      <c r="G162">
        <f>SUM(G6:G160)</f>
        <v>4376.939367968063</v>
      </c>
      <c r="H162">
        <f>SUM(H6:H160)</f>
        <v>389.49461136267604</v>
      </c>
      <c r="I162">
        <f>SUM(I6:I160)</f>
        <v>2434.5013210167326</v>
      </c>
      <c r="J162">
        <f>SUM(J6:J160)</f>
        <v>1354.8083187986467</v>
      </c>
      <c r="K162">
        <f>SUM(K6:K160)</f>
        <v>5018.078588143146</v>
      </c>
      <c r="L162">
        <f>SUM(L6:L160)</f>
        <v>4079.183199999992</v>
      </c>
      <c r="M162">
        <f>SUM(M6:M160)</f>
        <v>19898.659634146316</v>
      </c>
    </row>
  </sheetData>
  <sheetProtection sheet="1"/>
  <mergeCells count="1">
    <mergeCell ref="E1:J1"/>
  </mergeCells>
  <pageMargins left="0.42" right="0.75" top="0.44" bottom="0.39" header="0.25" footer="0.25"/>
  <ignoredErrors>
    <ignoredError numberStoredAsText="1" sqref="A1:Q162"/>
  </ignoredErrors>
</worksheet>
</file>

<file path=xl/worksheets/sheet10.xml><?xml version="1.0" encoding="utf-8"?>
<worksheet xmlns="http://schemas.openxmlformats.org/spreadsheetml/2006/main" xmlns:r="http://schemas.openxmlformats.org/officeDocument/2006/relationships">
  <dimension ref="A1:T160"/>
  <sheetViews>
    <sheetView workbookViewId="0" rightToLeft="0"/>
  </sheetViews>
  <sheetData>
    <row r="1">
      <c r="A1" t="str">
        <v>Requerimientos Diarios para:</v>
      </c>
      <c r="H1" t="str">
        <f>Main!E21</f>
        <v>Tomate</v>
      </c>
    </row>
    <row r="2">
      <c r="A2" t="str">
        <v>Esta tabla es de libras por hectárea por Día</v>
      </c>
    </row>
    <row r="3" ht="15.6" customHeight="1">
      <c r="A3" t="str">
        <f>Main!C13</f>
        <v>"Sin Fertilización Base"</v>
      </c>
    </row>
    <row r="4" ht="43.9" customHeight="1">
      <c r="A4" t="str">
        <v>Fase</v>
      </c>
      <c r="B4" t="str">
        <v>Día Después Siembra</v>
      </c>
      <c r="C4" t="str">
        <v>Semana</v>
      </c>
      <c r="D4" t="str">
        <v>N</v>
      </c>
      <c r="E4" t="str">
        <v>P2O5</v>
      </c>
      <c r="F4" t="str">
        <v>K20</v>
      </c>
      <c r="G4" t="str">
        <v>MgO</v>
      </c>
      <c r="H4" t="str">
        <v>CaO</v>
      </c>
      <c r="I4" t="str">
        <v>B Gramos/Ha</v>
      </c>
      <c r="J4" t="str">
        <v>Relación N:K N/(K2O/3.36)</v>
      </c>
      <c r="K4" t="str">
        <v>Relación Ca:Mg (1:0.5) (CaO/1.39)/MgO</v>
      </c>
      <c r="L4" t="str">
        <v>Relación K:Ca (1:1)     (CaO/1.19)/K2O</v>
      </c>
    </row>
    <row r="5">
      <c r="A5" t="str">
        <v>Ion que Adsorbe la Planta</v>
      </c>
      <c r="D5" t="str">
        <v>NO3-  NH4+</v>
      </c>
      <c r="E5" t="str">
        <v>H2PO4+ HPO4-2</v>
      </c>
      <c r="F5" t="str">
        <v>K+</v>
      </c>
      <c r="G5" t="str">
        <v>Mg+2</v>
      </c>
      <c r="H5" t="str">
        <v>Ca+2</v>
      </c>
      <c r="I5" t="str">
        <v>H3BO3</v>
      </c>
      <c r="J5" t="str">
        <v>Esta relación depende del cultivo y estado</v>
      </c>
      <c r="K5">
        <v>0.4</v>
      </c>
      <c r="L5">
        <v>0.5</v>
      </c>
    </row>
    <row r="6">
      <c r="B6">
        <v>1</v>
      </c>
      <c r="C6">
        <v>1</v>
      </c>
      <c r="D6">
        <v>1.2459459024024024</v>
      </c>
      <c r="E6">
        <v>0.8442991640416665</v>
      </c>
      <c r="F6">
        <v>2.107696141732284</v>
      </c>
      <c r="G6">
        <f>(H6/1.39135)*$K$5</f>
        <v>0.3607340844414577</v>
      </c>
      <c r="H6">
        <f>(F6*1.190654)*$L$5</f>
        <v>1.2547684209690555</v>
      </c>
      <c r="I6">
        <v>5.0926</v>
      </c>
      <c r="J6">
        <f>D6/(F6/3.362524)</f>
        <v>1.9877262744744741</v>
      </c>
      <c r="K6">
        <f>G6/(H6/1.39135)</f>
        <v>0.4</v>
      </c>
      <c r="L6">
        <f>(H6/1.190654)/F6</f>
        <v>0.5</v>
      </c>
    </row>
    <row r="7">
      <c r="B7">
        <v>2</v>
      </c>
      <c r="C7">
        <v>1</v>
      </c>
      <c r="D7">
        <v>1.2459459024024024</v>
      </c>
      <c r="E7">
        <v>0.8442991640416665</v>
      </c>
      <c r="F7">
        <v>2.107696141732284</v>
      </c>
      <c r="G7">
        <f>(H7/1.39135)*$K$5</f>
        <v>0.3607340844414577</v>
      </c>
      <c r="H7">
        <f>(F7*1.190654)*$L$5</f>
        <v>1.2547684209690555</v>
      </c>
      <c r="I7">
        <v>5.0926</v>
      </c>
      <c r="J7">
        <f>D7/(F7/3.362524)</f>
        <v>1.9877262744744741</v>
      </c>
      <c r="K7">
        <f>G7/(H7/1.39135)</f>
        <v>0.4</v>
      </c>
      <c r="L7">
        <f>(H7/1.190654)/F7</f>
        <v>0.5</v>
      </c>
    </row>
    <row r="8">
      <c r="B8">
        <v>3</v>
      </c>
      <c r="C8">
        <v>1</v>
      </c>
      <c r="D8">
        <v>1.2459459024024024</v>
      </c>
      <c r="E8">
        <v>0.8442991640416665</v>
      </c>
      <c r="F8">
        <v>2.107696141732284</v>
      </c>
      <c r="G8">
        <f>(H8/1.39135)*$K$5</f>
        <v>0.3607340844414577</v>
      </c>
      <c r="H8">
        <f>(F8*1.190654)*$L$5</f>
        <v>1.2547684209690555</v>
      </c>
      <c r="I8">
        <v>5.0926</v>
      </c>
      <c r="J8">
        <f>D8/(F8/3.362524)</f>
        <v>1.9877262744744741</v>
      </c>
      <c r="K8">
        <f>G8/(H8/1.39135)</f>
        <v>0.4</v>
      </c>
      <c r="L8">
        <f>(H8/1.190654)/F8</f>
        <v>0.5</v>
      </c>
    </row>
    <row r="9">
      <c r="B9">
        <v>4</v>
      </c>
      <c r="C9">
        <v>1</v>
      </c>
      <c r="D9">
        <v>1.2459459024024024</v>
      </c>
      <c r="E9">
        <v>0.8442991640416665</v>
      </c>
      <c r="F9">
        <v>2.107696141732284</v>
      </c>
      <c r="G9">
        <f>(H9/1.39135)*$K$5</f>
        <v>0.3607340844414577</v>
      </c>
      <c r="H9">
        <f>(F9*1.190654)*$L$5</f>
        <v>1.2547684209690555</v>
      </c>
      <c r="I9">
        <v>5.0926</v>
      </c>
      <c r="J9">
        <f>D9/(F9/3.362524)</f>
        <v>1.9877262744744741</v>
      </c>
      <c r="K9">
        <f>G9/(H9/1.39135)</f>
        <v>0.4</v>
      </c>
      <c r="L9">
        <f>(H9/1.190654)/F9</f>
        <v>0.5</v>
      </c>
    </row>
    <row r="10">
      <c r="B10">
        <v>5</v>
      </c>
      <c r="C10">
        <v>1</v>
      </c>
      <c r="D10">
        <v>1.2459459024024024</v>
      </c>
      <c r="E10">
        <v>0.8442991640416665</v>
      </c>
      <c r="F10">
        <v>2.107696141732284</v>
      </c>
      <c r="G10">
        <f>(H10/1.39135)*$K$5</f>
        <v>0.3607340844414577</v>
      </c>
      <c r="H10">
        <f>(F10*1.190654)*$L$5</f>
        <v>1.2547684209690555</v>
      </c>
      <c r="I10">
        <v>5.0926</v>
      </c>
      <c r="J10">
        <f>D10/(F10/3.362524)</f>
        <v>1.9877262744744741</v>
      </c>
      <c r="K10">
        <f>G10/(H10/1.39135)</f>
        <v>0.4</v>
      </c>
      <c r="L10">
        <f>(H10/1.190654)/F10</f>
        <v>0.5</v>
      </c>
    </row>
    <row r="11">
      <c r="B11">
        <v>6</v>
      </c>
      <c r="C11">
        <v>1</v>
      </c>
      <c r="D11">
        <v>1.2459459024024024</v>
      </c>
      <c r="E11">
        <v>0.8442991640416665</v>
      </c>
      <c r="F11">
        <v>2.107696141732284</v>
      </c>
      <c r="G11">
        <f>(H11/1.39135)*$K$5</f>
        <v>0.3607340844414577</v>
      </c>
      <c r="H11">
        <f>(F11*1.190654)*$L$5</f>
        <v>1.2547684209690555</v>
      </c>
      <c r="I11">
        <v>5.0926</v>
      </c>
      <c r="J11">
        <f>D11/(F11/3.362524)</f>
        <v>1.9877262744744741</v>
      </c>
      <c r="K11">
        <f>G11/(H11/1.39135)</f>
        <v>0.4</v>
      </c>
      <c r="L11">
        <f>(H11/1.190654)/F11</f>
        <v>0.5</v>
      </c>
    </row>
    <row r="12">
      <c r="B12">
        <v>7</v>
      </c>
      <c r="C12">
        <v>1</v>
      </c>
      <c r="D12">
        <v>1.2459459024024024</v>
      </c>
      <c r="E12">
        <v>0.8442991640416665</v>
      </c>
      <c r="F12">
        <v>2.107696141732284</v>
      </c>
      <c r="G12">
        <f>(H12/1.39135)*$K$5</f>
        <v>0.3607340844414577</v>
      </c>
      <c r="H12">
        <f>(F12*1.190654)*$L$5</f>
        <v>1.2547684209690555</v>
      </c>
      <c r="I12">
        <v>5.0926</v>
      </c>
      <c r="J12">
        <f>D12/(F12/3.362524)</f>
        <v>1.9877262744744741</v>
      </c>
      <c r="K12">
        <f>G12/(H12/1.39135)</f>
        <v>0.4</v>
      </c>
      <c r="L12">
        <f>(H12/1.190654)/F12</f>
        <v>0.5</v>
      </c>
    </row>
    <row r="13">
      <c r="B13">
        <v>8</v>
      </c>
      <c r="C13">
        <v>2</v>
      </c>
      <c r="D13">
        <v>1.2459459024024024</v>
      </c>
      <c r="E13">
        <v>0.8442991640416665</v>
      </c>
      <c r="F13">
        <v>2.107696141732284</v>
      </c>
      <c r="G13">
        <f>(H13/1.39135)*$K$5</f>
        <v>0.3607340844414577</v>
      </c>
      <c r="H13">
        <f>(F13*1.190654)*$L$5</f>
        <v>1.2547684209690555</v>
      </c>
      <c r="I13">
        <v>5.0926</v>
      </c>
      <c r="J13">
        <f>D13/(F13/3.362524)</f>
        <v>1.9877262744744741</v>
      </c>
      <c r="K13">
        <f>G13/(H13/1.39135)</f>
        <v>0.4</v>
      </c>
      <c r="L13">
        <f>(H13/1.190654)/F13</f>
        <v>0.5</v>
      </c>
    </row>
    <row r="14">
      <c r="B14">
        <v>9</v>
      </c>
      <c r="C14">
        <v>2</v>
      </c>
      <c r="D14">
        <v>1.2459459024024024</v>
      </c>
      <c r="E14">
        <v>0.8442991640416665</v>
      </c>
      <c r="F14">
        <v>2.107696141732284</v>
      </c>
      <c r="G14">
        <f>(H14/1.39135)*$K$5</f>
        <v>0.3607340844414577</v>
      </c>
      <c r="H14">
        <f>(F14*1.190654)*$L$5</f>
        <v>1.2547684209690555</v>
      </c>
      <c r="I14">
        <v>5.0926</v>
      </c>
      <c r="J14">
        <f>D14/(F14/3.362524)</f>
        <v>1.9877262744744741</v>
      </c>
      <c r="K14">
        <f>G14/(H14/1.39135)</f>
        <v>0.4</v>
      </c>
      <c r="L14">
        <f>(H14/1.190654)/F14</f>
        <v>0.5</v>
      </c>
    </row>
    <row r="15">
      <c r="B15">
        <v>10</v>
      </c>
      <c r="C15">
        <v>2</v>
      </c>
      <c r="D15">
        <v>1.2459459024024024</v>
      </c>
      <c r="E15">
        <v>0.8442991640416665</v>
      </c>
      <c r="F15">
        <v>2.107696141732284</v>
      </c>
      <c r="G15">
        <f>(H15/1.39135)*$K$5</f>
        <v>0.3607340844414577</v>
      </c>
      <c r="H15">
        <f>(F15*1.190654)*$L$5</f>
        <v>1.2547684209690555</v>
      </c>
      <c r="I15">
        <v>5.0926</v>
      </c>
      <c r="J15">
        <f>D15/(F15/3.362524)</f>
        <v>1.9877262744744741</v>
      </c>
      <c r="K15">
        <f>G15/(H15/1.39135)</f>
        <v>0.4</v>
      </c>
      <c r="L15">
        <f>(H15/1.190654)/F15</f>
        <v>0.5</v>
      </c>
    </row>
    <row r="16">
      <c r="B16">
        <v>11</v>
      </c>
      <c r="C16">
        <v>2</v>
      </c>
      <c r="D16">
        <v>2.180405329204204</v>
      </c>
      <c r="E16">
        <v>1.4775235370729165</v>
      </c>
      <c r="F16">
        <v>3.688468248031496</v>
      </c>
      <c r="G16">
        <f>(H16/1.39135)*$K$5</f>
        <v>0.6312846477725509</v>
      </c>
      <c r="H16">
        <f>(F16*1.190654)*$L$5</f>
        <v>2.1958447366958467</v>
      </c>
      <c r="I16">
        <v>9.1667</v>
      </c>
      <c r="J16">
        <f>D16/(F16/3.362524)</f>
        <v>1.9877262744744741</v>
      </c>
      <c r="K16">
        <f>G16/(H16/1.39135)</f>
        <v>0.4</v>
      </c>
      <c r="L16">
        <f>(H16/1.190654)/F16</f>
        <v>0.5</v>
      </c>
    </row>
    <row r="17">
      <c r="B17">
        <v>12</v>
      </c>
      <c r="C17">
        <v>2</v>
      </c>
      <c r="D17">
        <v>2.180405329204204</v>
      </c>
      <c r="E17">
        <v>1.4775235370729165</v>
      </c>
      <c r="F17">
        <v>3.688468248031496</v>
      </c>
      <c r="G17">
        <f>(H17/1.39135)*$K$5</f>
        <v>0.6312846477725509</v>
      </c>
      <c r="H17">
        <f>(F17*1.190654)*$L$5</f>
        <v>2.1958447366958467</v>
      </c>
      <c r="I17">
        <v>9.1667</v>
      </c>
      <c r="J17">
        <f>D17/(F17/3.362524)</f>
        <v>1.9877262744744741</v>
      </c>
      <c r="K17">
        <f>G17/(H17/1.39135)</f>
        <v>0.4</v>
      </c>
      <c r="L17">
        <f>(H17/1.190654)/F17</f>
        <v>0.5</v>
      </c>
    </row>
    <row r="18">
      <c r="B18">
        <v>13</v>
      </c>
      <c r="C18">
        <v>2</v>
      </c>
      <c r="D18">
        <v>2.180405329204204</v>
      </c>
      <c r="E18">
        <v>1.4775235370729165</v>
      </c>
      <c r="F18">
        <v>3.688468248031496</v>
      </c>
      <c r="G18">
        <f>(H18/1.39135)*$K$5</f>
        <v>0.6312846477725509</v>
      </c>
      <c r="H18">
        <f>(F18*1.190654)*$L$5</f>
        <v>2.1958447366958467</v>
      </c>
      <c r="I18">
        <v>9.1667</v>
      </c>
      <c r="J18">
        <f>D18/(F18/3.362524)</f>
        <v>1.9877262744744741</v>
      </c>
      <c r="K18">
        <f>G18/(H18/1.39135)</f>
        <v>0.4</v>
      </c>
      <c r="L18">
        <f>(H18/1.190654)/F18</f>
        <v>0.5</v>
      </c>
    </row>
    <row r="19">
      <c r="B19">
        <v>14</v>
      </c>
      <c r="C19">
        <v>2</v>
      </c>
      <c r="D19">
        <v>2.180405329204204</v>
      </c>
      <c r="E19">
        <v>1.4775235370729165</v>
      </c>
      <c r="F19">
        <v>3.688468248031496</v>
      </c>
      <c r="G19">
        <f>(H19/1.39135)*$K$5</f>
        <v>0.6312846477725509</v>
      </c>
      <c r="H19">
        <f>(F19*1.190654)*$L$5</f>
        <v>2.1958447366958467</v>
      </c>
      <c r="I19">
        <v>9.1667</v>
      </c>
      <c r="J19">
        <f>D19/(F19/3.362524)</f>
        <v>1.9877262744744741</v>
      </c>
      <c r="K19">
        <f>G19/(H19/1.39135)</f>
        <v>0.4</v>
      </c>
      <c r="L19">
        <f>(H19/1.190654)/F19</f>
        <v>0.5</v>
      </c>
    </row>
    <row r="20">
      <c r="B20">
        <v>15</v>
      </c>
      <c r="C20">
        <v>3</v>
      </c>
      <c r="D20">
        <v>2.180405329204204</v>
      </c>
      <c r="E20">
        <v>1.4775235370729165</v>
      </c>
      <c r="F20">
        <v>3.688468248031496</v>
      </c>
      <c r="G20">
        <f>(H20/1.39135)*$K$5</f>
        <v>0.6312846477725509</v>
      </c>
      <c r="H20">
        <f>(F20*1.190654)*$L$5</f>
        <v>2.1958447366958467</v>
      </c>
      <c r="I20">
        <v>9.1667</v>
      </c>
      <c r="J20">
        <f>D20/(F20/3.362524)</f>
        <v>1.9877262744744741</v>
      </c>
      <c r="K20">
        <f>G20/(H20/1.39135)</f>
        <v>0.4</v>
      </c>
      <c r="L20">
        <f>(H20/1.190654)/F20</f>
        <v>0.5</v>
      </c>
    </row>
    <row r="21">
      <c r="B21">
        <v>16</v>
      </c>
      <c r="C21">
        <v>3</v>
      </c>
      <c r="D21">
        <v>2.180405329204204</v>
      </c>
      <c r="E21">
        <v>1.4775235370729165</v>
      </c>
      <c r="F21">
        <v>3.688468248031496</v>
      </c>
      <c r="G21">
        <f>(H21/1.39135)*$K$5</f>
        <v>0.6312846477725509</v>
      </c>
      <c r="H21">
        <f>(F21*1.190654)*$L$5</f>
        <v>2.1958447366958467</v>
      </c>
      <c r="I21">
        <v>9.1667</v>
      </c>
      <c r="J21">
        <f>D21/(F21/3.362524)</f>
        <v>1.9877262744744741</v>
      </c>
      <c r="K21">
        <f>G21/(H21/1.39135)</f>
        <v>0.4</v>
      </c>
      <c r="L21">
        <f>(H21/1.190654)/F21</f>
        <v>0.5</v>
      </c>
    </row>
    <row r="22">
      <c r="B22">
        <v>17</v>
      </c>
      <c r="C22">
        <v>3</v>
      </c>
      <c r="D22">
        <v>2.180405329204204</v>
      </c>
      <c r="E22">
        <v>1.4775235370729165</v>
      </c>
      <c r="F22">
        <v>3.688468248031496</v>
      </c>
      <c r="G22">
        <f>(H22/1.39135)*$K$5</f>
        <v>0.6312846477725509</v>
      </c>
      <c r="H22">
        <f>(F22*1.190654)*$L$5</f>
        <v>2.1958447366958467</v>
      </c>
      <c r="I22">
        <v>9.1667</v>
      </c>
      <c r="J22">
        <f>D22/(F22/3.362524)</f>
        <v>1.9877262744744741</v>
      </c>
      <c r="K22">
        <f>G22/(H22/1.39135)</f>
        <v>0.4</v>
      </c>
      <c r="L22">
        <f>(H22/1.190654)/F22</f>
        <v>0.5</v>
      </c>
    </row>
    <row r="23">
      <c r="B23">
        <v>18</v>
      </c>
      <c r="C23">
        <v>3</v>
      </c>
      <c r="D23">
        <v>3.114864756006006</v>
      </c>
      <c r="E23">
        <v>2.110747910104167</v>
      </c>
      <c r="F23">
        <v>5.26924035433071</v>
      </c>
      <c r="G23">
        <f>(H23/1.39135)*$K$5</f>
        <v>0.9018352111036443</v>
      </c>
      <c r="H23">
        <f>(F23*1.190654)*$L$5</f>
        <v>3.1369210524226387</v>
      </c>
      <c r="I23">
        <v>12.2222</v>
      </c>
      <c r="J23">
        <f>D23/(F23/3.362524)</f>
        <v>1.9877262744744741</v>
      </c>
      <c r="K23">
        <f>G23/(H23/1.39135)</f>
        <v>0.4</v>
      </c>
      <c r="L23">
        <f>(H23/1.190654)/F23</f>
        <v>0.5</v>
      </c>
    </row>
    <row r="24">
      <c r="B24">
        <v>19</v>
      </c>
      <c r="C24">
        <v>3</v>
      </c>
      <c r="D24">
        <v>3.114864756006006</v>
      </c>
      <c r="E24">
        <v>2.110747910104167</v>
      </c>
      <c r="F24">
        <v>5.26924035433071</v>
      </c>
      <c r="G24">
        <f>(H24/1.39135)*$K$5</f>
        <v>0.9018352111036443</v>
      </c>
      <c r="H24">
        <f>(F24*1.190654)*$L$5</f>
        <v>3.1369210524226387</v>
      </c>
      <c r="I24">
        <v>12.2222</v>
      </c>
      <c r="J24">
        <f>D24/(F24/3.362524)</f>
        <v>1.9877262744744741</v>
      </c>
      <c r="K24">
        <f>G24/(H24/1.39135)</f>
        <v>0.4</v>
      </c>
      <c r="L24">
        <f>(H24/1.190654)/F24</f>
        <v>0.5</v>
      </c>
    </row>
    <row r="25">
      <c r="B25">
        <v>20</v>
      </c>
      <c r="C25">
        <v>3</v>
      </c>
      <c r="D25">
        <v>3.114864756006006</v>
      </c>
      <c r="E25">
        <v>2.110747910104167</v>
      </c>
      <c r="F25">
        <v>5.26924035433071</v>
      </c>
      <c r="G25">
        <f>(H25/1.39135)*$K$5</f>
        <v>0.9018352111036443</v>
      </c>
      <c r="H25">
        <f>(F25*1.190654)*$L$5</f>
        <v>3.1369210524226387</v>
      </c>
      <c r="I25">
        <v>12.2222</v>
      </c>
      <c r="J25">
        <f>D25/(F25/3.362524)</f>
        <v>1.9877262744744741</v>
      </c>
      <c r="K25">
        <f>G25/(H25/1.39135)</f>
        <v>0.4</v>
      </c>
      <c r="L25">
        <f>(H25/1.190654)/F25</f>
        <v>0.5</v>
      </c>
    </row>
    <row r="26">
      <c r="B26">
        <v>21</v>
      </c>
      <c r="C26">
        <v>3</v>
      </c>
      <c r="D26">
        <v>3.114864756006006</v>
      </c>
      <c r="E26">
        <v>2.110747910104167</v>
      </c>
      <c r="F26">
        <v>5.26924035433071</v>
      </c>
      <c r="G26">
        <f>(H26/1.39135)*$K$5</f>
        <v>0.9018352111036443</v>
      </c>
      <c r="H26">
        <f>(F26*1.190654)*$L$5</f>
        <v>3.1369210524226387</v>
      </c>
      <c r="I26">
        <v>12.2222</v>
      </c>
      <c r="J26">
        <f>D26/(F26/3.362524)</f>
        <v>1.9877262744744741</v>
      </c>
      <c r="K26">
        <f>G26/(H26/1.39135)</f>
        <v>0.4</v>
      </c>
      <c r="L26">
        <f>(H26/1.190654)/F26</f>
        <v>0.5</v>
      </c>
    </row>
    <row r="27">
      <c r="B27">
        <v>22</v>
      </c>
      <c r="C27">
        <v>4</v>
      </c>
      <c r="D27">
        <v>3.114864756006006</v>
      </c>
      <c r="E27">
        <v>2.110747910104167</v>
      </c>
      <c r="F27">
        <v>5.26924035433071</v>
      </c>
      <c r="G27">
        <f>(H27/1.39135)*$K$5</f>
        <v>0.9018352111036443</v>
      </c>
      <c r="H27">
        <f>(F27*1.190654)*$L$5</f>
        <v>3.1369210524226387</v>
      </c>
      <c r="I27">
        <v>12.2222</v>
      </c>
      <c r="J27">
        <f>D27/(F27/3.362524)</f>
        <v>1.9877262744744741</v>
      </c>
      <c r="K27">
        <f>G27/(H27/1.39135)</f>
        <v>0.4</v>
      </c>
      <c r="L27">
        <f>(H27/1.190654)/F27</f>
        <v>0.5</v>
      </c>
    </row>
    <row r="28">
      <c r="B28">
        <v>23</v>
      </c>
      <c r="C28">
        <v>4</v>
      </c>
      <c r="D28">
        <v>3.114864756006006</v>
      </c>
      <c r="E28">
        <v>2.110747910104167</v>
      </c>
      <c r="F28">
        <v>5.26924035433071</v>
      </c>
      <c r="G28">
        <f>(H28/1.39135)*$K$5</f>
        <v>0.9018352111036443</v>
      </c>
      <c r="H28">
        <f>(F28*1.190654)*$L$5</f>
        <v>3.1369210524226387</v>
      </c>
      <c r="I28">
        <v>12.2222</v>
      </c>
      <c r="J28">
        <f>D28/(F28/3.362524)</f>
        <v>1.9877262744744741</v>
      </c>
      <c r="K28">
        <f>G28/(H28/1.39135)</f>
        <v>0.4</v>
      </c>
      <c r="L28">
        <f>(H28/1.190654)/F28</f>
        <v>0.5</v>
      </c>
    </row>
    <row r="29">
      <c r="B29">
        <v>24</v>
      </c>
      <c r="C29">
        <v>4</v>
      </c>
      <c r="D29">
        <v>3.114864756006006</v>
      </c>
      <c r="E29">
        <v>2.110747910104167</v>
      </c>
      <c r="F29">
        <v>5.26924035433071</v>
      </c>
      <c r="G29">
        <f>(H29/1.39135)*$K$5</f>
        <v>0.9018352111036443</v>
      </c>
      <c r="H29">
        <f>(F29*1.190654)*$L$5</f>
        <v>3.1369210524226387</v>
      </c>
      <c r="I29">
        <v>12.2222</v>
      </c>
      <c r="J29">
        <f>D29/(F29/3.362524)</f>
        <v>1.9877262744744741</v>
      </c>
      <c r="K29">
        <f>G29/(H29/1.39135)</f>
        <v>0.4</v>
      </c>
      <c r="L29">
        <f>(H29/1.190654)/F29</f>
        <v>0.5</v>
      </c>
    </row>
    <row r="30">
      <c r="B30">
        <v>25</v>
      </c>
      <c r="C30">
        <v>4</v>
      </c>
      <c r="D30">
        <v>3.114864756006006</v>
      </c>
      <c r="E30">
        <v>2.110747910104167</v>
      </c>
      <c r="F30">
        <v>5.26924035433071</v>
      </c>
      <c r="G30">
        <f>(H30/1.39135)*$K$5</f>
        <v>0.9018352111036443</v>
      </c>
      <c r="H30">
        <f>(F30*1.190654)*$L$5</f>
        <v>3.1369210524226387</v>
      </c>
      <c r="I30">
        <v>12.2222</v>
      </c>
      <c r="J30">
        <f>D30/(F30/3.362524)</f>
        <v>1.9877262744744741</v>
      </c>
      <c r="K30">
        <f>G30/(H30/1.39135)</f>
        <v>0.4</v>
      </c>
      <c r="L30">
        <f>(H30/1.190654)/F30</f>
        <v>0.5</v>
      </c>
    </row>
    <row r="31">
      <c r="B31">
        <v>26</v>
      </c>
      <c r="C31">
        <v>4</v>
      </c>
      <c r="D31">
        <v>3.114864756006006</v>
      </c>
      <c r="E31">
        <v>2.110747910104167</v>
      </c>
      <c r="F31">
        <v>5.26924035433071</v>
      </c>
      <c r="G31">
        <f>(H31/1.39135)*$K$5</f>
        <v>0.9018352111036443</v>
      </c>
      <c r="H31">
        <f>(F31*1.190654)*$L$5</f>
        <v>3.1369210524226387</v>
      </c>
      <c r="I31">
        <v>12.2222</v>
      </c>
      <c r="J31">
        <f>D31/(F31/3.362524)</f>
        <v>1.9877262744744741</v>
      </c>
      <c r="K31">
        <f>G31/(H31/1.39135)</f>
        <v>0.4</v>
      </c>
      <c r="L31">
        <f>(H31/1.190654)/F31</f>
        <v>0.5</v>
      </c>
    </row>
    <row r="32">
      <c r="B32">
        <v>27</v>
      </c>
      <c r="C32">
        <v>4</v>
      </c>
      <c r="D32">
        <v>3.114864756006006</v>
      </c>
      <c r="E32">
        <v>2.110747910104167</v>
      </c>
      <c r="F32">
        <v>5.26924035433071</v>
      </c>
      <c r="G32">
        <f>(H32/1.39135)*$K$5</f>
        <v>0.9018352111036443</v>
      </c>
      <c r="H32">
        <f>(F32*1.190654)*$L$5</f>
        <v>3.1369210524226387</v>
      </c>
      <c r="I32">
        <v>12.2222</v>
      </c>
      <c r="J32">
        <f>D32/(F32/3.362524)</f>
        <v>1.9877262744744741</v>
      </c>
      <c r="K32">
        <f>G32/(H32/1.39135)</f>
        <v>0.4</v>
      </c>
      <c r="L32">
        <f>(H32/1.190654)/F32</f>
        <v>0.5</v>
      </c>
    </row>
    <row r="33">
      <c r="B33">
        <v>28</v>
      </c>
      <c r="C33">
        <v>4</v>
      </c>
      <c r="D33">
        <v>3.114864756006006</v>
      </c>
      <c r="E33">
        <v>2.110747910104167</v>
      </c>
      <c r="F33">
        <v>5.26924035433071</v>
      </c>
      <c r="G33">
        <f>(H33/1.39135)*$K$5</f>
        <v>0.9018352111036443</v>
      </c>
      <c r="H33">
        <f>(F33*1.190654)*$L$5</f>
        <v>3.1369210524226387</v>
      </c>
      <c r="I33">
        <v>12.2222</v>
      </c>
      <c r="J33">
        <f>D33/(F33/3.362524)</f>
        <v>1.9877262744744741</v>
      </c>
      <c r="K33">
        <f>G33/(H33/1.39135)</f>
        <v>0.4</v>
      </c>
      <c r="L33">
        <f>(H33/1.190654)/F33</f>
        <v>0.5</v>
      </c>
    </row>
    <row r="34">
      <c r="B34">
        <v>29</v>
      </c>
      <c r="C34">
        <v>5</v>
      </c>
      <c r="D34">
        <v>3.114864756006006</v>
      </c>
      <c r="E34">
        <v>2.110747910104167</v>
      </c>
      <c r="F34">
        <v>5.26924035433071</v>
      </c>
      <c r="G34">
        <f>(H34/1.39135)*$K$5</f>
        <v>0.9018352111036443</v>
      </c>
      <c r="H34">
        <f>(F34*1.190654)*$L$5</f>
        <v>3.1369210524226387</v>
      </c>
      <c r="I34">
        <v>12.2222</v>
      </c>
      <c r="J34">
        <f>D34/(F34/3.362524)</f>
        <v>1.9877262744744741</v>
      </c>
      <c r="K34">
        <f>G34/(H34/1.39135)</f>
        <v>0.4</v>
      </c>
      <c r="L34">
        <f>(H34/1.190654)/F34</f>
        <v>0.5</v>
      </c>
    </row>
    <row r="35">
      <c r="B35">
        <v>30</v>
      </c>
      <c r="C35">
        <v>5</v>
      </c>
      <c r="D35">
        <v>3.114864756006006</v>
      </c>
      <c r="E35">
        <v>2.110747910104167</v>
      </c>
      <c r="F35">
        <v>5.26924035433071</v>
      </c>
      <c r="G35">
        <f>(H35/1.39135)*$K$5</f>
        <v>0.9018352111036443</v>
      </c>
      <c r="H35">
        <f>(F35*1.190654)*$L$5</f>
        <v>3.1369210524226387</v>
      </c>
      <c r="I35">
        <v>12.2222</v>
      </c>
      <c r="J35">
        <f>D35/(F35/3.362524)</f>
        <v>1.9877262744744741</v>
      </c>
      <c r="K35">
        <f>G35/(H35/1.39135)</f>
        <v>0.4</v>
      </c>
      <c r="L35">
        <f>(H35/1.190654)/F35</f>
        <v>0.5</v>
      </c>
    </row>
    <row r="36">
      <c r="B36">
        <v>31</v>
      </c>
      <c r="C36">
        <v>5</v>
      </c>
      <c r="D36">
        <v>3.114864756006006</v>
      </c>
      <c r="E36">
        <v>2.110747910104167</v>
      </c>
      <c r="F36">
        <v>5.26924035433071</v>
      </c>
      <c r="G36">
        <f>(H36/1.39135)*$K$5</f>
        <v>0.9018352111036443</v>
      </c>
      <c r="H36">
        <f>(F36*1.190654)*$L$5</f>
        <v>3.1369210524226387</v>
      </c>
      <c r="I36">
        <v>12.2222</v>
      </c>
      <c r="J36">
        <f>D36/(F36/3.362524)</f>
        <v>1.9877262744744741</v>
      </c>
      <c r="K36">
        <f>G36/(H36/1.39135)</f>
        <v>0.4</v>
      </c>
      <c r="L36">
        <f>(H36/1.190654)/F36</f>
        <v>0.5</v>
      </c>
    </row>
    <row r="37">
      <c r="B37">
        <v>32</v>
      </c>
      <c r="C37">
        <v>5</v>
      </c>
      <c r="D37">
        <v>3.114864756006006</v>
      </c>
      <c r="E37">
        <v>2.110747910104167</v>
      </c>
      <c r="F37">
        <v>5.26924035433071</v>
      </c>
      <c r="G37">
        <f>(H37/1.39135)*$K$5</f>
        <v>0.9018352111036443</v>
      </c>
      <c r="H37">
        <f>(F37*1.190654)*$L$5</f>
        <v>3.1369210524226387</v>
      </c>
      <c r="I37">
        <v>12.2222</v>
      </c>
      <c r="J37">
        <f>D37/(F37/3.362524)</f>
        <v>1.9877262744744741</v>
      </c>
      <c r="K37">
        <f>G37/(H37/1.39135)</f>
        <v>0.4</v>
      </c>
      <c r="L37">
        <f>(H37/1.190654)/F37</f>
        <v>0.5</v>
      </c>
    </row>
    <row r="38">
      <c r="B38">
        <v>33</v>
      </c>
      <c r="C38">
        <v>5</v>
      </c>
      <c r="D38">
        <v>4.98378360960961</v>
      </c>
      <c r="E38">
        <v>3.377196656166666</v>
      </c>
      <c r="F38">
        <v>8.430784566929136</v>
      </c>
      <c r="G38">
        <f>(H38/1.39135)*$K$5</f>
        <v>1.4429363377658309</v>
      </c>
      <c r="H38">
        <f>(F38*1.190654)*$L$5</f>
        <v>5.019073683876222</v>
      </c>
      <c r="I38">
        <v>17.3149</v>
      </c>
      <c r="J38">
        <f>D38/(F38/3.362524)</f>
        <v>1.9877262744744741</v>
      </c>
      <c r="K38">
        <f>G38/(H38/1.39135)</f>
        <v>0.4</v>
      </c>
      <c r="L38">
        <f>(H38/1.190654)/F38</f>
        <v>0.5</v>
      </c>
    </row>
    <row r="39">
      <c r="B39">
        <v>34</v>
      </c>
      <c r="C39">
        <v>5</v>
      </c>
      <c r="D39">
        <v>4.98378360960961</v>
      </c>
      <c r="E39">
        <v>3.377196656166666</v>
      </c>
      <c r="F39">
        <v>8.430784566929136</v>
      </c>
      <c r="G39">
        <f>(H39/1.39135)*$K$5</f>
        <v>1.4429363377658309</v>
      </c>
      <c r="H39">
        <f>(F39*1.190654)*$L$5</f>
        <v>5.019073683876222</v>
      </c>
      <c r="I39">
        <v>17.3149</v>
      </c>
      <c r="J39">
        <f>D39/(F39/3.362524)</f>
        <v>1.9877262744744741</v>
      </c>
      <c r="K39">
        <f>G39/(H39/1.39135)</f>
        <v>0.4</v>
      </c>
      <c r="L39">
        <f>(H39/1.190654)/F39</f>
        <v>0.5</v>
      </c>
    </row>
    <row r="40">
      <c r="B40">
        <v>35</v>
      </c>
      <c r="C40">
        <v>5</v>
      </c>
      <c r="D40">
        <v>4.98378360960961</v>
      </c>
      <c r="E40">
        <v>3.377196656166666</v>
      </c>
      <c r="F40">
        <v>8.430784566929136</v>
      </c>
      <c r="G40">
        <f>(H40/1.39135)*$K$5</f>
        <v>1.4429363377658309</v>
      </c>
      <c r="H40">
        <f>(F40*1.190654)*$L$5</f>
        <v>5.019073683876222</v>
      </c>
      <c r="I40">
        <v>17.3149</v>
      </c>
      <c r="J40">
        <f>D40/(F40/3.362524)</f>
        <v>1.9877262744744741</v>
      </c>
      <c r="K40">
        <f>G40/(H40/1.39135)</f>
        <v>0.4</v>
      </c>
      <c r="L40">
        <f>(H40/1.190654)/F40</f>
        <v>0.5</v>
      </c>
    </row>
    <row r="41">
      <c r="B41">
        <v>36</v>
      </c>
      <c r="C41">
        <v>6</v>
      </c>
      <c r="D41">
        <v>4.98378360960961</v>
      </c>
      <c r="E41">
        <v>3.377196656166666</v>
      </c>
      <c r="F41">
        <v>8.430784566929136</v>
      </c>
      <c r="G41">
        <f>(H41/1.39135)*$K$5</f>
        <v>1.4429363377658309</v>
      </c>
      <c r="H41">
        <f>(F41*1.190654)*$L$5</f>
        <v>5.019073683876222</v>
      </c>
      <c r="I41">
        <v>17.3149</v>
      </c>
      <c r="J41">
        <f>D41/(F41/3.362524)</f>
        <v>1.9877262744744741</v>
      </c>
      <c r="K41">
        <f>G41/(H41/1.39135)</f>
        <v>0.4</v>
      </c>
      <c r="L41">
        <f>(H41/1.190654)/F41</f>
        <v>0.5</v>
      </c>
    </row>
    <row r="42">
      <c r="B42">
        <v>37</v>
      </c>
      <c r="C42">
        <v>6</v>
      </c>
      <c r="D42">
        <v>4.98378360960961</v>
      </c>
      <c r="E42">
        <v>3.377196656166666</v>
      </c>
      <c r="F42">
        <v>8.430784566929136</v>
      </c>
      <c r="G42">
        <f>(H42/1.39135)*$K$5</f>
        <v>1.4429363377658309</v>
      </c>
      <c r="H42">
        <f>(F42*1.190654)*$L$5</f>
        <v>5.019073683876222</v>
      </c>
      <c r="I42">
        <v>17.3149</v>
      </c>
      <c r="J42">
        <f>D42/(F42/3.362524)</f>
        <v>1.9877262744744741</v>
      </c>
      <c r="K42">
        <f>G42/(H42/1.39135)</f>
        <v>0.4</v>
      </c>
      <c r="L42">
        <f>(H42/1.190654)/F42</f>
        <v>0.5</v>
      </c>
    </row>
    <row r="43">
      <c r="B43">
        <v>38</v>
      </c>
      <c r="C43">
        <v>6</v>
      </c>
      <c r="D43">
        <v>4.98378360960961</v>
      </c>
      <c r="E43">
        <v>3.377196656166666</v>
      </c>
      <c r="F43">
        <v>8.430784566929136</v>
      </c>
      <c r="G43">
        <f>(H43/1.39135)*$K$5</f>
        <v>1.4429363377658309</v>
      </c>
      <c r="H43">
        <f>(F43*1.190654)*$L$5</f>
        <v>5.019073683876222</v>
      </c>
      <c r="I43">
        <v>17.3149</v>
      </c>
      <c r="J43">
        <f>D43/(F43/3.362524)</f>
        <v>1.9877262744744741</v>
      </c>
      <c r="K43">
        <f>G43/(H43/1.39135)</f>
        <v>0.4</v>
      </c>
      <c r="L43">
        <f>(H43/1.190654)/F43</f>
        <v>0.5</v>
      </c>
    </row>
    <row r="44">
      <c r="B44">
        <v>39</v>
      </c>
      <c r="C44">
        <v>6</v>
      </c>
      <c r="D44">
        <v>4.98378360960961</v>
      </c>
      <c r="E44">
        <v>3.377196656166666</v>
      </c>
      <c r="F44">
        <v>8.430784566929136</v>
      </c>
      <c r="G44">
        <f>(H44/1.39135)*$K$5</f>
        <v>1.4429363377658309</v>
      </c>
      <c r="H44">
        <f>(F44*1.190654)*$L$5</f>
        <v>5.019073683876222</v>
      </c>
      <c r="I44">
        <v>17.3149</v>
      </c>
      <c r="J44">
        <f>D44/(F44/3.362524)</f>
        <v>1.9877262744744741</v>
      </c>
      <c r="K44">
        <f>G44/(H44/1.39135)</f>
        <v>0.4</v>
      </c>
      <c r="L44">
        <f>(H44/1.190654)/F44</f>
        <v>0.5</v>
      </c>
    </row>
    <row r="45">
      <c r="B45">
        <v>40</v>
      </c>
      <c r="C45">
        <v>6</v>
      </c>
      <c r="D45">
        <v>4.98378360960961</v>
      </c>
      <c r="E45">
        <v>3.377196656166666</v>
      </c>
      <c r="F45">
        <v>8.430784566929136</v>
      </c>
      <c r="G45">
        <f>(H45/1.39135)*$K$5</f>
        <v>1.4429363377658309</v>
      </c>
      <c r="H45">
        <f>(F45*1.190654)*$L$5</f>
        <v>5.019073683876222</v>
      </c>
      <c r="I45">
        <v>17.3149</v>
      </c>
      <c r="J45">
        <f>D45/(F45/3.362524)</f>
        <v>1.9877262744744741</v>
      </c>
      <c r="K45">
        <f>G45/(H45/1.39135)</f>
        <v>0.4</v>
      </c>
      <c r="L45">
        <f>(H45/1.190654)/F45</f>
        <v>0.5</v>
      </c>
    </row>
    <row r="46">
      <c r="B46">
        <v>41</v>
      </c>
      <c r="C46">
        <v>6</v>
      </c>
      <c r="D46">
        <v>4.98378360960961</v>
      </c>
      <c r="E46">
        <v>3.377196656166666</v>
      </c>
      <c r="F46">
        <v>8.430784566929136</v>
      </c>
      <c r="G46">
        <f>(H46/1.39135)*$K$5</f>
        <v>1.4429363377658309</v>
      </c>
      <c r="H46">
        <f>(F46*1.190654)*$L$5</f>
        <v>5.019073683876222</v>
      </c>
      <c r="I46">
        <v>17.3149</v>
      </c>
      <c r="J46">
        <f>D46/(F46/3.362524)</f>
        <v>1.9877262744744741</v>
      </c>
      <c r="K46">
        <f>G46/(H46/1.39135)</f>
        <v>0.4</v>
      </c>
      <c r="L46">
        <f>(H46/1.190654)/F46</f>
        <v>0.5</v>
      </c>
    </row>
    <row r="47">
      <c r="B47">
        <v>42</v>
      </c>
      <c r="C47">
        <v>6</v>
      </c>
      <c r="D47">
        <v>4.98378360960961</v>
      </c>
      <c r="E47">
        <v>3.377196656166666</v>
      </c>
      <c r="F47">
        <v>8.430784566929136</v>
      </c>
      <c r="G47">
        <f>(H47/1.39135)*$K$5</f>
        <v>1.4429363377658309</v>
      </c>
      <c r="H47">
        <f>(F47*1.190654)*$L$5</f>
        <v>5.019073683876222</v>
      </c>
      <c r="I47">
        <v>17.3149</v>
      </c>
      <c r="J47">
        <f>D47/(F47/3.362524)</f>
        <v>1.9877262744744741</v>
      </c>
      <c r="K47">
        <f>G47/(H47/1.39135)</f>
        <v>0.4</v>
      </c>
      <c r="L47">
        <f>(H47/1.190654)/F47</f>
        <v>0.5</v>
      </c>
    </row>
    <row r="48">
      <c r="B48">
        <v>43</v>
      </c>
      <c r="C48">
        <v>7</v>
      </c>
      <c r="D48">
        <v>4.98378360960961</v>
      </c>
      <c r="E48">
        <v>3.377196656166666</v>
      </c>
      <c r="F48">
        <v>8.430784566929136</v>
      </c>
      <c r="G48">
        <f>(H48/1.39135)*$K$5</f>
        <v>1.4429363377658309</v>
      </c>
      <c r="H48">
        <f>(F48*1.190654)*$L$5</f>
        <v>5.019073683876222</v>
      </c>
      <c r="I48">
        <v>17.3149</v>
      </c>
      <c r="J48">
        <f>D48/(F48/3.362524)</f>
        <v>1.9877262744744741</v>
      </c>
      <c r="K48">
        <f>G48/(H48/1.39135)</f>
        <v>0.4</v>
      </c>
      <c r="L48">
        <f>(H48/1.190654)/F48</f>
        <v>0.5</v>
      </c>
    </row>
    <row r="49">
      <c r="B49">
        <v>44</v>
      </c>
      <c r="C49">
        <v>7</v>
      </c>
      <c r="D49">
        <v>4.98378360960961</v>
      </c>
      <c r="E49">
        <v>3.377196656166666</v>
      </c>
      <c r="F49">
        <v>8.430784566929136</v>
      </c>
      <c r="G49">
        <f>(H49/1.39135)*$K$5</f>
        <v>1.4429363377658309</v>
      </c>
      <c r="H49">
        <f>(F49*1.190654)*$L$5</f>
        <v>5.019073683876222</v>
      </c>
      <c r="I49">
        <v>17.3149</v>
      </c>
      <c r="J49">
        <f>D49/(F49/3.362524)</f>
        <v>1.9877262744744741</v>
      </c>
      <c r="K49">
        <f>G49/(H49/1.39135)</f>
        <v>0.4</v>
      </c>
      <c r="L49">
        <f>(H49/1.190654)/F49</f>
        <v>0.5</v>
      </c>
    </row>
    <row r="50">
      <c r="B50">
        <v>45</v>
      </c>
      <c r="C50">
        <v>7</v>
      </c>
      <c r="D50">
        <v>4.98378360960961</v>
      </c>
      <c r="E50">
        <v>3.377196656166666</v>
      </c>
      <c r="F50">
        <v>8.430784566929136</v>
      </c>
      <c r="G50">
        <f>(H50/1.39135)*$K$5</f>
        <v>1.4429363377658309</v>
      </c>
      <c r="H50">
        <f>(F50*1.190654)*$L$5</f>
        <v>5.019073683876222</v>
      </c>
      <c r="I50">
        <v>17.3149</v>
      </c>
      <c r="J50">
        <f>D50/(F50/3.362524)</f>
        <v>1.9877262744744741</v>
      </c>
      <c r="K50">
        <f>G50/(H50/1.39135)</f>
        <v>0.4</v>
      </c>
      <c r="L50">
        <f>(H50/1.190654)/F50</f>
        <v>0.5</v>
      </c>
    </row>
    <row r="51">
      <c r="B51">
        <v>46</v>
      </c>
      <c r="C51">
        <v>7</v>
      </c>
      <c r="D51">
        <v>7.6141138480146795</v>
      </c>
      <c r="E51">
        <v>4.643645402229166</v>
      </c>
      <c r="F51">
        <v>14.168401841644794</v>
      </c>
      <c r="G51">
        <f>(H51/1.39135)*$K$5</f>
        <v>2.424934678745354</v>
      </c>
      <c r="H51">
        <f>(F51*1.190654)*$L$5</f>
        <v>8.434832163180872</v>
      </c>
      <c r="I51">
        <v>17.3149</v>
      </c>
      <c r="J51">
        <f>D51/(F51/3.362524)</f>
        <v>1.8070238858858854</v>
      </c>
      <c r="K51">
        <f>G51/(H51/1.39135)</f>
        <v>0.4</v>
      </c>
      <c r="L51">
        <f>(H51/1.190654)/F51</f>
        <v>0.5000000000000001</v>
      </c>
    </row>
    <row r="52">
      <c r="B52">
        <v>47</v>
      </c>
      <c r="C52">
        <v>7</v>
      </c>
      <c r="D52">
        <v>7.6141138480146795</v>
      </c>
      <c r="E52">
        <v>4.643645402229166</v>
      </c>
      <c r="F52">
        <v>14.168401841644794</v>
      </c>
      <c r="G52">
        <f>(H52/1.39135)*$K$5</f>
        <v>2.424934678745354</v>
      </c>
      <c r="H52">
        <f>(F52*1.190654)*$L$5</f>
        <v>8.434832163180872</v>
      </c>
      <c r="I52">
        <v>17.3149</v>
      </c>
      <c r="J52">
        <f>D52/(F52/3.362524)</f>
        <v>1.8070238858858854</v>
      </c>
      <c r="K52">
        <f>G52/(H52/1.39135)</f>
        <v>0.4</v>
      </c>
      <c r="L52">
        <f>(H52/1.190654)/F52</f>
        <v>0.5000000000000001</v>
      </c>
    </row>
    <row r="53">
      <c r="B53">
        <v>48</v>
      </c>
      <c r="C53">
        <v>7</v>
      </c>
      <c r="D53">
        <v>7.6141138480146795</v>
      </c>
      <c r="E53">
        <v>4.643645402229166</v>
      </c>
      <c r="F53">
        <v>14.168401841644794</v>
      </c>
      <c r="G53">
        <f>(H53/1.39135)*$K$5</f>
        <v>2.424934678745354</v>
      </c>
      <c r="H53">
        <f>(F53*1.190654)*$L$5</f>
        <v>8.434832163180872</v>
      </c>
      <c r="I53">
        <v>23.426</v>
      </c>
      <c r="J53">
        <f>D53/(F53/3.362524)</f>
        <v>1.8070238858858854</v>
      </c>
      <c r="K53">
        <f>G53/(H53/1.39135)</f>
        <v>0.4</v>
      </c>
      <c r="L53">
        <f>(H53/1.190654)/F53</f>
        <v>0.5000000000000001</v>
      </c>
    </row>
    <row r="54">
      <c r="B54">
        <v>49</v>
      </c>
      <c r="C54">
        <v>7</v>
      </c>
      <c r="D54">
        <v>7.6141138480146795</v>
      </c>
      <c r="E54">
        <v>4.643645402229166</v>
      </c>
      <c r="F54">
        <v>14.168401841644794</v>
      </c>
      <c r="G54">
        <f>(H54/1.39135)*$K$5</f>
        <v>2.424934678745354</v>
      </c>
      <c r="H54">
        <f>(F54*1.190654)*$L$5</f>
        <v>8.434832163180872</v>
      </c>
      <c r="I54">
        <v>23.426</v>
      </c>
      <c r="J54">
        <f>D54/(F54/3.362524)</f>
        <v>1.8070238858858854</v>
      </c>
      <c r="K54">
        <f>G54/(H54/1.39135)</f>
        <v>0.4</v>
      </c>
      <c r="L54">
        <f>(H54/1.190654)/F54</f>
        <v>0.5000000000000001</v>
      </c>
    </row>
    <row r="55">
      <c r="B55">
        <v>50</v>
      </c>
      <c r="C55">
        <v>8</v>
      </c>
      <c r="D55">
        <v>7.6141138480146795</v>
      </c>
      <c r="E55">
        <v>4.643645402229166</v>
      </c>
      <c r="F55">
        <v>14.168401841644794</v>
      </c>
      <c r="G55">
        <f>(H55/1.39135)*$K$5</f>
        <v>2.424934678745354</v>
      </c>
      <c r="H55">
        <f>(F55*1.190654)*$L$5</f>
        <v>8.434832163180872</v>
      </c>
      <c r="I55">
        <v>23.426</v>
      </c>
      <c r="J55">
        <f>D55/(F55/3.362524)</f>
        <v>1.8070238858858854</v>
      </c>
      <c r="K55">
        <f>G55/(H55/1.39135)</f>
        <v>0.4</v>
      </c>
      <c r="L55">
        <f>(H55/1.190654)/F55</f>
        <v>0.5000000000000001</v>
      </c>
    </row>
    <row r="56">
      <c r="B56">
        <v>51</v>
      </c>
      <c r="C56">
        <v>8</v>
      </c>
      <c r="D56">
        <v>7.6141138480146795</v>
      </c>
      <c r="E56">
        <v>4.643645402229166</v>
      </c>
      <c r="F56">
        <v>14.168401841644794</v>
      </c>
      <c r="G56">
        <f>(H56/1.39135)*$K$5</f>
        <v>2.424934678745354</v>
      </c>
      <c r="H56">
        <f>(F56*1.190654)*$L$5</f>
        <v>8.434832163180872</v>
      </c>
      <c r="I56">
        <v>23.426</v>
      </c>
      <c r="J56">
        <f>D56/(F56/3.362524)</f>
        <v>1.8070238858858854</v>
      </c>
      <c r="K56">
        <f>G56/(H56/1.39135)</f>
        <v>0.4</v>
      </c>
      <c r="L56">
        <f>(H56/1.190654)/F56</f>
        <v>0.5000000000000001</v>
      </c>
    </row>
    <row r="57">
      <c r="B57">
        <v>52</v>
      </c>
      <c r="C57">
        <v>8</v>
      </c>
      <c r="D57">
        <v>7.6141138480146795</v>
      </c>
      <c r="E57">
        <v>4.643645402229166</v>
      </c>
      <c r="F57">
        <v>14.168401841644794</v>
      </c>
      <c r="G57">
        <f>(H57/1.39135)*$K$5</f>
        <v>2.424934678745354</v>
      </c>
      <c r="H57">
        <f>(F57*1.190654)*$L$5</f>
        <v>8.434832163180872</v>
      </c>
      <c r="I57">
        <v>23.426</v>
      </c>
      <c r="J57">
        <f>D57/(F57/3.362524)</f>
        <v>1.8070238858858854</v>
      </c>
      <c r="K57">
        <f>G57/(H57/1.39135)</f>
        <v>0.4</v>
      </c>
      <c r="L57">
        <f>(H57/1.190654)/F57</f>
        <v>0.5000000000000001</v>
      </c>
    </row>
    <row r="58">
      <c r="B58">
        <v>53</v>
      </c>
      <c r="C58">
        <v>8</v>
      </c>
      <c r="D58">
        <v>7.6141138480146795</v>
      </c>
      <c r="E58">
        <v>4.643645402229166</v>
      </c>
      <c r="F58">
        <v>14.168401841644794</v>
      </c>
      <c r="G58">
        <f>(H58/1.39135)*$K$5</f>
        <v>2.424934678745354</v>
      </c>
      <c r="H58">
        <f>(F58*1.190654)*$L$5</f>
        <v>8.434832163180872</v>
      </c>
      <c r="I58">
        <v>23.426</v>
      </c>
      <c r="J58">
        <f>D58/(F58/3.362524)</f>
        <v>1.8070238858858854</v>
      </c>
      <c r="K58">
        <f>G58/(H58/1.39135)</f>
        <v>0.4</v>
      </c>
      <c r="L58">
        <f>(H58/1.190654)/F58</f>
        <v>0.5000000000000001</v>
      </c>
    </row>
    <row r="59">
      <c r="B59">
        <v>54</v>
      </c>
      <c r="C59">
        <v>8</v>
      </c>
      <c r="D59">
        <v>7.6141138480146795</v>
      </c>
      <c r="E59">
        <v>4.643645402229166</v>
      </c>
      <c r="F59">
        <v>14.168401841644794</v>
      </c>
      <c r="G59">
        <f>(H59/1.39135)*$K$5</f>
        <v>2.424934678745354</v>
      </c>
      <c r="H59">
        <f>(F59*1.190654)*$L$5</f>
        <v>8.434832163180872</v>
      </c>
      <c r="I59">
        <v>23.426</v>
      </c>
      <c r="J59">
        <f>D59/(F59/3.362524)</f>
        <v>1.8070238858858854</v>
      </c>
      <c r="K59">
        <f>G59/(H59/1.39135)</f>
        <v>0.4</v>
      </c>
      <c r="L59">
        <f>(H59/1.190654)/F59</f>
        <v>0.5000000000000001</v>
      </c>
    </row>
    <row r="60">
      <c r="B60">
        <v>55</v>
      </c>
      <c r="C60">
        <v>8</v>
      </c>
      <c r="D60">
        <v>7.6141138480146795</v>
      </c>
      <c r="E60">
        <v>4.643645402229166</v>
      </c>
      <c r="F60">
        <v>14.168401841644794</v>
      </c>
      <c r="G60">
        <f>(H60/1.39135)*$K$5</f>
        <v>2.424934678745354</v>
      </c>
      <c r="H60">
        <f>(F60*1.190654)*$L$5</f>
        <v>8.434832163180872</v>
      </c>
      <c r="I60">
        <v>23.426</v>
      </c>
      <c r="J60">
        <f>D60/(F60/3.362524)</f>
        <v>1.8070238858858854</v>
      </c>
      <c r="K60">
        <f>G60/(H60/1.39135)</f>
        <v>0.4</v>
      </c>
      <c r="L60">
        <f>(H60/1.190654)/F60</f>
        <v>0.5000000000000001</v>
      </c>
    </row>
    <row r="61">
      <c r="B61">
        <v>56</v>
      </c>
      <c r="C61">
        <v>8</v>
      </c>
      <c r="D61">
        <v>7.6141138480146795</v>
      </c>
      <c r="E61">
        <v>4.643645402229166</v>
      </c>
      <c r="F61">
        <v>14.168401841644794</v>
      </c>
      <c r="G61">
        <f>(H61/1.39135)*$K$5</f>
        <v>2.424934678745354</v>
      </c>
      <c r="H61">
        <f>(F61*1.190654)*$L$5</f>
        <v>8.434832163180872</v>
      </c>
      <c r="I61">
        <v>23.426</v>
      </c>
      <c r="J61">
        <f>D61/(F61/3.362524)</f>
        <v>1.8070238858858854</v>
      </c>
      <c r="K61">
        <f>G61/(H61/1.39135)</f>
        <v>0.4</v>
      </c>
      <c r="L61">
        <f>(H61/1.190654)/F61</f>
        <v>0.5000000000000001</v>
      </c>
    </row>
    <row r="62">
      <c r="B62">
        <v>57</v>
      </c>
      <c r="C62">
        <v>9</v>
      </c>
      <c r="D62">
        <v>7.6141138480146795</v>
      </c>
      <c r="E62">
        <v>4.643645402229166</v>
      </c>
      <c r="F62">
        <v>14.168401841644794</v>
      </c>
      <c r="G62">
        <f>(H62/1.39135)*$K$5</f>
        <v>2.424934678745354</v>
      </c>
      <c r="H62">
        <f>(F62*1.190654)*$L$5</f>
        <v>8.434832163180872</v>
      </c>
      <c r="I62">
        <v>23.426</v>
      </c>
      <c r="J62">
        <f>D62/(F62/3.362524)</f>
        <v>1.8070238858858854</v>
      </c>
      <c r="K62">
        <f>G62/(H62/1.39135)</f>
        <v>0.4</v>
      </c>
      <c r="L62">
        <f>(H62/1.190654)/F62</f>
        <v>0.5000000000000001</v>
      </c>
    </row>
    <row r="63">
      <c r="B63">
        <v>58</v>
      </c>
      <c r="C63">
        <v>9</v>
      </c>
      <c r="D63">
        <v>7.6141138480146795</v>
      </c>
      <c r="E63">
        <v>4.643645402229166</v>
      </c>
      <c r="F63">
        <v>14.168401841644794</v>
      </c>
      <c r="G63">
        <f>(H63/1.39135)*$K$5</f>
        <v>2.424934678745354</v>
      </c>
      <c r="H63">
        <f>(F63*1.190654)*$L$5</f>
        <v>8.434832163180872</v>
      </c>
      <c r="I63">
        <v>23.426</v>
      </c>
      <c r="J63">
        <f>D63/(F63/3.362524)</f>
        <v>1.8070238858858854</v>
      </c>
      <c r="K63">
        <f>G63/(H63/1.39135)</f>
        <v>0.4</v>
      </c>
      <c r="L63">
        <f>(H63/1.190654)/F63</f>
        <v>0.5000000000000001</v>
      </c>
    </row>
    <row r="64">
      <c r="B64">
        <v>59</v>
      </c>
      <c r="C64">
        <v>9</v>
      </c>
      <c r="D64">
        <v>7.6141138480146795</v>
      </c>
      <c r="E64">
        <v>4.643645402229166</v>
      </c>
      <c r="F64">
        <v>14.168401841644794</v>
      </c>
      <c r="G64">
        <f>(H64/1.39135)*$K$5</f>
        <v>2.424934678745354</v>
      </c>
      <c r="H64">
        <f>(F64*1.190654)*$L$5</f>
        <v>8.434832163180872</v>
      </c>
      <c r="I64">
        <v>23.426</v>
      </c>
      <c r="J64">
        <f>D64/(F64/3.362524)</f>
        <v>1.8070238858858854</v>
      </c>
      <c r="K64">
        <f>G64/(H64/1.39135)</f>
        <v>0.4</v>
      </c>
      <c r="L64">
        <f>(H64/1.190654)/F64</f>
        <v>0.5000000000000001</v>
      </c>
    </row>
    <row r="65">
      <c r="B65">
        <v>60</v>
      </c>
      <c r="C65">
        <v>9</v>
      </c>
      <c r="D65">
        <v>7.6141138480146795</v>
      </c>
      <c r="E65">
        <v>4.643645402229166</v>
      </c>
      <c r="F65">
        <v>14.168401841644794</v>
      </c>
      <c r="G65">
        <f>(H65/1.39135)*$K$5</f>
        <v>2.424934678745354</v>
      </c>
      <c r="H65">
        <f>(F65*1.190654)*$L$5</f>
        <v>8.434832163180872</v>
      </c>
      <c r="I65">
        <v>23.426</v>
      </c>
      <c r="J65">
        <f>D65/(F65/3.362524)</f>
        <v>1.8070238858858854</v>
      </c>
      <c r="K65">
        <f>G65/(H65/1.39135)</f>
        <v>0.4</v>
      </c>
      <c r="L65">
        <f>(H65/1.190654)/F65</f>
        <v>0.5000000000000001</v>
      </c>
    </row>
    <row r="66">
      <c r="B66">
        <v>61</v>
      </c>
      <c r="C66">
        <v>9</v>
      </c>
      <c r="D66">
        <v>7.6141138480146795</v>
      </c>
      <c r="E66">
        <v>4.643645402229166</v>
      </c>
      <c r="F66">
        <v>14.168401841644794</v>
      </c>
      <c r="G66">
        <f>(H66/1.39135)*$K$5</f>
        <v>2.424934678745354</v>
      </c>
      <c r="H66">
        <f>(F66*1.190654)*$L$5</f>
        <v>8.434832163180872</v>
      </c>
      <c r="I66">
        <v>23.426</v>
      </c>
      <c r="J66">
        <f>D66/(F66/3.362524)</f>
        <v>1.8070238858858854</v>
      </c>
      <c r="K66">
        <f>G66/(H66/1.39135)</f>
        <v>0.4</v>
      </c>
      <c r="L66">
        <f>(H66/1.190654)/F66</f>
        <v>0.5000000000000001</v>
      </c>
    </row>
    <row r="67">
      <c r="B67">
        <v>62</v>
      </c>
      <c r="C67">
        <v>9</v>
      </c>
      <c r="D67">
        <v>7.6141138480146795</v>
      </c>
      <c r="E67">
        <v>4.643645402229166</v>
      </c>
      <c r="F67">
        <v>14.168401841644794</v>
      </c>
      <c r="G67">
        <f>(H67/1.39135)*$K$5</f>
        <v>2.424934678745354</v>
      </c>
      <c r="H67">
        <f>(F67*1.190654)*$L$5</f>
        <v>8.434832163180872</v>
      </c>
      <c r="I67">
        <v>23.426</v>
      </c>
      <c r="J67">
        <f>D67/(F67/3.362524)</f>
        <v>1.8070238858858854</v>
      </c>
      <c r="K67">
        <f>G67/(H67/1.39135)</f>
        <v>0.4</v>
      </c>
      <c r="L67">
        <f>(H67/1.190654)/F67</f>
        <v>0.5000000000000001</v>
      </c>
    </row>
    <row r="68">
      <c r="B68">
        <v>63</v>
      </c>
      <c r="C68">
        <v>9</v>
      </c>
      <c r="D68">
        <v>7.6141138480146795</v>
      </c>
      <c r="E68">
        <v>4.643645402229166</v>
      </c>
      <c r="F68">
        <v>14.168401841644794</v>
      </c>
      <c r="G68">
        <f>(H68/1.39135)*$K$5</f>
        <v>2.424934678745354</v>
      </c>
      <c r="H68">
        <f>(F68*1.190654)*$L$5</f>
        <v>8.434832163180872</v>
      </c>
      <c r="I68">
        <v>29.5372</v>
      </c>
      <c r="J68">
        <f>D68/(F68/3.362524)</f>
        <v>1.8070238858858854</v>
      </c>
      <c r="K68">
        <f>G68/(H68/1.39135)</f>
        <v>0.4</v>
      </c>
      <c r="L68">
        <f>(H68/1.190654)/F68</f>
        <v>0.5000000000000001</v>
      </c>
    </row>
    <row r="69">
      <c r="B69">
        <v>64</v>
      </c>
      <c r="C69">
        <v>10</v>
      </c>
      <c r="D69">
        <v>8.237086799215882</v>
      </c>
      <c r="E69">
        <v>3.9400627655277782</v>
      </c>
      <c r="F69">
        <v>18.360375279090118</v>
      </c>
      <c r="G69">
        <f>(H69/1.39135)*$K$5</f>
        <v>3.142394691134476</v>
      </c>
      <c r="H69">
        <f>(F69*1.190654)*$L$5</f>
        <v>10.930427133774883</v>
      </c>
      <c r="I69">
        <v>29.5372</v>
      </c>
      <c r="J69">
        <f>D69/(F69/3.362524)</f>
        <v>1.5085422618779492</v>
      </c>
      <c r="K69">
        <f>G69/(H69/1.39135)</f>
        <v>0.4</v>
      </c>
      <c r="L69">
        <f>(H69/1.190654)/F69</f>
        <v>0.5</v>
      </c>
    </row>
    <row r="70">
      <c r="B70">
        <v>65</v>
      </c>
      <c r="C70">
        <v>10</v>
      </c>
      <c r="D70">
        <v>8.237086799215882</v>
      </c>
      <c r="E70">
        <v>3.9400627655277782</v>
      </c>
      <c r="F70">
        <v>18.360375279090118</v>
      </c>
      <c r="G70">
        <f>(H70/1.39135)*$K$5</f>
        <v>3.142394691134476</v>
      </c>
      <c r="H70">
        <f>(F70*1.190654)*$L$5</f>
        <v>10.930427133774883</v>
      </c>
      <c r="I70">
        <v>29.5372</v>
      </c>
      <c r="J70">
        <f>D70/(F70/3.362524)</f>
        <v>1.5085422618779492</v>
      </c>
      <c r="K70">
        <f>G70/(H70/1.39135)</f>
        <v>0.4</v>
      </c>
      <c r="L70">
        <f>(H70/1.190654)/F70</f>
        <v>0.5</v>
      </c>
    </row>
    <row r="71">
      <c r="B71">
        <v>66</v>
      </c>
      <c r="C71">
        <v>10</v>
      </c>
      <c r="D71">
        <v>8.237086799215882</v>
      </c>
      <c r="E71">
        <v>3.9400627655277782</v>
      </c>
      <c r="F71">
        <v>18.360375279090118</v>
      </c>
      <c r="G71">
        <f>(H71/1.39135)*$K$5</f>
        <v>3.142394691134476</v>
      </c>
      <c r="H71">
        <f>(F71*1.190654)*$L$5</f>
        <v>10.930427133774883</v>
      </c>
      <c r="I71">
        <v>29.5372</v>
      </c>
      <c r="J71">
        <f>D71/(F71/3.362524)</f>
        <v>1.5085422618779492</v>
      </c>
      <c r="K71">
        <f>G71/(H71/1.39135)</f>
        <v>0.4</v>
      </c>
      <c r="L71">
        <f>(H71/1.190654)/F71</f>
        <v>0.5</v>
      </c>
    </row>
    <row r="72">
      <c r="B72">
        <v>67</v>
      </c>
      <c r="C72">
        <v>10</v>
      </c>
      <c r="D72">
        <v>8.237086799215882</v>
      </c>
      <c r="E72">
        <v>3.9400627655277782</v>
      </c>
      <c r="F72">
        <v>18.360375279090118</v>
      </c>
      <c r="G72">
        <f>(H72/1.39135)*$K$5</f>
        <v>3.142394691134476</v>
      </c>
      <c r="H72">
        <f>(F72*1.190654)*$L$5</f>
        <v>10.930427133774883</v>
      </c>
      <c r="I72">
        <v>29.5372</v>
      </c>
      <c r="J72">
        <f>D72/(F72/3.362524)</f>
        <v>1.5085422618779492</v>
      </c>
      <c r="K72">
        <f>G72/(H72/1.39135)</f>
        <v>0.4</v>
      </c>
      <c r="L72">
        <f>(H72/1.190654)/F72</f>
        <v>0.5</v>
      </c>
    </row>
    <row r="73">
      <c r="B73">
        <v>68</v>
      </c>
      <c r="C73">
        <v>10</v>
      </c>
      <c r="D73">
        <v>8.237086799215882</v>
      </c>
      <c r="E73">
        <v>3.9400627655277782</v>
      </c>
      <c r="F73">
        <v>18.360375279090118</v>
      </c>
      <c r="G73">
        <f>(H73/1.39135)*$K$5</f>
        <v>3.142394691134476</v>
      </c>
      <c r="H73">
        <f>(F73*1.190654)*$L$5</f>
        <v>10.930427133774883</v>
      </c>
      <c r="I73">
        <v>29.5372</v>
      </c>
      <c r="J73">
        <f>D73/(F73/3.362524)</f>
        <v>1.5085422618779492</v>
      </c>
      <c r="K73">
        <f>G73/(H73/1.39135)</f>
        <v>0.4</v>
      </c>
      <c r="L73">
        <f>(H73/1.190654)/F73</f>
        <v>0.5</v>
      </c>
    </row>
    <row r="74">
      <c r="B74">
        <v>69</v>
      </c>
      <c r="C74">
        <v>10</v>
      </c>
      <c r="D74">
        <v>8.237086799215882</v>
      </c>
      <c r="E74">
        <v>3.9400627655277782</v>
      </c>
      <c r="F74">
        <v>18.360375279090118</v>
      </c>
      <c r="G74">
        <f>(H74/1.39135)*$K$5</f>
        <v>3.142394691134476</v>
      </c>
      <c r="H74">
        <f>(F74*1.190654)*$L$5</f>
        <v>10.930427133774883</v>
      </c>
      <c r="I74">
        <v>29.5372</v>
      </c>
      <c r="J74">
        <f>D74/(F74/3.362524)</f>
        <v>1.5085422618779492</v>
      </c>
      <c r="K74">
        <f>G74/(H74/1.39135)</f>
        <v>0.4</v>
      </c>
      <c r="L74">
        <f>(H74/1.190654)/F74</f>
        <v>0.5</v>
      </c>
    </row>
    <row r="75">
      <c r="B75">
        <v>70</v>
      </c>
      <c r="C75">
        <v>10</v>
      </c>
      <c r="D75">
        <v>8.237086799215882</v>
      </c>
      <c r="E75">
        <v>3.9400627655277782</v>
      </c>
      <c r="F75">
        <v>18.360375279090118</v>
      </c>
      <c r="G75">
        <f>(H75/1.39135)*$K$5</f>
        <v>3.142394691134476</v>
      </c>
      <c r="H75">
        <f>(F75*1.190654)*$L$5</f>
        <v>10.930427133774883</v>
      </c>
      <c r="I75">
        <v>29.5372</v>
      </c>
      <c r="J75">
        <f>D75/(F75/3.362524)</f>
        <v>1.5085422618779492</v>
      </c>
      <c r="K75">
        <f>G75/(H75/1.39135)</f>
        <v>0.4</v>
      </c>
      <c r="L75">
        <f>(H75/1.190654)/F75</f>
        <v>0.5</v>
      </c>
    </row>
    <row r="76">
      <c r="B76">
        <v>71</v>
      </c>
      <c r="C76">
        <v>11</v>
      </c>
      <c r="D76">
        <v>8.237086799215882</v>
      </c>
      <c r="E76">
        <v>3.9400627655277782</v>
      </c>
      <c r="F76">
        <v>18.360375279090118</v>
      </c>
      <c r="G76">
        <f>(H76/1.39135)*$K$5</f>
        <v>3.142394691134476</v>
      </c>
      <c r="H76">
        <f>(F76*1.190654)*$L$5</f>
        <v>10.930427133774883</v>
      </c>
      <c r="I76">
        <v>29.5372</v>
      </c>
      <c r="J76">
        <f>D76/(F76/3.362524)</f>
        <v>1.5085422618779492</v>
      </c>
      <c r="K76">
        <f>G76/(H76/1.39135)</f>
        <v>0.4</v>
      </c>
      <c r="L76">
        <f>(H76/1.190654)/F76</f>
        <v>0.5</v>
      </c>
    </row>
    <row r="77">
      <c r="B77">
        <v>72</v>
      </c>
      <c r="C77">
        <v>11</v>
      </c>
      <c r="D77">
        <v>8.237086799215882</v>
      </c>
      <c r="E77">
        <v>3.9400627655277782</v>
      </c>
      <c r="F77">
        <v>18.360375279090118</v>
      </c>
      <c r="G77">
        <f>(H77/1.39135)*$K$5</f>
        <v>3.142394691134476</v>
      </c>
      <c r="H77">
        <f>(F77*1.190654)*$L$5</f>
        <v>10.930427133774883</v>
      </c>
      <c r="I77">
        <v>29.5372</v>
      </c>
      <c r="J77">
        <f>D77/(F77/3.362524)</f>
        <v>1.5085422618779492</v>
      </c>
      <c r="K77">
        <f>G77/(H77/1.39135)</f>
        <v>0.4</v>
      </c>
      <c r="L77">
        <f>(H77/1.190654)/F77</f>
        <v>0.5</v>
      </c>
    </row>
    <row r="78">
      <c r="B78">
        <v>73</v>
      </c>
      <c r="C78">
        <v>11</v>
      </c>
      <c r="D78">
        <v>8.237086799215882</v>
      </c>
      <c r="E78">
        <v>3.9400627655277782</v>
      </c>
      <c r="F78">
        <v>18.360375279090118</v>
      </c>
      <c r="G78">
        <f>(H78/1.39135)*$K$5</f>
        <v>3.142394691134476</v>
      </c>
      <c r="H78">
        <f>(F78*1.190654)*$L$5</f>
        <v>10.930427133774883</v>
      </c>
      <c r="I78">
        <v>29.5372</v>
      </c>
      <c r="J78">
        <f>D78/(F78/3.362524)</f>
        <v>1.5085422618779492</v>
      </c>
      <c r="K78">
        <f>G78/(H78/1.39135)</f>
        <v>0.4</v>
      </c>
      <c r="L78">
        <f>(H78/1.190654)/F78</f>
        <v>0.5</v>
      </c>
    </row>
    <row r="79">
      <c r="B79">
        <v>74</v>
      </c>
      <c r="C79">
        <v>11</v>
      </c>
      <c r="D79">
        <v>8.237086799215882</v>
      </c>
      <c r="E79">
        <v>3.9400627655277782</v>
      </c>
      <c r="F79">
        <v>18.360375279090118</v>
      </c>
      <c r="G79">
        <f>(H79/1.39135)*$K$5</f>
        <v>3.142394691134476</v>
      </c>
      <c r="H79">
        <f>(F79*1.190654)*$L$5</f>
        <v>10.930427133774883</v>
      </c>
      <c r="I79">
        <v>29.5372</v>
      </c>
      <c r="J79">
        <f>D79/(F79/3.362524)</f>
        <v>1.5085422618779492</v>
      </c>
      <c r="K79">
        <f>G79/(H79/1.39135)</f>
        <v>0.4</v>
      </c>
      <c r="L79">
        <f>(H79/1.190654)/F79</f>
        <v>0.5</v>
      </c>
    </row>
    <row r="80">
      <c r="B80">
        <v>75</v>
      </c>
      <c r="C80">
        <v>11</v>
      </c>
      <c r="D80">
        <v>8.237086799215882</v>
      </c>
      <c r="E80">
        <v>3.9400627655277782</v>
      </c>
      <c r="F80">
        <v>18.360375279090118</v>
      </c>
      <c r="G80">
        <f>(H80/1.39135)*$K$5</f>
        <v>3.142394691134476</v>
      </c>
      <c r="H80">
        <f>(F80*1.190654)*$L$5</f>
        <v>10.930427133774883</v>
      </c>
      <c r="I80">
        <v>29.5372</v>
      </c>
      <c r="J80">
        <f>D80/(F80/3.362524)</f>
        <v>1.5085422618779492</v>
      </c>
      <c r="K80">
        <f>G80/(H80/1.39135)</f>
        <v>0.4</v>
      </c>
      <c r="L80">
        <f>(H80/1.190654)/F80</f>
        <v>0.5</v>
      </c>
    </row>
    <row r="81">
      <c r="B81">
        <v>76</v>
      </c>
      <c r="C81">
        <v>11</v>
      </c>
      <c r="D81">
        <v>8.237086799215882</v>
      </c>
      <c r="E81">
        <v>3.9400627655277782</v>
      </c>
      <c r="F81">
        <v>18.360375279090118</v>
      </c>
      <c r="G81">
        <f>(H81/1.39135)*$K$5</f>
        <v>3.142394691134476</v>
      </c>
      <c r="H81">
        <f>(F81*1.190654)*$L$5</f>
        <v>10.930427133774883</v>
      </c>
      <c r="I81">
        <v>29.5372</v>
      </c>
      <c r="J81">
        <f>D81/(F81/3.362524)</f>
        <v>1.5085422618779492</v>
      </c>
      <c r="K81">
        <f>G81/(H81/1.39135)</f>
        <v>0.4</v>
      </c>
      <c r="L81">
        <f>(H81/1.190654)/F81</f>
        <v>0.5</v>
      </c>
    </row>
    <row r="82">
      <c r="B82">
        <v>77</v>
      </c>
      <c r="C82">
        <v>11</v>
      </c>
      <c r="D82">
        <v>8.237086799215882</v>
      </c>
      <c r="E82">
        <v>3.9400627655277782</v>
      </c>
      <c r="F82">
        <v>18.360375279090118</v>
      </c>
      <c r="G82">
        <f>(H82/1.39135)*$K$5</f>
        <v>3.142394691134476</v>
      </c>
      <c r="H82">
        <f>(F82*1.190654)*$L$5</f>
        <v>10.930427133774883</v>
      </c>
      <c r="I82">
        <v>29.5372</v>
      </c>
      <c r="J82">
        <f>D82/(F82/3.362524)</f>
        <v>1.5085422618779492</v>
      </c>
      <c r="K82">
        <f>G82/(H82/1.39135)</f>
        <v>0.4</v>
      </c>
      <c r="L82">
        <f>(H82/1.190654)/F82</f>
        <v>0.5</v>
      </c>
    </row>
    <row r="83">
      <c r="B83">
        <v>78</v>
      </c>
      <c r="C83">
        <v>12</v>
      </c>
      <c r="D83">
        <v>8.237086799215882</v>
      </c>
      <c r="E83">
        <v>3.9400627655277782</v>
      </c>
      <c r="F83">
        <v>18.360375279090118</v>
      </c>
      <c r="G83">
        <f>(H83/1.39135)*$K$5</f>
        <v>3.142394691134476</v>
      </c>
      <c r="H83">
        <f>(F83*1.190654)*$L$5</f>
        <v>10.930427133774883</v>
      </c>
      <c r="I83">
        <v>29.5372</v>
      </c>
      <c r="J83">
        <f>D83/(F83/3.362524)</f>
        <v>1.5085422618779492</v>
      </c>
      <c r="K83">
        <f>G83/(H83/1.39135)</f>
        <v>0.4</v>
      </c>
      <c r="L83">
        <f>(H83/1.190654)/F83</f>
        <v>0.5</v>
      </c>
    </row>
    <row r="84">
      <c r="B84">
        <v>79</v>
      </c>
      <c r="C84">
        <v>12</v>
      </c>
      <c r="D84">
        <v>8.237086799215882</v>
      </c>
      <c r="E84">
        <v>3.9400627655277782</v>
      </c>
      <c r="F84">
        <v>18.360375279090118</v>
      </c>
      <c r="G84">
        <f>(H84/1.39135)*$K$5</f>
        <v>3.142394691134476</v>
      </c>
      <c r="H84">
        <f>(F84*1.190654)*$L$5</f>
        <v>10.930427133774883</v>
      </c>
      <c r="I84">
        <v>29.5372</v>
      </c>
      <c r="J84">
        <f>D84/(F84/3.362524)</f>
        <v>1.5085422618779492</v>
      </c>
      <c r="K84">
        <f>G84/(H84/1.39135)</f>
        <v>0.4</v>
      </c>
      <c r="L84">
        <f>(H84/1.190654)/F84</f>
        <v>0.5</v>
      </c>
    </row>
    <row r="85">
      <c r="B85">
        <v>80</v>
      </c>
      <c r="C85">
        <v>12</v>
      </c>
      <c r="D85">
        <v>8.237086799215882</v>
      </c>
      <c r="E85">
        <v>3.9400627655277782</v>
      </c>
      <c r="F85">
        <v>18.360375279090118</v>
      </c>
      <c r="G85">
        <f>(H85/1.39135)*$K$5</f>
        <v>3.142394691134476</v>
      </c>
      <c r="H85">
        <f>(F85*1.190654)*$L$5</f>
        <v>10.930427133774883</v>
      </c>
      <c r="I85">
        <v>29.5372</v>
      </c>
      <c r="J85">
        <f>D85/(F85/3.362524)</f>
        <v>1.5085422618779492</v>
      </c>
      <c r="K85">
        <f>G85/(H85/1.39135)</f>
        <v>0.4</v>
      </c>
      <c r="L85">
        <f>(H85/1.190654)/F85</f>
        <v>0.5</v>
      </c>
    </row>
    <row r="86">
      <c r="B86">
        <v>81</v>
      </c>
      <c r="C86">
        <v>12</v>
      </c>
      <c r="D86">
        <v>8.23708679921588</v>
      </c>
      <c r="E86">
        <v>4.784361929569444</v>
      </c>
      <c r="F86">
        <v>19.906019116360458</v>
      </c>
      <c r="G86">
        <f>(H86/1.39135)*$K$5</f>
        <v>3.406933019724878</v>
      </c>
      <c r="H86">
        <f>(F86*1.190654)*$L$5</f>
        <v>11.850590642485523</v>
      </c>
      <c r="I86">
        <v>35.6483</v>
      </c>
      <c r="J86">
        <f>D86/(F86/3.362524)</f>
        <v>1.3914083921321316</v>
      </c>
      <c r="K86">
        <f>G86/(H86/1.39135)</f>
        <v>0.4</v>
      </c>
      <c r="L86">
        <f>(H86/1.190654)/F86</f>
        <v>0.5</v>
      </c>
    </row>
    <row r="87">
      <c r="B87">
        <v>82</v>
      </c>
      <c r="C87">
        <v>12</v>
      </c>
      <c r="D87">
        <v>8.23708679921588</v>
      </c>
      <c r="E87">
        <v>4.784361929569444</v>
      </c>
      <c r="F87">
        <v>19.906019116360458</v>
      </c>
      <c r="G87">
        <f>(H87/1.39135)*$K$5</f>
        <v>3.406933019724878</v>
      </c>
      <c r="H87">
        <f>(F87*1.190654)*$L$5</f>
        <v>11.850590642485523</v>
      </c>
      <c r="I87">
        <v>35.6483</v>
      </c>
      <c r="J87">
        <f>D87/(F87/3.362524)</f>
        <v>1.3914083921321316</v>
      </c>
      <c r="K87">
        <f>G87/(H87/1.39135)</f>
        <v>0.4</v>
      </c>
      <c r="L87">
        <f>(H87/1.190654)/F87</f>
        <v>0.5</v>
      </c>
    </row>
    <row r="88">
      <c r="B88">
        <v>83</v>
      </c>
      <c r="C88">
        <v>12</v>
      </c>
      <c r="D88">
        <v>8.23708679921588</v>
      </c>
      <c r="E88">
        <v>4.784361929569444</v>
      </c>
      <c r="F88">
        <v>19.906019116360458</v>
      </c>
      <c r="G88">
        <f>(H88/1.39135)*$K$5</f>
        <v>3.406933019724878</v>
      </c>
      <c r="H88">
        <f>(F88*1.190654)*$L$5</f>
        <v>11.850590642485523</v>
      </c>
      <c r="I88">
        <v>35.6483</v>
      </c>
      <c r="J88">
        <f>D88/(F88/3.362524)</f>
        <v>1.3914083921321316</v>
      </c>
      <c r="K88">
        <f>G88/(H88/1.39135)</f>
        <v>0.4</v>
      </c>
      <c r="L88">
        <f>(H88/1.190654)/F88</f>
        <v>0.5</v>
      </c>
    </row>
    <row r="89">
      <c r="B89">
        <v>84</v>
      </c>
      <c r="C89">
        <v>12</v>
      </c>
      <c r="D89">
        <v>8.23708679921588</v>
      </c>
      <c r="E89">
        <v>4.784361929569444</v>
      </c>
      <c r="F89">
        <v>19.906019116360458</v>
      </c>
      <c r="G89">
        <f>(H89/1.39135)*$K$5</f>
        <v>3.406933019724878</v>
      </c>
      <c r="H89">
        <f>(F89*1.190654)*$L$5</f>
        <v>11.850590642485523</v>
      </c>
      <c r="I89">
        <v>35.6483</v>
      </c>
      <c r="J89">
        <f>D89/(F89/3.362524)</f>
        <v>1.3914083921321316</v>
      </c>
      <c r="K89">
        <f>G89/(H89/1.39135)</f>
        <v>0.4</v>
      </c>
      <c r="L89">
        <f>(H89/1.190654)/F89</f>
        <v>0.5</v>
      </c>
    </row>
    <row r="90">
      <c r="B90">
        <v>85</v>
      </c>
      <c r="C90">
        <v>13</v>
      </c>
      <c r="D90">
        <v>8.23708679921588</v>
      </c>
      <c r="E90">
        <v>4.784361929569444</v>
      </c>
      <c r="F90">
        <v>19.906019116360458</v>
      </c>
      <c r="G90">
        <f>(H90/1.39135)*$K$5</f>
        <v>3.406933019724878</v>
      </c>
      <c r="H90">
        <f>(F90*1.190654)*$L$5</f>
        <v>11.850590642485523</v>
      </c>
      <c r="I90">
        <v>35.6483</v>
      </c>
      <c r="J90">
        <f>D90/(F90/3.362524)</f>
        <v>1.3914083921321316</v>
      </c>
      <c r="K90">
        <f>G90/(H90/1.39135)</f>
        <v>0.4</v>
      </c>
      <c r="L90">
        <f>(H90/1.190654)/F90</f>
        <v>0.5</v>
      </c>
    </row>
    <row r="91">
      <c r="B91">
        <v>86</v>
      </c>
      <c r="C91">
        <v>13</v>
      </c>
      <c r="D91">
        <v>8.23708679921588</v>
      </c>
      <c r="E91">
        <v>4.784361929569444</v>
      </c>
      <c r="F91">
        <v>19.906019116360458</v>
      </c>
      <c r="G91">
        <f>(H91/1.39135)*$K$5</f>
        <v>3.406933019724878</v>
      </c>
      <c r="H91">
        <f>(F91*1.190654)*$L$5</f>
        <v>11.850590642485523</v>
      </c>
      <c r="I91">
        <v>35.6483</v>
      </c>
      <c r="J91">
        <f>D91/(F91/3.362524)</f>
        <v>1.3914083921321316</v>
      </c>
      <c r="K91">
        <f>G91/(H91/1.39135)</f>
        <v>0.4</v>
      </c>
      <c r="L91">
        <f>(H91/1.190654)/F91</f>
        <v>0.5</v>
      </c>
    </row>
    <row r="92">
      <c r="B92">
        <v>87</v>
      </c>
      <c r="C92">
        <v>13</v>
      </c>
      <c r="D92">
        <v>8.23708679921588</v>
      </c>
      <c r="E92">
        <v>4.784361929569444</v>
      </c>
      <c r="F92">
        <v>19.906019116360458</v>
      </c>
      <c r="G92">
        <f>(H92/1.39135)*$K$5</f>
        <v>3.406933019724878</v>
      </c>
      <c r="H92">
        <f>(F92*1.190654)*$L$5</f>
        <v>11.850590642485523</v>
      </c>
      <c r="I92">
        <v>35.6483</v>
      </c>
      <c r="J92">
        <f>D92/(F92/3.362524)</f>
        <v>1.3914083921321316</v>
      </c>
      <c r="K92">
        <f>G92/(H92/1.39135)</f>
        <v>0.4</v>
      </c>
      <c r="L92">
        <f>(H92/1.190654)/F92</f>
        <v>0.5</v>
      </c>
    </row>
    <row r="93">
      <c r="B93">
        <v>88</v>
      </c>
      <c r="C93">
        <v>13</v>
      </c>
      <c r="D93">
        <v>8.23708679921588</v>
      </c>
      <c r="E93">
        <v>4.784361929569444</v>
      </c>
      <c r="F93">
        <v>19.906019116360458</v>
      </c>
      <c r="G93">
        <f>(H93/1.39135)*$K$5</f>
        <v>3.406933019724878</v>
      </c>
      <c r="H93">
        <f>(F93*1.190654)*$L$5</f>
        <v>11.850590642485523</v>
      </c>
      <c r="I93">
        <v>35.6483</v>
      </c>
      <c r="J93">
        <f>D93/(F93/3.362524)</f>
        <v>1.3914083921321316</v>
      </c>
      <c r="K93">
        <f>G93/(H93/1.39135)</f>
        <v>0.4</v>
      </c>
      <c r="L93">
        <f>(H93/1.190654)/F93</f>
        <v>0.5</v>
      </c>
    </row>
    <row r="94">
      <c r="B94">
        <v>89</v>
      </c>
      <c r="C94">
        <v>13</v>
      </c>
      <c r="D94">
        <v>8.23708679921588</v>
      </c>
      <c r="E94">
        <v>4.784361929569444</v>
      </c>
      <c r="F94">
        <v>19.906019116360458</v>
      </c>
      <c r="G94">
        <f>(H94/1.39135)*$K$5</f>
        <v>3.406933019724878</v>
      </c>
      <c r="H94">
        <f>(F94*1.190654)*$L$5</f>
        <v>11.850590642485523</v>
      </c>
      <c r="I94">
        <v>35.6483</v>
      </c>
      <c r="J94">
        <f>D94/(F94/3.362524)</f>
        <v>1.3914083921321316</v>
      </c>
      <c r="K94">
        <f>G94/(H94/1.39135)</f>
        <v>0.4</v>
      </c>
      <c r="L94">
        <f>(H94/1.190654)/F94</f>
        <v>0.5</v>
      </c>
    </row>
    <row r="95">
      <c r="B95">
        <v>90</v>
      </c>
      <c r="C95">
        <v>13</v>
      </c>
      <c r="D95">
        <v>8.23708679921588</v>
      </c>
      <c r="E95">
        <v>4.784361929569444</v>
      </c>
      <c r="F95">
        <v>19.906019116360458</v>
      </c>
      <c r="G95">
        <f>(H95/1.39135)*$K$5</f>
        <v>3.406933019724878</v>
      </c>
      <c r="H95">
        <f>(F95*1.190654)*$L$5</f>
        <v>11.850590642485523</v>
      </c>
      <c r="I95">
        <v>35.6483</v>
      </c>
      <c r="J95">
        <f>D95/(F95/3.362524)</f>
        <v>1.3914083921321316</v>
      </c>
      <c r="K95">
        <f>G95/(H95/1.39135)</f>
        <v>0.4</v>
      </c>
      <c r="L95">
        <f>(H95/1.190654)/F95</f>
        <v>0.5</v>
      </c>
    </row>
    <row r="96">
      <c r="B96">
        <v>91</v>
      </c>
      <c r="C96">
        <v>13</v>
      </c>
      <c r="D96">
        <v>8.23708679921588</v>
      </c>
      <c r="E96">
        <v>4.784361929569444</v>
      </c>
      <c r="F96">
        <v>19.906019116360458</v>
      </c>
      <c r="G96">
        <f>(H96/1.39135)*$K$5</f>
        <v>3.406933019724878</v>
      </c>
      <c r="H96">
        <f>(F96*1.190654)*$L$5</f>
        <v>11.850590642485523</v>
      </c>
      <c r="I96">
        <v>35.6483</v>
      </c>
      <c r="J96">
        <f>D96/(F96/3.362524)</f>
        <v>1.3914083921321316</v>
      </c>
      <c r="K96">
        <f>G96/(H96/1.39135)</f>
        <v>0.4</v>
      </c>
      <c r="L96">
        <f>(H96/1.190654)/F96</f>
        <v>0.5</v>
      </c>
    </row>
    <row r="97">
      <c r="B97">
        <v>92</v>
      </c>
      <c r="C97">
        <v>14</v>
      </c>
      <c r="D97">
        <v>8.23708679921588</v>
      </c>
      <c r="E97">
        <v>4.784361929569444</v>
      </c>
      <c r="F97">
        <v>19.906019116360458</v>
      </c>
      <c r="G97">
        <f>(H97/1.39135)*$K$5</f>
        <v>3.406933019724878</v>
      </c>
      <c r="H97">
        <f>(F97*1.190654)*$L$5</f>
        <v>11.850590642485523</v>
      </c>
      <c r="I97">
        <v>35.6483</v>
      </c>
      <c r="J97">
        <f>D97/(F97/3.362524)</f>
        <v>1.3914083921321316</v>
      </c>
      <c r="K97">
        <f>G97/(H97/1.39135)</f>
        <v>0.4</v>
      </c>
      <c r="L97">
        <f>(H97/1.190654)/F97</f>
        <v>0.5</v>
      </c>
    </row>
    <row r="98">
      <c r="B98">
        <v>93</v>
      </c>
      <c r="C98">
        <v>14</v>
      </c>
      <c r="D98">
        <v>8.23708679921588</v>
      </c>
      <c r="E98">
        <v>4.784361929569444</v>
      </c>
      <c r="F98">
        <v>19.906019116360458</v>
      </c>
      <c r="G98">
        <f>(H98/1.39135)*$K$5</f>
        <v>3.406933019724878</v>
      </c>
      <c r="H98">
        <f>(F98*1.190654)*$L$5</f>
        <v>11.850590642485523</v>
      </c>
      <c r="I98">
        <v>35.6483</v>
      </c>
      <c r="J98">
        <f>D98/(F98/3.362524)</f>
        <v>1.3914083921321316</v>
      </c>
      <c r="K98">
        <f>G98/(H98/1.39135)</f>
        <v>0.4</v>
      </c>
      <c r="L98">
        <f>(H98/1.190654)/F98</f>
        <v>0.5</v>
      </c>
    </row>
    <row r="99">
      <c r="B99">
        <v>94</v>
      </c>
      <c r="C99">
        <v>14</v>
      </c>
      <c r="D99">
        <v>8.23708679921588</v>
      </c>
      <c r="E99">
        <v>4.784361929569444</v>
      </c>
      <c r="F99">
        <v>19.906019116360458</v>
      </c>
      <c r="G99">
        <f>(H99/1.39135)*$K$5</f>
        <v>3.406933019724878</v>
      </c>
      <c r="H99">
        <f>(F99*1.190654)*$L$5</f>
        <v>11.850590642485523</v>
      </c>
      <c r="I99">
        <v>35.6483</v>
      </c>
      <c r="J99">
        <f>D99/(F99/3.362524)</f>
        <v>1.3914083921321316</v>
      </c>
      <c r="K99">
        <f>G99/(H99/1.39135)</f>
        <v>0.4</v>
      </c>
      <c r="L99">
        <f>(H99/1.190654)/F99</f>
        <v>0.5</v>
      </c>
    </row>
    <row r="100">
      <c r="B100">
        <v>95</v>
      </c>
      <c r="C100">
        <v>14</v>
      </c>
      <c r="D100">
        <v>8.23708679921588</v>
      </c>
      <c r="E100">
        <v>4.784361929569444</v>
      </c>
      <c r="F100">
        <v>19.906019116360458</v>
      </c>
      <c r="G100">
        <f>(H100/1.39135)*$K$5</f>
        <v>3.406933019724878</v>
      </c>
      <c r="H100">
        <f>(F100*1.190654)*$L$5</f>
        <v>11.850590642485523</v>
      </c>
      <c r="I100">
        <v>35.6483</v>
      </c>
      <c r="J100">
        <f>D100/(F100/3.362524)</f>
        <v>1.3914083921321316</v>
      </c>
      <c r="K100">
        <f>G100/(H100/1.39135)</f>
        <v>0.4</v>
      </c>
      <c r="L100">
        <f>(H100/1.190654)/F100</f>
        <v>0.5</v>
      </c>
    </row>
    <row r="101">
      <c r="B101">
        <v>96</v>
      </c>
      <c r="C101">
        <v>14</v>
      </c>
      <c r="D101">
        <v>8.23708679921588</v>
      </c>
      <c r="E101">
        <v>4.784361929569444</v>
      </c>
      <c r="F101">
        <v>19.906019116360458</v>
      </c>
      <c r="G101">
        <f>(H101/1.39135)*$K$5</f>
        <v>3.406933019724878</v>
      </c>
      <c r="H101">
        <f>(F101*1.190654)*$L$5</f>
        <v>11.850590642485523</v>
      </c>
      <c r="I101">
        <v>35.6483</v>
      </c>
      <c r="J101">
        <f>D101/(F101/3.362524)</f>
        <v>1.3914083921321316</v>
      </c>
      <c r="K101">
        <f>G101/(H101/1.39135)</f>
        <v>0.4</v>
      </c>
      <c r="L101">
        <f>(H101/1.190654)/F101</f>
        <v>0.5</v>
      </c>
    </row>
    <row r="102">
      <c r="B102">
        <v>97</v>
      </c>
      <c r="C102">
        <v>14</v>
      </c>
      <c r="D102">
        <v>8.23708679921588</v>
      </c>
      <c r="E102">
        <v>4.784361929569444</v>
      </c>
      <c r="F102">
        <v>19.906019116360458</v>
      </c>
      <c r="G102">
        <f>(H102/1.39135)*$K$5</f>
        <v>3.406933019724878</v>
      </c>
      <c r="H102">
        <f>(F102*1.190654)*$L$5</f>
        <v>11.850590642485523</v>
      </c>
      <c r="I102">
        <v>35.6483</v>
      </c>
      <c r="J102">
        <f>D102/(F102/3.362524)</f>
        <v>1.3914083921321316</v>
      </c>
      <c r="K102">
        <f>G102/(H102/1.39135)</f>
        <v>0.4</v>
      </c>
      <c r="L102">
        <f>(H102/1.190654)/F102</f>
        <v>0.5</v>
      </c>
    </row>
    <row r="103">
      <c r="B103">
        <v>98</v>
      </c>
      <c r="C103">
        <v>14</v>
      </c>
      <c r="D103">
        <v>8.23708679921588</v>
      </c>
      <c r="E103">
        <v>4.784361929569444</v>
      </c>
      <c r="F103">
        <v>19.906019116360458</v>
      </c>
      <c r="G103">
        <f>(H103/1.39135)*$K$5</f>
        <v>3.406933019724878</v>
      </c>
      <c r="H103">
        <f>(F103*1.190654)*$L$5</f>
        <v>11.850590642485523</v>
      </c>
      <c r="I103">
        <v>35.6483</v>
      </c>
      <c r="J103">
        <f>D103/(F103/3.362524)</f>
        <v>1.3914083921321316</v>
      </c>
      <c r="K103">
        <f>G103/(H103/1.39135)</f>
        <v>0.4</v>
      </c>
      <c r="L103">
        <f>(H103/1.190654)/F103</f>
        <v>0.5</v>
      </c>
    </row>
    <row r="104">
      <c r="B104">
        <v>99</v>
      </c>
      <c r="C104">
        <v>15</v>
      </c>
      <c r="D104">
        <v>8.23708679921588</v>
      </c>
      <c r="E104">
        <v>4.784361929569444</v>
      </c>
      <c r="F104">
        <v>19.906019116360458</v>
      </c>
      <c r="G104">
        <f>(H104/1.39135)*$K$5</f>
        <v>3.406933019724878</v>
      </c>
      <c r="H104">
        <f>(F104*1.190654)*$L$5</f>
        <v>11.850590642485523</v>
      </c>
      <c r="I104">
        <v>35.6483</v>
      </c>
      <c r="J104">
        <f>D104/(F104/3.362524)</f>
        <v>1.3914083921321316</v>
      </c>
      <c r="K104">
        <f>G104/(H104/1.39135)</f>
        <v>0.4</v>
      </c>
      <c r="L104">
        <f>(H104/1.190654)/F104</f>
        <v>0.5</v>
      </c>
    </row>
    <row r="105">
      <c r="B105">
        <v>100</v>
      </c>
      <c r="C105">
        <v>15</v>
      </c>
      <c r="D105">
        <v>8.23708679921588</v>
      </c>
      <c r="E105">
        <v>4.784361929569444</v>
      </c>
      <c r="F105">
        <v>19.906019116360458</v>
      </c>
      <c r="G105">
        <f>(H105/1.39135)*$K$5</f>
        <v>3.406933019724878</v>
      </c>
      <c r="H105">
        <f>(F105*1.190654)*$L$5</f>
        <v>11.850590642485523</v>
      </c>
      <c r="I105">
        <v>35.6483</v>
      </c>
      <c r="J105">
        <f>D105/(F105/3.362524)</f>
        <v>1.3914083921321316</v>
      </c>
      <c r="K105">
        <f>G105/(H105/1.39135)</f>
        <v>0.4</v>
      </c>
      <c r="L105">
        <f>(H105/1.190654)/F105</f>
        <v>0.5</v>
      </c>
    </row>
    <row r="106">
      <c r="B106">
        <v>101</v>
      </c>
      <c r="C106">
        <v>15</v>
      </c>
      <c r="D106">
        <v>8.23708679921588</v>
      </c>
      <c r="E106">
        <v>4.784361929569444</v>
      </c>
      <c r="F106">
        <v>19.906019116360458</v>
      </c>
      <c r="G106">
        <f>(H106/1.39135)*$K$5</f>
        <v>3.406933019724878</v>
      </c>
      <c r="H106">
        <f>(F106*1.190654)*$L$5</f>
        <v>11.850590642485523</v>
      </c>
      <c r="I106">
        <v>35.6483</v>
      </c>
      <c r="J106">
        <f>D106/(F106/3.362524)</f>
        <v>1.3914083921321316</v>
      </c>
      <c r="K106">
        <f>G106/(H106/1.39135)</f>
        <v>0.4</v>
      </c>
      <c r="L106">
        <f>(H106/1.190654)/F106</f>
        <v>0.5</v>
      </c>
    </row>
    <row r="107">
      <c r="B107">
        <v>102</v>
      </c>
      <c r="C107">
        <v>15</v>
      </c>
      <c r="D107">
        <v>8.23708679921588</v>
      </c>
      <c r="E107">
        <v>4.784361929569444</v>
      </c>
      <c r="F107">
        <v>19.906019116360458</v>
      </c>
      <c r="G107">
        <f>(H107/1.39135)*$K$5</f>
        <v>3.406933019724878</v>
      </c>
      <c r="H107">
        <f>(F107*1.190654)*$L$5</f>
        <v>11.850590642485523</v>
      </c>
      <c r="I107">
        <v>35.6483</v>
      </c>
      <c r="J107">
        <f>D107/(F107/3.362524)</f>
        <v>1.3914083921321316</v>
      </c>
      <c r="K107">
        <f>G107/(H107/1.39135)</f>
        <v>0.4</v>
      </c>
      <c r="L107">
        <f>(H107/1.190654)/F107</f>
        <v>0.5</v>
      </c>
    </row>
    <row r="108">
      <c r="B108">
        <v>103</v>
      </c>
      <c r="C108">
        <v>15</v>
      </c>
      <c r="D108">
        <v>8.23708679921588</v>
      </c>
      <c r="E108">
        <v>4.784361929569444</v>
      </c>
      <c r="F108">
        <v>19.906019116360458</v>
      </c>
      <c r="G108">
        <f>(H108/1.39135)*$K$5</f>
        <v>3.406933019724878</v>
      </c>
      <c r="H108">
        <f>(F108*1.190654)*$L$5</f>
        <v>11.850590642485523</v>
      </c>
      <c r="I108">
        <v>35.6483</v>
      </c>
      <c r="J108">
        <f>D108/(F108/3.362524)</f>
        <v>1.3914083921321316</v>
      </c>
      <c r="K108">
        <f>G108/(H108/1.39135)</f>
        <v>0.4</v>
      </c>
      <c r="L108">
        <f>(H108/1.190654)/F108</f>
        <v>0.5</v>
      </c>
    </row>
    <row r="109">
      <c r="B109">
        <v>104</v>
      </c>
      <c r="C109">
        <v>15</v>
      </c>
      <c r="D109">
        <v>8.23708679921588</v>
      </c>
      <c r="E109">
        <v>4.784361929569444</v>
      </c>
      <c r="F109">
        <v>19.906019116360458</v>
      </c>
      <c r="G109">
        <f>(H109/1.39135)*$K$5</f>
        <v>3.406933019724878</v>
      </c>
      <c r="H109">
        <f>(F109*1.190654)*$L$5</f>
        <v>11.850590642485523</v>
      </c>
      <c r="I109">
        <v>35.6483</v>
      </c>
      <c r="J109">
        <f>D109/(F109/3.362524)</f>
        <v>1.3914083921321316</v>
      </c>
      <c r="K109">
        <f>G109/(H109/1.39135)</f>
        <v>0.4</v>
      </c>
      <c r="L109">
        <f>(H109/1.190654)/F109</f>
        <v>0.5</v>
      </c>
    </row>
    <row r="110">
      <c r="B110">
        <v>105</v>
      </c>
      <c r="C110">
        <v>15</v>
      </c>
      <c r="D110">
        <v>8.23708679921588</v>
      </c>
      <c r="E110">
        <v>4.784361929569444</v>
      </c>
      <c r="F110">
        <v>19.906019116360458</v>
      </c>
      <c r="G110">
        <f>(H110/1.39135)*$K$5</f>
        <v>3.406933019724878</v>
      </c>
      <c r="H110">
        <f>(F110*1.190654)*$L$5</f>
        <v>11.850590642485523</v>
      </c>
      <c r="I110">
        <v>35.6483</v>
      </c>
      <c r="J110">
        <f>D110/(F110/3.362524)</f>
        <v>1.3914083921321316</v>
      </c>
      <c r="K110">
        <f>G110/(H110/1.39135)</f>
        <v>0.4</v>
      </c>
      <c r="L110">
        <f>(H110/1.190654)/F110</f>
        <v>0.5</v>
      </c>
    </row>
    <row r="111">
      <c r="B111">
        <v>106</v>
      </c>
      <c r="C111">
        <v>16</v>
      </c>
      <c r="D111">
        <v>8.23708679921588</v>
      </c>
      <c r="E111">
        <v>4.784361929569444</v>
      </c>
      <c r="F111">
        <v>19.906019116360458</v>
      </c>
      <c r="G111">
        <f>(H111/1.39135)*$K$5</f>
        <v>3.406933019724878</v>
      </c>
      <c r="H111">
        <f>(F111*1.190654)*$L$5</f>
        <v>11.850590642485523</v>
      </c>
      <c r="I111">
        <v>35.6483</v>
      </c>
      <c r="J111">
        <f>D111/(F111/3.362524)</f>
        <v>1.3914083921321316</v>
      </c>
      <c r="K111">
        <f>G111/(H111/1.39135)</f>
        <v>0.4</v>
      </c>
      <c r="L111">
        <f>(H111/1.190654)/F111</f>
        <v>0.5</v>
      </c>
    </row>
    <row r="112">
      <c r="B112">
        <v>107</v>
      </c>
      <c r="C112">
        <v>16</v>
      </c>
      <c r="D112">
        <v>8.23708679921588</v>
      </c>
      <c r="E112">
        <v>4.784361929569444</v>
      </c>
      <c r="F112">
        <v>19.906019116360458</v>
      </c>
      <c r="G112">
        <f>(H112/1.39135)*$K$5</f>
        <v>3.406933019724878</v>
      </c>
      <c r="H112">
        <f>(F112*1.190654)*$L$5</f>
        <v>11.850590642485523</v>
      </c>
      <c r="I112">
        <v>35.6483</v>
      </c>
      <c r="J112">
        <f>D112/(F112/3.362524)</f>
        <v>1.3914083921321316</v>
      </c>
      <c r="K112">
        <f>G112/(H112/1.39135)</f>
        <v>0.4</v>
      </c>
      <c r="L112">
        <f>(H112/1.190654)/F112</f>
        <v>0.5</v>
      </c>
    </row>
    <row r="113">
      <c r="B113">
        <v>108</v>
      </c>
      <c r="C113">
        <v>16</v>
      </c>
      <c r="D113">
        <v>8.23708679921588</v>
      </c>
      <c r="E113">
        <v>4.784361929569444</v>
      </c>
      <c r="F113">
        <v>19.906019116360458</v>
      </c>
      <c r="G113">
        <f>(H113/1.39135)*$K$5</f>
        <v>3.406933019724878</v>
      </c>
      <c r="H113">
        <f>(F113*1.190654)*$L$5</f>
        <v>11.850590642485523</v>
      </c>
      <c r="I113">
        <v>35.6483</v>
      </c>
      <c r="J113">
        <f>D113/(F113/3.362524)</f>
        <v>1.3914083921321316</v>
      </c>
      <c r="K113">
        <f>G113/(H113/1.39135)</f>
        <v>0.4</v>
      </c>
      <c r="L113">
        <f>(H113/1.190654)/F113</f>
        <v>0.5</v>
      </c>
    </row>
    <row r="114">
      <c r="B114">
        <v>109</v>
      </c>
      <c r="C114">
        <v>16</v>
      </c>
      <c r="D114">
        <v>8.23708679921588</v>
      </c>
      <c r="E114">
        <v>4.784361929569444</v>
      </c>
      <c r="F114">
        <v>19.906019116360458</v>
      </c>
      <c r="G114">
        <f>(H114/1.39135)*$K$5</f>
        <v>3.406933019724878</v>
      </c>
      <c r="H114">
        <f>(F114*1.190654)*$L$5</f>
        <v>11.850590642485523</v>
      </c>
      <c r="I114">
        <v>35.6483</v>
      </c>
      <c r="J114">
        <f>D114/(F114/3.362524)</f>
        <v>1.3914083921321316</v>
      </c>
      <c r="K114">
        <f>G114/(H114/1.39135)</f>
        <v>0.4</v>
      </c>
      <c r="L114">
        <f>(H114/1.190654)/F114</f>
        <v>0.5</v>
      </c>
    </row>
    <row r="115">
      <c r="B115">
        <v>110</v>
      </c>
      <c r="C115">
        <v>16</v>
      </c>
      <c r="D115">
        <v>8.23708679921588</v>
      </c>
      <c r="E115">
        <v>4.784361929569444</v>
      </c>
      <c r="F115">
        <v>19.906019116360458</v>
      </c>
      <c r="G115">
        <f>(H115/1.39135)*$K$5</f>
        <v>3.406933019724878</v>
      </c>
      <c r="H115">
        <f>(F115*1.190654)*$L$5</f>
        <v>11.850590642485523</v>
      </c>
      <c r="I115">
        <v>35.6483</v>
      </c>
      <c r="J115">
        <f>D115/(F115/3.362524)</f>
        <v>1.3914083921321316</v>
      </c>
      <c r="K115">
        <f>G115/(H115/1.39135)</f>
        <v>0.4</v>
      </c>
      <c r="L115">
        <f>(H115/1.190654)/F115</f>
        <v>0.5</v>
      </c>
    </row>
    <row r="116">
      <c r="B116">
        <v>111</v>
      </c>
      <c r="C116">
        <v>16</v>
      </c>
      <c r="D116">
        <v>8.23708679921588</v>
      </c>
      <c r="E116">
        <v>4.784361929569444</v>
      </c>
      <c r="F116">
        <v>19.906019116360458</v>
      </c>
      <c r="G116">
        <f>(H116/1.39135)*$K$5</f>
        <v>3.406933019724878</v>
      </c>
      <c r="H116">
        <f>(F116*1.190654)*$L$5</f>
        <v>11.850590642485523</v>
      </c>
      <c r="I116">
        <v>35.6483</v>
      </c>
      <c r="J116">
        <f>D116/(F116/3.362524)</f>
        <v>1.3914083921321316</v>
      </c>
      <c r="K116">
        <f>G116/(H116/1.39135)</f>
        <v>0.4</v>
      </c>
      <c r="L116">
        <f>(H116/1.190654)/F116</f>
        <v>0.5</v>
      </c>
    </row>
    <row r="117">
      <c r="B117">
        <v>112</v>
      </c>
      <c r="C117">
        <v>16</v>
      </c>
      <c r="D117">
        <v>8.23708679921588</v>
      </c>
      <c r="E117">
        <v>4.784361929569444</v>
      </c>
      <c r="F117">
        <v>19.906019116360458</v>
      </c>
      <c r="G117">
        <f>(H117/1.39135)*$K$5</f>
        <v>3.406933019724878</v>
      </c>
      <c r="H117">
        <f>(F117*1.190654)*$L$5</f>
        <v>11.850590642485523</v>
      </c>
      <c r="I117">
        <v>35.6483</v>
      </c>
      <c r="J117">
        <f>D117/(F117/3.362524)</f>
        <v>1.3914083921321316</v>
      </c>
      <c r="K117">
        <f>G117/(H117/1.39135)</f>
        <v>0.4</v>
      </c>
      <c r="L117">
        <f>(H117/1.190654)/F117</f>
        <v>0.5</v>
      </c>
    </row>
    <row r="118">
      <c r="B118">
        <v>113</v>
      </c>
      <c r="C118">
        <v>17</v>
      </c>
      <c r="D118">
        <v>8.23708679921588</v>
      </c>
      <c r="E118">
        <v>4.784361929569444</v>
      </c>
      <c r="F118">
        <v>19.906019116360458</v>
      </c>
      <c r="G118">
        <f>(H118/1.39135)*$K$5</f>
        <v>3.406933019724878</v>
      </c>
      <c r="H118">
        <f>(F118*1.190654)*$L$5</f>
        <v>11.850590642485523</v>
      </c>
      <c r="I118">
        <v>35.6483</v>
      </c>
      <c r="J118">
        <f>D118/(F118/3.362524)</f>
        <v>1.3914083921321316</v>
      </c>
      <c r="K118">
        <f>G118/(H118/1.39135)</f>
        <v>0.4</v>
      </c>
      <c r="L118">
        <f>(H118/1.190654)/F118</f>
        <v>0.5</v>
      </c>
    </row>
    <row r="119">
      <c r="B119">
        <v>114</v>
      </c>
      <c r="C119">
        <v>17</v>
      </c>
      <c r="D119">
        <v>8.23708679921588</v>
      </c>
      <c r="E119">
        <v>4.784361929569444</v>
      </c>
      <c r="F119">
        <v>19.906019116360458</v>
      </c>
      <c r="G119">
        <f>(H119/1.39135)*$K$5</f>
        <v>3.406933019724878</v>
      </c>
      <c r="H119">
        <f>(F119*1.190654)*$L$5</f>
        <v>11.850590642485523</v>
      </c>
      <c r="I119">
        <v>35.6483</v>
      </c>
      <c r="J119">
        <f>D119/(F119/3.362524)</f>
        <v>1.3914083921321316</v>
      </c>
      <c r="K119">
        <f>G119/(H119/1.39135)</f>
        <v>0.4</v>
      </c>
      <c r="L119">
        <f>(H119/1.190654)/F119</f>
        <v>0.5</v>
      </c>
    </row>
    <row r="120">
      <c r="B120">
        <v>115</v>
      </c>
      <c r="C120">
        <v>17</v>
      </c>
      <c r="D120">
        <v>8.23708679921588</v>
      </c>
      <c r="E120">
        <v>4.784361929569444</v>
      </c>
      <c r="F120">
        <v>19.906019116360458</v>
      </c>
      <c r="G120">
        <f>(H120/1.39135)*$K$5</f>
        <v>3.406933019724878</v>
      </c>
      <c r="H120">
        <f>(F120*1.190654)*$L$5</f>
        <v>11.850590642485523</v>
      </c>
      <c r="I120">
        <v>35.6483</v>
      </c>
      <c r="J120">
        <f>D120/(F120/3.362524)</f>
        <v>1.3914083921321316</v>
      </c>
      <c r="K120">
        <f>G120/(H120/1.39135)</f>
        <v>0.4</v>
      </c>
      <c r="L120">
        <f>(H120/1.190654)/F120</f>
        <v>0.5</v>
      </c>
    </row>
    <row r="121">
      <c r="B121">
        <v>116</v>
      </c>
      <c r="C121">
        <v>17</v>
      </c>
      <c r="D121">
        <v>8.23708679921588</v>
      </c>
      <c r="E121">
        <v>4.784361929569444</v>
      </c>
      <c r="F121">
        <v>19.906019116360458</v>
      </c>
      <c r="G121">
        <f>(H121/1.39135)*$K$5</f>
        <v>3.406933019724878</v>
      </c>
      <c r="H121">
        <f>(F121*1.190654)*$L$5</f>
        <v>11.850590642485523</v>
      </c>
      <c r="I121">
        <v>35.6483</v>
      </c>
      <c r="J121">
        <f>D121/(F121/3.362524)</f>
        <v>1.3914083921321316</v>
      </c>
      <c r="K121">
        <f>G121/(H121/1.39135)</f>
        <v>0.4</v>
      </c>
      <c r="L121">
        <f>(H121/1.190654)/F121</f>
        <v>0.5</v>
      </c>
    </row>
    <row r="122">
      <c r="B122">
        <v>117</v>
      </c>
      <c r="C122">
        <v>17</v>
      </c>
      <c r="D122">
        <v>8.23708679921588</v>
      </c>
      <c r="E122">
        <v>4.784361929569444</v>
      </c>
      <c r="F122">
        <v>19.906019116360458</v>
      </c>
      <c r="G122">
        <f>(H122/1.39135)*$K$5</f>
        <v>3.406933019724878</v>
      </c>
      <c r="H122">
        <f>(F122*1.190654)*$L$5</f>
        <v>11.850590642485523</v>
      </c>
      <c r="I122">
        <v>35.6483</v>
      </c>
      <c r="J122">
        <f>D122/(F122/3.362524)</f>
        <v>1.3914083921321316</v>
      </c>
      <c r="K122">
        <f>G122/(H122/1.39135)</f>
        <v>0.4</v>
      </c>
      <c r="L122">
        <f>(H122/1.190654)/F122</f>
        <v>0.5</v>
      </c>
    </row>
    <row r="123">
      <c r="B123">
        <v>118</v>
      </c>
      <c r="C123">
        <v>17</v>
      </c>
      <c r="D123">
        <v>8.23708679921588</v>
      </c>
      <c r="E123">
        <v>4.784361929569444</v>
      </c>
      <c r="F123">
        <v>19.906019116360458</v>
      </c>
      <c r="G123">
        <f>(H123/1.39135)*$K$5</f>
        <v>3.406933019724878</v>
      </c>
      <c r="H123">
        <f>(F123*1.190654)*$L$5</f>
        <v>11.850590642485523</v>
      </c>
      <c r="I123">
        <v>35.6483</v>
      </c>
      <c r="J123">
        <f>D123/(F123/3.362524)</f>
        <v>1.3914083921321316</v>
      </c>
      <c r="K123">
        <f>G123/(H123/1.39135)</f>
        <v>0.4</v>
      </c>
      <c r="L123">
        <f>(H123/1.190654)/F123</f>
        <v>0.5</v>
      </c>
    </row>
    <row r="124">
      <c r="B124">
        <v>119</v>
      </c>
      <c r="C124">
        <v>17</v>
      </c>
      <c r="D124">
        <v>8.23708679921588</v>
      </c>
      <c r="E124">
        <v>4.784361929569444</v>
      </c>
      <c r="F124">
        <v>19.906019116360458</v>
      </c>
      <c r="G124">
        <f>(H124/1.39135)*$K$5</f>
        <v>3.406933019724878</v>
      </c>
      <c r="H124">
        <f>(F124*1.190654)*$L$5</f>
        <v>11.850590642485523</v>
      </c>
      <c r="I124">
        <v>35.6483</v>
      </c>
      <c r="J124">
        <f>D124/(F124/3.362524)</f>
        <v>1.3914083921321316</v>
      </c>
      <c r="K124">
        <f>G124/(H124/1.39135)</f>
        <v>0.4</v>
      </c>
      <c r="L124">
        <f>(H124/1.190654)/F124</f>
        <v>0.5</v>
      </c>
    </row>
    <row r="125">
      <c r="B125">
        <v>120</v>
      </c>
      <c r="C125">
        <v>18</v>
      </c>
      <c r="D125">
        <v>8.23708679921588</v>
      </c>
      <c r="E125">
        <v>4.784361929569444</v>
      </c>
      <c r="F125">
        <v>19.906019116360458</v>
      </c>
      <c r="G125">
        <f>(H125/1.39135)*$K$5</f>
        <v>3.406933019724878</v>
      </c>
      <c r="H125">
        <f>(F125*1.190654)*$L$5</f>
        <v>11.850590642485523</v>
      </c>
      <c r="I125">
        <v>35.6483</v>
      </c>
      <c r="J125">
        <f>D125/(F125/3.362524)</f>
        <v>1.3914083921321316</v>
      </c>
      <c r="K125">
        <f>G125/(H125/1.39135)</f>
        <v>0.4</v>
      </c>
      <c r="L125">
        <f>(H125/1.190654)/F125</f>
        <v>0.5</v>
      </c>
    </row>
    <row r="126">
      <c r="B126">
        <v>121</v>
      </c>
      <c r="C126">
        <v>18</v>
      </c>
      <c r="D126">
        <v>8.23708679921588</v>
      </c>
      <c r="E126">
        <v>4.784361929569444</v>
      </c>
      <c r="F126">
        <v>19.906019116360458</v>
      </c>
      <c r="G126">
        <f>(H126/1.39135)*$K$5</f>
        <v>3.406933019724878</v>
      </c>
      <c r="H126">
        <f>(F126*1.190654)*$L$5</f>
        <v>11.850590642485523</v>
      </c>
      <c r="I126">
        <v>35.6483</v>
      </c>
      <c r="J126">
        <f>D126/(F126/3.362524)</f>
        <v>1.3914083921321316</v>
      </c>
      <c r="K126">
        <f>G126/(H126/1.39135)</f>
        <v>0.4</v>
      </c>
      <c r="L126">
        <f>(H126/1.190654)/F126</f>
        <v>0.5</v>
      </c>
    </row>
    <row r="127">
      <c r="B127">
        <v>122</v>
      </c>
      <c r="C127">
        <v>18</v>
      </c>
      <c r="D127">
        <v>8.23708679921588</v>
      </c>
      <c r="E127">
        <v>4.784361929569444</v>
      </c>
      <c r="F127">
        <v>19.906019116360458</v>
      </c>
      <c r="G127">
        <f>(H127/1.39135)*$K$5</f>
        <v>3.406933019724878</v>
      </c>
      <c r="H127">
        <f>(F127*1.190654)*$L$5</f>
        <v>11.850590642485523</v>
      </c>
      <c r="I127">
        <v>35.6483</v>
      </c>
      <c r="J127">
        <f>D127/(F127/3.362524)</f>
        <v>1.3914083921321316</v>
      </c>
      <c r="K127">
        <f>G127/(H127/1.39135)</f>
        <v>0.4</v>
      </c>
      <c r="L127">
        <f>(H127/1.190654)/F127</f>
        <v>0.5</v>
      </c>
    </row>
    <row r="128">
      <c r="B128">
        <v>123</v>
      </c>
      <c r="C128">
        <v>18</v>
      </c>
      <c r="D128">
        <v>8.23708679921588</v>
      </c>
      <c r="E128">
        <v>4.784361929569444</v>
      </c>
      <c r="F128">
        <v>19.906019116360458</v>
      </c>
      <c r="G128">
        <f>(H128/1.39135)*$K$5</f>
        <v>3.406933019724878</v>
      </c>
      <c r="H128">
        <f>(F128*1.190654)*$L$5</f>
        <v>11.850590642485523</v>
      </c>
      <c r="I128">
        <v>35.6483</v>
      </c>
      <c r="J128">
        <f>D128/(F128/3.362524)</f>
        <v>1.3914083921321316</v>
      </c>
      <c r="K128">
        <f>G128/(H128/1.39135)</f>
        <v>0.4</v>
      </c>
      <c r="L128">
        <f>(H128/1.190654)/F128</f>
        <v>0.5</v>
      </c>
    </row>
    <row r="129">
      <c r="B129">
        <v>124</v>
      </c>
      <c r="C129">
        <v>18</v>
      </c>
      <c r="D129">
        <v>8.23708679921588</v>
      </c>
      <c r="E129">
        <v>4.784361929569444</v>
      </c>
      <c r="F129">
        <v>19.906019116360458</v>
      </c>
      <c r="G129">
        <f>(H129/1.39135)*$K$5</f>
        <v>3.406933019724878</v>
      </c>
      <c r="H129">
        <f>(F129*1.190654)*$L$5</f>
        <v>11.850590642485523</v>
      </c>
      <c r="I129">
        <v>35.6483</v>
      </c>
      <c r="J129">
        <f>D129/(F129/3.362524)</f>
        <v>1.3914083921321316</v>
      </c>
      <c r="K129">
        <f>G129/(H129/1.39135)</f>
        <v>0.4</v>
      </c>
      <c r="L129">
        <f>(H129/1.190654)/F129</f>
        <v>0.5</v>
      </c>
    </row>
    <row r="130">
      <c r="B130">
        <v>125</v>
      </c>
      <c r="C130">
        <v>18</v>
      </c>
      <c r="D130">
        <v>8.23708679921588</v>
      </c>
      <c r="E130">
        <v>4.784361929569444</v>
      </c>
      <c r="F130">
        <v>19.906019116360458</v>
      </c>
      <c r="G130">
        <f>(H130/1.39135)*$K$5</f>
        <v>3.406933019724878</v>
      </c>
      <c r="H130">
        <f>(F130*1.190654)*$L$5</f>
        <v>11.850590642485523</v>
      </c>
      <c r="I130">
        <v>35.6483</v>
      </c>
      <c r="J130">
        <f>D130/(F130/3.362524)</f>
        <v>1.3914083921321316</v>
      </c>
      <c r="K130">
        <f>G130/(H130/1.39135)</f>
        <v>0.4</v>
      </c>
      <c r="L130">
        <f>(H130/1.190654)/F130</f>
        <v>0.5</v>
      </c>
    </row>
    <row r="131">
      <c r="B131">
        <v>126</v>
      </c>
      <c r="C131">
        <v>18</v>
      </c>
      <c r="D131">
        <v>8.23708679921588</v>
      </c>
      <c r="E131">
        <v>4.784361929569444</v>
      </c>
      <c r="F131">
        <v>19.906019116360458</v>
      </c>
      <c r="G131">
        <f>(H131/1.39135)*$K$5</f>
        <v>3.406933019724878</v>
      </c>
      <c r="H131">
        <f>(F131*1.190654)*$L$5</f>
        <v>11.850590642485523</v>
      </c>
      <c r="I131">
        <v>35.6483</v>
      </c>
      <c r="J131">
        <f>D131/(F131/3.362524)</f>
        <v>1.3914083921321316</v>
      </c>
      <c r="K131">
        <f>G131/(H131/1.39135)</f>
        <v>0.4</v>
      </c>
      <c r="L131">
        <f>(H131/1.190654)/F131</f>
        <v>0.5</v>
      </c>
    </row>
    <row r="132">
      <c r="B132">
        <v>127</v>
      </c>
      <c r="C132">
        <v>19</v>
      </c>
      <c r="D132">
        <v>8.23708679921588</v>
      </c>
      <c r="E132">
        <v>4.784361929569444</v>
      </c>
      <c r="F132">
        <v>19.906019116360458</v>
      </c>
      <c r="G132">
        <f>(H132/1.39135)*$K$5</f>
        <v>3.406933019724878</v>
      </c>
      <c r="H132">
        <f>(F132*1.190654)*$L$5</f>
        <v>11.850590642485523</v>
      </c>
      <c r="I132">
        <v>35.6483</v>
      </c>
      <c r="J132">
        <f>D132/(F132/3.362524)</f>
        <v>1.3914083921321316</v>
      </c>
      <c r="K132">
        <f>G132/(H132/1.39135)</f>
        <v>0.4</v>
      </c>
      <c r="L132">
        <f>(H132/1.190654)/F132</f>
        <v>0.5</v>
      </c>
    </row>
    <row r="133">
      <c r="B133">
        <v>128</v>
      </c>
      <c r="C133">
        <v>19</v>
      </c>
      <c r="D133">
        <v>8.23708679921588</v>
      </c>
      <c r="E133">
        <v>4.784361929569444</v>
      </c>
      <c r="F133">
        <v>19.906019116360458</v>
      </c>
      <c r="G133">
        <f>(H133/1.39135)*$K$5</f>
        <v>3.406933019724878</v>
      </c>
      <c r="H133">
        <f>(F133*1.190654)*$L$5</f>
        <v>11.850590642485523</v>
      </c>
      <c r="I133">
        <v>35.6483</v>
      </c>
      <c r="J133">
        <f>D133/(F133/3.362524)</f>
        <v>1.3914083921321316</v>
      </c>
      <c r="K133">
        <f>G133/(H133/1.39135)</f>
        <v>0.4</v>
      </c>
      <c r="L133">
        <f>(H133/1.190654)/F133</f>
        <v>0.5</v>
      </c>
    </row>
    <row r="134">
      <c r="B134">
        <v>129</v>
      </c>
      <c r="C134">
        <v>19</v>
      </c>
      <c r="D134">
        <v>8.23708679921588</v>
      </c>
      <c r="E134">
        <v>4.784361929569444</v>
      </c>
      <c r="F134">
        <v>19.906019116360458</v>
      </c>
      <c r="G134">
        <f>(H134/1.39135)*$K$5</f>
        <v>3.406933019724878</v>
      </c>
      <c r="H134">
        <f>(F134*1.190654)*$L$5</f>
        <v>11.850590642485523</v>
      </c>
      <c r="I134">
        <v>35.6483</v>
      </c>
      <c r="J134">
        <f>D134/(F134/3.362524)</f>
        <v>1.3914083921321316</v>
      </c>
      <c r="K134">
        <f>G134/(H134/1.39135)</f>
        <v>0.4</v>
      </c>
      <c r="L134">
        <f>(H134/1.190654)/F134</f>
        <v>0.5</v>
      </c>
    </row>
    <row r="135">
      <c r="B135">
        <v>130</v>
      </c>
      <c r="C135">
        <v>19</v>
      </c>
      <c r="D135">
        <v>8.23708679921588</v>
      </c>
      <c r="E135">
        <v>4.784361929569444</v>
      </c>
      <c r="F135">
        <v>19.906019116360458</v>
      </c>
      <c r="G135">
        <f>(H135/1.39135)*$K$5</f>
        <v>3.406933019724878</v>
      </c>
      <c r="H135">
        <f>(F135*1.190654)*$L$5</f>
        <v>11.850590642485523</v>
      </c>
      <c r="I135">
        <v>35.6483</v>
      </c>
      <c r="J135">
        <f>D135/(F135/3.362524)</f>
        <v>1.3914083921321316</v>
      </c>
      <c r="K135">
        <f>G135/(H135/1.39135)</f>
        <v>0.4</v>
      </c>
      <c r="L135">
        <f>(H135/1.190654)/F135</f>
        <v>0.5</v>
      </c>
    </row>
    <row r="136">
      <c r="B136">
        <v>131</v>
      </c>
      <c r="C136">
        <v>19</v>
      </c>
      <c r="D136">
        <v>8.23708679921588</v>
      </c>
      <c r="E136">
        <v>4.784361929569444</v>
      </c>
      <c r="F136">
        <v>19.906019116360458</v>
      </c>
      <c r="G136">
        <f>(H136/1.39135)*$K$5</f>
        <v>3.406933019724878</v>
      </c>
      <c r="H136">
        <f>(F136*1.190654)*$L$5</f>
        <v>11.850590642485523</v>
      </c>
      <c r="I136">
        <v>35.6483</v>
      </c>
      <c r="J136">
        <f>D136/(F136/3.362524)</f>
        <v>1.3914083921321316</v>
      </c>
      <c r="K136">
        <f>G136/(H136/1.39135)</f>
        <v>0.4</v>
      </c>
      <c r="L136">
        <f>(H136/1.190654)/F136</f>
        <v>0.5</v>
      </c>
    </row>
    <row r="137">
      <c r="B137">
        <v>132</v>
      </c>
      <c r="C137">
        <v>19</v>
      </c>
      <c r="D137">
        <v>8.23708679921588</v>
      </c>
      <c r="E137">
        <v>4.784361929569444</v>
      </c>
      <c r="F137">
        <v>19.906019116360458</v>
      </c>
      <c r="G137">
        <f>(H137/1.39135)*$K$5</f>
        <v>3.406933019724878</v>
      </c>
      <c r="H137">
        <f>(F137*1.190654)*$L$5</f>
        <v>11.850590642485523</v>
      </c>
      <c r="I137">
        <v>35.6483</v>
      </c>
      <c r="J137">
        <f>D137/(F137/3.362524)</f>
        <v>1.3914083921321316</v>
      </c>
      <c r="K137">
        <f>G137/(H137/1.39135)</f>
        <v>0.4</v>
      </c>
      <c r="L137">
        <f>(H137/1.190654)/F137</f>
        <v>0.5</v>
      </c>
    </row>
    <row r="138">
      <c r="B138">
        <v>133</v>
      </c>
      <c r="C138">
        <v>19</v>
      </c>
      <c r="D138">
        <v>8.23708679921588</v>
      </c>
      <c r="E138">
        <v>4.784361929569444</v>
      </c>
      <c r="F138">
        <v>19.906019116360458</v>
      </c>
      <c r="G138">
        <f>(H138/1.39135)*$K$5</f>
        <v>3.406933019724878</v>
      </c>
      <c r="H138">
        <f>(F138*1.190654)*$L$5</f>
        <v>11.850590642485523</v>
      </c>
      <c r="I138">
        <v>35.6483</v>
      </c>
      <c r="J138">
        <f>D138/(F138/3.362524)</f>
        <v>1.3914083921321316</v>
      </c>
      <c r="K138">
        <f>G138/(H138/1.39135)</f>
        <v>0.4</v>
      </c>
      <c r="L138">
        <f>(H138/1.190654)/F138</f>
        <v>0.5</v>
      </c>
    </row>
    <row r="139">
      <c r="B139">
        <v>134</v>
      </c>
      <c r="C139">
        <v>20</v>
      </c>
      <c r="D139">
        <v>8.23708679921588</v>
      </c>
      <c r="E139">
        <v>4.784361929569444</v>
      </c>
      <c r="F139">
        <v>19.906019116360458</v>
      </c>
      <c r="G139">
        <f>(H139/1.39135)*$K$5</f>
        <v>3.406933019724878</v>
      </c>
      <c r="H139">
        <f>(F139*1.190654)*$L$5</f>
        <v>11.850590642485523</v>
      </c>
      <c r="I139">
        <v>35.6483</v>
      </c>
      <c r="J139">
        <f>D139/(F139/3.362524)</f>
        <v>1.3914083921321316</v>
      </c>
      <c r="K139">
        <f>G139/(H139/1.39135)</f>
        <v>0.4</v>
      </c>
      <c r="L139">
        <f>(H139/1.190654)/F139</f>
        <v>0.5</v>
      </c>
    </row>
    <row r="140">
      <c r="B140">
        <v>135</v>
      </c>
      <c r="C140">
        <v>20</v>
      </c>
      <c r="D140">
        <v>8.23708679921588</v>
      </c>
      <c r="E140">
        <v>4.784361929569444</v>
      </c>
      <c r="F140">
        <v>19.906019116360458</v>
      </c>
      <c r="G140">
        <f>(H140/1.39135)*$K$5</f>
        <v>3.406933019724878</v>
      </c>
      <c r="H140">
        <f>(F140*1.190654)*$L$5</f>
        <v>11.850590642485523</v>
      </c>
      <c r="I140">
        <v>35.6483</v>
      </c>
      <c r="J140">
        <f>D140/(F140/3.362524)</f>
        <v>1.3914083921321316</v>
      </c>
      <c r="K140">
        <f>G140/(H140/1.39135)</f>
        <v>0.4</v>
      </c>
      <c r="L140">
        <f>(H140/1.190654)/F140</f>
        <v>0.5</v>
      </c>
    </row>
    <row r="141">
      <c r="B141">
        <v>136</v>
      </c>
      <c r="C141">
        <v>20</v>
      </c>
      <c r="D141">
        <v>8.23708679921588</v>
      </c>
      <c r="E141">
        <v>4.784361929569444</v>
      </c>
      <c r="F141">
        <v>19.906019116360458</v>
      </c>
      <c r="G141">
        <f>(H141/1.39135)*$K$5</f>
        <v>3.406933019724878</v>
      </c>
      <c r="H141">
        <f>(F141*1.190654)*$L$5</f>
        <v>11.850590642485523</v>
      </c>
      <c r="I141">
        <v>35.6483</v>
      </c>
      <c r="J141">
        <f>D141/(F141/3.362524)</f>
        <v>1.3914083921321316</v>
      </c>
      <c r="K141">
        <f>G141/(H141/1.39135)</f>
        <v>0.4</v>
      </c>
      <c r="L141">
        <f>(H141/1.190654)/F141</f>
        <v>0.5</v>
      </c>
    </row>
    <row r="142">
      <c r="B142">
        <v>137</v>
      </c>
      <c r="C142">
        <v>20</v>
      </c>
      <c r="D142">
        <v>8.23708679921588</v>
      </c>
      <c r="E142">
        <v>4.784361929569444</v>
      </c>
      <c r="F142">
        <v>19.906019116360458</v>
      </c>
      <c r="G142">
        <f>(H142/1.39135)*$K$5</f>
        <v>3.406933019724878</v>
      </c>
      <c r="H142">
        <f>(F142*1.190654)*$L$5</f>
        <v>11.850590642485523</v>
      </c>
      <c r="I142">
        <v>35.6483</v>
      </c>
      <c r="J142">
        <f>D142/(F142/3.362524)</f>
        <v>1.3914083921321316</v>
      </c>
      <c r="K142">
        <f>G142/(H142/1.39135)</f>
        <v>0.4</v>
      </c>
      <c r="L142">
        <f>(H142/1.190654)/F142</f>
        <v>0.5</v>
      </c>
    </row>
    <row r="143">
      <c r="B143">
        <v>138</v>
      </c>
      <c r="C143">
        <v>20</v>
      </c>
      <c r="D143">
        <v>8.23708679921588</v>
      </c>
      <c r="E143">
        <v>4.784361929569444</v>
      </c>
      <c r="F143">
        <v>19.906019116360458</v>
      </c>
      <c r="G143">
        <f>(H143/1.39135)*$K$5</f>
        <v>3.406933019724878</v>
      </c>
      <c r="H143">
        <f>(F143*1.190654)*$L$5</f>
        <v>11.850590642485523</v>
      </c>
      <c r="I143">
        <v>35.6483</v>
      </c>
      <c r="J143">
        <f>D143/(F143/3.362524)</f>
        <v>1.3914083921321316</v>
      </c>
      <c r="K143">
        <f>G143/(H143/1.39135)</f>
        <v>0.4</v>
      </c>
      <c r="L143">
        <f>(H143/1.190654)/F143</f>
        <v>0.5</v>
      </c>
    </row>
    <row r="144">
      <c r="B144">
        <v>139</v>
      </c>
      <c r="C144">
        <v>20</v>
      </c>
      <c r="D144">
        <v>8.23708679921588</v>
      </c>
      <c r="E144">
        <v>4.784361929569444</v>
      </c>
      <c r="F144">
        <v>19.906019116360458</v>
      </c>
      <c r="G144">
        <f>(H144/1.39135)*$K$5</f>
        <v>3.406933019724878</v>
      </c>
      <c r="H144">
        <f>(F144*1.190654)*$L$5</f>
        <v>11.850590642485523</v>
      </c>
      <c r="I144">
        <v>35.6483</v>
      </c>
      <c r="J144">
        <f>D144/(F144/3.362524)</f>
        <v>1.3914083921321316</v>
      </c>
      <c r="K144">
        <f>G144/(H144/1.39135)</f>
        <v>0.4</v>
      </c>
      <c r="L144">
        <f>(H144/1.190654)/F144</f>
        <v>0.5</v>
      </c>
    </row>
    <row r="145">
      <c r="B145">
        <v>140</v>
      </c>
      <c r="C145">
        <v>20</v>
      </c>
      <c r="D145">
        <v>8.23708679921588</v>
      </c>
      <c r="E145">
        <v>4.784361929569444</v>
      </c>
      <c r="F145">
        <v>19.906019116360458</v>
      </c>
      <c r="G145">
        <f>(H145/1.39135)*$K$5</f>
        <v>3.406933019724878</v>
      </c>
      <c r="H145">
        <f>(F145*1.190654)*$L$5</f>
        <v>11.850590642485523</v>
      </c>
      <c r="I145">
        <v>35.6483</v>
      </c>
      <c r="J145">
        <f>D145/(F145/3.362524)</f>
        <v>1.3914083921321316</v>
      </c>
      <c r="K145">
        <f>G145/(H145/1.39135)</f>
        <v>0.4</v>
      </c>
      <c r="L145">
        <f>(H145/1.190654)/F145</f>
        <v>0.5</v>
      </c>
    </row>
    <row r="146">
      <c r="B146">
        <v>141</v>
      </c>
      <c r="C146">
        <v>21</v>
      </c>
      <c r="D146">
        <v>8.23708679921588</v>
      </c>
      <c r="E146">
        <v>4.784361929569444</v>
      </c>
      <c r="F146">
        <v>19.906019116360458</v>
      </c>
      <c r="G146">
        <f>(H146/1.39135)*$K$5</f>
        <v>3.406933019724878</v>
      </c>
      <c r="H146">
        <f>(F146*1.190654)*$L$5</f>
        <v>11.850590642485523</v>
      </c>
      <c r="I146">
        <v>35.6483</v>
      </c>
      <c r="J146">
        <f>D146/(F146/3.362524)</f>
        <v>1.3914083921321316</v>
      </c>
      <c r="K146">
        <f>G146/(H146/1.39135)</f>
        <v>0.4</v>
      </c>
      <c r="L146">
        <f>(H146/1.190654)/F146</f>
        <v>0.5</v>
      </c>
    </row>
    <row r="147">
      <c r="B147">
        <v>142</v>
      </c>
      <c r="C147">
        <v>21</v>
      </c>
      <c r="D147">
        <v>8.23708679921588</v>
      </c>
      <c r="E147">
        <v>4.784361929569444</v>
      </c>
      <c r="F147">
        <v>19.906019116360458</v>
      </c>
      <c r="G147">
        <f>(H147/1.39135)*$K$5</f>
        <v>3.406933019724878</v>
      </c>
      <c r="H147">
        <f>(F147*1.190654)*$L$5</f>
        <v>11.850590642485523</v>
      </c>
      <c r="I147">
        <v>35.6483</v>
      </c>
      <c r="J147">
        <f>D147/(F147/3.362524)</f>
        <v>1.3914083921321316</v>
      </c>
      <c r="K147">
        <f>G147/(H147/1.39135)</f>
        <v>0.4</v>
      </c>
      <c r="L147">
        <f>(H147/1.190654)/F147</f>
        <v>0.5</v>
      </c>
    </row>
    <row r="148">
      <c r="B148">
        <v>143</v>
      </c>
      <c r="C148">
        <v>21</v>
      </c>
      <c r="D148">
        <v>8.23708679921588</v>
      </c>
      <c r="E148">
        <v>4.784361929569444</v>
      </c>
      <c r="F148">
        <v>19.906019116360458</v>
      </c>
      <c r="G148">
        <f>(H148/1.39135)*$K$5</f>
        <v>3.406933019724878</v>
      </c>
      <c r="H148">
        <f>(F148*1.190654)*$L$5</f>
        <v>11.850590642485523</v>
      </c>
      <c r="I148">
        <v>35.6483</v>
      </c>
      <c r="J148">
        <f>D148/(F148/3.362524)</f>
        <v>1.3914083921321316</v>
      </c>
      <c r="K148">
        <f>G148/(H148/1.39135)</f>
        <v>0.4</v>
      </c>
      <c r="L148">
        <f>(H148/1.190654)/F148</f>
        <v>0.5</v>
      </c>
    </row>
    <row r="149">
      <c r="B149">
        <v>144</v>
      </c>
      <c r="C149">
        <v>21</v>
      </c>
      <c r="D149">
        <v>8.23708679921588</v>
      </c>
      <c r="E149">
        <v>4.784361929569444</v>
      </c>
      <c r="F149">
        <v>19.906019116360458</v>
      </c>
      <c r="G149">
        <f>(H149/1.39135)*$K$5</f>
        <v>3.406933019724878</v>
      </c>
      <c r="H149">
        <f>(F149*1.190654)*$L$5</f>
        <v>11.850590642485523</v>
      </c>
      <c r="I149">
        <v>35.6483</v>
      </c>
      <c r="J149">
        <f>D149/(F149/3.362524)</f>
        <v>1.3914083921321316</v>
      </c>
      <c r="K149">
        <f>G149/(H149/1.39135)</f>
        <v>0.4</v>
      </c>
      <c r="L149">
        <f>(H149/1.190654)/F149</f>
        <v>0.5</v>
      </c>
    </row>
    <row r="150">
      <c r="B150">
        <v>145</v>
      </c>
      <c r="C150">
        <v>21</v>
      </c>
      <c r="D150">
        <v>8.23708679921588</v>
      </c>
      <c r="E150">
        <v>4.784361929569444</v>
      </c>
      <c r="F150">
        <v>19.906019116360458</v>
      </c>
      <c r="G150">
        <f>(H150/1.39135)*$K$5</f>
        <v>3.406933019724878</v>
      </c>
      <c r="H150">
        <f>(F150*1.190654)*$L$5</f>
        <v>11.850590642485523</v>
      </c>
      <c r="I150">
        <v>35.6483</v>
      </c>
      <c r="J150">
        <f>D150/(F150/3.362524)</f>
        <v>1.3914083921321316</v>
      </c>
      <c r="K150">
        <f>G150/(H150/1.39135)</f>
        <v>0.4</v>
      </c>
      <c r="L150">
        <f>(H150/1.190654)/F150</f>
        <v>0.5</v>
      </c>
    </row>
    <row r="151">
      <c r="B151">
        <v>146</v>
      </c>
      <c r="C151">
        <v>21</v>
      </c>
      <c r="D151">
        <v>8.23708679921588</v>
      </c>
      <c r="E151">
        <v>4.784361929569444</v>
      </c>
      <c r="F151">
        <v>19.906019116360458</v>
      </c>
      <c r="G151">
        <f>(H151/1.39135)*$K$5</f>
        <v>3.406933019724878</v>
      </c>
      <c r="H151">
        <f>(F151*1.190654)*$L$5</f>
        <v>11.850590642485523</v>
      </c>
      <c r="I151">
        <v>35.6483</v>
      </c>
      <c r="J151">
        <f>D151/(F151/3.362524)</f>
        <v>1.3914083921321316</v>
      </c>
      <c r="K151">
        <f>G151/(H151/1.39135)</f>
        <v>0.4</v>
      </c>
      <c r="L151">
        <f>(H151/1.190654)/F151</f>
        <v>0.5</v>
      </c>
    </row>
    <row r="152">
      <c r="B152">
        <v>147</v>
      </c>
      <c r="C152">
        <v>21</v>
      </c>
      <c r="D152">
        <v>8.23708679921588</v>
      </c>
      <c r="E152">
        <v>4.784361929569444</v>
      </c>
      <c r="F152">
        <v>19.906019116360458</v>
      </c>
      <c r="G152">
        <f>(H152/1.39135)*$K$5</f>
        <v>3.406933019724878</v>
      </c>
      <c r="H152">
        <f>(F152*1.190654)*$L$5</f>
        <v>11.850590642485523</v>
      </c>
      <c r="I152">
        <v>35.6483</v>
      </c>
      <c r="J152">
        <f>D152/(F152/3.362524)</f>
        <v>1.3914083921321316</v>
      </c>
      <c r="K152">
        <f>G152/(H152/1.39135)</f>
        <v>0.4</v>
      </c>
      <c r="L152">
        <f>(H152/1.190654)/F152</f>
        <v>0.5</v>
      </c>
    </row>
    <row r="153">
      <c r="B153">
        <v>148</v>
      </c>
      <c r="C153">
        <v>22</v>
      </c>
      <c r="D153">
        <v>8.23708679921588</v>
      </c>
      <c r="E153">
        <v>4.784361929569444</v>
      </c>
      <c r="F153">
        <v>19.906019116360458</v>
      </c>
      <c r="G153">
        <f>(H153/1.39135)*$K$5</f>
        <v>3.406933019724878</v>
      </c>
      <c r="H153">
        <f>(F153*1.190654)*$L$5</f>
        <v>11.850590642485523</v>
      </c>
      <c r="I153">
        <v>35.6483</v>
      </c>
      <c r="J153">
        <f>D153/(F153/3.362524)</f>
        <v>1.3914083921321316</v>
      </c>
      <c r="K153">
        <f>G153/(H153/1.39135)</f>
        <v>0.4</v>
      </c>
      <c r="L153">
        <f>(H153/1.190654)/F153</f>
        <v>0.5</v>
      </c>
    </row>
    <row r="154">
      <c r="B154">
        <v>149</v>
      </c>
      <c r="C154">
        <v>22</v>
      </c>
      <c r="D154">
        <v>8.23708679921588</v>
      </c>
      <c r="E154">
        <v>4.784361929569444</v>
      </c>
      <c r="F154">
        <v>19.906019116360458</v>
      </c>
      <c r="G154">
        <f>(H154/1.39135)*$K$5</f>
        <v>3.406933019724878</v>
      </c>
      <c r="H154">
        <f>(F154*1.190654)*$L$5</f>
        <v>11.850590642485523</v>
      </c>
      <c r="I154">
        <v>35.6483</v>
      </c>
      <c r="J154">
        <f>D154/(F154/3.362524)</f>
        <v>1.3914083921321316</v>
      </c>
      <c r="K154">
        <f>G154/(H154/1.39135)</f>
        <v>0.4</v>
      </c>
      <c r="L154">
        <f>(H154/1.190654)/F154</f>
        <v>0.5</v>
      </c>
    </row>
    <row r="155">
      <c r="B155">
        <v>150</v>
      </c>
      <c r="C155">
        <v>22</v>
      </c>
      <c r="D155">
        <v>8.23708679921588</v>
      </c>
      <c r="E155">
        <v>4.784361929569444</v>
      </c>
      <c r="F155">
        <v>19.906019116360458</v>
      </c>
      <c r="G155">
        <f>(H155/1.39135)*$K$5</f>
        <v>3.406933019724878</v>
      </c>
      <c r="H155">
        <f>(F155*1.190654)*$L$5</f>
        <v>11.850590642485523</v>
      </c>
      <c r="I155">
        <v>35.6483</v>
      </c>
      <c r="J155">
        <f>D155/(F155/3.362524)</f>
        <v>1.3914083921321316</v>
      </c>
      <c r="K155">
        <f>G155/(H155/1.39135)</f>
        <v>0.4</v>
      </c>
      <c r="L155">
        <f>(H155/1.190654)/F155</f>
        <v>0.5</v>
      </c>
    </row>
    <row r="156">
      <c r="B156">
        <v>151</v>
      </c>
      <c r="C156">
        <v>22</v>
      </c>
      <c r="D156">
        <v>8.23708679921588</v>
      </c>
      <c r="E156">
        <v>4.784361929569444</v>
      </c>
      <c r="F156">
        <v>19.906019116360458</v>
      </c>
      <c r="G156">
        <f>(H156/1.39135)*$K$5</f>
        <v>3.406933019724878</v>
      </c>
      <c r="H156">
        <f>(F156*1.190654)*$L$5</f>
        <v>11.850590642485523</v>
      </c>
      <c r="I156">
        <v>35.6483</v>
      </c>
      <c r="J156">
        <f>D156/(F156/3.362524)</f>
        <v>1.3914083921321316</v>
      </c>
      <c r="K156">
        <f>G156/(H156/1.39135)</f>
        <v>0.4</v>
      </c>
      <c r="L156">
        <f>(H156/1.190654)/F156</f>
        <v>0.5</v>
      </c>
    </row>
    <row r="157">
      <c r="B157">
        <v>152</v>
      </c>
      <c r="C157">
        <v>22</v>
      </c>
      <c r="D157">
        <v>8.23708679921588</v>
      </c>
      <c r="E157">
        <v>4.784361929569444</v>
      </c>
      <c r="F157">
        <v>19.906019116360458</v>
      </c>
      <c r="G157">
        <f>(H157/1.39135)*$K$5</f>
        <v>3.406933019724878</v>
      </c>
      <c r="H157">
        <f>(F157*1.190654)*$L$5</f>
        <v>11.850590642485523</v>
      </c>
      <c r="I157">
        <v>35.6483</v>
      </c>
      <c r="J157">
        <f>D157/(F157/3.362524)</f>
        <v>1.3914083921321316</v>
      </c>
      <c r="K157">
        <f>G157/(H157/1.39135)</f>
        <v>0.4</v>
      </c>
      <c r="L157">
        <f>(H157/1.190654)/F157</f>
        <v>0.5</v>
      </c>
    </row>
    <row r="158">
      <c r="B158">
        <v>153</v>
      </c>
      <c r="C158">
        <v>22</v>
      </c>
      <c r="D158">
        <v>8.23708679921588</v>
      </c>
      <c r="E158">
        <v>4.784361929569444</v>
      </c>
      <c r="F158">
        <v>19.906019116360458</v>
      </c>
      <c r="G158">
        <f>(H158/1.39135)*$K$5</f>
        <v>3.406933019724878</v>
      </c>
      <c r="H158">
        <f>(F158*1.190654)*$L$5</f>
        <v>11.850590642485523</v>
      </c>
      <c r="I158">
        <v>35.6483</v>
      </c>
      <c r="J158">
        <f>D158/(F158/3.362524)</f>
        <v>1.3914083921321316</v>
      </c>
      <c r="K158">
        <f>G158/(H158/1.39135)</f>
        <v>0.4</v>
      </c>
      <c r="L158">
        <f>(H158/1.190654)/F158</f>
        <v>0.5</v>
      </c>
    </row>
    <row r="159">
      <c r="B159">
        <v>154</v>
      </c>
      <c r="C159">
        <v>22</v>
      </c>
      <c r="D159">
        <v>8.23708679921588</v>
      </c>
      <c r="E159">
        <v>4.784361929569444</v>
      </c>
      <c r="F159">
        <v>19.906019116360458</v>
      </c>
      <c r="G159">
        <f>(H159/1.39135)*$K$5</f>
        <v>3.406933019724878</v>
      </c>
      <c r="H159">
        <f>(F159*1.190654)*$L$5</f>
        <v>11.850590642485523</v>
      </c>
      <c r="I159">
        <v>35.6483</v>
      </c>
      <c r="J159">
        <f>D159/(F159/3.362524)</f>
        <v>1.3914083921321316</v>
      </c>
      <c r="K159">
        <f>G159/(H159/1.39135)</f>
        <v>0.4</v>
      </c>
      <c r="L159">
        <f>(H159/1.190654)/F159</f>
        <v>0.5</v>
      </c>
    </row>
    <row r="160">
      <c r="D160">
        <f>SUM(D6:D159)</f>
        <v>1025.863402586375</v>
      </c>
      <c r="E160">
        <f>SUM(E6:E159)</f>
        <v>598.9598986238923</v>
      </c>
      <c r="F160">
        <f>SUM(F6:F159)</f>
        <v>2275.7380713433977</v>
      </c>
      <c r="G160">
        <f>SUM(G6:G159)</f>
        <v>389.49461136267604</v>
      </c>
      <c r="H160">
        <f>SUM(H6:H159)</f>
        <v>1354.8083187986467</v>
      </c>
      <c r="I160">
        <f>SUM(I6:I159)</f>
        <v>4079.183199999992</v>
      </c>
    </row>
  </sheetData>
  <sheetProtection sheet="1"/>
  <mergeCells count="4">
    <mergeCell ref="A2:M2"/>
    <mergeCell ref="A3:M3"/>
    <mergeCell ref="H1:M1"/>
    <mergeCell ref="A5:C5"/>
  </mergeCells>
  <pageMargins left="0.75" right="0.75" top="1" bottom="1" header="0.5" footer="0.5"/>
  <ignoredErrors>
    <ignoredError numberStoredAsText="1" sqref="A1:T160"/>
  </ignoredErrors>
  <legacyDrawing r:id="rId1"/>
</worksheet>
</file>

<file path=xl/worksheets/sheet11.xml><?xml version="1.0" encoding="utf-8"?>
<worksheet xmlns="http://schemas.openxmlformats.org/spreadsheetml/2006/main" xmlns:r="http://schemas.openxmlformats.org/officeDocument/2006/relationships">
  <dimension ref="A1:O121"/>
  <sheetViews>
    <sheetView workbookViewId="0" rightToLeft="0"/>
  </sheetViews>
  <sheetData>
    <row r="2">
      <c r="A2" t="str">
        <v>Nombre</v>
      </c>
      <c r="B2" t="str">
        <v>Formula</v>
      </c>
      <c r="C2" t="str">
        <v>Precio</v>
      </c>
      <c r="D2" t="str">
        <v>N</v>
      </c>
      <c r="E2" t="str">
        <v>P2O5</v>
      </c>
      <c r="F2" t="str">
        <v>K2O</v>
      </c>
      <c r="G2" t="str">
        <v>MgO</v>
      </c>
      <c r="H2" t="str">
        <v>CaO</v>
      </c>
      <c r="I2" t="str">
        <v>SO3</v>
      </c>
      <c r="J2" t="str">
        <v>B</v>
      </c>
      <c r="K2" t="str">
        <v>Unidades</v>
      </c>
    </row>
    <row r="3">
      <c r="A3" t="str">
        <v>Ácido Fosfórico 85% (peso 1.7 gr/ml</v>
      </c>
      <c r="B3" t="str">
        <v>85%.</v>
      </c>
      <c r="C3">
        <v>1610</v>
      </c>
      <c r="D3">
        <v>0</v>
      </c>
      <c r="E3">
        <v>103</v>
      </c>
      <c r="F3">
        <v>0</v>
      </c>
      <c r="G3">
        <v>0</v>
      </c>
      <c r="H3">
        <v>0</v>
      </c>
      <c r="I3">
        <v>0</v>
      </c>
      <c r="J3">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v>DAP 18-46-0</v>
      </c>
      <c r="B4" t="str">
        <v>18-46-0</v>
      </c>
      <c r="C4">
        <v>1200</v>
      </c>
      <c r="D4">
        <v>18</v>
      </c>
      <c r="E4">
        <v>46</v>
      </c>
      <c r="F4">
        <v>0</v>
      </c>
      <c r="G4">
        <v>0</v>
      </c>
      <c r="H4">
        <v>0</v>
      </c>
      <c r="I4">
        <v>0</v>
      </c>
      <c r="J4">
        <v>0</v>
      </c>
      <c r="K4" t="str">
        <v>Lbs</v>
      </c>
    </row>
    <row r="5">
      <c r="A5" t="str">
        <v>DAP 21-53-0 Soluble</v>
      </c>
      <c r="B5" t="str">
        <v>21-53-0</v>
      </c>
      <c r="C5">
        <v>1800</v>
      </c>
      <c r="D5">
        <v>21</v>
      </c>
      <c r="E5">
        <v>53</v>
      </c>
      <c r="F5">
        <v>0</v>
      </c>
      <c r="G5">
        <v>0</v>
      </c>
      <c r="H5">
        <v>0</v>
      </c>
      <c r="I5">
        <v>0</v>
      </c>
      <c r="J5">
        <v>0</v>
      </c>
      <c r="K5" t="str">
        <v>Lbs</v>
      </c>
    </row>
    <row r="6">
      <c r="A6" t="str">
        <v>MAP 12-61-0</v>
      </c>
      <c r="B6" t="str">
        <v>12-61-0</v>
      </c>
      <c r="C6">
        <v>2900</v>
      </c>
      <c r="D6">
        <v>12</v>
      </c>
      <c r="E6">
        <v>61</v>
      </c>
      <c r="F6">
        <v>0</v>
      </c>
      <c r="G6">
        <v>0</v>
      </c>
      <c r="H6">
        <v>0</v>
      </c>
      <c r="I6">
        <v>0</v>
      </c>
      <c r="J6">
        <v>0</v>
      </c>
      <c r="K6" t="str">
        <v>Lbs</v>
      </c>
    </row>
    <row r="7">
      <c r="A7" t="str">
        <v>FofatoMonoPotasico</v>
      </c>
      <c r="B7" t="str">
        <v>0-52-34,</v>
      </c>
      <c r="C7">
        <v>1700</v>
      </c>
      <c r="D7">
        <v>0</v>
      </c>
      <c r="E7">
        <v>52</v>
      </c>
      <c r="F7">
        <v>34</v>
      </c>
      <c r="G7">
        <v>0</v>
      </c>
      <c r="H7">
        <v>0</v>
      </c>
      <c r="I7">
        <v>0</v>
      </c>
      <c r="J7">
        <v>0</v>
      </c>
      <c r="K7" t="str">
        <v>Lbs</v>
      </c>
    </row>
    <row r="8">
      <c r="D8">
        <v>0</v>
      </c>
      <c r="E8">
        <v>0</v>
      </c>
      <c r="F8">
        <v>0</v>
      </c>
      <c r="G8">
        <v>0</v>
      </c>
      <c r="H8">
        <v>0</v>
      </c>
      <c r="I8">
        <v>0</v>
      </c>
      <c r="J8">
        <v>0</v>
      </c>
    </row>
    <row r="9"/>
    <row r="10"/>
    <row r="12">
      <c r="A12" t="str">
        <v>Nitrato de Amonio</v>
      </c>
      <c r="B12" t="str">
        <v>33.5-0-0</v>
      </c>
      <c r="C12">
        <v>620</v>
      </c>
      <c r="D12">
        <v>33.5</v>
      </c>
      <c r="E12">
        <v>0</v>
      </c>
      <c r="F12">
        <v>0</v>
      </c>
      <c r="G12">
        <v>0</v>
      </c>
      <c r="H12">
        <v>0</v>
      </c>
      <c r="I12">
        <v>0</v>
      </c>
      <c r="J12">
        <v>0</v>
      </c>
      <c r="K12" t="str">
        <v>Lbs</v>
      </c>
      <c r="L12" t="str">
        <v>Fertilizantes usados como Fuente de Nitrógeno</v>
      </c>
    </row>
    <row r="13">
      <c r="A13" t="str">
        <v>Sulfato de Amonio</v>
      </c>
      <c r="B13" t="str">
        <v>21-0-0</v>
      </c>
      <c r="C13">
        <v>360</v>
      </c>
      <c r="D13">
        <v>21</v>
      </c>
      <c r="E13">
        <v>0</v>
      </c>
      <c r="F13">
        <v>0</v>
      </c>
      <c r="G13">
        <v>0</v>
      </c>
      <c r="H13">
        <v>0</v>
      </c>
      <c r="I13">
        <v>58.8</v>
      </c>
      <c r="J13">
        <v>0</v>
      </c>
      <c r="K13" t="str">
        <v>Lbs</v>
      </c>
    </row>
    <row r="14">
      <c r="A14" t="str">
        <v>Urea</v>
      </c>
      <c r="B14" t="str">
        <v>46-0-0</v>
      </c>
      <c r="C14">
        <v>650</v>
      </c>
      <c r="D14">
        <v>46</v>
      </c>
      <c r="E14">
        <v>0</v>
      </c>
      <c r="F14">
        <v>0</v>
      </c>
      <c r="G14">
        <v>0</v>
      </c>
      <c r="H14">
        <v>0</v>
      </c>
      <c r="I14">
        <v>0</v>
      </c>
      <c r="J14">
        <v>0</v>
      </c>
      <c r="K14" t="str">
        <v>Lbs</v>
      </c>
    </row>
    <row r="15"/>
    <row r="16"/>
    <row r="17"/>
    <row r="19">
      <c r="A19" t="str">
        <v>Kcl</v>
      </c>
      <c r="B19" t="str">
        <v>0-0-60</v>
      </c>
      <c r="C19">
        <v>580</v>
      </c>
      <c r="D19">
        <v>0</v>
      </c>
      <c r="E19">
        <v>0</v>
      </c>
      <c r="F19">
        <v>60</v>
      </c>
      <c r="G19">
        <v>0</v>
      </c>
      <c r="H19">
        <v>0</v>
      </c>
      <c r="I19">
        <v>0</v>
      </c>
      <c r="J19">
        <v>0</v>
      </c>
      <c r="K19" t="str">
        <v>Lbs</v>
      </c>
      <c r="L19" t="str">
        <v>Fertilizantes usados como Fuente de Potasio</v>
      </c>
    </row>
    <row r="20">
      <c r="A20" t="str">
        <v>Nitrato de Potasio</v>
      </c>
      <c r="B20" t="str">
        <v>13-0-46</v>
      </c>
      <c r="C20">
        <v>670</v>
      </c>
      <c r="D20">
        <v>13</v>
      </c>
      <c r="E20">
        <v>0</v>
      </c>
      <c r="F20">
        <v>46</v>
      </c>
      <c r="G20">
        <v>0</v>
      </c>
      <c r="H20">
        <v>0</v>
      </c>
      <c r="I20">
        <v>0</v>
      </c>
      <c r="J20">
        <v>0</v>
      </c>
      <c r="K20" t="str">
        <v>Lbs</v>
      </c>
    </row>
    <row r="21">
      <c r="A21" t="str">
        <v>Sulfato de Potasio</v>
      </c>
      <c r="B21" t="str">
        <v>0-0-50</v>
      </c>
      <c r="C21">
        <v>505</v>
      </c>
      <c r="D21">
        <v>0</v>
      </c>
      <c r="E21">
        <v>0</v>
      </c>
      <c r="F21">
        <v>52</v>
      </c>
      <c r="G21">
        <v>0</v>
      </c>
      <c r="H21">
        <v>0</v>
      </c>
      <c r="I21">
        <v>47.5</v>
      </c>
      <c r="J21">
        <v>0</v>
      </c>
      <c r="K21" t="str">
        <v>Lbs</v>
      </c>
    </row>
    <row r="22">
      <c r="A22" t="str">
        <v>Kcl Soluble</v>
      </c>
      <c r="B22" t="str">
        <v>0-0-60</v>
      </c>
      <c r="C22">
        <v>780</v>
      </c>
      <c r="D22">
        <v>0</v>
      </c>
      <c r="E22">
        <v>0</v>
      </c>
      <c r="F22">
        <v>60</v>
      </c>
      <c r="G22">
        <v>0</v>
      </c>
      <c r="H22">
        <v>0</v>
      </c>
      <c r="I22">
        <v>0</v>
      </c>
      <c r="J22">
        <v>0</v>
      </c>
      <c r="K22" t="str">
        <v>Lbs</v>
      </c>
    </row>
    <row r="23">
      <c r="A23" t="str">
        <v>Sulpomag (K Mag)</v>
      </c>
      <c r="B23" t="str">
        <v>0-0-22-11-22</v>
      </c>
      <c r="C23">
        <v>0</v>
      </c>
      <c r="D23">
        <v>0</v>
      </c>
      <c r="E23">
        <v>0</v>
      </c>
      <c r="F23">
        <v>22</v>
      </c>
      <c r="G23">
        <v>11</v>
      </c>
      <c r="H23">
        <v>0</v>
      </c>
      <c r="I23">
        <v>22</v>
      </c>
      <c r="J23">
        <v>0</v>
      </c>
      <c r="K23" t="str">
        <v>Lbs</v>
      </c>
    </row>
    <row r="24"/>
    <row r="25"/>
    <row r="26"/>
    <row r="28">
      <c r="A28" t="str">
        <v>Nitrato de Magnesio</v>
      </c>
      <c r="B28" t="str">
        <v>11-0-0-0-15.7</v>
      </c>
      <c r="C28">
        <v>850</v>
      </c>
      <c r="D28">
        <v>11</v>
      </c>
      <c r="E28">
        <v>0</v>
      </c>
      <c r="F28">
        <v>0</v>
      </c>
      <c r="G28">
        <v>15.7</v>
      </c>
      <c r="H28">
        <v>0</v>
      </c>
      <c r="I28">
        <v>0</v>
      </c>
      <c r="J28">
        <v>0</v>
      </c>
      <c r="K28" t="str">
        <v>Lbs</v>
      </c>
      <c r="L28" t="str">
        <v>Fertilizantes usados como Fuente de Magnesio</v>
      </c>
    </row>
    <row r="29">
      <c r="A29" t="str">
        <v>Sulfato de Magnesio</v>
      </c>
      <c r="B29" t="str">
        <v>0-0-0-31.7-16</v>
      </c>
      <c r="C29">
        <v>951</v>
      </c>
      <c r="D29">
        <v>0</v>
      </c>
      <c r="E29">
        <v>0</v>
      </c>
      <c r="F29">
        <v>0</v>
      </c>
      <c r="G29">
        <v>16</v>
      </c>
      <c r="H29">
        <v>0</v>
      </c>
      <c r="I29">
        <v>31.7</v>
      </c>
      <c r="J29">
        <v>0</v>
      </c>
      <c r="K29" t="str">
        <v>Lbs</v>
      </c>
    </row>
    <row r="30">
      <c r="A30" t="str">
        <v>Aquafeed Mg Liquido</v>
      </c>
      <c r="B30" t="str">
        <v>0-0-0-0-10</v>
      </c>
      <c r="C30">
        <v>450</v>
      </c>
      <c r="D30">
        <v>0</v>
      </c>
      <c r="E30">
        <v>0</v>
      </c>
      <c r="F30">
        <v>0</v>
      </c>
      <c r="G30">
        <v>10</v>
      </c>
      <c r="H30">
        <v>0</v>
      </c>
      <c r="I30">
        <v>8</v>
      </c>
      <c r="J30">
        <v>0</v>
      </c>
      <c r="K30" t="str">
        <v>Lts</v>
      </c>
    </row>
    <row r="31"/>
    <row r="32"/>
    <row r="33"/>
    <row r="34">
      <c r="A34" t="str">
        <v>Sin Magnesio</v>
      </c>
      <c r="B34" t="str">
        <v>0-0-0-0-0</v>
      </c>
      <c r="C34">
        <v>0</v>
      </c>
      <c r="D34">
        <v>0</v>
      </c>
      <c r="E34">
        <v>0</v>
      </c>
      <c r="F34">
        <v>0</v>
      </c>
      <c r="G34">
        <v>1000000</v>
      </c>
      <c r="H34">
        <v>0</v>
      </c>
      <c r="I34">
        <v>0</v>
      </c>
      <c r="J34">
        <v>0</v>
      </c>
    </row>
    <row r="36">
      <c r="A36" t="str">
        <v>Nitrato de Calcio</v>
      </c>
      <c r="B36" t="str">
        <v>15.5-0-0-27</v>
      </c>
      <c r="C36">
        <v>1100</v>
      </c>
      <c r="D36">
        <v>15.5</v>
      </c>
      <c r="E36">
        <v>0</v>
      </c>
      <c r="F36">
        <v>0</v>
      </c>
      <c r="G36">
        <v>0</v>
      </c>
      <c r="H36">
        <v>27</v>
      </c>
      <c r="I36">
        <v>0</v>
      </c>
      <c r="J36">
        <v>0</v>
      </c>
      <c r="K36" t="str">
        <v>Lbs</v>
      </c>
      <c r="L36" t="str">
        <v>Fertilizantes usados como Fuente de Calcio</v>
      </c>
    </row>
    <row r="37">
      <c r="A37" t="str">
        <v>Calcio</v>
      </c>
      <c r="B37">
        <v>0</v>
      </c>
      <c r="C37">
        <v>85</v>
      </c>
      <c r="D37">
        <v>0</v>
      </c>
      <c r="E37">
        <v>0</v>
      </c>
      <c r="F37">
        <v>0</v>
      </c>
      <c r="G37">
        <v>0</v>
      </c>
      <c r="H37">
        <v>0</v>
      </c>
      <c r="I37">
        <v>0</v>
      </c>
      <c r="J37">
        <v>0</v>
      </c>
    </row>
    <row r="38"/>
    <row r="39"/>
    <row r="40">
      <c r="A40" t="str">
        <v>Sin Calcio</v>
      </c>
      <c r="B40" t="str">
        <v>0-0-0-0</v>
      </c>
      <c r="C40">
        <v>0</v>
      </c>
      <c r="D40">
        <v>0</v>
      </c>
      <c r="E40">
        <v>0</v>
      </c>
      <c r="F40">
        <v>0</v>
      </c>
      <c r="G40">
        <v>0</v>
      </c>
      <c r="H40">
        <v>1000000</v>
      </c>
      <c r="I40">
        <v>0</v>
      </c>
      <c r="J40">
        <v>0</v>
      </c>
    </row>
    <row r="42">
      <c r="A42" t="str">
        <v>Ácido Bórico</v>
      </c>
      <c r="B42" t="str">
        <v>0-0-0-0-0-0-18</v>
      </c>
      <c r="C42">
        <v>0.03</v>
      </c>
      <c r="D42">
        <v>0</v>
      </c>
      <c r="E42">
        <v>0</v>
      </c>
      <c r="F42">
        <v>0</v>
      </c>
      <c r="G42">
        <v>0</v>
      </c>
      <c r="H42">
        <v>0</v>
      </c>
      <c r="I42">
        <v>0</v>
      </c>
      <c r="J42">
        <v>18</v>
      </c>
      <c r="K42" t="str">
        <v>Gramos</v>
      </c>
      <c r="L42" t="str">
        <v>Fertilizantes usados como Fuente de Boro</v>
      </c>
    </row>
    <row r="43">
      <c r="A43" t="str">
        <v>Solubor</v>
      </c>
      <c r="B43" t="str">
        <v>0-0-0-0-0-0-20.5</v>
      </c>
      <c r="C43">
        <v>0.04</v>
      </c>
      <c r="D43">
        <v>0</v>
      </c>
      <c r="E43">
        <v>0</v>
      </c>
      <c r="F43">
        <v>0</v>
      </c>
      <c r="G43">
        <v>0</v>
      </c>
      <c r="H43">
        <v>0</v>
      </c>
      <c r="I43">
        <v>0</v>
      </c>
      <c r="J43">
        <v>20.5</v>
      </c>
      <c r="K43" t="str">
        <v>Gramos</v>
      </c>
    </row>
    <row r="44"/>
    <row r="45"/>
    <row r="46"/>
    <row r="47">
      <c r="A47" t="str">
        <v>Sin Boro</v>
      </c>
      <c r="B47" t="str">
        <v>0-0-0-0-0-0-0</v>
      </c>
      <c r="C47">
        <v>0</v>
      </c>
      <c r="D47">
        <v>0</v>
      </c>
      <c r="E47">
        <v>0</v>
      </c>
      <c r="F47">
        <v>0</v>
      </c>
      <c r="G47">
        <v>0</v>
      </c>
      <c r="H47">
        <v>0</v>
      </c>
      <c r="I47">
        <v>0</v>
      </c>
      <c r="J47">
        <v>100000</v>
      </c>
    </row>
    <row r="49">
      <c r="A49" t="str">
        <v>MATERIA ORGANICA</v>
      </c>
      <c r="B49" t="str">
        <v>Dosis por Hectárea</v>
      </c>
      <c r="C49" t="str">
        <v>Precio</v>
      </c>
      <c r="D49" t="str">
        <v>Unidades</v>
      </c>
    </row>
    <row r="51">
      <c r="A51" t="str">
        <v>Melaza</v>
      </c>
      <c r="B51">
        <v>20</v>
      </c>
      <c r="C51">
        <v>2.8</v>
      </c>
      <c r="D51" t="str">
        <v>Lts</v>
      </c>
    </row>
    <row r="52">
      <c r="A52" t="str">
        <v>Azúcar</v>
      </c>
      <c r="B52">
        <v>50</v>
      </c>
      <c r="C52">
        <v>5.5</v>
      </c>
      <c r="D52" t="str">
        <v>Lbs</v>
      </c>
    </row>
    <row r="53">
      <c r="A53" t="str">
        <v>Ácidos Húmicos</v>
      </c>
    </row>
    <row r="57">
      <c r="A57" t="str">
        <v>INSECTICIDA POST TRASPLANTE</v>
      </c>
      <c r="B57" t="str">
        <v>Dosis por Hectárea</v>
      </c>
      <c r="C57" t="str">
        <v>Precio</v>
      </c>
      <c r="D57" t="str">
        <v>Unidades</v>
      </c>
    </row>
    <row r="58">
      <c r="A58" t="str">
        <v>Diazol 60 EC</v>
      </c>
      <c r="B58">
        <v>5</v>
      </c>
      <c r="C58">
        <v>210</v>
      </c>
      <c r="D58" t="str">
        <v>Lts</v>
      </c>
    </row>
    <row r="59">
      <c r="A59" t="str">
        <v>Furadan 48 SC</v>
      </c>
      <c r="B59">
        <v>3.785</v>
      </c>
      <c r="C59">
        <v>383</v>
      </c>
      <c r="D59" t="str">
        <v>Lts</v>
      </c>
    </row>
    <row r="60">
      <c r="A60" t="str">
        <v>Lorsban 4E</v>
      </c>
      <c r="B60">
        <v>5</v>
      </c>
      <c r="C60">
        <v>210</v>
      </c>
      <c r="D60" t="str">
        <v>Lts</v>
      </c>
    </row>
    <row r="61">
      <c r="A61" t="str">
        <v>Mocap 72 EC</v>
      </c>
      <c r="B61">
        <v>8</v>
      </c>
      <c r="C61">
        <v>220</v>
      </c>
      <c r="D61" t="str">
        <v>Lts</v>
      </c>
    </row>
    <row r="67">
      <c r="A67" t="str">
        <v>INSECTICIDA AL SUELO</v>
      </c>
      <c r="B67" t="str">
        <v>Dosis por Hectarea</v>
      </c>
      <c r="C67" t="str">
        <v>Precio</v>
      </c>
      <c r="D67" t="str">
        <v>Unidades</v>
      </c>
    </row>
    <row r="68">
      <c r="A68" t="str">
        <v>Jade 35 SG</v>
      </c>
      <c r="B68">
        <v>1</v>
      </c>
      <c r="C68">
        <v>550</v>
      </c>
      <c r="D68" t="str">
        <v>Lts</v>
      </c>
    </row>
    <row r="69">
      <c r="A69" t="str">
        <v>Regente</v>
      </c>
      <c r="B69">
        <v>0.5</v>
      </c>
      <c r="C69">
        <v>1800</v>
      </c>
      <c r="D69" t="str">
        <v>Lts</v>
      </c>
    </row>
    <row r="76">
      <c r="A76" t="str">
        <v>PREVENCION DE VIRUS</v>
      </c>
      <c r="B76" t="str">
        <v>Dosis por Hectárea</v>
      </c>
      <c r="C76" t="str">
        <v>Precio</v>
      </c>
      <c r="D76" t="str">
        <v>Unidades</v>
      </c>
    </row>
    <row r="77">
      <c r="A77" t="str">
        <v>Actara 25 WG</v>
      </c>
      <c r="B77">
        <v>400</v>
      </c>
      <c r="C77">
        <v>3.25</v>
      </c>
      <c r="D77" t="str">
        <v>g</v>
      </c>
    </row>
    <row r="78">
      <c r="A78" t="str">
        <v>Confidor 70 WG</v>
      </c>
      <c r="B78">
        <v>700</v>
      </c>
      <c r="C78">
        <v>1.75</v>
      </c>
      <c r="D78" t="str">
        <v>g</v>
      </c>
    </row>
    <row r="79">
      <c r="A79" t="str">
        <v>Rescate</v>
      </c>
      <c r="B79">
        <v>400</v>
      </c>
      <c r="C79">
        <v>2</v>
      </c>
      <c r="D79" t="str">
        <v>g</v>
      </c>
    </row>
    <row r="85">
      <c r="A85" t="str">
        <v>ACTIVADOR RESIS GENERAL</v>
      </c>
      <c r="B85" t="str">
        <v>Dosis por Hectárea</v>
      </c>
      <c r="C85" t="str">
        <v>Precio</v>
      </c>
      <c r="D85" t="str">
        <v>Unidades</v>
      </c>
    </row>
    <row r="86">
      <c r="A86" t="str">
        <v>Acido Salicílico</v>
      </c>
      <c r="B86">
        <v>250</v>
      </c>
      <c r="C86">
        <v>0.17</v>
      </c>
      <c r="D86" t="str">
        <v>g</v>
      </c>
    </row>
    <row r="88">
      <c r="A88">
        <v>0</v>
      </c>
    </row>
    <row r="90">
      <c r="A90" t="str">
        <v>ACTIVADOR RESIST OOMICETOS</v>
      </c>
      <c r="B90" t="str">
        <v>Dosis por Hectárea</v>
      </c>
      <c r="C90" t="str">
        <v>Precio</v>
      </c>
      <c r="D90" t="str">
        <v>Unidades</v>
      </c>
    </row>
    <row r="91">
      <c r="A91" t="str">
        <v>Acido Fosforoso</v>
      </c>
      <c r="B91">
        <v>5</v>
      </c>
      <c r="C91">
        <v>80</v>
      </c>
      <c r="D91" t="str">
        <v>Lts</v>
      </c>
    </row>
    <row r="92">
      <c r="A92" t="str">
        <v>Aliette 80 WP</v>
      </c>
      <c r="D92" t="str">
        <v>Kg</v>
      </c>
    </row>
    <row r="93">
      <c r="A93" t="str">
        <v>Atlante Plus</v>
      </c>
      <c r="D93" t="str">
        <v>Lts</v>
      </c>
    </row>
    <row r="94">
      <c r="A94" t="str">
        <v>Best K</v>
      </c>
      <c r="B94">
        <v>5</v>
      </c>
      <c r="C94">
        <v>180</v>
      </c>
      <c r="D94" t="str">
        <v>Lts</v>
      </c>
    </row>
    <row r="95">
      <c r="A95" t="str">
        <v>Phytos K</v>
      </c>
      <c r="B95">
        <v>5</v>
      </c>
      <c r="D95" t="str">
        <v>Lts</v>
      </c>
    </row>
    <row r="96">
      <c r="A96" t="str">
        <v>Protector K</v>
      </c>
      <c r="B96">
        <v>5</v>
      </c>
      <c r="C96">
        <v>80</v>
      </c>
      <c r="D96" t="str">
        <v>Lts</v>
      </c>
    </row>
    <row r="102">
      <c r="A102" t="str">
        <v>FUNGICIDAS AL SUELO</v>
      </c>
      <c r="B102" t="str">
        <v>Dosis por Hectárea</v>
      </c>
      <c r="C102" t="str">
        <v>Precio</v>
      </c>
      <c r="D102" t="str">
        <v>Unidades</v>
      </c>
    </row>
    <row r="103">
      <c r="A103" t="str">
        <v>Silvacur</v>
      </c>
      <c r="B103">
        <v>5</v>
      </c>
      <c r="D103" t="str">
        <v>Lts</v>
      </c>
    </row>
    <row r="109">
      <c r="A109" t="str">
        <v>PROTECTANTE ENFERM. SUELO</v>
      </c>
      <c r="B109" t="str">
        <v>Dosis por Hectárea</v>
      </c>
      <c r="C109" t="str">
        <v>Precio</v>
      </c>
      <c r="D109" t="str">
        <v>Unidades</v>
      </c>
    </row>
    <row r="110">
      <c r="A110" t="str">
        <v>Mycobac</v>
      </c>
      <c r="B110">
        <v>1</v>
      </c>
      <c r="C110">
        <v>380</v>
      </c>
      <c r="D110" t="str">
        <v>Dosis</v>
      </c>
    </row>
    <row r="111">
      <c r="A111" t="str">
        <v>TricoZam</v>
      </c>
      <c r="B111">
        <v>1</v>
      </c>
      <c r="C111">
        <v>380</v>
      </c>
      <c r="D111" t="str">
        <v>Dosis</v>
      </c>
    </row>
    <row r="116">
      <c r="A116" t="str">
        <v>PROTECTANTE INSECTOS SUELO</v>
      </c>
      <c r="B116" t="str">
        <v>Dosis por Hectárea</v>
      </c>
      <c r="C116" t="str">
        <v>Precio</v>
      </c>
      <c r="D116" t="str">
        <v>Unidades</v>
      </c>
    </row>
    <row r="117">
      <c r="A117" t="str">
        <v>BaZam</v>
      </c>
      <c r="B117">
        <v>1</v>
      </c>
      <c r="C117">
        <v>380</v>
      </c>
      <c r="D117" t="str">
        <v>Dosis</v>
      </c>
    </row>
    <row r="118">
      <c r="A118" t="str">
        <v>MetaZam</v>
      </c>
      <c r="B118">
        <v>1</v>
      </c>
      <c r="C118">
        <v>380</v>
      </c>
      <c r="D118" t="str">
        <v>Dosis</v>
      </c>
    </row>
  </sheetData>
  <sheetProtection sheet="1"/>
  <mergeCells count="10">
    <mergeCell ref="N3:N47"/>
    <mergeCell ref="O3:O47"/>
    <mergeCell ref="N2:O2"/>
    <mergeCell ref="L12:M17"/>
    <mergeCell ref="L19:M26"/>
    <mergeCell ref="L28:M34"/>
    <mergeCell ref="L36:M40"/>
    <mergeCell ref="L42:M47"/>
    <mergeCell ref="L2:M2"/>
    <mergeCell ref="L3:M10"/>
  </mergeCells>
  <pageMargins left="0.75" right="0.75" top="1" bottom="1" header="0.5" footer="0.5"/>
  <ignoredErrors>
    <ignoredError numberStoredAsText="1" sqref="A1:O121"/>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12.0000</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Main</vt:lpstr>
      <vt:lpstr>Cal-Diario con Preventivos</vt:lpstr>
      <vt:lpstr>Cal-Diario</vt:lpstr>
      <vt:lpstr>3 Por Sem</vt:lpstr>
      <vt:lpstr>2 Por Sem con Preventivos</vt:lpstr>
      <vt:lpstr>2 Por Sem</vt:lpstr>
      <vt:lpstr>1 Por Sem</vt:lpstr>
      <vt:lpstr>14 Dias</vt:lpstr>
      <vt:lpstr>ReDiarioFert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2009-08-12T00:07:17Z</dcterms:modified>
  <cp:lastModifiedBy>User</cp:lastModifiedBy>
  <cp:lastPrinted>2009-05-16T21:45:14Z</cp:lastPrinted>
  <dc:creator>Ricardo Lardizabal</dc:creator>
  <dc:subject>Chile Jalapeno</dc:subject>
  <dc:title>Fertilization Programs</dc:title>
</cp:coreProperties>
</file>