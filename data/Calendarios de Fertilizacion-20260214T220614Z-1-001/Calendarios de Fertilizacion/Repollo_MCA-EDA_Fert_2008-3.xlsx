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Sem'!$A$1:$S$43</definedName>
    <definedName name="_xlnm.Print_Area" localSheetId="7">'14 Dias'!$A$1:$T$38</definedName>
    <definedName name="_xlnm.Print_Area" localSheetId="5">'2 Por Sem'!$A$1:$S$57</definedName>
    <definedName name="_xlnm.Print_Area" localSheetId="4">'2 Por Sem con Preventivos'!$A$1:$S$57</definedName>
    <definedName name="_xlnm.Print_Area" localSheetId="3">'3 Por Sem'!$A$1:$S$70</definedName>
    <definedName name="_xlnm.Print_Area" localSheetId="2">'Cal-Diario'!$A$1:$S$123</definedName>
    <definedName name="_xlnm.Print_Area" localSheetId="1">'Cal-Diario con Preventivos'!$A$1:$S$123</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Ricardo Lardizabal</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 ref="C81" authorId="3">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_x0000_)_x0000_b_x0000__x000c__x0000__x0013__x0000_(_x0000__x0002__x0000__x000c__x0000__x0014__x0000_&gt;_x0000_Ô_x0003__x0018__x0000_w_x0000_X_x0000__x0008__x0000__x001b__x0000_x_x0000_&gt;_x0000_ý_x0002__x0018__x0000_Æ_x0000_î_x0000_\(¤_x0000_</t>
      </text>
    </comment>
    <comment ref="C82" authorId="3">
      <text>
        <t xml:space="preserve">Ricardo Lardizabal:
Los quimicos siempre usar adherente.
Si usa Break Thru usar 100 ml por cada hora de riego. (2.2 Mts3 de agua de riego)
Si es adherente normal usar 700 ml por cada hora de riego. _x0000_)_x0000_b_x0000__x000c__x0000__x0013__x0000_(_x0000__x0002__x0000__x000c__x0000__x0014__x0000_&gt;_x0000_Ý_x0006__x0018__x0000_Æ_x0000_î_x0000_t_x0003_$_x0000_</t>
      </text>
    </comment>
    <comment ref="C85" authorId="3">
      <text>
        <t xml:space="preserve">Ricardo Lardizabal:
Los biologicos aplicar con la melaza siempre nunca con adherente</t>
      </text>
    </comment>
    <comment ref="C86" authorId="3">
      <text>
        <t xml:space="preserve">Ricardo Lardizabal:
Los biologicos aplicar con la melaza siempre nunca con adherente</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Anion Nitrato y Cation Amonio</t>
      </text>
    </comment>
    <comment ref="E5" authorId="0">
      <text>
        <t xml:space="preserve">Ricardo Lardizabal:
El Cation Fosfato es el que mas se absorbe y en mucho menos grado el anion.</t>
      </text>
    </comment>
    <comment ref="F5" authorId="0">
      <text>
        <t xml:space="preserve">Ricardo Lardizabal:
El potacio se absorbe como cation K</t>
      </text>
    </comment>
    <comment ref="G5" authorId="0">
      <text>
        <t xml:space="preserve">Ricardo Lardizabal:
El magnesio se absorbe como cation Mg</t>
      </text>
    </comment>
    <comment ref="H5" authorId="0">
      <text>
        <t xml:space="preserve">Ricardo Lardizabal:
El calcio se absorbe como cation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producto._x0000_=_x0000_É_x0003__x0019__x0000_i_x0000__x0000__x0000__x0000__x0000_
_x0000_</t>
      </text>
    </comment>
    <comment ref="C32" authorId="0">
      <text>
        <t xml:space="preserve">RACA:
Actualizar precio de acuerdo a su zona.
Cuando es liquido ponga el precio de 46 litros de producto._x0000_=_x0000_É_x0003__x0019__x0000_i_x0000__x0000__x0000__x0000__x0000_
_x0000_</t>
      </text>
    </comment>
    <comment ref="C33" authorId="0">
      <text>
        <t xml:space="preserve">RACA:
Actualizar precio de acuerdo a su zona.
Cuando es liquido ponga el precio de 46 litros de producto._x0000_=_x0000_É_x0003__x0019__x0000_i_x0000__x0000__x0000__x0000__x0000_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producto._x0000_=_x0000_É_x0003__x0019__x0000_i_x0000__x0000__x0000__x0000__x0000_
_x0000_</t>
      </text>
    </comment>
    <comment ref="C39" authorId="0">
      <text>
        <t xml:space="preserve">RACA:
Actualizar precio de acuerdo a su zona.
Cuando es liquido ponga el precio de 46 litros de producto._x0000_=_x0000_É_x0003__x0019__x0000_i_x0000__x0000__x0000__x0000__x0000_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"Sin Fertilización Base"</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Repollo</v>
      </c>
      <c r="G21" t="str">
        <v>Izalco</v>
      </c>
    </row>
    <row r="22" ht="18" customHeight="1">
      <c r="C22" t="str">
        <v>Área en Manzanas</v>
      </c>
      <c r="E22">
        <v>1.43</v>
      </c>
      <c r="F22" t="str">
        <v>Área en Hectáreas</v>
      </c>
      <c r="I22">
        <f>E22*0.7</f>
        <v>1.001</v>
      </c>
    </row>
    <row r="23" ht="18" customHeight="1">
      <c r="C23" t="str">
        <v>Fecha de Siembra:</v>
      </c>
      <c r="E23">
        <v>39479</v>
      </c>
    </row>
    <row r="24">
      <c r="C24" t="str">
        <v>Cosecha - Días DDT:</v>
      </c>
      <c r="E24">
        <v>90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560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496</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405</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0-0-0-0-0</v>
      </c>
      <c r="E46">
        <f>IF(+$D$47&lt;&gt;0,VLOOKUP(+$D$47,Fertilizante1,4,FALSE),"")</f>
        <v>0</v>
      </c>
      <c r="F46">
        <f>IF(+$D$47&lt;&gt;0,VLOOKUP(+$D$47,Fertilizante1,5,FALSE),"")</f>
        <v>0</v>
      </c>
      <c r="G46">
        <f>IF(+$D$47&lt;&gt;0,VLOOKUP(+$D$47,Fertilizante1,6,FALSE),"")</f>
        <v>0</v>
      </c>
      <c r="H46">
        <f>IF(+$D$47&lt;&gt;0,VLOOKUP(+$D$47,Fertilizante1,9,FALSE),"")</f>
        <v>0</v>
      </c>
      <c r="I46">
        <f>IF(+$D$47&lt;&gt;0,VLOOKUP(+$D$47,Fertilizante1,7,FALSE),"")</f>
        <v>1000000</v>
      </c>
    </row>
    <row r="47">
      <c r="C47" t="str">
        <v>Nombre:</v>
      </c>
      <c r="D47" t="str">
        <v>Sin Magnecio</v>
      </c>
      <c r="E47">
        <f>VLOOKUP(D47,Fertilizante2,11,FALSE)</f>
        <v>0</v>
      </c>
    </row>
    <row r="48" ht="20.25" customHeight="1">
      <c r="C48" t="str">
        <f>E25</f>
        <v>Lempiras</v>
      </c>
      <c r="D48">
        <f>IF(+$D$47&lt;&gt;0,VLOOKUP(+$D$47,Fertilizante1,3,FALSE),"")</f>
        <v>0</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Repollo</v>
      </c>
    </row>
    <row r="6" ht="26.25" customHeight="1"/>
    <row r="7" ht="26.25" customHeight="1"/>
    <row r="8" ht="8.4" customHeight="1"/>
    <row r="9" ht="26.25" customHeight="1">
      <c r="A9" t="str">
        <f>Main!$C$13</f>
        <v>"Sin Fertilización Base"</v>
      </c>
      <c r="P9" t="str">
        <f>Main!$G$21</f>
        <v>Izalco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39479</v>
      </c>
    </row>
    <row r="14" ht="20.1" customHeight="1">
      <c r="A14" t="str">
        <v>Área Ha.</v>
      </c>
      <c r="C14">
        <f>Main!I22</f>
        <v>1.001</v>
      </c>
      <c r="F14" t="str">
        <v>Fecha de Cosecha:</v>
      </c>
      <c r="I14">
        <f>I13+Main!E24</f>
        <v>39569</v>
      </c>
    </row>
    <row r="15" ht="19.5" customHeight="1"/>
    <row r="16" ht="28.5" customHeight="1">
      <c r="A16" t="str">
        <v>Semana</v>
      </c>
      <c r="B16" t="str">
        <v>DDT</v>
      </c>
      <c r="C16" t="str">
        <v>FECHA</v>
      </c>
      <c r="E16" t="str">
        <f>Main!$D$42</f>
        <v>Nitrato de Amonio</v>
      </c>
      <c r="G16" t="str">
        <f>Main!$D$32</f>
        <v>DAP 18-46-0</v>
      </c>
      <c r="I16" t="str">
        <f>Main!$D$37</f>
        <v>Kcl Soluble</v>
      </c>
      <c r="K16" t="str">
        <f>Main!$D$47</f>
        <v>Sin Magnecio</v>
      </c>
      <c r="M16" t="str">
        <f>Main!$D$52</f>
        <v>Sin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f>Main!E47</f>
        <v>0</v>
      </c>
      <c r="L17" t="str">
        <v>Cambios</v>
      </c>
      <c r="M17">
        <f>Main!E52</f>
        <v>0</v>
      </c>
      <c r="N17" t="str">
        <v>Cambios</v>
      </c>
      <c r="O17" t="str">
        <f>Main!E57</f>
        <v>Gramos</v>
      </c>
      <c r="P17" t="str">
        <v>Cambios</v>
      </c>
      <c r="Q17" t="str">
        <f>Main!$E$61</f>
        <v>Lts</v>
      </c>
      <c r="R17" t="str">
        <v>Cambios</v>
      </c>
    </row>
    <row r="18" ht="18.75" customHeight="1">
      <c r="A18">
        <v>1</v>
      </c>
      <c r="B18">
        <v>1</v>
      </c>
      <c r="C18">
        <f>$I$13+B18</f>
        <v>39480</v>
      </c>
      <c r="E18">
        <f>IF($C$14*ReDiarioFert!C7&lt;=0,"0",$C$14*ReDiarioFert!C7)</f>
        <v>4.291112655119864</v>
      </c>
      <c r="G18">
        <f>$C$14*ReDiarioFert!E7</f>
        <v>1.0642026520673233</v>
      </c>
      <c r="I18">
        <f>$C$14*ReDiarioFert!G7</f>
        <v>3.260605931259842</v>
      </c>
      <c r="K18">
        <f>$C$14*ReDiarioFert!I7</f>
        <v>0.00003013500394607048</v>
      </c>
      <c r="M18">
        <f>$C$14*ReDiarioFert!K7</f>
        <v>0.00010482084435091291</v>
      </c>
      <c r="O18">
        <f>$C$14*ReDiarioFert!M7</f>
        <v>24.866793170731707</v>
      </c>
      <c r="Q18">
        <f>$C$14*Main!$D$63</f>
        <v>20.019999999999996</v>
      </c>
      <c r="S18">
        <f>((E18/100)*$G$113+(G18/100)*$G$114+(I18/100)*$G$115+(K18/100)*$G$116+(M18/100)*$G$117+(O18)*$G$118+(Q18*$G$119))</f>
        <v>96.56181825069052</v>
      </c>
    </row>
    <row r="19" ht="18.75" customHeight="1">
      <c r="B19">
        <v>2</v>
      </c>
      <c r="C19">
        <f>$I$13+B19</f>
        <v>39481</v>
      </c>
      <c r="E19">
        <f>IF($C$14*ReDiarioFert!C8&lt;=0,"0",$C$14*ReDiarioFert!C8)</f>
        <v>4.291112655119864</v>
      </c>
      <c r="G19">
        <f>$C$14*ReDiarioFert!E8</f>
        <v>1.0642026520673233</v>
      </c>
      <c r="I19">
        <f>$C$14*ReDiarioFert!G8</f>
        <v>3.260605931259842</v>
      </c>
      <c r="K19">
        <f>$C$14*ReDiarioFert!I8</f>
        <v>0.00003013500394607048</v>
      </c>
      <c r="M19">
        <f>$C$14*ReDiarioFert!K8</f>
        <v>0.00010482084435091291</v>
      </c>
      <c r="O19">
        <f>$C$14*ReDiarioFert!M8</f>
        <v>24.866793170731707</v>
      </c>
      <c r="Q19" t="str">
        <f>Main!$H$81</f>
        <v>Furadan 48 SC</v>
      </c>
      <c r="R19">
        <f>Main!$K$81*Main!$I$22</f>
        <v>3.788785</v>
      </c>
      <c r="S19">
        <f>((E19/100)*$G$113+(G19/100)*$G$114+(I19/100)*$G$115+(K19/100)*$G$116+(M19/100)*$G$117+(O19)*$G$118+(R19*Main!$J$81))</f>
        <v>1491.6104732506903</v>
      </c>
    </row>
    <row r="20" ht="18.75" customHeight="1">
      <c r="B20">
        <v>3</v>
      </c>
      <c r="C20">
        <f>$I$13+B20</f>
        <v>39482</v>
      </c>
      <c r="E20">
        <f>IF($C$14*ReDiarioFert!C9&lt;=0,"0",$C$14*ReDiarioFert!C9)</f>
        <v>4.291112655119864</v>
      </c>
      <c r="G20">
        <f>$C$14*ReDiarioFert!E9</f>
        <v>1.0642026520673233</v>
      </c>
      <c r="I20">
        <f>$C$14*ReDiarioFert!G9</f>
        <v>3.260605931259842</v>
      </c>
      <c r="K20">
        <f>$C$14*ReDiarioFert!I9</f>
        <v>0.00003013500394607048</v>
      </c>
      <c r="M20">
        <f>$C$14*ReDiarioFert!K9</f>
        <v>0.00010482084435091291</v>
      </c>
      <c r="O20">
        <f>$C$14*ReDiarioFert!M9</f>
        <v>24.866793170731707</v>
      </c>
      <c r="S20">
        <f>((E20/100)*$G$113+(G20/100)*$G$114+(I20/100)*$G$115+(K20/100)*$G$116+(M20/100)*$G$117+(O20)*$G$118+(Q20*$G$119))</f>
        <v>40.50581825069054</v>
      </c>
    </row>
    <row r="21" ht="18.75" customHeight="1">
      <c r="B21">
        <v>4</v>
      </c>
      <c r="C21">
        <f>$I$13+B21</f>
        <v>39483</v>
      </c>
      <c r="E21">
        <f>IF($C$14*ReDiarioFert!C10&lt;=0,"0",$C$14*ReDiarioFert!C10)</f>
        <v>4.291112655119864</v>
      </c>
      <c r="G21">
        <f>$C$14*ReDiarioFert!E10</f>
        <v>1.0642026520673233</v>
      </c>
      <c r="I21">
        <f>$C$14*ReDiarioFert!G10</f>
        <v>3.260605931259842</v>
      </c>
      <c r="K21">
        <f>$C$14*ReDiarioFert!I10</f>
        <v>0.00003013500394607048</v>
      </c>
      <c r="M21">
        <f>$C$14*ReDiarioFert!K10</f>
        <v>0.00010482084435091291</v>
      </c>
      <c r="O21">
        <f>$C$14*ReDiarioFert!M10</f>
        <v>24.866793170731707</v>
      </c>
      <c r="S21">
        <f>((E21/100)*$G$113+(G21/100)*$G$114+(I21/100)*$G$115+(K21/100)*$G$116+(M21/100)*$G$117+(O21)*$G$118+(Q21*$G$119))</f>
        <v>40.50581825069054</v>
      </c>
    </row>
    <row r="22" ht="18.75" customHeight="1">
      <c r="B22">
        <v>5</v>
      </c>
      <c r="C22">
        <f>$I$13+B22</f>
        <v>39484</v>
      </c>
      <c r="E22">
        <f>IF($C$14*ReDiarioFert!C11&lt;=0,"0",$C$14*ReDiarioFert!C11)</f>
        <v>4.291112655119864</v>
      </c>
      <c r="G22">
        <f>$C$14*ReDiarioFert!E11</f>
        <v>1.0642026520673233</v>
      </c>
      <c r="I22">
        <f>$C$14*ReDiarioFert!G11</f>
        <v>3.260605931259842</v>
      </c>
      <c r="K22">
        <f>$C$14*ReDiarioFert!I11</f>
        <v>0.00003013500394607048</v>
      </c>
      <c r="M22">
        <f>$C$14*ReDiarioFert!K11</f>
        <v>0.00010482084435091291</v>
      </c>
      <c r="O22">
        <f>$C$14*ReDiarioFert!M11</f>
        <v>24.866793170731707</v>
      </c>
      <c r="S22">
        <f>((E22/100)*$G$113+(G22/100)*$G$114+(I22/100)*$G$115+(K22/100)*$G$116+(M22/100)*$G$117+(O22)*$G$118+(Q22*$G$119))</f>
        <v>40.50581825069054</v>
      </c>
    </row>
    <row r="23" ht="18.75" customHeight="1">
      <c r="B23">
        <v>6</v>
      </c>
      <c r="C23">
        <f>$I$13+B23</f>
        <v>39485</v>
      </c>
      <c r="E23">
        <f>IF($C$14*ReDiarioFert!C12&lt;=0,"0",$C$14*ReDiarioFert!C12)</f>
        <v>4.291112655119864</v>
      </c>
      <c r="G23">
        <f>$C$14*ReDiarioFert!E12</f>
        <v>1.0642026520673233</v>
      </c>
      <c r="I23">
        <f>$C$14*ReDiarioFert!G12</f>
        <v>3.260605931259842</v>
      </c>
      <c r="K23">
        <f>$C$14*ReDiarioFert!I12</f>
        <v>0.00003013500394607048</v>
      </c>
      <c r="M23">
        <f>$C$14*ReDiarioFert!K12</f>
        <v>0.00010482084435091291</v>
      </c>
      <c r="O23">
        <f>$C$14*ReDiarioFert!M12</f>
        <v>24.866793170731707</v>
      </c>
      <c r="S23">
        <f>((E23/100)*$G$113+(G23/100)*$G$114+(I23/100)*$G$115+(K23/100)*$G$116+(M23/100)*$G$117+(O23)*$G$118+(Q23*$G$119))</f>
        <v>40.50581825069054</v>
      </c>
    </row>
    <row r="24" ht="18.75" customHeight="1">
      <c r="B24">
        <v>7</v>
      </c>
      <c r="C24">
        <f>$I$13+B24</f>
        <v>39486</v>
      </c>
      <c r="E24">
        <f>IF($C$14*ReDiarioFert!C13&lt;=0,"0",$C$14*ReDiarioFert!C13)</f>
        <v>4.291112655119864</v>
      </c>
      <c r="G24">
        <f>$C$14*ReDiarioFert!E13</f>
        <v>1.0642026520673233</v>
      </c>
      <c r="I24">
        <f>$C$14*ReDiarioFert!G13</f>
        <v>3.260605931259842</v>
      </c>
      <c r="K24">
        <f>$C$14*ReDiarioFert!I13</f>
        <v>0.00003013500394607048</v>
      </c>
      <c r="M24">
        <f>$C$14*ReDiarioFert!K13</f>
        <v>0.00010482084435091291</v>
      </c>
      <c r="O24">
        <f>$C$14*ReDiarioFert!M13</f>
        <v>24.866793170731707</v>
      </c>
      <c r="S24">
        <f>((E24/100)*$G$113+(G24/100)*$G$114+(I24/100)*$G$115+(K24/100)*$G$116+(M24/100)*$G$117+(O24)*$G$118+(Q24*$G$119))</f>
        <v>40.50581825069054</v>
      </c>
    </row>
    <row r="25">
      <c r="A25">
        <v>2</v>
      </c>
      <c r="B25">
        <v>8</v>
      </c>
      <c r="C25">
        <f>$I$13+B25</f>
        <v>39487</v>
      </c>
      <c r="E25">
        <f>IF($C$14*ReDiarioFert!C14&lt;=0,"0",$C$14*ReDiarioFert!C14)</f>
        <v>4.291112655119864</v>
      </c>
      <c r="G25">
        <f>$C$14*ReDiarioFert!E14</f>
        <v>1.0642026520673233</v>
      </c>
      <c r="I25">
        <f>$C$14*ReDiarioFert!G14</f>
        <v>3.260605931259842</v>
      </c>
      <c r="K25">
        <f>$C$14*ReDiarioFert!I14</f>
        <v>0.00003013500394607048</v>
      </c>
      <c r="M25">
        <f>$C$14*ReDiarioFert!K14</f>
        <v>0.00010482084435091291</v>
      </c>
      <c r="O25">
        <f>$C$14*ReDiarioFert!M14</f>
        <v>24.866793170731707</v>
      </c>
      <c r="Q25">
        <f>$C$14*Main!$D$63</f>
        <v>20.019999999999996</v>
      </c>
      <c r="S25">
        <f>((E25/100)*$G$113+(G25/100)*$G$114+(I25/100)*$G$115+(K25/100)*$G$116+(M25/100)*$G$117+(O25)*$G$118+(Q25*$G$119))</f>
        <v>96.56181825069052</v>
      </c>
    </row>
    <row r="26">
      <c r="B26">
        <v>9</v>
      </c>
      <c r="C26">
        <f>$I$13+B26</f>
        <v>39488</v>
      </c>
      <c r="E26">
        <f>IF($C$14*ReDiarioFert!C15&lt;=0,"0",$C$14*ReDiarioFert!C15)</f>
        <v>4.291112655119864</v>
      </c>
      <c r="G26">
        <f>$C$14*ReDiarioFert!E15</f>
        <v>1.0642026520673233</v>
      </c>
      <c r="I26">
        <f>$C$14*ReDiarioFert!G15</f>
        <v>3.260605931259842</v>
      </c>
      <c r="K26">
        <f>$C$14*ReDiarioFert!I15</f>
        <v>0.00003013500394607048</v>
      </c>
      <c r="M26">
        <f>$C$14*ReDiarioFert!K15</f>
        <v>0.00010482084435091291</v>
      </c>
      <c r="O26">
        <f>$C$14*ReDiarioFert!M15</f>
        <v>24.866793170731707</v>
      </c>
      <c r="S26">
        <f>((E26/100)*$G$113+(G26/100)*$G$114+(I26/100)*$G$115+(K26/100)*$G$116+(M26/100)*$G$117+(O26)*$G$118+(Q26*$G$119))</f>
        <v>40.50581825069054</v>
      </c>
    </row>
    <row r="27">
      <c r="B27">
        <v>10</v>
      </c>
      <c r="C27">
        <f>$I$13+B27</f>
        <v>39489</v>
      </c>
      <c r="E27">
        <f>IF($C$14*ReDiarioFert!C16&lt;=0,"0",$C$14*ReDiarioFert!C16)</f>
        <v>4.291112655119864</v>
      </c>
      <c r="G27">
        <f>$C$14*ReDiarioFert!E16</f>
        <v>1.0642026520673233</v>
      </c>
      <c r="I27">
        <f>$C$14*ReDiarioFert!G16</f>
        <v>3.260605931259842</v>
      </c>
      <c r="K27">
        <f>$C$14*ReDiarioFert!I16</f>
        <v>0.00003013500394607048</v>
      </c>
      <c r="M27">
        <f>$C$14*ReDiarioFert!K16</f>
        <v>0.00010482084435091291</v>
      </c>
      <c r="O27">
        <f>$C$14*ReDiarioFert!M16</f>
        <v>24.866793170731707</v>
      </c>
      <c r="S27">
        <f>((E27/100)*$G$113+(G27/100)*$G$114+(I27/100)*$G$115+(K27/100)*$G$116+(M27/100)*$G$117+(O27)*$G$118+(Q27*$G$119))</f>
        <v>40.50581825069054</v>
      </c>
    </row>
    <row r="28">
      <c r="B28">
        <v>11</v>
      </c>
      <c r="C28">
        <f>$I$13+B28</f>
        <v>39490</v>
      </c>
      <c r="E28">
        <f>IF($C$14*ReDiarioFert!C17&lt;=0,"0",$C$14*ReDiarioFert!C17)</f>
        <v>6.436668982679795</v>
      </c>
      <c r="G28">
        <f>$C$14*ReDiarioFert!E17</f>
        <v>1.5963039781009853</v>
      </c>
      <c r="I28">
        <f>$C$14*ReDiarioFert!G17</f>
        <v>4.890908896889763</v>
      </c>
      <c r="K28">
        <f>$C$14*ReDiarioFert!I17</f>
        <v>0.00004520250591910573</v>
      </c>
      <c r="M28">
        <f>$C$14*ReDiarioFert!K17</f>
        <v>0.0001572312665263694</v>
      </c>
      <c r="O28">
        <f>$C$14*ReDiarioFert!M17</f>
        <v>44.76032536585365</v>
      </c>
      <c r="S28">
        <f>((E28/100)*$G$113+(G28/100)*$G$114+(I28/100)*$G$115+(K28/100)*$G$116+(M28/100)*$G$117+(O28)*$G$118+(Q28*$G$119))</f>
        <v>61.05713280042606</v>
      </c>
    </row>
    <row r="29">
      <c r="B29">
        <v>12</v>
      </c>
      <c r="C29">
        <f>$I$13+B29</f>
        <v>39491</v>
      </c>
      <c r="E29">
        <f>IF($C$14*ReDiarioFert!C18&lt;=0,"0",$C$14*ReDiarioFert!C18)</f>
        <v>6.436668982679795</v>
      </c>
      <c r="G29">
        <f>$C$14*ReDiarioFert!E18</f>
        <v>1.5963039781009853</v>
      </c>
      <c r="I29">
        <f>$C$14*ReDiarioFert!G18</f>
        <v>4.890908896889763</v>
      </c>
      <c r="K29">
        <f>$C$14*ReDiarioFert!I18</f>
        <v>0.00004520250591910573</v>
      </c>
      <c r="M29">
        <f>$C$14*ReDiarioFert!K18</f>
        <v>0.0001572312665263694</v>
      </c>
      <c r="O29">
        <f>$C$14*ReDiarioFert!M18</f>
        <v>44.76032536585365</v>
      </c>
      <c r="S29">
        <f>((E29/100)*$G$113+(G29/100)*$G$114+(I29/100)*$G$115+(K29/100)*$G$116+(M29/100)*$G$117+(O29)*$G$118+(Q29*$G$119))</f>
        <v>61.05713280042606</v>
      </c>
    </row>
    <row r="30">
      <c r="B30">
        <v>13</v>
      </c>
      <c r="C30">
        <f>$I$13+B30</f>
        <v>39492</v>
      </c>
      <c r="E30">
        <f>IF($C$14*ReDiarioFert!C19&lt;=0,"0",$C$14*ReDiarioFert!C19)</f>
        <v>6.436668982679795</v>
      </c>
      <c r="G30">
        <f>$C$14*ReDiarioFert!E19</f>
        <v>1.5963039781009853</v>
      </c>
      <c r="I30">
        <f>$C$14*ReDiarioFert!G19</f>
        <v>4.890908896889763</v>
      </c>
      <c r="K30">
        <f>$C$14*ReDiarioFert!I19</f>
        <v>0.00004520250591910573</v>
      </c>
      <c r="M30">
        <f>$C$14*ReDiarioFert!K19</f>
        <v>0.0001572312665263694</v>
      </c>
      <c r="O30">
        <f>$C$14*ReDiarioFert!M19</f>
        <v>44.76032536585365</v>
      </c>
      <c r="S30">
        <f>((E30/100)*$G$113+(G30/100)*$G$114+(I30/100)*$G$115+(K30/100)*$G$116+(M30/100)*$G$117+(O30)*$G$118+(Q30*$G$119))</f>
        <v>61.05713280042606</v>
      </c>
    </row>
    <row r="31">
      <c r="B31">
        <v>14</v>
      </c>
      <c r="C31">
        <f>$I$13+B31</f>
        <v>39493</v>
      </c>
      <c r="E31">
        <f>IF($C$14*ReDiarioFert!C20&lt;=0,"0",$C$14*ReDiarioFert!C20)</f>
        <v>6.436668982679795</v>
      </c>
      <c r="G31">
        <f>$C$14*ReDiarioFert!E20</f>
        <v>1.5963039781009853</v>
      </c>
      <c r="I31">
        <f>$C$14*ReDiarioFert!G20</f>
        <v>4.890908896889763</v>
      </c>
      <c r="K31">
        <f>$C$14*ReDiarioFert!I20</f>
        <v>0.00004520250591910573</v>
      </c>
      <c r="M31">
        <f>$C$14*ReDiarioFert!K20</f>
        <v>0.0001572312665263694</v>
      </c>
      <c r="O31">
        <f>$C$14*ReDiarioFert!M20</f>
        <v>44.76032536585365</v>
      </c>
      <c r="S31">
        <f>((E31/100)*$G$113+(G31/100)*$G$114+(I31/100)*$G$115+(K31/100)*$G$116+(M31/100)*$G$117+(O31)*$G$118+(Q31*$G$119))</f>
        <v>61.05713280042606</v>
      </c>
    </row>
    <row r="32">
      <c r="A32">
        <v>3</v>
      </c>
      <c r="B32">
        <v>15</v>
      </c>
      <c r="C32">
        <f>$I$13+B32</f>
        <v>39494</v>
      </c>
      <c r="E32">
        <f>IF($C$14*ReDiarioFert!C21&lt;=0,"0",$C$14*ReDiarioFert!C21)</f>
        <v>5.915641514608175</v>
      </c>
      <c r="G32">
        <f>$C$14*ReDiarioFert!E21</f>
        <v>1.5963039781009853</v>
      </c>
      <c r="I32">
        <f>$C$14*ReDiarioFert!G21</f>
        <v>4.890908896889763</v>
      </c>
      <c r="K32">
        <f>$C$14*ReDiarioFert!I21</f>
        <v>0.00004520250591910573</v>
      </c>
      <c r="M32">
        <f>$C$14*ReDiarioFert!K21</f>
        <v>0.0001572312665263694</v>
      </c>
      <c r="O32">
        <f>$C$14*ReDiarioFert!M21</f>
        <v>44.76032536585365</v>
      </c>
      <c r="Q32">
        <f>$C$14*Main!$D$63</f>
        <v>20.019999999999996</v>
      </c>
      <c r="S32">
        <f>((E32/100)*$G$113+(G32/100)*$G$114+(I32/100)*$G$115+(K32/100)*$G$116+(M32/100)*$G$117+(O32)*$G$118+(Q32*$G$119))</f>
        <v>115.00297155473598</v>
      </c>
    </row>
    <row r="33">
      <c r="B33">
        <v>16</v>
      </c>
      <c r="C33">
        <f>$I$13+B33</f>
        <v>39495</v>
      </c>
      <c r="E33">
        <f>IF($C$14*ReDiarioFert!C22&lt;=0,"0",$C$14*ReDiarioFert!C22)</f>
        <v>5.915641514608175</v>
      </c>
      <c r="G33">
        <f>$C$14*ReDiarioFert!E22</f>
        <v>1.5963039781009853</v>
      </c>
      <c r="I33">
        <f>$C$14*ReDiarioFert!G22</f>
        <v>4.890908896889763</v>
      </c>
      <c r="K33">
        <f>$C$14*ReDiarioFert!I22</f>
        <v>0.00004520250591910573</v>
      </c>
      <c r="M33">
        <f>$C$14*ReDiarioFert!K22</f>
        <v>0.0001572312665263694</v>
      </c>
      <c r="O33">
        <f>$C$14*ReDiarioFert!M22</f>
        <v>44.76032536585365</v>
      </c>
      <c r="S33">
        <f>((E33/100)*$G$113+(G33/100)*$G$114+(I33/100)*$G$115+(K33/100)*$G$116+(M33/100)*$G$117+(O33)*$G$118+(Q33*$G$119))</f>
        <v>58.946971554735995</v>
      </c>
    </row>
    <row r="34">
      <c r="B34">
        <v>17</v>
      </c>
      <c r="C34">
        <f>$I$13+B34</f>
        <v>39496</v>
      </c>
      <c r="E34">
        <f>IF($C$14*ReDiarioFert!C23&lt;=0,"0",$C$14*ReDiarioFert!C23)</f>
        <v>5.915641514608175</v>
      </c>
      <c r="G34">
        <f>$C$14*ReDiarioFert!E23</f>
        <v>1.5963039781009853</v>
      </c>
      <c r="I34">
        <f>$C$14*ReDiarioFert!G23</f>
        <v>4.890908896889763</v>
      </c>
      <c r="K34">
        <f>$C$14*ReDiarioFert!I23</f>
        <v>0.00004520250591910573</v>
      </c>
      <c r="M34">
        <f>$C$14*ReDiarioFert!K23</f>
        <v>0.0001572312665263694</v>
      </c>
      <c r="O34">
        <f>$C$14*ReDiarioFert!M23</f>
        <v>44.76032536585365</v>
      </c>
      <c r="S34">
        <f>((E34/100)*$G$113+(G34/100)*$G$114+(I34/100)*$G$115+(K34/100)*$G$116+(M34/100)*$G$117+(O34)*$G$118+(Q34*$G$119))</f>
        <v>58.946971554735995</v>
      </c>
    </row>
    <row r="35">
      <c r="B35">
        <v>18</v>
      </c>
      <c r="C35">
        <f>$I$13+B35</f>
        <v>39497</v>
      </c>
      <c r="E35">
        <f>IF($C$14*ReDiarioFert!C24&lt;=0,"0",$C$14*ReDiarioFert!C24)</f>
        <v>7.887522019477566</v>
      </c>
      <c r="G35">
        <f>$C$14*ReDiarioFert!E24</f>
        <v>2.1284053041346467</v>
      </c>
      <c r="I35">
        <f>$C$14*ReDiarioFert!G24</f>
        <v>6.521211862519684</v>
      </c>
      <c r="K35">
        <f>$C$14*ReDiarioFert!I24</f>
        <v>0.00006027000789214096</v>
      </c>
      <c r="M35">
        <f>$C$14*ReDiarioFert!K24</f>
        <v>0.00020964168870182581</v>
      </c>
      <c r="O35">
        <f>$C$14*ReDiarioFert!M24</f>
        <v>59.680108292682924</v>
      </c>
      <c r="S35">
        <f>((E35/100)*$G$113+(G35/100)*$G$114+(I35/100)*$G$115+(K35/100)*$G$116+(M35/100)*$G$117+(O35)*$G$118+(Q35*$G$119))</f>
        <v>78.59594905184312</v>
      </c>
    </row>
    <row r="36">
      <c r="B36">
        <v>19</v>
      </c>
      <c r="C36">
        <f>$I$13+B36</f>
        <v>39498</v>
      </c>
      <c r="E36">
        <f>IF($C$14*ReDiarioFert!C25&lt;=0,"0",$C$14*ReDiarioFert!C25)</f>
        <v>7.887522019477566</v>
      </c>
      <c r="G36">
        <f>$C$14*ReDiarioFert!E25</f>
        <v>2.1284053041346467</v>
      </c>
      <c r="I36">
        <f>$C$14*ReDiarioFert!G25</f>
        <v>6.521211862519684</v>
      </c>
      <c r="K36">
        <f>$C$14*ReDiarioFert!I25</f>
        <v>0.00006027000789214096</v>
      </c>
      <c r="M36">
        <f>$C$14*ReDiarioFert!K25</f>
        <v>0.00020964168870182581</v>
      </c>
      <c r="O36">
        <f>$C$14*ReDiarioFert!M25</f>
        <v>59.680108292682924</v>
      </c>
      <c r="S36">
        <f>((E36/100)*$G$113+(G36/100)*$G$114+(I36/100)*$G$115+(K36/100)*$G$116+(M36/100)*$G$117+(O36)*$G$118+(Q36*$G$119))</f>
        <v>78.59594905184312</v>
      </c>
    </row>
    <row r="37">
      <c r="B37">
        <v>20</v>
      </c>
      <c r="C37">
        <f>$I$13+B37</f>
        <v>39499</v>
      </c>
      <c r="E37">
        <f>IF($C$14*ReDiarioFert!C26&lt;=0,"0",$C$14*ReDiarioFert!C26)</f>
        <v>7.887522019477566</v>
      </c>
      <c r="G37">
        <f>$C$14*ReDiarioFert!E26</f>
        <v>2.1284053041346467</v>
      </c>
      <c r="I37">
        <f>$C$14*ReDiarioFert!G26</f>
        <v>6.521211862519684</v>
      </c>
      <c r="K37">
        <f>$C$14*ReDiarioFert!I26</f>
        <v>0.00006027000789214096</v>
      </c>
      <c r="M37">
        <f>$C$14*ReDiarioFert!K26</f>
        <v>0.00020964168870182581</v>
      </c>
      <c r="O37">
        <f>$C$14*ReDiarioFert!M26</f>
        <v>59.680108292682924</v>
      </c>
      <c r="S37">
        <f>((E37/100)*$G$113+(G37/100)*$G$114+(I37/100)*$G$115+(K37/100)*$G$116+(M37/100)*$G$117+(O37)*$G$118+(Q37*$G$119))</f>
        <v>78.59594905184312</v>
      </c>
    </row>
    <row r="38">
      <c r="B38">
        <v>21</v>
      </c>
      <c r="C38">
        <f>$I$13+B38</f>
        <v>39500</v>
      </c>
      <c r="E38">
        <f>IF($C$14*ReDiarioFert!C27&lt;=0,"0",$C$14*ReDiarioFert!C27)</f>
        <v>7.887522019477566</v>
      </c>
      <c r="G38">
        <f>$C$14*ReDiarioFert!E27</f>
        <v>2.1284053041346467</v>
      </c>
      <c r="I38">
        <f>$C$14*ReDiarioFert!G27</f>
        <v>6.521211862519684</v>
      </c>
      <c r="K38">
        <f>$C$14*ReDiarioFert!I27</f>
        <v>0.00006027000789214096</v>
      </c>
      <c r="M38">
        <f>$C$14*ReDiarioFert!K27</f>
        <v>0.00020964168870182581</v>
      </c>
      <c r="O38">
        <f>$C$14*ReDiarioFert!M27</f>
        <v>59.680108292682924</v>
      </c>
      <c r="S38">
        <f>((E38/100)*$G$113+(G38/100)*$G$114+(I38/100)*$G$115+(K38/100)*$G$116+(M38/100)*$G$117+(O38)*$G$118+(Q38*$G$119))</f>
        <v>78.59594905184312</v>
      </c>
    </row>
    <row r="39">
      <c r="A39">
        <v>4</v>
      </c>
      <c r="B39">
        <v>22</v>
      </c>
      <c r="C39">
        <f>$I$13+B39</f>
        <v>39501</v>
      </c>
      <c r="E39">
        <f>IF($C$14*ReDiarioFert!C28&lt;=0,"0",$C$14*ReDiarioFert!C28)</f>
        <v>7.887522019477566</v>
      </c>
      <c r="G39">
        <f>$C$14*ReDiarioFert!E28</f>
        <v>2.1284053041346467</v>
      </c>
      <c r="I39">
        <f>$C$14*ReDiarioFert!G28</f>
        <v>6.521211862519684</v>
      </c>
      <c r="K39">
        <f>$C$14*ReDiarioFert!I28</f>
        <v>0.00006027000789214096</v>
      </c>
      <c r="M39">
        <f>$C$14*ReDiarioFert!K28</f>
        <v>0.00020964168870182581</v>
      </c>
      <c r="O39">
        <f>$C$14*ReDiarioFert!M28</f>
        <v>59.680108292682924</v>
      </c>
      <c r="Q39">
        <f>$C$14*Main!$D$63</f>
        <v>20.019999999999996</v>
      </c>
      <c r="S39">
        <f>((E39/100)*$G$113+(G39/100)*$G$114+(I39/100)*$G$115+(K39/100)*$G$116+(M39/100)*$G$117+(O39)*$G$118+(Q39*$G$119))</f>
        <v>134.6519490518431</v>
      </c>
    </row>
    <row r="40">
      <c r="B40">
        <v>23</v>
      </c>
      <c r="C40">
        <f>$I$13+B40</f>
        <v>39502</v>
      </c>
      <c r="E40">
        <f>IF($C$14*ReDiarioFert!C29&lt;=0,"0",$C$14*ReDiarioFert!C29)</f>
        <v>7.887522019477566</v>
      </c>
      <c r="G40">
        <f>$C$14*ReDiarioFert!E29</f>
        <v>2.1284053041346467</v>
      </c>
      <c r="I40">
        <f>$C$14*ReDiarioFert!G29</f>
        <v>6.521211862519684</v>
      </c>
      <c r="K40">
        <f>$C$14*ReDiarioFert!I29</f>
        <v>0.00006027000789214096</v>
      </c>
      <c r="M40">
        <f>$C$14*ReDiarioFert!K29</f>
        <v>0.00020964168870182581</v>
      </c>
      <c r="O40">
        <f>$C$14*ReDiarioFert!M29</f>
        <v>59.680108292682924</v>
      </c>
      <c r="S40">
        <f>((E40/100)*$G$113+(G40/100)*$G$114+(I40/100)*$G$115+(K40/100)*$G$116+(M40/100)*$G$117+(O40)*$G$118+(Q40*$G$119))</f>
        <v>78.59594905184312</v>
      </c>
    </row>
    <row r="41">
      <c r="B41">
        <v>24</v>
      </c>
      <c r="C41">
        <f>$I$13+B41</f>
        <v>39503</v>
      </c>
      <c r="E41">
        <f>IF($C$14*ReDiarioFert!C30&lt;=0,"0",$C$14*ReDiarioFert!C30)</f>
        <v>7.887522019477566</v>
      </c>
      <c r="G41">
        <f>$C$14*ReDiarioFert!E30</f>
        <v>2.1284053041346467</v>
      </c>
      <c r="I41">
        <f>$C$14*ReDiarioFert!G30</f>
        <v>6.521211862519684</v>
      </c>
      <c r="K41">
        <f>$C$14*ReDiarioFert!I30</f>
        <v>0.00006027000789214096</v>
      </c>
      <c r="M41">
        <f>$C$14*ReDiarioFert!K30</f>
        <v>0.00020964168870182581</v>
      </c>
      <c r="O41">
        <f>$C$14*ReDiarioFert!M30</f>
        <v>59.680108292682924</v>
      </c>
      <c r="S41">
        <f>((E41/100)*$G$113+(G41/100)*$G$114+(I41/100)*$G$115+(K41/100)*$G$116+(M41/100)*$G$117+(O41)*$G$118+(Q41*$G$119))</f>
        <v>78.59594905184312</v>
      </c>
    </row>
    <row r="42">
      <c r="B42">
        <v>25</v>
      </c>
      <c r="C42">
        <f>$I$13+B42</f>
        <v>39504</v>
      </c>
      <c r="E42">
        <f>IF($C$14*ReDiarioFert!C31&lt;=0,"0",$C$14*ReDiarioFert!C31)</f>
        <v>7.887522019477566</v>
      </c>
      <c r="G42">
        <f>$C$14*ReDiarioFert!E31</f>
        <v>2.1284053041346467</v>
      </c>
      <c r="I42">
        <f>$C$14*ReDiarioFert!G31</f>
        <v>6.521211862519684</v>
      </c>
      <c r="K42">
        <f>$C$14*ReDiarioFert!I31</f>
        <v>0.00006027000789214096</v>
      </c>
      <c r="M42">
        <f>$C$14*ReDiarioFert!K31</f>
        <v>0.00020964168870182581</v>
      </c>
      <c r="O42">
        <f>$C$14*ReDiarioFert!M31</f>
        <v>59.680108292682924</v>
      </c>
      <c r="S42">
        <f>((E42/100)*$G$113+(G42/100)*$G$114+(I42/100)*$G$115+(K42/100)*$G$116+(M42/100)*$G$117+(O42)*$G$118+(Q42*$G$119))</f>
        <v>78.59594905184312</v>
      </c>
    </row>
    <row r="43">
      <c r="B43">
        <v>26</v>
      </c>
      <c r="C43">
        <f>$I$13+B43</f>
        <v>39505</v>
      </c>
      <c r="E43">
        <f>IF($C$14*ReDiarioFert!C32&lt;=0,"0",$C$14*ReDiarioFert!C32)</f>
        <v>7.887522019477566</v>
      </c>
      <c r="G43">
        <f>$C$14*ReDiarioFert!E32</f>
        <v>2.1284053041346467</v>
      </c>
      <c r="I43">
        <f>$C$14*ReDiarioFert!G32</f>
        <v>6.521211862519684</v>
      </c>
      <c r="K43">
        <f>$C$14*ReDiarioFert!I32</f>
        <v>0.00006027000789214096</v>
      </c>
      <c r="M43">
        <f>$C$14*ReDiarioFert!K32</f>
        <v>0.00020964168870182581</v>
      </c>
      <c r="O43">
        <f>$C$14*ReDiarioFert!M32</f>
        <v>59.680108292682924</v>
      </c>
      <c r="S43">
        <f>((E43/100)*$G$113+(G43/100)*$G$114+(I43/100)*$G$115+(K43/100)*$G$116+(M43/100)*$G$117+(O43)*$G$118+(Q43*$G$119))</f>
        <v>78.59594905184312</v>
      </c>
    </row>
    <row r="44">
      <c r="B44">
        <v>27</v>
      </c>
      <c r="C44">
        <f>$I$13+B44</f>
        <v>39506</v>
      </c>
      <c r="E44">
        <f>IF($C$14*ReDiarioFert!C33&lt;=0,"0",$C$14*ReDiarioFert!C33)</f>
        <v>7.887522019477566</v>
      </c>
      <c r="G44">
        <f>$C$14*ReDiarioFert!E33</f>
        <v>2.1284053041346467</v>
      </c>
      <c r="I44">
        <f>$C$14*ReDiarioFert!G33</f>
        <v>6.521211862519684</v>
      </c>
      <c r="K44">
        <f>$C$14*ReDiarioFert!I33</f>
        <v>0.00006027000789214096</v>
      </c>
      <c r="M44">
        <f>$C$14*ReDiarioFert!K33</f>
        <v>0.00020964168870182581</v>
      </c>
      <c r="O44">
        <f>$C$14*ReDiarioFert!M33</f>
        <v>59.680108292682924</v>
      </c>
      <c r="S44">
        <f>((E44/100)*$G$113+(G44/100)*$G$114+(I44/100)*$G$115+(K44/100)*$G$116+(M44/100)*$G$117+(O44)*$G$118+(Q44*$G$119))</f>
        <v>78.59594905184312</v>
      </c>
    </row>
    <row r="45">
      <c r="B45">
        <v>28</v>
      </c>
      <c r="C45">
        <f>$I$13+B45</f>
        <v>39507</v>
      </c>
      <c r="E45">
        <f>IF($C$14*ReDiarioFert!C34&lt;=0,"0",$C$14*ReDiarioFert!C34)</f>
        <v>7.887522019477566</v>
      </c>
      <c r="G45">
        <f>$C$14*ReDiarioFert!E34</f>
        <v>2.1284053041346467</v>
      </c>
      <c r="I45">
        <f>$C$14*ReDiarioFert!G34</f>
        <v>6.521211862519684</v>
      </c>
      <c r="K45">
        <f>$C$14*ReDiarioFert!I34</f>
        <v>0.00006027000789214096</v>
      </c>
      <c r="M45">
        <f>$C$14*ReDiarioFert!K34</f>
        <v>0.00020964168870182581</v>
      </c>
      <c r="O45">
        <f>$C$14*ReDiarioFert!M34</f>
        <v>59.680108292682924</v>
      </c>
      <c r="Q45" t="str">
        <f>Main!$H$83</f>
        <v>Acido Salicílico</v>
      </c>
      <c r="R45">
        <f>Main!$K$83*Main!$I$22</f>
        <v>250.24999999999997</v>
      </c>
      <c r="S45">
        <f>((E45/100)*$G$113+(G45/100)*$G$114+(I45/100)*$G$115+(K45/100)*$G$116+(M45/100)*$G$117+(O45)*$G$118+(R45*Main!$J$83))</f>
        <v>121.13844905184311</v>
      </c>
    </row>
    <row r="46">
      <c r="A46">
        <v>5</v>
      </c>
      <c r="B46">
        <v>29</v>
      </c>
      <c r="C46">
        <f>$I$13+B46</f>
        <v>39508</v>
      </c>
      <c r="D46" t="str">
        <f>Main!$H$86</f>
        <v>BaZam</v>
      </c>
      <c r="E46">
        <f>IF($C$14*ReDiarioFert!C35&lt;=0,"0",$C$14*ReDiarioFert!C35)</f>
        <v>7.887522019477566</v>
      </c>
      <c r="G46">
        <f>$C$14*ReDiarioFert!E35</f>
        <v>2.1284053041346467</v>
      </c>
      <c r="I46">
        <f>$C$14*ReDiarioFert!G35</f>
        <v>6.521211862519684</v>
      </c>
      <c r="K46">
        <f>$C$14*ReDiarioFert!I35</f>
        <v>0.00006027000789214096</v>
      </c>
      <c r="M46">
        <f>$C$14*ReDiarioFert!K35</f>
        <v>0.00020964168870182581</v>
      </c>
      <c r="O46">
        <f>$C$14*ReDiarioFert!M35</f>
        <v>59.680108292682924</v>
      </c>
      <c r="Q46">
        <f>$C$14*Main!$D$63</f>
        <v>20.019999999999996</v>
      </c>
      <c r="R46">
        <f>Main!$K$86*Main!$I$22</f>
        <v>1.001</v>
      </c>
      <c r="S46">
        <f>((E46/100)*$G$113+(G46/100)*$G$114+(I46/100)*$G$115+(K46/100)*$G$116+(M46/100)*$G$117+(O46)*$G$118+(Q46*$G$119)+(R46*Main!$J$86))</f>
        <v>515.0319490518431</v>
      </c>
    </row>
    <row r="47">
      <c r="B47">
        <v>30</v>
      </c>
      <c r="C47">
        <f>$I$13+B47</f>
        <v>39509</v>
      </c>
      <c r="E47">
        <f>IF($C$14*ReDiarioFert!C36&lt;=0,"0",$C$14*ReDiarioFert!C36)</f>
        <v>7.887522019477566</v>
      </c>
      <c r="G47">
        <f>$C$14*ReDiarioFert!E36</f>
        <v>2.1284053041346467</v>
      </c>
      <c r="I47">
        <f>$C$14*ReDiarioFert!G36</f>
        <v>6.521211862519684</v>
      </c>
      <c r="K47">
        <f>$C$14*ReDiarioFert!I36</f>
        <v>0.00006027000789214096</v>
      </c>
      <c r="M47">
        <f>$C$14*ReDiarioFert!K36</f>
        <v>0.00020964168870182581</v>
      </c>
      <c r="O47">
        <f>$C$14*ReDiarioFert!M36</f>
        <v>59.680108292682924</v>
      </c>
      <c r="S47">
        <f>((E47/100)*$G$113+(G47/100)*$G$114+(I47/100)*$G$115+(K47/100)*$G$116+(M47/100)*$G$117+(O47)*$G$118+(Q47*$G$119))</f>
        <v>78.59594905184312</v>
      </c>
    </row>
    <row r="48">
      <c r="B48">
        <v>31</v>
      </c>
      <c r="C48">
        <f>$I$13+B48</f>
        <v>39510</v>
      </c>
      <c r="E48">
        <f>IF($C$14*ReDiarioFert!C37&lt;=0,"0",$C$14*ReDiarioFert!C37)</f>
        <v>7.887522019477566</v>
      </c>
      <c r="G48">
        <f>$C$14*ReDiarioFert!E37</f>
        <v>2.1284053041346467</v>
      </c>
      <c r="I48">
        <f>$C$14*ReDiarioFert!G37</f>
        <v>6.521211862519684</v>
      </c>
      <c r="K48">
        <f>$C$14*ReDiarioFert!I37</f>
        <v>0.00006027000789214096</v>
      </c>
      <c r="M48">
        <f>$C$14*ReDiarioFert!K37</f>
        <v>0.00020964168870182581</v>
      </c>
      <c r="O48">
        <f>$C$14*ReDiarioFert!M37</f>
        <v>59.680108292682924</v>
      </c>
      <c r="S48">
        <f>((E48/100)*$G$113+(G48/100)*$G$114+(I48/100)*$G$115+(K48/100)*$G$116+(M48/100)*$G$117+(O48)*$G$118+(Q48*$G$119))</f>
        <v>78.59594905184312</v>
      </c>
    </row>
    <row r="49">
      <c r="B49">
        <v>32</v>
      </c>
      <c r="C49">
        <f>$I$13+B49</f>
        <v>39511</v>
      </c>
      <c r="E49">
        <f>IF($C$14*ReDiarioFert!C38&lt;=0,"0",$C$14*ReDiarioFert!C38)</f>
        <v>7.887522019477566</v>
      </c>
      <c r="G49">
        <f>$C$14*ReDiarioFert!E38</f>
        <v>2.1284053041346467</v>
      </c>
      <c r="I49">
        <f>$C$14*ReDiarioFert!G38</f>
        <v>6.521211862519684</v>
      </c>
      <c r="K49">
        <f>$C$14*ReDiarioFert!I38</f>
        <v>0.00006027000789214096</v>
      </c>
      <c r="M49">
        <f>$C$14*ReDiarioFert!K38</f>
        <v>0.00020964168870182581</v>
      </c>
      <c r="O49">
        <f>$C$14*ReDiarioFert!M38</f>
        <v>59.680108292682924</v>
      </c>
      <c r="S49">
        <f>((E49/100)*$G$113+(G49/100)*$G$114+(I49/100)*$G$115+(K49/100)*$G$116+(M49/100)*$G$117+(O49)*$G$118+(Q49*$G$119))</f>
        <v>78.59594905184312</v>
      </c>
    </row>
    <row r="50">
      <c r="B50">
        <v>33</v>
      </c>
      <c r="C50">
        <f>$I$13+B50</f>
        <v>39512</v>
      </c>
      <c r="E50">
        <f>IF($C$14*ReDiarioFert!C39&lt;=0,"0",$C$14*ReDiarioFert!C39)</f>
        <v>11.83128302921635</v>
      </c>
      <c r="G50">
        <f>$C$14*ReDiarioFert!E39</f>
        <v>3.1926079562019707</v>
      </c>
      <c r="I50">
        <f>$C$14*ReDiarioFert!G39</f>
        <v>9.781817793779526</v>
      </c>
      <c r="K50">
        <f>$C$14*ReDiarioFert!I39</f>
        <v>0.00009040501183821145</v>
      </c>
      <c r="M50">
        <f>$C$14*ReDiarioFert!K39</f>
        <v>0.0003144625330527388</v>
      </c>
      <c r="O50">
        <f>$C$14*ReDiarioFert!M39</f>
        <v>84.54738975609757</v>
      </c>
      <c r="S50">
        <f>((E50/100)*$G$113+(G50/100)*$G$114+(I50/100)*$G$115+(K50/100)*$G$116+(M50/100)*$G$117+(O50)*$G$118+(Q50*$G$119))</f>
        <v>117.6950126704476</v>
      </c>
    </row>
    <row r="51">
      <c r="B51">
        <v>34</v>
      </c>
      <c r="C51">
        <f>$I$13+B51</f>
        <v>39513</v>
      </c>
      <c r="E51">
        <f>IF($C$14*ReDiarioFert!C40&lt;=0,"0",$C$14*ReDiarioFert!C40)</f>
        <v>11.83128302921635</v>
      </c>
      <c r="G51">
        <f>$C$14*ReDiarioFert!E40</f>
        <v>3.1926079562019707</v>
      </c>
      <c r="I51">
        <f>$C$14*ReDiarioFert!G40</f>
        <v>9.781817793779526</v>
      </c>
      <c r="K51">
        <f>$C$14*ReDiarioFert!I40</f>
        <v>0.00009040501183821145</v>
      </c>
      <c r="M51">
        <f>$C$14*ReDiarioFert!K40</f>
        <v>0.0003144625330527388</v>
      </c>
      <c r="O51">
        <f>$C$14*ReDiarioFert!M40</f>
        <v>84.54738975609757</v>
      </c>
      <c r="S51">
        <f>((E51/100)*$G$113+(G51/100)*$G$114+(I51/100)*$G$115+(K51/100)*$G$116+(M51/100)*$G$117+(O51)*$G$118+(Q51*$G$119))</f>
        <v>117.6950126704476</v>
      </c>
    </row>
    <row r="52">
      <c r="B52">
        <v>35</v>
      </c>
      <c r="C52">
        <f>$I$13+B52</f>
        <v>39514</v>
      </c>
      <c r="E52">
        <f>IF($C$14*ReDiarioFert!C41&lt;=0,"0",$C$14*ReDiarioFert!C41)</f>
        <v>11.83128302921635</v>
      </c>
      <c r="G52">
        <f>$C$14*ReDiarioFert!E41</f>
        <v>3.1926079562019707</v>
      </c>
      <c r="I52">
        <f>$C$14*ReDiarioFert!G41</f>
        <v>9.781817793779526</v>
      </c>
      <c r="K52">
        <f>$C$14*ReDiarioFert!I41</f>
        <v>0.00009040501183821145</v>
      </c>
      <c r="M52">
        <f>$C$14*ReDiarioFert!K41</f>
        <v>0.0003144625330527388</v>
      </c>
      <c r="O52">
        <f>$C$14*ReDiarioFert!M41</f>
        <v>84.54738975609757</v>
      </c>
      <c r="Q52" t="str">
        <f>Main!$H$84</f>
        <v>Acido Fosforoso</v>
      </c>
      <c r="R52">
        <f>Main!$K$84*Main!$I$22</f>
        <v>5.004999999999999</v>
      </c>
      <c r="S52">
        <f>((E52/100)*$G$113+(G52/100)*$G$114+(I52/100)*$G$115+(K52/100)*$G$116+(M52/100)*$G$117+(O52)*$G$118+(R52*Main!$J$84))</f>
        <v>518.0950126704475</v>
      </c>
    </row>
    <row r="53">
      <c r="A53">
        <v>6</v>
      </c>
      <c r="B53">
        <v>36</v>
      </c>
      <c r="C53">
        <f>$I$13+B53</f>
        <v>39515</v>
      </c>
      <c r="E53">
        <f>IF($C$14*ReDiarioFert!C42&lt;=0,"0",$C$14*ReDiarioFert!C42)</f>
        <v>10.7892280930731</v>
      </c>
      <c r="G53">
        <f>$C$14*ReDiarioFert!E42</f>
        <v>3.1926079562019707</v>
      </c>
      <c r="I53">
        <f>$C$14*ReDiarioFert!G42</f>
        <v>9.781817793779526</v>
      </c>
      <c r="K53">
        <f>$C$14*ReDiarioFert!I42</f>
        <v>0.00009040501183821145</v>
      </c>
      <c r="M53">
        <f>$C$14*ReDiarioFert!K42</f>
        <v>0.0003144625330527388</v>
      </c>
      <c r="O53">
        <f>$C$14*ReDiarioFert!M42</f>
        <v>84.54738975609757</v>
      </c>
      <c r="Q53">
        <f>$C$14*Main!$D$63</f>
        <v>20.019999999999996</v>
      </c>
      <c r="S53">
        <f>((E53/100)*$G$113+(G53/100)*$G$114+(I53/100)*$G$115+(K53/100)*$G$116+(M53/100)*$G$117+(O53)*$G$118+(Q53*$G$119))</f>
        <v>169.53069017906745</v>
      </c>
    </row>
    <row r="54">
      <c r="B54">
        <v>37</v>
      </c>
      <c r="C54">
        <f>$I$13+B54</f>
        <v>39516</v>
      </c>
      <c r="E54">
        <f>IF($C$14*ReDiarioFert!C43&lt;=0,"0",$C$14*ReDiarioFert!C43)</f>
        <v>10.7892280930731</v>
      </c>
      <c r="G54">
        <f>$C$14*ReDiarioFert!E43</f>
        <v>3.1926079562019707</v>
      </c>
      <c r="I54">
        <f>$C$14*ReDiarioFert!G43</f>
        <v>9.781817793779526</v>
      </c>
      <c r="K54">
        <f>$C$14*ReDiarioFert!I43</f>
        <v>0.00009040501183821145</v>
      </c>
      <c r="M54">
        <f>$C$14*ReDiarioFert!K43</f>
        <v>0.0003144625330527388</v>
      </c>
      <c r="O54">
        <f>$C$14*ReDiarioFert!M43</f>
        <v>84.54738975609757</v>
      </c>
      <c r="S54">
        <f>((E54/100)*$G$113+(G54/100)*$G$114+(I54/100)*$G$115+(K54/100)*$G$116+(M54/100)*$G$117+(O54)*$G$118+(Q54*$G$119))</f>
        <v>113.47469017906745</v>
      </c>
    </row>
    <row r="55">
      <c r="B55">
        <v>38</v>
      </c>
      <c r="C55">
        <f>$I$13+B55</f>
        <v>39517</v>
      </c>
      <c r="E55">
        <f>IF($C$14*ReDiarioFert!C44&lt;=0,"0",$C$14*ReDiarioFert!C44)</f>
        <v>10.7892280930731</v>
      </c>
      <c r="G55">
        <f>$C$14*ReDiarioFert!E44</f>
        <v>3.1926079562019707</v>
      </c>
      <c r="I55">
        <f>$C$14*ReDiarioFert!G44</f>
        <v>9.781817793779526</v>
      </c>
      <c r="K55">
        <f>$C$14*ReDiarioFert!I44</f>
        <v>0.00009040501183821145</v>
      </c>
      <c r="M55">
        <f>$C$14*ReDiarioFert!K44</f>
        <v>0.0003144625330527388</v>
      </c>
      <c r="O55">
        <f>$C$14*ReDiarioFert!M44</f>
        <v>84.54738975609757</v>
      </c>
      <c r="S55">
        <f>((E55/100)*$G$113+(G55/100)*$G$114+(I55/100)*$G$115+(K55/100)*$G$116+(M55/100)*$G$117+(O55)*$G$118+(Q55*$G$119))</f>
        <v>113.47469017906745</v>
      </c>
    </row>
    <row r="56">
      <c r="B56">
        <v>39</v>
      </c>
      <c r="C56">
        <f>$I$13+B56</f>
        <v>39518</v>
      </c>
      <c r="E56">
        <f>IF($C$14*ReDiarioFert!C45&lt;=0,"0",$C$14*ReDiarioFert!C45)</f>
        <v>10.7892280930731</v>
      </c>
      <c r="G56">
        <f>$C$14*ReDiarioFert!E45</f>
        <v>3.1926079562019707</v>
      </c>
      <c r="I56">
        <f>$C$14*ReDiarioFert!G45</f>
        <v>9.781817793779526</v>
      </c>
      <c r="K56">
        <f>$C$14*ReDiarioFert!I45</f>
        <v>0.00009040501183821145</v>
      </c>
      <c r="M56">
        <f>$C$14*ReDiarioFert!K45</f>
        <v>0.0003144625330527388</v>
      </c>
      <c r="O56">
        <f>$C$14*ReDiarioFert!M45</f>
        <v>84.54738975609757</v>
      </c>
      <c r="S56">
        <f>((E56/100)*$G$113+(G56/100)*$G$114+(I56/100)*$G$115+(K56/100)*$G$116+(M56/100)*$G$117+(O56)*$G$118+(Q56*$G$119))</f>
        <v>113.47469017906745</v>
      </c>
    </row>
    <row r="57">
      <c r="B57">
        <v>40</v>
      </c>
      <c r="C57">
        <f>$I$13+B57</f>
        <v>39519</v>
      </c>
      <c r="E57">
        <f>IF($C$14*ReDiarioFert!C46&lt;=0,"0",$C$14*ReDiarioFert!C46)</f>
        <v>10.7892280930731</v>
      </c>
      <c r="G57">
        <f>$C$14*ReDiarioFert!E46</f>
        <v>3.1926079562019707</v>
      </c>
      <c r="I57">
        <f>$C$14*ReDiarioFert!G46</f>
        <v>9.781817793779526</v>
      </c>
      <c r="K57">
        <f>$C$14*ReDiarioFert!I46</f>
        <v>0.00009040501183821145</v>
      </c>
      <c r="M57">
        <f>$C$14*ReDiarioFert!K46</f>
        <v>0.0003144625330527388</v>
      </c>
      <c r="O57">
        <f>$C$14*ReDiarioFert!M46</f>
        <v>84.54738975609757</v>
      </c>
      <c r="S57">
        <f>((E57/100)*$G$113+(G57/100)*$G$114+(I57/100)*$G$115+(K57/100)*$G$116+(M57/100)*$G$117+(O57)*$G$118+(Q57*$G$119))</f>
        <v>113.47469017906745</v>
      </c>
    </row>
    <row r="58">
      <c r="B58">
        <v>41</v>
      </c>
      <c r="C58">
        <f>$I$13+B58</f>
        <v>39520</v>
      </c>
      <c r="E58">
        <f>IF($C$14*ReDiarioFert!C47&lt;=0,"0",$C$14*ReDiarioFert!C47)</f>
        <v>10.7892280930731</v>
      </c>
      <c r="G58">
        <f>$C$14*ReDiarioFert!E47</f>
        <v>3.1926079562019707</v>
      </c>
      <c r="I58">
        <f>$C$14*ReDiarioFert!G47</f>
        <v>9.781817793779526</v>
      </c>
      <c r="K58">
        <f>$C$14*ReDiarioFert!I47</f>
        <v>0.00009040501183821145</v>
      </c>
      <c r="M58">
        <f>$C$14*ReDiarioFert!K47</f>
        <v>0.0003144625330527388</v>
      </c>
      <c r="O58">
        <f>$C$14*ReDiarioFert!M47</f>
        <v>84.54738975609757</v>
      </c>
      <c r="S58">
        <f>((E58/100)*$G$113+(G58/100)*$G$114+(I58/100)*$G$115+(K58/100)*$G$116+(M58/100)*$G$117+(O58)*$G$118+(Q58*$G$119))</f>
        <v>113.47469017906745</v>
      </c>
    </row>
    <row r="59">
      <c r="B59">
        <v>42</v>
      </c>
      <c r="C59">
        <f>$I$13+B59</f>
        <v>39521</v>
      </c>
      <c r="E59">
        <f>IF($C$14*ReDiarioFert!C48&lt;=0,"0",$C$14*ReDiarioFert!C48)</f>
        <v>10.7892280930731</v>
      </c>
      <c r="G59">
        <f>$C$14*ReDiarioFert!E48</f>
        <v>3.1926079562019707</v>
      </c>
      <c r="I59">
        <f>$C$14*ReDiarioFert!G48</f>
        <v>9.781817793779526</v>
      </c>
      <c r="K59">
        <f>$C$14*ReDiarioFert!I48</f>
        <v>0.00009040501183821145</v>
      </c>
      <c r="M59">
        <f>$C$14*ReDiarioFert!K48</f>
        <v>0.0003144625330527388</v>
      </c>
      <c r="O59">
        <f>$C$14*ReDiarioFert!M48</f>
        <v>84.54738975609757</v>
      </c>
      <c r="S59">
        <f>((E59/100)*$G$113+(G59/100)*$G$114+(I59/100)*$G$115+(K59/100)*$G$116+(M59/100)*$G$117+(O59)*$G$118+(Q59*$G$119))</f>
        <v>113.47469017906745</v>
      </c>
    </row>
    <row r="60">
      <c r="A60">
        <v>7</v>
      </c>
      <c r="B60">
        <v>43</v>
      </c>
      <c r="C60">
        <f>$I$13+B60</f>
        <v>39522</v>
      </c>
      <c r="E60">
        <f>IF($C$14*ReDiarioFert!C49&lt;=0,"0",$C$14*ReDiarioFert!C49)</f>
        <v>10.7892280930731</v>
      </c>
      <c r="G60">
        <f>$C$14*ReDiarioFert!E49</f>
        <v>3.1926079562019707</v>
      </c>
      <c r="I60">
        <f>$C$14*ReDiarioFert!G49</f>
        <v>9.781817793779526</v>
      </c>
      <c r="K60">
        <f>$C$14*ReDiarioFert!I49</f>
        <v>0.00009040501183821145</v>
      </c>
      <c r="M60">
        <f>$C$14*ReDiarioFert!K49</f>
        <v>0.0003144625330527388</v>
      </c>
      <c r="O60">
        <f>$C$14*ReDiarioFert!M49</f>
        <v>84.54738975609757</v>
      </c>
      <c r="Q60">
        <f>$C$14*Main!$D$63</f>
        <v>20.019999999999996</v>
      </c>
      <c r="S60">
        <f>((E60/100)*$G$113+(G60/100)*$G$114+(I60/100)*$G$115+(K60/100)*$G$116+(M60/100)*$G$117+(O60)*$G$118+(Q60*$G$119))</f>
        <v>169.53069017906745</v>
      </c>
    </row>
    <row r="61">
      <c r="B61">
        <v>44</v>
      </c>
      <c r="C61">
        <f>$I$13+B61</f>
        <v>39523</v>
      </c>
      <c r="E61">
        <f>IF($C$14*ReDiarioFert!C50&lt;=0,"0",$C$14*ReDiarioFert!C50)</f>
        <v>10.7892280930731</v>
      </c>
      <c r="G61">
        <f>$C$14*ReDiarioFert!E50</f>
        <v>3.1926079562019707</v>
      </c>
      <c r="I61">
        <f>$C$14*ReDiarioFert!G50</f>
        <v>9.781817793779526</v>
      </c>
      <c r="K61">
        <f>$C$14*ReDiarioFert!I50</f>
        <v>0.00009040501183821145</v>
      </c>
      <c r="M61">
        <f>$C$14*ReDiarioFert!K50</f>
        <v>0.0003144625330527388</v>
      </c>
      <c r="O61">
        <f>$C$14*ReDiarioFert!M50</f>
        <v>84.54738975609757</v>
      </c>
      <c r="S61">
        <f>((E61/100)*$G$113+(G61/100)*$G$114+(I61/100)*$G$115+(K61/100)*$G$116+(M61/100)*$G$117+(O61)*$G$118+(Q61*$G$119))</f>
        <v>113.47469017906745</v>
      </c>
    </row>
    <row r="62">
      <c r="B62">
        <v>45</v>
      </c>
      <c r="C62">
        <f>$I$13+B62</f>
        <v>39524</v>
      </c>
      <c r="E62">
        <f>IF($C$14*ReDiarioFert!C51&lt;=0,"0",$C$14*ReDiarioFert!C51)</f>
        <v>10.7892280930731</v>
      </c>
      <c r="G62">
        <f>$C$14*ReDiarioFert!E51</f>
        <v>3.1926079562019707</v>
      </c>
      <c r="I62">
        <f>$C$14*ReDiarioFert!G51</f>
        <v>9.781817793779526</v>
      </c>
      <c r="K62">
        <f>$C$14*ReDiarioFert!I51</f>
        <v>0.00009040501183821145</v>
      </c>
      <c r="M62">
        <f>$C$14*ReDiarioFert!K51</f>
        <v>0.0003144625330527388</v>
      </c>
      <c r="O62">
        <f>$C$14*ReDiarioFert!M51</f>
        <v>84.54738975609757</v>
      </c>
      <c r="S62">
        <f>((E62/100)*$G$113+(G62/100)*$G$114+(I62/100)*$G$115+(K62/100)*$G$116+(M62/100)*$G$117+(O62)*$G$118+(Q62*$G$119))</f>
        <v>113.47469017906745</v>
      </c>
    </row>
    <row r="63">
      <c r="B63">
        <v>46</v>
      </c>
      <c r="C63">
        <f>$I$13+B63</f>
        <v>39525</v>
      </c>
      <c r="E63">
        <f>IF($C$14*ReDiarioFert!C52&lt;=0,"0",$C$14*ReDiarioFert!C52)</f>
        <v>10.7892280930731</v>
      </c>
      <c r="G63">
        <f>$C$14*ReDiarioFert!E52</f>
        <v>3.1926079562019707</v>
      </c>
      <c r="I63">
        <f>$C$14*ReDiarioFert!G52</f>
        <v>9.781817793779526</v>
      </c>
      <c r="K63">
        <f>$C$14*ReDiarioFert!I52</f>
        <v>0.00009040501183821145</v>
      </c>
      <c r="M63">
        <f>$C$14*ReDiarioFert!K52</f>
        <v>0.0003144625330527388</v>
      </c>
      <c r="O63">
        <f>$C$14*ReDiarioFert!M52</f>
        <v>84.54738975609757</v>
      </c>
      <c r="S63">
        <f>((E63/100)*$G$113+(G63/100)*$G$114+(I63/100)*$G$115+(K63/100)*$G$116+(M63/100)*$G$117+(O63)*$G$118+(Q63*$G$119))</f>
        <v>113.47469017906745</v>
      </c>
    </row>
    <row r="64">
      <c r="B64">
        <v>47</v>
      </c>
      <c r="C64">
        <f>$I$13+B64</f>
        <v>39526</v>
      </c>
      <c r="E64">
        <f>IF($C$14*ReDiarioFert!C53&lt;=0,"0",$C$14*ReDiarioFert!C53)</f>
        <v>10.7892280930731</v>
      </c>
      <c r="G64">
        <f>$C$14*ReDiarioFert!E53</f>
        <v>3.1926079562019707</v>
      </c>
      <c r="I64">
        <f>$C$14*ReDiarioFert!G53</f>
        <v>9.781817793779526</v>
      </c>
      <c r="K64">
        <f>$C$14*ReDiarioFert!I53</f>
        <v>0.00009040501183821145</v>
      </c>
      <c r="M64">
        <f>$C$14*ReDiarioFert!K53</f>
        <v>0.0003144625330527388</v>
      </c>
      <c r="O64">
        <f>$C$14*ReDiarioFert!M53</f>
        <v>84.54738975609757</v>
      </c>
      <c r="S64">
        <f>((E64/100)*$G$113+(G64/100)*$G$114+(I64/100)*$G$115+(K64/100)*$G$116+(M64/100)*$G$117+(O64)*$G$118+(Q64*$G$119))</f>
        <v>113.47469017906745</v>
      </c>
    </row>
    <row r="65">
      <c r="B65">
        <v>48</v>
      </c>
      <c r="C65">
        <f>$I$13+B65</f>
        <v>39527</v>
      </c>
      <c r="E65">
        <f>IF($C$14*ReDiarioFert!C54&lt;=0,"0",$C$14*ReDiarioFert!C54)</f>
        <v>14.385637457430807</v>
      </c>
      <c r="G65">
        <f>$C$14*ReDiarioFert!E54</f>
        <v>4.256810608269293</v>
      </c>
      <c r="I65">
        <f>$C$14*ReDiarioFert!G54</f>
        <v>13.042423725039368</v>
      </c>
      <c r="K65">
        <f>$C$14*ReDiarioFert!I54</f>
        <v>0.00012054001578428192</v>
      </c>
      <c r="M65">
        <f>$C$14*ReDiarioFert!K54</f>
        <v>0.00041928337740365163</v>
      </c>
      <c r="O65">
        <f>$C$14*ReDiarioFert!M54</f>
        <v>114.387443902439</v>
      </c>
      <c r="S65">
        <f>((E65/100)*$G$113+(G65/100)*$G$114+(I65/100)*$G$115+(K65/100)*$G$116+(M65/100)*$G$117+(O65)*$G$118+(Q65*$G$119))</f>
        <v>151.36589054119563</v>
      </c>
    </row>
    <row r="66">
      <c r="B66">
        <v>49</v>
      </c>
      <c r="C66">
        <f>$I$13+B66</f>
        <v>39528</v>
      </c>
      <c r="E66">
        <f>IF($C$14*ReDiarioFert!C55&lt;=0,"0",$C$14*ReDiarioFert!C55)</f>
        <v>14.385637457430807</v>
      </c>
      <c r="G66">
        <f>$C$14*ReDiarioFert!E55</f>
        <v>4.256810608269293</v>
      </c>
      <c r="I66">
        <f>$C$14*ReDiarioFert!G55</f>
        <v>13.042423725039368</v>
      </c>
      <c r="K66">
        <f>$C$14*ReDiarioFert!I55</f>
        <v>0.00012054001578428192</v>
      </c>
      <c r="M66">
        <f>$C$14*ReDiarioFert!K55</f>
        <v>0.00041928337740365163</v>
      </c>
      <c r="O66">
        <f>$C$14*ReDiarioFert!M55</f>
        <v>114.387443902439</v>
      </c>
      <c r="Q66" t="str">
        <f>Main!$H$83</f>
        <v>Acido Salicílico</v>
      </c>
      <c r="R66">
        <f>Main!$K$83*Main!$I$22</f>
        <v>250.24999999999997</v>
      </c>
      <c r="S66">
        <f>((E66/100)*$G$113+(G66/100)*$G$114+(I66/100)*$G$115+(K66/100)*$G$116+(M66/100)*$G$117+(O66)*$G$118+(R66*Main!$J$83))</f>
        <v>193.90839054119562</v>
      </c>
    </row>
    <row r="67">
      <c r="A67">
        <v>8</v>
      </c>
      <c r="B67">
        <v>50</v>
      </c>
      <c r="C67">
        <f>$I$13+B67</f>
        <v>39529</v>
      </c>
      <c r="E67">
        <f>IF($C$14*ReDiarioFert!C56&lt;=0,"0",$C$14*ReDiarioFert!C56)</f>
        <v>14.385637457430807</v>
      </c>
      <c r="G67">
        <f>$C$14*ReDiarioFert!E56</f>
        <v>4.256810608269293</v>
      </c>
      <c r="I67">
        <f>$C$14*ReDiarioFert!G56</f>
        <v>13.042423725039368</v>
      </c>
      <c r="K67">
        <f>$C$14*ReDiarioFert!I56</f>
        <v>0.00012054001578428192</v>
      </c>
      <c r="M67">
        <f>$C$14*ReDiarioFert!K56</f>
        <v>0.00041928337740365163</v>
      </c>
      <c r="O67">
        <f>$C$14*ReDiarioFert!M56</f>
        <v>114.387443902439</v>
      </c>
      <c r="Q67">
        <f>$C$14*Main!$D$63</f>
        <v>20.019999999999996</v>
      </c>
      <c r="S67">
        <f>((E67/100)*$G$113+(G67/100)*$G$114+(I67/100)*$G$115+(K67/100)*$G$116+(M67/100)*$G$117+(O67)*$G$118+(Q67*$G$119))</f>
        <v>207.4218905411956</v>
      </c>
    </row>
    <row r="68">
      <c r="B68">
        <v>51</v>
      </c>
      <c r="C68">
        <f>$I$13+B68</f>
        <v>39530</v>
      </c>
      <c r="E68">
        <f>IF($C$14*ReDiarioFert!C57&lt;=0,"0",$C$14*ReDiarioFert!C57)</f>
        <v>14.385637457430807</v>
      </c>
      <c r="G68">
        <f>$C$14*ReDiarioFert!E57</f>
        <v>4.256810608269293</v>
      </c>
      <c r="I68">
        <f>$C$14*ReDiarioFert!G57</f>
        <v>13.042423725039368</v>
      </c>
      <c r="K68">
        <f>$C$14*ReDiarioFert!I57</f>
        <v>0.00012054001578428192</v>
      </c>
      <c r="M68">
        <f>$C$14*ReDiarioFert!K57</f>
        <v>0.00041928337740365163</v>
      </c>
      <c r="O68">
        <f>$C$14*ReDiarioFert!M57</f>
        <v>114.387443902439</v>
      </c>
      <c r="S68">
        <f>((E68/100)*$G$113+(G68/100)*$G$114+(I68/100)*$G$115+(K68/100)*$G$116+(M68/100)*$G$117+(O68)*$G$118+(Q68*$G$119))</f>
        <v>151.36589054119563</v>
      </c>
    </row>
    <row r="69">
      <c r="B69">
        <v>52</v>
      </c>
      <c r="C69">
        <f>$I$13+B69</f>
        <v>39531</v>
      </c>
      <c r="E69">
        <f>IF($C$14*ReDiarioFert!C58&lt;=0,"0",$C$14*ReDiarioFert!C58)</f>
        <v>14.385637457430807</v>
      </c>
      <c r="G69">
        <f>$C$14*ReDiarioFert!E58</f>
        <v>4.256810608269293</v>
      </c>
      <c r="I69">
        <f>$C$14*ReDiarioFert!G58</f>
        <v>13.042423725039368</v>
      </c>
      <c r="K69">
        <f>$C$14*ReDiarioFert!I58</f>
        <v>0.00012054001578428192</v>
      </c>
      <c r="M69">
        <f>$C$14*ReDiarioFert!K58</f>
        <v>0.00041928337740365163</v>
      </c>
      <c r="O69">
        <f>$C$14*ReDiarioFert!M58</f>
        <v>114.387443902439</v>
      </c>
      <c r="S69">
        <f>((E69/100)*$G$113+(G69/100)*$G$114+(I69/100)*$G$115+(K69/100)*$G$116+(M69/100)*$G$117+(O69)*$G$118+(Q69*$G$119))</f>
        <v>151.36589054119563</v>
      </c>
    </row>
    <row r="70">
      <c r="B70">
        <v>53</v>
      </c>
      <c r="C70">
        <f>$I$13+B70</f>
        <v>39532</v>
      </c>
      <c r="E70">
        <f>IF($C$14*ReDiarioFert!C59&lt;=0,"0",$C$14*ReDiarioFert!C59)</f>
        <v>14.385637457430807</v>
      </c>
      <c r="G70">
        <f>$C$14*ReDiarioFert!E59</f>
        <v>4.256810608269293</v>
      </c>
      <c r="I70">
        <f>$C$14*ReDiarioFert!G59</f>
        <v>13.042423725039368</v>
      </c>
      <c r="K70">
        <f>$C$14*ReDiarioFert!I59</f>
        <v>0.00012054001578428192</v>
      </c>
      <c r="M70">
        <f>$C$14*ReDiarioFert!K59</f>
        <v>0.00041928337740365163</v>
      </c>
      <c r="O70">
        <f>$C$14*ReDiarioFert!M59</f>
        <v>114.387443902439</v>
      </c>
      <c r="S70">
        <f>((E70/100)*$G$113+(G70/100)*$G$114+(I70/100)*$G$115+(K70/100)*$G$116+(M70/100)*$G$117+(O70)*$G$118+(Q70*$G$119))</f>
        <v>151.36589054119563</v>
      </c>
    </row>
    <row r="71">
      <c r="B71">
        <v>54</v>
      </c>
      <c r="C71">
        <f>$I$13+B71</f>
        <v>39533</v>
      </c>
      <c r="E71">
        <f>IF($C$14*ReDiarioFert!C60&lt;=0,"0",$C$14*ReDiarioFert!C60)</f>
        <v>14.385637457430807</v>
      </c>
      <c r="G71">
        <f>$C$14*ReDiarioFert!E60</f>
        <v>4.256810608269293</v>
      </c>
      <c r="I71">
        <f>$C$14*ReDiarioFert!G60</f>
        <v>13.042423725039368</v>
      </c>
      <c r="K71">
        <f>$C$14*ReDiarioFert!I60</f>
        <v>0.00012054001578428192</v>
      </c>
      <c r="M71">
        <f>$C$14*ReDiarioFert!K60</f>
        <v>0.00041928337740365163</v>
      </c>
      <c r="O71">
        <f>$C$14*ReDiarioFert!M60</f>
        <v>114.387443902439</v>
      </c>
      <c r="S71">
        <f>((E71/100)*$G$113+(G71/100)*$G$114+(I71/100)*$G$115+(K71/100)*$G$116+(M71/100)*$G$117+(O71)*$G$118+(Q71*$G$119))</f>
        <v>151.36589054119563</v>
      </c>
    </row>
    <row r="72">
      <c r="B72">
        <v>55</v>
      </c>
      <c r="C72">
        <f>$I$13+B72</f>
        <v>39534</v>
      </c>
      <c r="E72">
        <f>IF($C$14*ReDiarioFert!C61&lt;=0,"0",$C$14*ReDiarioFert!C61)</f>
        <v>14.385637457430807</v>
      </c>
      <c r="G72">
        <f>$C$14*ReDiarioFert!E61</f>
        <v>4.256810608269293</v>
      </c>
      <c r="I72">
        <f>$C$14*ReDiarioFert!G61</f>
        <v>13.042423725039368</v>
      </c>
      <c r="K72">
        <f>$C$14*ReDiarioFert!I61</f>
        <v>0.00012054001578428192</v>
      </c>
      <c r="M72">
        <f>$C$14*ReDiarioFert!K61</f>
        <v>0.00041928337740365163</v>
      </c>
      <c r="O72">
        <f>$C$14*ReDiarioFert!M61</f>
        <v>114.387443902439</v>
      </c>
      <c r="S72">
        <f>((E72/100)*$G$113+(G72/100)*$G$114+(I72/100)*$G$115+(K72/100)*$G$116+(M72/100)*$G$117+(O72)*$G$118+(Q72*$G$119))</f>
        <v>151.36589054119563</v>
      </c>
    </row>
    <row r="73">
      <c r="B73">
        <v>56</v>
      </c>
      <c r="C73">
        <f>$I$13+B73</f>
        <v>39535</v>
      </c>
      <c r="E73">
        <f>IF($C$14*ReDiarioFert!C62&lt;=0,"0",$C$14*ReDiarioFert!C62)</f>
        <v>14.385637457430807</v>
      </c>
      <c r="G73">
        <f>$C$14*ReDiarioFert!E62</f>
        <v>4.256810608269293</v>
      </c>
      <c r="I73">
        <f>$C$14*ReDiarioFert!G62</f>
        <v>13.042423725039368</v>
      </c>
      <c r="K73">
        <f>$C$14*ReDiarioFert!I62</f>
        <v>0.00012054001578428192</v>
      </c>
      <c r="M73">
        <f>$C$14*ReDiarioFert!K62</f>
        <v>0.00041928337740365163</v>
      </c>
      <c r="O73">
        <f>$C$14*ReDiarioFert!M62</f>
        <v>114.387443902439</v>
      </c>
      <c r="S73">
        <f>((E73/100)*$G$113+(G73/100)*$G$114+(I73/100)*$G$115+(K73/100)*$G$116+(M73/100)*$G$117+(O73)*$G$118+(Q73*$G$119))</f>
        <v>151.36589054119563</v>
      </c>
    </row>
    <row r="74">
      <c r="A74">
        <v>9</v>
      </c>
      <c r="B74">
        <v>57</v>
      </c>
      <c r="C74">
        <f>$I$13+B74</f>
        <v>39536</v>
      </c>
      <c r="D74" t="str">
        <f>Main!$H$85</f>
        <v>TricoZam</v>
      </c>
      <c r="E74">
        <f>IF($C$14*ReDiarioFert!C63&lt;=0,"0",$C$14*ReDiarioFert!C63)</f>
        <v>13.690934166668642</v>
      </c>
      <c r="G74">
        <f>$C$14*ReDiarioFert!E63</f>
        <v>4.256810608269293</v>
      </c>
      <c r="I74">
        <f>$C$14*ReDiarioFert!G63</f>
        <v>13.042423725039368</v>
      </c>
      <c r="K74">
        <f>$C$14*ReDiarioFert!I63</f>
        <v>0.00012054001578428192</v>
      </c>
      <c r="M74">
        <f>$C$14*ReDiarioFert!K63</f>
        <v>0.00041928337740365163</v>
      </c>
      <c r="O74">
        <f>$C$14*ReDiarioFert!M63</f>
        <v>114.387443902439</v>
      </c>
      <c r="Q74">
        <f>$C$14*Main!$D$63</f>
        <v>20.019999999999996</v>
      </c>
      <c r="R74">
        <f>Main!$K$85*Main!$I$22</f>
        <v>1.001</v>
      </c>
      <c r="S74">
        <f>((E74/100)*$G$113+(G74/100)*$G$114+(I74/100)*$G$115+(K74/100)*$G$116+(M74/100)*$G$117+(O74)*$G$118+(Q74*$G$119)+(R74*Main!$J$85))</f>
        <v>584.9883422136088</v>
      </c>
    </row>
    <row r="75">
      <c r="B75">
        <v>58</v>
      </c>
      <c r="C75">
        <f>$I$13+B75</f>
        <v>39537</v>
      </c>
      <c r="E75">
        <f>IF($C$14*ReDiarioFert!C64&lt;=0,"0",$C$14*ReDiarioFert!C64)</f>
        <v>13.690934166668642</v>
      </c>
      <c r="G75">
        <f>$C$14*ReDiarioFert!E64</f>
        <v>4.256810608269293</v>
      </c>
      <c r="I75">
        <f>$C$14*ReDiarioFert!G64</f>
        <v>13.042423725039368</v>
      </c>
      <c r="K75">
        <f>$C$14*ReDiarioFert!I64</f>
        <v>0.00012054001578428192</v>
      </c>
      <c r="M75">
        <f>$C$14*ReDiarioFert!K64</f>
        <v>0.00041928337740365163</v>
      </c>
      <c r="O75">
        <f>$C$14*ReDiarioFert!M64</f>
        <v>114.387443902439</v>
      </c>
      <c r="S75">
        <f>((E75/100)*$G$113+(G75/100)*$G$114+(I75/100)*$G$115+(K75/100)*$G$116+(M75/100)*$G$117+(O75)*$G$118+(Q75*$G$119))</f>
        <v>148.55234221360882</v>
      </c>
    </row>
    <row r="76">
      <c r="B76">
        <v>59</v>
      </c>
      <c r="C76">
        <f>$I$13+B76</f>
        <v>39538</v>
      </c>
      <c r="E76">
        <f>IF($C$14*ReDiarioFert!C65&lt;=0,"0",$C$14*ReDiarioFert!C65)</f>
        <v>13.690934166668642</v>
      </c>
      <c r="G76">
        <f>$C$14*ReDiarioFert!E65</f>
        <v>4.256810608269293</v>
      </c>
      <c r="I76">
        <f>$C$14*ReDiarioFert!G65</f>
        <v>13.042423725039368</v>
      </c>
      <c r="K76">
        <f>$C$14*ReDiarioFert!I65</f>
        <v>0.00012054001578428192</v>
      </c>
      <c r="M76">
        <f>$C$14*ReDiarioFert!K65</f>
        <v>0.00041928337740365163</v>
      </c>
      <c r="O76">
        <f>$C$14*ReDiarioFert!M65</f>
        <v>114.387443902439</v>
      </c>
      <c r="S76">
        <f>((E76/100)*$G$113+(G76/100)*$G$114+(I76/100)*$G$115+(K76/100)*$G$116+(M76/100)*$G$117+(O76)*$G$118+(Q76*$G$119))</f>
        <v>148.55234221360882</v>
      </c>
    </row>
    <row r="77">
      <c r="B77">
        <v>60</v>
      </c>
      <c r="C77">
        <f>$I$13+B77</f>
        <v>39539</v>
      </c>
      <c r="E77">
        <f>IF($C$14*ReDiarioFert!C66&lt;=0,"0",$C$14*ReDiarioFert!C66)</f>
        <v>13.690934166668642</v>
      </c>
      <c r="G77">
        <f>$C$14*ReDiarioFert!E66</f>
        <v>4.256810608269293</v>
      </c>
      <c r="I77">
        <f>$C$14*ReDiarioFert!G66</f>
        <v>13.042423725039368</v>
      </c>
      <c r="K77">
        <f>$C$14*ReDiarioFert!I66</f>
        <v>0.00012054001578428192</v>
      </c>
      <c r="M77">
        <f>$C$14*ReDiarioFert!K66</f>
        <v>0.00041928337740365163</v>
      </c>
      <c r="O77">
        <f>$C$14*ReDiarioFert!M66</f>
        <v>114.387443902439</v>
      </c>
      <c r="S77">
        <f>((E77/100)*$G$113+(G77/100)*$G$114+(I77/100)*$G$115+(K77/100)*$G$116+(M77/100)*$G$117+(O77)*$G$118+(Q77*$G$119))</f>
        <v>148.55234221360882</v>
      </c>
    </row>
    <row r="78">
      <c r="B78">
        <v>61</v>
      </c>
      <c r="C78">
        <f>$I$13+B78</f>
        <v>39540</v>
      </c>
      <c r="E78">
        <f>IF($C$14*ReDiarioFert!C67&lt;=0,"0",$C$14*ReDiarioFert!C67)</f>
        <v>17.366902461806532</v>
      </c>
      <c r="G78">
        <f>$C$14*ReDiarioFert!E67</f>
        <v>5.675747477692393</v>
      </c>
      <c r="I78">
        <f>$C$14*ReDiarioFert!G67</f>
        <v>16.665319204216967</v>
      </c>
      <c r="K78">
        <f>$C$14*ReDiarioFert!I67</f>
        <v>0.00015402335350213797</v>
      </c>
      <c r="M78">
        <f>$C$14*ReDiarioFert!K67</f>
        <v>0.0005357509822379993</v>
      </c>
      <c r="O78">
        <f>$C$14*ReDiarioFert!M67</f>
        <v>114.387443902439</v>
      </c>
      <c r="S78">
        <f>((E78/100)*$G$113+(G78/100)*$G$114+(I78/100)*$G$115+(K78/100)*$G$116+(M78/100)*$G$117+(O78)*$G$118+(Q78*$G$119))</f>
        <v>189.35562185440756</v>
      </c>
    </row>
    <row r="79">
      <c r="B79">
        <v>62</v>
      </c>
      <c r="C79">
        <f>$I$13+B79</f>
        <v>39541</v>
      </c>
      <c r="E79">
        <f>IF($C$14*ReDiarioFert!C68&lt;=0,"0",$C$14*ReDiarioFert!C68)</f>
        <v>17.366902461806532</v>
      </c>
      <c r="G79">
        <f>$C$14*ReDiarioFert!E68</f>
        <v>5.675747477692393</v>
      </c>
      <c r="I79">
        <f>$C$14*ReDiarioFert!G68</f>
        <v>16.665319204216967</v>
      </c>
      <c r="K79">
        <f>$C$14*ReDiarioFert!I68</f>
        <v>0.00015402335350213797</v>
      </c>
      <c r="M79">
        <f>$C$14*ReDiarioFert!K68</f>
        <v>0.0005357509822379993</v>
      </c>
      <c r="O79">
        <f>$C$14*ReDiarioFert!M68</f>
        <v>114.387443902439</v>
      </c>
      <c r="S79">
        <f>((E79/100)*$G$113+(G79/100)*$G$114+(I79/100)*$G$115+(K79/100)*$G$116+(M79/100)*$G$117+(O79)*$G$118+(Q79*$G$119))</f>
        <v>189.35562185440756</v>
      </c>
    </row>
    <row r="80">
      <c r="B80">
        <v>63</v>
      </c>
      <c r="C80">
        <f>$I$13+B80</f>
        <v>39542</v>
      </c>
      <c r="E80">
        <f>IF($C$14*ReDiarioFert!C69&lt;=0,"0",$C$14*ReDiarioFert!C69)</f>
        <v>21.70862807725816</v>
      </c>
      <c r="G80">
        <f>$C$14*ReDiarioFert!E69</f>
        <v>7.094684347115491</v>
      </c>
      <c r="I80">
        <f>$C$14*ReDiarioFert!G69</f>
        <v>20.831649005271206</v>
      </c>
      <c r="K80">
        <f>$C$14*ReDiarioFert!I69</f>
        <v>0.0001925291918776725</v>
      </c>
      <c r="M80">
        <f>$C$14*ReDiarioFert!K69</f>
        <v>0.000669688727797499</v>
      </c>
      <c r="O80">
        <f>$C$14*ReDiarioFert!M69</f>
        <v>144.2279863414634</v>
      </c>
      <c r="S80">
        <f>((E80/100)*$G$113+(G80/100)*$G$114+(I80/100)*$G$115+(K80/100)*$G$116+(M80/100)*$G$117+(O80)*$G$118+(Q80*$G$119))</f>
        <v>236.74427457654602</v>
      </c>
    </row>
    <row r="81">
      <c r="A81">
        <v>10</v>
      </c>
      <c r="B81">
        <v>64</v>
      </c>
      <c r="C81">
        <f>$I$13+B81</f>
        <v>39543</v>
      </c>
      <c r="E81">
        <f>IF($C$14*ReDiarioFert!C70&lt;=0,"0",$C$14*ReDiarioFert!C70)</f>
        <v>21.70862807725816</v>
      </c>
      <c r="G81">
        <f>$C$14*ReDiarioFert!E70</f>
        <v>7.094684347115491</v>
      </c>
      <c r="I81">
        <f>$C$14*ReDiarioFert!G70</f>
        <v>20.831649005271206</v>
      </c>
      <c r="K81">
        <f>$C$14*ReDiarioFert!I70</f>
        <v>0.0001925291918776725</v>
      </c>
      <c r="M81">
        <f>$C$14*ReDiarioFert!K70</f>
        <v>0.000669688727797499</v>
      </c>
      <c r="O81">
        <f>$C$14*ReDiarioFert!M70</f>
        <v>144.2279863414634</v>
      </c>
      <c r="Q81">
        <f>$C$14*Main!$D$63</f>
        <v>20.019999999999996</v>
      </c>
      <c r="S81">
        <f>((E81/100)*$G$113+(G81/100)*$G$114+(I81/100)*$G$115+(K81/100)*$G$116+(M81/100)*$G$117+(O81)*$G$118+(Q81*$G$119))</f>
        <v>292.80027457654603</v>
      </c>
    </row>
    <row r="82">
      <c r="B82">
        <v>65</v>
      </c>
      <c r="C82">
        <f>$I$13+B82</f>
        <v>39544</v>
      </c>
      <c r="E82">
        <f>IF($C$14*ReDiarioFert!C71&lt;=0,"0",$C$14*ReDiarioFert!C71)</f>
        <v>21.70862807725816</v>
      </c>
      <c r="G82">
        <f>$C$14*ReDiarioFert!E71</f>
        <v>7.094684347115491</v>
      </c>
      <c r="I82">
        <f>$C$14*ReDiarioFert!G71</f>
        <v>20.831649005271206</v>
      </c>
      <c r="K82">
        <f>$C$14*ReDiarioFert!I71</f>
        <v>0.0001925291918776725</v>
      </c>
      <c r="M82">
        <f>$C$14*ReDiarioFert!K71</f>
        <v>0.000669688727797499</v>
      </c>
      <c r="O82">
        <f>$C$14*ReDiarioFert!M71</f>
        <v>144.2279863414634</v>
      </c>
      <c r="S82">
        <f>((E82/100)*$G$113+(G82/100)*$G$114+(I82/100)*$G$115+(K82/100)*$G$116+(M82/100)*$G$117+(O82)*$G$118+(Q82*$G$119))</f>
        <v>236.74427457654602</v>
      </c>
    </row>
    <row r="83">
      <c r="B83">
        <v>66</v>
      </c>
      <c r="C83">
        <f>$I$13+B83</f>
        <v>39545</v>
      </c>
      <c r="E83">
        <f>IF($C$14*ReDiarioFert!C72&lt;=0,"0",$C$14*ReDiarioFert!C72)</f>
        <v>21.70862807725816</v>
      </c>
      <c r="G83">
        <f>$C$14*ReDiarioFert!E72</f>
        <v>7.094684347115491</v>
      </c>
      <c r="I83">
        <f>$C$14*ReDiarioFert!G72</f>
        <v>20.831649005271206</v>
      </c>
      <c r="K83">
        <f>$C$14*ReDiarioFert!I72</f>
        <v>0.0001925291918776725</v>
      </c>
      <c r="M83">
        <f>$C$14*ReDiarioFert!K72</f>
        <v>0.000669688727797499</v>
      </c>
      <c r="O83">
        <f>$C$14*ReDiarioFert!M72</f>
        <v>144.2279863414634</v>
      </c>
      <c r="S83">
        <f>((E83/100)*$G$113+(G83/100)*$G$114+(I83/100)*$G$115+(K83/100)*$G$116+(M83/100)*$G$117+(O83)*$G$118+(Q83*$G$119))</f>
        <v>236.74427457654602</v>
      </c>
    </row>
    <row r="84">
      <c r="B84">
        <v>67</v>
      </c>
      <c r="C84">
        <f>$I$13+B84</f>
        <v>39546</v>
      </c>
      <c r="E84">
        <f>IF($C$14*ReDiarioFert!C73&lt;=0,"0",$C$14*ReDiarioFert!C73)</f>
        <v>21.70862807725816</v>
      </c>
      <c r="G84">
        <f>$C$14*ReDiarioFert!E73</f>
        <v>7.094684347115491</v>
      </c>
      <c r="I84">
        <f>$C$14*ReDiarioFert!G73</f>
        <v>20.831649005271206</v>
      </c>
      <c r="K84">
        <f>$C$14*ReDiarioFert!I73</f>
        <v>0.0001925291918776725</v>
      </c>
      <c r="M84">
        <f>$C$14*ReDiarioFert!K73</f>
        <v>0.000669688727797499</v>
      </c>
      <c r="O84">
        <f>$C$14*ReDiarioFert!M73</f>
        <v>144.2279863414634</v>
      </c>
      <c r="S84">
        <f>((E84/100)*$G$113+(G84/100)*$G$114+(I84/100)*$G$115+(K84/100)*$G$116+(M84/100)*$G$117+(O84)*$G$118+(Q84*$G$119))</f>
        <v>236.74427457654602</v>
      </c>
    </row>
    <row r="85">
      <c r="B85">
        <v>68</v>
      </c>
      <c r="C85">
        <f>$I$13+B85</f>
        <v>39547</v>
      </c>
      <c r="E85">
        <f>IF($C$14*ReDiarioFert!C74&lt;=0,"0",$C$14*ReDiarioFert!C74)</f>
        <v>21.70862807725816</v>
      </c>
      <c r="G85">
        <f>$C$14*ReDiarioFert!E74</f>
        <v>7.094684347115491</v>
      </c>
      <c r="I85">
        <f>$C$14*ReDiarioFert!G74</f>
        <v>20.831649005271206</v>
      </c>
      <c r="K85">
        <f>$C$14*ReDiarioFert!I74</f>
        <v>0.0001925291918776725</v>
      </c>
      <c r="M85">
        <f>$C$14*ReDiarioFert!K74</f>
        <v>0.000669688727797499</v>
      </c>
      <c r="O85">
        <f>$C$14*ReDiarioFert!M74</f>
        <v>144.2279863414634</v>
      </c>
      <c r="S85">
        <f>((E85/100)*$G$113+(G85/100)*$G$114+(I85/100)*$G$115+(K85/100)*$G$116+(M85/100)*$G$117+(O85)*$G$118+(Q85*$G$119))</f>
        <v>236.74427457654602</v>
      </c>
    </row>
    <row r="86">
      <c r="B86">
        <v>69</v>
      </c>
      <c r="C86">
        <f>$I$13+B86</f>
        <v>39548</v>
      </c>
      <c r="E86">
        <f>IF($C$14*ReDiarioFert!C75&lt;=0,"0",$C$14*ReDiarioFert!C75)</f>
        <v>21.70862807725816</v>
      </c>
      <c r="G86">
        <f>$C$14*ReDiarioFert!E75</f>
        <v>7.094684347115491</v>
      </c>
      <c r="I86">
        <f>$C$14*ReDiarioFert!G75</f>
        <v>20.831649005271206</v>
      </c>
      <c r="K86">
        <f>$C$14*ReDiarioFert!I75</f>
        <v>0.0001925291918776725</v>
      </c>
      <c r="M86">
        <f>$C$14*ReDiarioFert!K75</f>
        <v>0.000669688727797499</v>
      </c>
      <c r="O86">
        <f>$C$14*ReDiarioFert!M75</f>
        <v>144.2279863414634</v>
      </c>
      <c r="S86">
        <f>((E86/100)*$G$113+(G86/100)*$G$114+(I86/100)*$G$115+(K86/100)*$G$116+(M86/100)*$G$117+(O86)*$G$118+(Q86*$G$119))</f>
        <v>236.74427457654602</v>
      </c>
    </row>
    <row r="87">
      <c r="B87">
        <v>70</v>
      </c>
      <c r="C87">
        <f>$I$13+B87</f>
        <v>39549</v>
      </c>
      <c r="E87">
        <f>IF($C$14*ReDiarioFert!C76&lt;=0,"0",$C$14*ReDiarioFert!C76)</f>
        <v>21.70862807725816</v>
      </c>
      <c r="G87">
        <f>$C$14*ReDiarioFert!E76</f>
        <v>7.094684347115491</v>
      </c>
      <c r="I87">
        <f>$C$14*ReDiarioFert!G76</f>
        <v>20.831649005271206</v>
      </c>
      <c r="K87">
        <f>$C$14*ReDiarioFert!I76</f>
        <v>0.0001925291918776725</v>
      </c>
      <c r="M87">
        <f>$C$14*ReDiarioFert!K76</f>
        <v>0.000669688727797499</v>
      </c>
      <c r="O87">
        <f>$C$14*ReDiarioFert!M76</f>
        <v>144.2279863414634</v>
      </c>
      <c r="Q87" t="str">
        <f>Main!$H$83</f>
        <v>Acido Salicílico</v>
      </c>
      <c r="R87">
        <f>Main!$K$83*Main!$I$22</f>
        <v>250.24999999999997</v>
      </c>
      <c r="S87">
        <f>((E87/100)*$G$113+(G87/100)*$G$114+(I87/100)*$G$115+(K87/100)*$G$116+(M87/100)*$G$117+(O87)*$G$118+(R87*Main!$J$83))</f>
        <v>279.286774576546</v>
      </c>
    </row>
    <row r="88">
      <c r="A88">
        <v>11</v>
      </c>
      <c r="B88">
        <v>71</v>
      </c>
      <c r="C88">
        <f>$I$13+B88</f>
        <v>39550</v>
      </c>
      <c r="E88">
        <f>IF($C$14*ReDiarioFert!C77&lt;=0,"0",$C$14*ReDiarioFert!C77)</f>
        <v>18.379841475689464</v>
      </c>
      <c r="G88">
        <f>$C$14*ReDiarioFert!E77</f>
        <v>7.094684347115491</v>
      </c>
      <c r="I88">
        <f>$C$14*ReDiarioFert!G77</f>
        <v>20.831649005271206</v>
      </c>
      <c r="K88">
        <f>$C$14*ReDiarioFert!I77</f>
        <v>0.0001925291918776725</v>
      </c>
      <c r="M88">
        <f>$C$14*ReDiarioFert!K77</f>
        <v>0.000669688727797499</v>
      </c>
      <c r="O88">
        <f>$C$14*ReDiarioFert!M77</f>
        <v>144.2279863414634</v>
      </c>
      <c r="Q88">
        <f>$C$14*Main!$D$63</f>
        <v>20.019999999999996</v>
      </c>
      <c r="S88">
        <f>((E88/100)*$G$113+(G88/100)*$G$114+(I88/100)*$G$115+(K88/100)*$G$116+(M88/100)*$G$117+(O88)*$G$118+(Q88*$G$119))</f>
        <v>279.31868884019275</v>
      </c>
    </row>
    <row r="89">
      <c r="B89">
        <v>72</v>
      </c>
      <c r="C89">
        <f>$I$13+B89</f>
        <v>39551</v>
      </c>
      <c r="E89">
        <f>IF($C$14*ReDiarioFert!C78&lt;=0,"0",$C$14*ReDiarioFert!C78)</f>
        <v>18.379841475689464</v>
      </c>
      <c r="G89">
        <f>$C$14*ReDiarioFert!E78</f>
        <v>7.094684347115491</v>
      </c>
      <c r="I89">
        <f>$C$14*ReDiarioFert!G78</f>
        <v>20.831649005271206</v>
      </c>
      <c r="K89">
        <f>$C$14*ReDiarioFert!I78</f>
        <v>0.0001925291918776725</v>
      </c>
      <c r="M89">
        <f>$C$14*ReDiarioFert!K78</f>
        <v>0.000669688727797499</v>
      </c>
      <c r="O89">
        <f>$C$14*ReDiarioFert!M78</f>
        <v>144.2279863414634</v>
      </c>
      <c r="S89">
        <f>((E89/100)*$G$113+(G89/100)*$G$114+(I89/100)*$G$115+(K89/100)*$G$116+(M89/100)*$G$117+(O89)*$G$118+(Q89*$G$119))</f>
        <v>223.2626888401928</v>
      </c>
    </row>
    <row r="90">
      <c r="B90">
        <v>73</v>
      </c>
      <c r="C90">
        <f>$I$13+B90</f>
        <v>39552</v>
      </c>
      <c r="E90">
        <f>IF($C$14*ReDiarioFert!C79&lt;=0,"0",$C$14*ReDiarioFert!C79)</f>
        <v>18.379841475689464</v>
      </c>
      <c r="G90">
        <f>$C$14*ReDiarioFert!E79</f>
        <v>7.094684347115491</v>
      </c>
      <c r="I90">
        <f>$C$14*ReDiarioFert!G79</f>
        <v>20.831649005271206</v>
      </c>
      <c r="K90">
        <f>$C$14*ReDiarioFert!I79</f>
        <v>0.0001925291918776725</v>
      </c>
      <c r="M90">
        <f>$C$14*ReDiarioFert!K79</f>
        <v>0.000669688727797499</v>
      </c>
      <c r="O90">
        <f>$C$14*ReDiarioFert!M79</f>
        <v>144.2279863414634</v>
      </c>
      <c r="S90">
        <f>((E90/100)*$G$113+(G90/100)*$G$114+(I90/100)*$G$115+(K90/100)*$G$116+(M90/100)*$G$117+(O90)*$G$118+(Q90*$G$119))</f>
        <v>223.2626888401928</v>
      </c>
    </row>
    <row r="91">
      <c r="B91">
        <v>74</v>
      </c>
      <c r="C91">
        <f>$I$13+B91</f>
        <v>39553</v>
      </c>
      <c r="E91">
        <f>IF($C$14*ReDiarioFert!C80&lt;=0,"0",$C$14*ReDiarioFert!C80)</f>
        <v>18.379841475689464</v>
      </c>
      <c r="G91">
        <f>$C$14*ReDiarioFert!E80</f>
        <v>7.094684347115491</v>
      </c>
      <c r="I91">
        <f>$C$14*ReDiarioFert!G80</f>
        <v>20.831649005271206</v>
      </c>
      <c r="K91">
        <f>$C$14*ReDiarioFert!I80</f>
        <v>0.0001925291918776725</v>
      </c>
      <c r="M91">
        <f>$C$14*ReDiarioFert!K80</f>
        <v>0.000669688727797499</v>
      </c>
      <c r="O91">
        <f>$C$14*ReDiarioFert!M80</f>
        <v>144.2279863414634</v>
      </c>
      <c r="S91">
        <f>((E91/100)*$G$113+(G91/100)*$G$114+(I91/100)*$G$115+(K91/100)*$G$116+(M91/100)*$G$117+(O91)*$G$118+(Q91*$G$119))</f>
        <v>223.2626888401928</v>
      </c>
    </row>
    <row r="92">
      <c r="B92">
        <v>75</v>
      </c>
      <c r="C92">
        <f>$I$13+B92</f>
        <v>39554</v>
      </c>
      <c r="E92">
        <f>IF($C$14*ReDiarioFert!C81&lt;=0,"0",$C$14*ReDiarioFert!C81)</f>
        <v>18.379841475689464</v>
      </c>
      <c r="G92">
        <f>$C$14*ReDiarioFert!E81</f>
        <v>7.094684347115491</v>
      </c>
      <c r="I92">
        <f>$C$14*ReDiarioFert!G81</f>
        <v>20.831649005271206</v>
      </c>
      <c r="K92">
        <f>$C$14*ReDiarioFert!I81</f>
        <v>0.0001925291918776725</v>
      </c>
      <c r="M92">
        <f>$C$14*ReDiarioFert!K81</f>
        <v>0.000669688727797499</v>
      </c>
      <c r="O92">
        <f>$C$14*ReDiarioFert!M81</f>
        <v>144.2279863414634</v>
      </c>
      <c r="S92">
        <f>((E92/100)*$G$113+(G92/100)*$G$114+(I92/100)*$G$115+(K92/100)*$G$116+(M92/100)*$G$117+(O92)*$G$118+(Q92*$G$119))</f>
        <v>223.2626888401928</v>
      </c>
    </row>
    <row r="93">
      <c r="B93">
        <v>76</v>
      </c>
      <c r="C93">
        <f>$I$13+B93</f>
        <v>39555</v>
      </c>
      <c r="E93">
        <f>IF($C$14*ReDiarioFert!C82&lt;=0,"0",$C$14*ReDiarioFert!C82)</f>
        <v>18.379841475689464</v>
      </c>
      <c r="G93">
        <f>$C$14*ReDiarioFert!E82</f>
        <v>7.094684347115491</v>
      </c>
      <c r="I93">
        <f>$C$14*ReDiarioFert!G82</f>
        <v>20.831649005271206</v>
      </c>
      <c r="K93">
        <f>$C$14*ReDiarioFert!I82</f>
        <v>0.0001925291918776725</v>
      </c>
      <c r="M93">
        <f>$C$14*ReDiarioFert!K82</f>
        <v>0.000669688727797499</v>
      </c>
      <c r="O93">
        <f>$C$14*ReDiarioFert!M82</f>
        <v>144.2279863414634</v>
      </c>
      <c r="S93">
        <f>((E93/100)*$G$113+(G93/100)*$G$114+(I93/100)*$G$115+(K93/100)*$G$116+(M93/100)*$G$117+(O93)*$G$118+(Q93*$G$119))</f>
        <v>223.2626888401928</v>
      </c>
    </row>
    <row r="94">
      <c r="B94">
        <v>77</v>
      </c>
      <c r="C94">
        <f>$I$13+B94</f>
        <v>39556</v>
      </c>
      <c r="E94">
        <f>IF($C$14*ReDiarioFert!C83&lt;=0,"0",$C$14*ReDiarioFert!C83)</f>
        <v>18.379841475689464</v>
      </c>
      <c r="G94">
        <f>$C$14*ReDiarioFert!E83</f>
        <v>7.094684347115491</v>
      </c>
      <c r="I94">
        <f>$C$14*ReDiarioFert!G83</f>
        <v>20.831649005271206</v>
      </c>
      <c r="K94">
        <f>$C$14*ReDiarioFert!I83</f>
        <v>0.0001925291918776725</v>
      </c>
      <c r="M94">
        <f>$C$14*ReDiarioFert!K83</f>
        <v>0.000669688727797499</v>
      </c>
      <c r="O94">
        <f>$C$14*ReDiarioFert!M83</f>
        <v>144.2279863414634</v>
      </c>
      <c r="S94">
        <f>((E94/100)*$G$113+(G94/100)*$G$114+(I94/100)*$G$115+(K94/100)*$G$116+(M94/100)*$G$117+(O94)*$G$118+(Q94*$G$119))</f>
        <v>223.2626888401928</v>
      </c>
    </row>
    <row r="95">
      <c r="A95">
        <v>12</v>
      </c>
      <c r="B95">
        <v>78</v>
      </c>
      <c r="C95">
        <f>$I$13+B95</f>
        <v>39557</v>
      </c>
      <c r="E95">
        <f>IF($C$14*ReDiarioFert!C84&lt;=0,"0",$C$14*ReDiarioFert!C84)</f>
        <v>16.160650407977</v>
      </c>
      <c r="G95">
        <f>$C$14*ReDiarioFert!E84</f>
        <v>7.094684347115491</v>
      </c>
      <c r="I95">
        <f>$C$14*ReDiarioFert!G84</f>
        <v>20.831649005271206</v>
      </c>
      <c r="K95">
        <f>$C$14*ReDiarioFert!I84</f>
        <v>0.0001925291918776725</v>
      </c>
      <c r="M95">
        <f>$C$14*ReDiarioFert!K84</f>
        <v>0.000669688727797499</v>
      </c>
      <c r="O95">
        <f>$C$14*ReDiarioFert!M84</f>
        <v>144.2279863414634</v>
      </c>
      <c r="Q95">
        <f>$C$14*Main!$D$63</f>
        <v>20.019999999999996</v>
      </c>
      <c r="S95">
        <f>((E95/100)*$G$113+(G95/100)*$G$114+(I95/100)*$G$115+(K95/100)*$G$116+(M95/100)*$G$117+(O95)*$G$118+(Q95*$G$119))</f>
        <v>270.3309650159573</v>
      </c>
    </row>
    <row r="96">
      <c r="B96">
        <v>79</v>
      </c>
      <c r="C96">
        <f>$I$13+B96</f>
        <v>39558</v>
      </c>
      <c r="E96">
        <f>IF($C$14*ReDiarioFert!C85&lt;=0,"0",$C$14*ReDiarioFert!C85)</f>
        <v>16.160650407977</v>
      </c>
      <c r="G96">
        <f>$C$14*ReDiarioFert!E85</f>
        <v>7.094684347115491</v>
      </c>
      <c r="I96">
        <f>$C$14*ReDiarioFert!G85</f>
        <v>20.831649005271206</v>
      </c>
      <c r="K96">
        <f>$C$14*ReDiarioFert!I85</f>
        <v>0.0001925291918776725</v>
      </c>
      <c r="M96">
        <f>$C$14*ReDiarioFert!K85</f>
        <v>0.000669688727797499</v>
      </c>
      <c r="O96">
        <f>$C$14*ReDiarioFert!M85</f>
        <v>144.2279863414634</v>
      </c>
      <c r="S96">
        <f>((E96/100)*$G$113+(G96/100)*$G$114+(I96/100)*$G$115+(K96/100)*$G$116+(M96/100)*$G$117+(O96)*$G$118+(Q96*$G$119))</f>
        <v>214.2749650159573</v>
      </c>
    </row>
    <row r="97">
      <c r="B97">
        <v>80</v>
      </c>
      <c r="C97">
        <f>$I$13+B97</f>
        <v>39559</v>
      </c>
      <c r="E97">
        <f>IF($C$14*ReDiarioFert!C86&lt;=0,"0",$C$14*ReDiarioFert!C86)</f>
        <v>16.160650407977</v>
      </c>
      <c r="G97">
        <f>$C$14*ReDiarioFert!E86</f>
        <v>7.094684347115491</v>
      </c>
      <c r="I97">
        <f>$C$14*ReDiarioFert!G86</f>
        <v>20.831649005271206</v>
      </c>
      <c r="K97">
        <f>$C$14*ReDiarioFert!I86</f>
        <v>0.0001925291918776725</v>
      </c>
      <c r="M97">
        <f>$C$14*ReDiarioFert!K86</f>
        <v>0.000669688727797499</v>
      </c>
      <c r="O97">
        <f>$C$14*ReDiarioFert!M86</f>
        <v>144.2279863414634</v>
      </c>
      <c r="S97">
        <f>((E97/100)*$G$113+(G97/100)*$G$114+(I97/100)*$G$115+(K97/100)*$G$116+(M97/100)*$G$117+(O97)*$G$118+(Q97*$G$119))</f>
        <v>214.2749650159573</v>
      </c>
    </row>
    <row r="98">
      <c r="B98">
        <v>81</v>
      </c>
      <c r="C98">
        <f>$I$13+B98</f>
        <v>39560</v>
      </c>
      <c r="E98">
        <f>IF($C$14*ReDiarioFert!C87&lt;=0,"0",$C$14*ReDiarioFert!C87)</f>
        <v>16.160650407977</v>
      </c>
      <c r="G98">
        <f>$C$14*ReDiarioFert!E87</f>
        <v>7.094684347115491</v>
      </c>
      <c r="I98">
        <f>$C$14*ReDiarioFert!G87</f>
        <v>20.831649005271206</v>
      </c>
      <c r="K98">
        <f>$C$14*ReDiarioFert!I87</f>
        <v>0.0001925291918776725</v>
      </c>
      <c r="M98">
        <f>$C$14*ReDiarioFert!K87</f>
        <v>0.000669688727797499</v>
      </c>
      <c r="O98">
        <f>$C$14*ReDiarioFert!M87</f>
        <v>174.06804048780486</v>
      </c>
      <c r="S98">
        <f>((E98/100)*$G$113+(G98/100)*$G$114+(I98/100)*$G$115+(K98/100)*$G$116+(M98/100)*$G$117+(O98)*$G$118+(Q98*$G$119))</f>
        <v>215.46856718181095</v>
      </c>
    </row>
    <row r="99">
      <c r="B99">
        <v>82</v>
      </c>
      <c r="C99">
        <f>$I$13+B99</f>
        <v>39561</v>
      </c>
      <c r="E99">
        <f>IF($C$14*ReDiarioFert!C88&lt;=0,"0",$C$14*ReDiarioFert!C88)</f>
        <v>16.160650407977</v>
      </c>
      <c r="G99">
        <f>$C$14*ReDiarioFert!E88</f>
        <v>7.094684347115491</v>
      </c>
      <c r="I99">
        <f>$C$14*ReDiarioFert!G88</f>
        <v>20.831649005271206</v>
      </c>
      <c r="K99">
        <f>$C$14*ReDiarioFert!I88</f>
        <v>0.0001925291918776725</v>
      </c>
      <c r="M99">
        <f>$C$14*ReDiarioFert!K88</f>
        <v>0.000669688727797499</v>
      </c>
      <c r="O99">
        <f>$C$14*ReDiarioFert!M88</f>
        <v>174.06804048780486</v>
      </c>
      <c r="S99">
        <f>((E99/100)*$G$113+(G99/100)*$G$114+(I99/100)*$G$115+(K99/100)*$G$116+(M99/100)*$G$117+(O99)*$G$118+(Q99*$G$119))</f>
        <v>215.46856718181095</v>
      </c>
    </row>
    <row r="100">
      <c r="B100">
        <v>83</v>
      </c>
      <c r="C100">
        <f>$I$13+B100</f>
        <v>39562</v>
      </c>
      <c r="E100">
        <f>IF($C$14*ReDiarioFert!C89&lt;=0,"0",$C$14*ReDiarioFert!C89)</f>
        <v>16.160650407977</v>
      </c>
      <c r="G100">
        <f>$C$14*ReDiarioFert!E89</f>
        <v>7.094684347115491</v>
      </c>
      <c r="I100">
        <f>$C$14*ReDiarioFert!G89</f>
        <v>20.831649005271206</v>
      </c>
      <c r="K100">
        <f>$C$14*ReDiarioFert!I89</f>
        <v>0.0001925291918776725</v>
      </c>
      <c r="M100">
        <f>$C$14*ReDiarioFert!K89</f>
        <v>0.000669688727797499</v>
      </c>
      <c r="O100">
        <f>$C$14*ReDiarioFert!M89</f>
        <v>174.06804048780486</v>
      </c>
      <c r="S100">
        <f>((E100/100)*$G$113+(G100/100)*$G$114+(I100/100)*$G$115+(K100/100)*$G$116+(M100/100)*$G$117+(O100)*$G$118+(Q100*$G$119))</f>
        <v>215.46856718181095</v>
      </c>
    </row>
    <row r="101">
      <c r="B101">
        <v>84</v>
      </c>
      <c r="C101">
        <f>$I$13+B101</f>
        <v>39563</v>
      </c>
      <c r="E101">
        <f>IF($C$14*ReDiarioFert!C90&lt;=0,"0",$C$14*ReDiarioFert!C90)</f>
        <v>16.160650407977</v>
      </c>
      <c r="G101">
        <f>$C$14*ReDiarioFert!E90</f>
        <v>7.094684347115491</v>
      </c>
      <c r="I101">
        <f>$C$14*ReDiarioFert!G90</f>
        <v>20.831649005271206</v>
      </c>
      <c r="K101">
        <f>$C$14*ReDiarioFert!I90</f>
        <v>0.0001925291918776725</v>
      </c>
      <c r="M101">
        <f>$C$14*ReDiarioFert!K90</f>
        <v>0.000669688727797499</v>
      </c>
      <c r="O101">
        <f>$C$14*ReDiarioFert!M90</f>
        <v>174.06804048780486</v>
      </c>
      <c r="S101">
        <f>((E101/100)*$G$113+(G101/100)*$G$114+(I101/100)*$G$115+(K101/100)*$G$116+(M101/100)*$G$117+(O101)*$G$118+(Q101*$G$119))</f>
        <v>215.46856718181095</v>
      </c>
    </row>
    <row r="102" ht="18" customHeight="1">
      <c r="A102">
        <v>13</v>
      </c>
      <c r="B102">
        <v>85</v>
      </c>
      <c r="C102">
        <f>$I$13+B102</f>
        <v>39564</v>
      </c>
      <c r="E102">
        <f>IF($C$14*ReDiarioFert!C91&lt;=0,"0",$C$14*ReDiarioFert!C91)</f>
        <v>15.051054874120766</v>
      </c>
      <c r="G102">
        <f>$C$14*ReDiarioFert!E91</f>
        <v>7.094684347115491</v>
      </c>
      <c r="I102">
        <f>$C$14*ReDiarioFert!G91</f>
        <v>20.831649005271206</v>
      </c>
      <c r="K102">
        <f>$C$14*ReDiarioFert!I91</f>
        <v>0.0001925291918776725</v>
      </c>
      <c r="M102">
        <f>$C$14*ReDiarioFert!K91</f>
        <v>0.000669688727797499</v>
      </c>
      <c r="O102">
        <f>$C$14*ReDiarioFert!M91</f>
        <v>174.06804048780486</v>
      </c>
      <c r="Q102">
        <f>$C$14*Main!$D$63</f>
        <v>20.019999999999996</v>
      </c>
      <c r="S102">
        <f>((E102/100)*$G$113+(G102/100)*$G$114+(I102/100)*$G$115+(K102/100)*$G$116+(M102/100)*$G$117+(O102)*$G$118+(Q102*$G$119))</f>
        <v>267.0307052696932</v>
      </c>
    </row>
    <row r="103" ht="18" customHeight="1">
      <c r="B103">
        <v>86</v>
      </c>
      <c r="C103">
        <f>$I$13+B103</f>
        <v>39565</v>
      </c>
      <c r="E103">
        <f>IF($C$14*ReDiarioFert!C92&lt;=0,"0",$C$14*ReDiarioFert!C92)</f>
        <v>15.051054874120766</v>
      </c>
      <c r="G103">
        <f>$C$14*ReDiarioFert!E92</f>
        <v>7.094684347115491</v>
      </c>
      <c r="I103">
        <f>$C$14*ReDiarioFert!G92</f>
        <v>20.831649005271206</v>
      </c>
      <c r="K103">
        <f>$C$14*ReDiarioFert!I92</f>
        <v>0.0001925291918776725</v>
      </c>
      <c r="M103">
        <f>$C$14*ReDiarioFert!K92</f>
        <v>0.000669688727797499</v>
      </c>
      <c r="O103">
        <f>$C$14*ReDiarioFert!M92</f>
        <v>174.06804048780486</v>
      </c>
      <c r="S103">
        <f>((E103/100)*$G$113+(G103/100)*$G$114+(I103/100)*$G$115+(K103/100)*$G$116+(M103/100)*$G$117+(O103)*$G$118+(Q103*$G$119))</f>
        <v>210.97470526969323</v>
      </c>
    </row>
    <row r="104" ht="18" customHeight="1">
      <c r="B104">
        <v>87</v>
      </c>
      <c r="C104">
        <f>$I$13+B104</f>
        <v>39566</v>
      </c>
      <c r="E104">
        <f>IF($C$14*ReDiarioFert!C93&lt;=0,"0",$C$14*ReDiarioFert!C93)</f>
        <v>15.051054874120766</v>
      </c>
      <c r="G104">
        <f>$C$14*ReDiarioFert!E93</f>
        <v>7.094684347115491</v>
      </c>
      <c r="I104">
        <f>$C$14*ReDiarioFert!G93</f>
        <v>20.831649005271206</v>
      </c>
      <c r="K104">
        <f>$C$14*ReDiarioFert!I93</f>
        <v>0.0001925291918776725</v>
      </c>
      <c r="M104">
        <f>$C$14*ReDiarioFert!K93</f>
        <v>0.000669688727797499</v>
      </c>
      <c r="O104">
        <f>$C$14*ReDiarioFert!M93</f>
        <v>174.06804048780486</v>
      </c>
      <c r="S104">
        <f>((E104/100)*$G$113+(G104/100)*$G$114+(I104/100)*$G$115+(K104/100)*$G$116+(M104/100)*$G$117+(O104)*$G$118+(Q104*$G$119))</f>
        <v>210.97470526969323</v>
      </c>
    </row>
    <row r="105" ht="18" customHeight="1">
      <c r="B105">
        <v>88</v>
      </c>
      <c r="C105">
        <f>$I$13+B105</f>
        <v>39567</v>
      </c>
      <c r="E105">
        <f>IF($C$14*ReDiarioFert!C94&lt;=0,"0",$C$14*ReDiarioFert!C94)</f>
        <v>15.051054874120766</v>
      </c>
      <c r="G105">
        <f>$C$14*ReDiarioFert!E94</f>
        <v>7.094684347115491</v>
      </c>
      <c r="I105">
        <f>$C$14*ReDiarioFert!G94</f>
        <v>20.831649005271206</v>
      </c>
      <c r="K105">
        <f>$C$14*ReDiarioFert!I94</f>
        <v>0.0001925291918776725</v>
      </c>
      <c r="M105">
        <f>$C$14*ReDiarioFert!K94</f>
        <v>0.000669688727797499</v>
      </c>
      <c r="O105">
        <f>$C$14*ReDiarioFert!M94</f>
        <v>174.06804048780486</v>
      </c>
      <c r="S105">
        <f>((E105/100)*$G$113+(G105/100)*$G$114+(I105/100)*$G$115+(K105/100)*$G$116+(M105/100)*$G$117+(O105)*$G$118+(Q105*$G$119))</f>
        <v>210.97470526969323</v>
      </c>
    </row>
    <row r="106" ht="18" customHeight="1">
      <c r="B106">
        <v>89</v>
      </c>
      <c r="C106">
        <f>$I$13+B106</f>
        <v>39568</v>
      </c>
      <c r="E106">
        <f>IF($C$14*ReDiarioFert!C95&lt;=0,"0",$C$14*ReDiarioFert!C95)</f>
        <v>15.051054874120766</v>
      </c>
      <c r="G106">
        <f>$C$14*ReDiarioFert!E95</f>
        <v>7.094684347115491</v>
      </c>
      <c r="I106">
        <f>$C$14*ReDiarioFert!G95</f>
        <v>20.831649005271206</v>
      </c>
      <c r="K106">
        <f>$C$14*ReDiarioFert!I95</f>
        <v>0.0001925291918776725</v>
      </c>
      <c r="M106">
        <f>$C$14*ReDiarioFert!K95</f>
        <v>0.000669688727797499</v>
      </c>
      <c r="O106">
        <f>$C$14*ReDiarioFert!M95</f>
        <v>174.06804048780486</v>
      </c>
      <c r="S106">
        <f>((E106/100)*$G$113+(G106/100)*$G$114+(I106/100)*$G$115+(K106/100)*$G$116+(M106/100)*$G$117+(O106)*$G$118+(Q106*$G$119))</f>
        <v>210.97470526969323</v>
      </c>
    </row>
    <row r="107" ht="18" customHeight="1">
      <c r="B107">
        <v>90</v>
      </c>
      <c r="C107">
        <f>$I$13+B107</f>
        <v>39569</v>
      </c>
      <c r="E107">
        <f>IF($C$14*ReDiarioFert!C96&lt;=0,"0",$C$14*ReDiarioFert!C96)</f>
        <v>15.051054874120766</v>
      </c>
      <c r="G107">
        <f>$C$14*ReDiarioFert!E96</f>
        <v>7.094684347115491</v>
      </c>
      <c r="I107">
        <f>$C$14*ReDiarioFert!G96</f>
        <v>20.831649005271206</v>
      </c>
      <c r="K107">
        <f>$C$14*ReDiarioFert!I96</f>
        <v>0.0001925291918776725</v>
      </c>
      <c r="M107">
        <f>$C$14*ReDiarioFert!K96</f>
        <v>0.000669688727797499</v>
      </c>
      <c r="O107">
        <f>$C$14*ReDiarioFert!M96</f>
        <v>174.06804048780486</v>
      </c>
      <c r="S107">
        <f>((E107/100)*$G$113+(G107/100)*$G$114+(I107/100)*$G$115+(K107/100)*$G$116+(M107/100)*$G$117+(O107)*$G$118+(Q107*$G$119))</f>
        <v>210.97470526969323</v>
      </c>
    </row>
    <row r="108" ht="18" customHeight="1">
      <c r="B108">
        <v>91</v>
      </c>
      <c r="C108">
        <f>$I$13+B108</f>
        <v>39570</v>
      </c>
      <c r="E108">
        <f>IF($C$14*ReDiarioFert!C97&lt;=0,"0",$C$14*ReDiarioFert!C97)</f>
        <v>15.051054874120766</v>
      </c>
      <c r="G108">
        <f>$C$14*ReDiarioFert!E97</f>
        <v>7.094684347115491</v>
      </c>
      <c r="I108">
        <f>$C$14*ReDiarioFert!G97</f>
        <v>20.831649005271206</v>
      </c>
      <c r="K108">
        <f>$C$14*ReDiarioFert!I97</f>
        <v>0.0001925291918776725</v>
      </c>
      <c r="M108">
        <f>$C$14*ReDiarioFert!K97</f>
        <v>0.000669688727797499</v>
      </c>
      <c r="O108">
        <f>$C$14*ReDiarioFert!M97</f>
        <v>174.06804048780486</v>
      </c>
      <c r="S108">
        <f>((E108/100)*$G$113+(G108/100)*$G$114+(I108/100)*$G$115+(K108/100)*$G$116+(M108/100)*$G$117+(O108)*$G$118+(R108*Main!$J$83))</f>
        <v>210.97470526969323</v>
      </c>
    </row>
    <row r="109">
      <c r="C109" t="str">
        <v>Total</v>
      </c>
      <c r="E109">
        <f>SUM(E18:E108)</f>
        <v>1109.4602741521724</v>
      </c>
      <c r="G109">
        <f>SUM(G18:G108)</f>
        <v>374.0672322016645</v>
      </c>
      <c r="I109">
        <f>SUM(I18:I108)</f>
        <v>1118.387834422125</v>
      </c>
      <c r="K109">
        <f>SUM(K18:K108)</f>
        <v>0.010336306353502174</v>
      </c>
      <c r="M109">
        <f>SUM(M18:M108)</f>
        <v>0.03595354961236308</v>
      </c>
      <c r="O109">
        <f>SUM(O18:O108)</f>
        <v>8952.066538048777</v>
      </c>
      <c r="Q109">
        <f>SUM(Q18:Q108)</f>
        <v>260.2599999999999</v>
      </c>
      <c r="S109">
        <f>SUM(S18:S108)</f>
        <v>15961.997085901305</v>
      </c>
    </row>
    <row r="110">
      <c r="D110" t="str">
        <v>OJO cualquier cultivo que no se termine la cosecha en el ultimo dia del calendario solo seguir repitiendo la ultima aplicacion de fertilizante.</v>
      </c>
    </row>
    <row r="111" ht="39.75" customHeight="1">
      <c r="B111" t="str">
        <v>Producto</v>
      </c>
      <c r="F111" t="str">
        <v>Lbs/Ha</v>
      </c>
      <c r="G111" t="str">
        <v>Costo por qq</v>
      </c>
    </row>
    <row r="112" ht="24" customHeight="1">
      <c r="G112" t="str">
        <f>Main!$E$25</f>
        <v>Lempiras</v>
      </c>
    </row>
    <row r="113">
      <c r="B113" t="str">
        <f>Main!D42</f>
        <v>Nitrato de Amonio</v>
      </c>
      <c r="F113">
        <f>E109/C14</f>
        <v>1108.3519222299426</v>
      </c>
      <c r="G113">
        <f>Main!D43</f>
        <v>405</v>
      </c>
    </row>
    <row r="114">
      <c r="B114" t="str">
        <f>Main!D32</f>
        <v>DAP 18-46-0</v>
      </c>
      <c r="F114">
        <f>G109/C14</f>
        <v>373.69353866300156</v>
      </c>
      <c r="G114">
        <f>Main!D33</f>
        <v>560</v>
      </c>
    </row>
    <row r="115">
      <c r="B115" t="str">
        <f>Main!D37</f>
        <v>Kcl Soluble</v>
      </c>
      <c r="F115">
        <f>I109/C14</f>
        <v>1117.2705638582668</v>
      </c>
      <c r="G115">
        <f>Main!D38</f>
        <v>496</v>
      </c>
    </row>
    <row r="116">
      <c r="B116" t="str">
        <f>Main!D47</f>
        <v>Sin Magnecio</v>
      </c>
      <c r="F116">
        <f>K109/C14</f>
        <v>0.010325980373129045</v>
      </c>
      <c r="G116">
        <f>Main!D48</f>
        <v>0</v>
      </c>
    </row>
    <row r="117">
      <c r="B117" t="str">
        <f>Main!D52</f>
        <v>Sin Calcio</v>
      </c>
      <c r="F117">
        <f>M109/C14</f>
        <v>0.0359176319803827</v>
      </c>
      <c r="G117">
        <f>Main!D53</f>
        <v>0</v>
      </c>
    </row>
    <row r="118">
      <c r="B118" t="str">
        <f>Main!D57</f>
        <v>Solubor</v>
      </c>
      <c r="F118">
        <f>O109/C14</f>
        <v>8943.123414634145</v>
      </c>
      <c r="G118">
        <f>Main!D58</f>
        <v>0.04</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Transplante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116:E116"/>
    <mergeCell ref="F13:H13"/>
    <mergeCell ref="F14:H14"/>
    <mergeCell ref="C16:D16"/>
    <mergeCell ref="E16:F16"/>
    <mergeCell ref="G16:H16"/>
    <mergeCell ref="G115:H115"/>
    <mergeCell ref="G116:H116"/>
    <mergeCell ref="G111:H111"/>
    <mergeCell ref="B120:I121"/>
    <mergeCell ref="I119:Q119"/>
    <mergeCell ref="B122:D122"/>
    <mergeCell ref="G114:H114"/>
    <mergeCell ref="G112:H112"/>
    <mergeCell ref="G113:H113"/>
    <mergeCell ref="B115:E115"/>
    <mergeCell ref="B114:E114"/>
    <mergeCell ref="B113:E113"/>
    <mergeCell ref="B118:E118"/>
    <mergeCell ref="G119:H119"/>
    <mergeCell ref="B117:E117"/>
    <mergeCell ref="B119:E119"/>
    <mergeCell ref="G117:H117"/>
    <mergeCell ref="G118:H118"/>
    <mergeCell ref="B111:E111"/>
    <mergeCell ref="F12:H12"/>
    <mergeCell ref="C13:E13"/>
    <mergeCell ref="S16:S17"/>
    <mergeCell ref="Q16:R16"/>
    <mergeCell ref="K16:L16"/>
    <mergeCell ref="O16:P16"/>
    <mergeCell ref="M16:N16"/>
    <mergeCell ref="B123:S123"/>
    <mergeCell ref="A13:B13"/>
    <mergeCell ref="A14:B14"/>
    <mergeCell ref="I13:M13"/>
    <mergeCell ref="I14:M14"/>
    <mergeCell ref="I16:J16"/>
    <mergeCell ref="I118:Q118"/>
    <mergeCell ref="C14:E14"/>
    <mergeCell ref="A16:A17"/>
    <mergeCell ref="B16:B17"/>
  </mergeCells>
  <pageMargins left="0" right="0" top="0.2" bottom="0.56" header="0" footer="0.25"/>
  <ignoredErrors>
    <ignoredError numberStoredAsText="1" sqref="A1:Z124"/>
  </ignoredErrors>
  <legacyDrawing r:id="rId1"/>
</worksheet>
</file>

<file path=xl/worksheets/sheet3.xml><?xml version="1.0" encoding="utf-8"?>
<worksheet xmlns="http://schemas.openxmlformats.org/spreadsheetml/2006/main" xmlns:r="http://schemas.openxmlformats.org/officeDocument/2006/relationships">
  <dimension ref="A1:Z124"/>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Repollo</v>
      </c>
    </row>
    <row r="6" ht="26.25" customHeight="1"/>
    <row r="7" ht="26.25" customHeight="1"/>
    <row r="8" ht="8.4" customHeight="1"/>
    <row r="9" ht="26.25" customHeight="1">
      <c r="A9" t="str">
        <f>Main!$C$13</f>
        <v>"Sin Fertilización Base"</v>
      </c>
      <c r="P9" t="str">
        <f>Main!$G$21</f>
        <v>Izalco</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39479</v>
      </c>
    </row>
    <row r="14" ht="20.1" customHeight="1">
      <c r="A14" t="str">
        <v>Área Ha.</v>
      </c>
      <c r="C14">
        <f>Main!I22</f>
        <v>1.001</v>
      </c>
      <c r="F14" t="str">
        <v>Fecha de Cosecha:</v>
      </c>
      <c r="I14">
        <f>I13+Main!E24</f>
        <v>39569</v>
      </c>
    </row>
    <row r="15" ht="19.5" customHeight="1"/>
    <row r="16" ht="28.5" customHeight="1">
      <c r="A16" t="str">
        <v>Semana</v>
      </c>
      <c r="B16" t="str">
        <v>DDT</v>
      </c>
      <c r="C16" t="str">
        <v>FECHA</v>
      </c>
      <c r="E16" t="str">
        <f>Main!$D$42</f>
        <v>Nitrato de Amonio</v>
      </c>
      <c r="G16" t="str">
        <f>Main!$D$32</f>
        <v>DAP 18-46-0</v>
      </c>
      <c r="I16" t="str">
        <f>Main!$D$37</f>
        <v>Kcl Soluble</v>
      </c>
      <c r="K16" t="str">
        <f>Main!$D$47</f>
        <v>Sin Magnecio</v>
      </c>
      <c r="M16" t="str">
        <f>Main!$D$52</f>
        <v>Sin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f>Main!E47</f>
        <v>0</v>
      </c>
      <c r="L17" t="str">
        <v>Cambios</v>
      </c>
      <c r="M17">
        <f>Main!E52</f>
        <v>0</v>
      </c>
      <c r="N17" t="str">
        <v>Cambios</v>
      </c>
      <c r="O17" t="str">
        <f>Main!E57</f>
        <v>Gramos</v>
      </c>
      <c r="P17" t="str">
        <v>Cambios</v>
      </c>
      <c r="Q17" t="str">
        <f>Main!$E$61</f>
        <v>Lts</v>
      </c>
      <c r="R17" t="str">
        <v>Cambios</v>
      </c>
    </row>
    <row r="18" ht="18.75" customHeight="1">
      <c r="A18">
        <v>1</v>
      </c>
      <c r="B18">
        <v>1</v>
      </c>
      <c r="C18">
        <f>$I$13+B18</f>
        <v>39480</v>
      </c>
      <c r="E18">
        <f>IF($C$14*ReDiarioFert!C7&lt;=0,"0",$C$14*ReDiarioFert!C7)</f>
        <v>4.291112655119864</v>
      </c>
      <c r="G18">
        <f>$C$14*ReDiarioFert!E7</f>
        <v>1.0642026520673233</v>
      </c>
      <c r="I18">
        <f>$C$14*ReDiarioFert!G7</f>
        <v>3.260605931259842</v>
      </c>
      <c r="K18">
        <f>$C$14*ReDiarioFert!I7</f>
        <v>0.00003013500394607048</v>
      </c>
      <c r="M18">
        <f>$C$14*ReDiarioFert!K7</f>
        <v>0.00010482084435091291</v>
      </c>
      <c r="O18">
        <f>$C$14*ReDiarioFert!M7</f>
        <v>24.866793170731707</v>
      </c>
      <c r="Q18">
        <f>$C$14*Main!$D$63</f>
        <v>20.019999999999996</v>
      </c>
      <c r="S18">
        <f>((E18/100)*$G$113+(G18/100)*$G$114+(I18/100)*$G$115+(K18/100)*$G$116+(M18/100)*$G$117+(O18)*$G$118+(Q18*$G$119))</f>
        <v>96.56181825069052</v>
      </c>
    </row>
    <row r="19" ht="18.75" customHeight="1">
      <c r="B19">
        <v>2</v>
      </c>
      <c r="C19">
        <f>$I$13+B19</f>
        <v>39481</v>
      </c>
      <c r="E19">
        <f>IF($C$14*ReDiarioFert!C8&lt;=0,"0",$C$14*ReDiarioFert!C8)</f>
        <v>4.291112655119864</v>
      </c>
      <c r="G19">
        <f>$C$14*ReDiarioFert!E8</f>
        <v>1.0642026520673233</v>
      </c>
      <c r="I19">
        <f>$C$14*ReDiarioFert!G8</f>
        <v>3.260605931259842</v>
      </c>
      <c r="K19">
        <f>$C$14*ReDiarioFert!I8</f>
        <v>0.00003013500394607048</v>
      </c>
      <c r="M19">
        <f>$C$14*ReDiarioFert!K8</f>
        <v>0.00010482084435091291</v>
      </c>
      <c r="O19">
        <f>$C$14*ReDiarioFert!M8</f>
        <v>24.866793170731707</v>
      </c>
      <c r="S19">
        <f>((E19/100)*$G$113+(G19/100)*$G$114+(I19/100)*$G$115+(K19/100)*$G$116+(M19/100)*$G$117+(O19)*$G$118+(Q19*$G$119))</f>
        <v>40.50581825069054</v>
      </c>
    </row>
    <row r="20" ht="18.75" customHeight="1">
      <c r="B20">
        <v>3</v>
      </c>
      <c r="C20">
        <f>$I$13+B20</f>
        <v>39482</v>
      </c>
      <c r="E20">
        <f>IF($C$14*ReDiarioFert!C9&lt;=0,"0",$C$14*ReDiarioFert!C9)</f>
        <v>4.291112655119864</v>
      </c>
      <c r="G20">
        <f>$C$14*ReDiarioFert!E9</f>
        <v>1.0642026520673233</v>
      </c>
      <c r="I20">
        <f>$C$14*ReDiarioFert!G9</f>
        <v>3.260605931259842</v>
      </c>
      <c r="K20">
        <f>$C$14*ReDiarioFert!I9</f>
        <v>0.00003013500394607048</v>
      </c>
      <c r="M20">
        <f>$C$14*ReDiarioFert!K9</f>
        <v>0.00010482084435091291</v>
      </c>
      <c r="O20">
        <f>$C$14*ReDiarioFert!M9</f>
        <v>24.866793170731707</v>
      </c>
      <c r="S20">
        <f>((E20/100)*$G$113+(G20/100)*$G$114+(I20/100)*$G$115+(K20/100)*$G$116+(M20/100)*$G$117+(O20)*$G$118+(Q20*$G$119))</f>
        <v>40.50581825069054</v>
      </c>
    </row>
    <row r="21" ht="18.75" customHeight="1">
      <c r="B21">
        <v>4</v>
      </c>
      <c r="C21">
        <f>$I$13+B21</f>
        <v>39483</v>
      </c>
      <c r="E21">
        <f>IF($C$14*ReDiarioFert!C10&lt;=0,"0",$C$14*ReDiarioFert!C10)</f>
        <v>4.291112655119864</v>
      </c>
      <c r="G21">
        <f>$C$14*ReDiarioFert!E10</f>
        <v>1.0642026520673233</v>
      </c>
      <c r="I21">
        <f>$C$14*ReDiarioFert!G10</f>
        <v>3.260605931259842</v>
      </c>
      <c r="K21">
        <f>$C$14*ReDiarioFert!I10</f>
        <v>0.00003013500394607048</v>
      </c>
      <c r="M21">
        <f>$C$14*ReDiarioFert!K10</f>
        <v>0.00010482084435091291</v>
      </c>
      <c r="O21">
        <f>$C$14*ReDiarioFert!M10</f>
        <v>24.866793170731707</v>
      </c>
      <c r="S21">
        <f>((E21/100)*$G$113+(G21/100)*$G$114+(I21/100)*$G$115+(K21/100)*$G$116+(M21/100)*$G$117+(O21)*$G$118+(Q21*$G$119))</f>
        <v>40.50581825069054</v>
      </c>
    </row>
    <row r="22" ht="18.75" customHeight="1">
      <c r="B22">
        <v>5</v>
      </c>
      <c r="C22">
        <f>$I$13+B22</f>
        <v>39484</v>
      </c>
      <c r="E22">
        <f>IF($C$14*ReDiarioFert!C11&lt;=0,"0",$C$14*ReDiarioFert!C11)</f>
        <v>4.291112655119864</v>
      </c>
      <c r="G22">
        <f>$C$14*ReDiarioFert!E11</f>
        <v>1.0642026520673233</v>
      </c>
      <c r="I22">
        <f>$C$14*ReDiarioFert!G11</f>
        <v>3.260605931259842</v>
      </c>
      <c r="K22">
        <f>$C$14*ReDiarioFert!I11</f>
        <v>0.00003013500394607048</v>
      </c>
      <c r="M22">
        <f>$C$14*ReDiarioFert!K11</f>
        <v>0.00010482084435091291</v>
      </c>
      <c r="O22">
        <f>$C$14*ReDiarioFert!M11</f>
        <v>24.866793170731707</v>
      </c>
      <c r="S22">
        <f>((E22/100)*$G$113+(G22/100)*$G$114+(I22/100)*$G$115+(K22/100)*$G$116+(M22/100)*$G$117+(O22)*$G$118+(Q22*$G$119))</f>
        <v>40.50581825069054</v>
      </c>
    </row>
    <row r="23" ht="18.75" customHeight="1">
      <c r="B23">
        <v>6</v>
      </c>
      <c r="C23">
        <f>$I$13+B23</f>
        <v>39485</v>
      </c>
      <c r="E23">
        <f>IF($C$14*ReDiarioFert!C12&lt;=0,"0",$C$14*ReDiarioFert!C12)</f>
        <v>4.291112655119864</v>
      </c>
      <c r="G23">
        <f>$C$14*ReDiarioFert!E12</f>
        <v>1.0642026520673233</v>
      </c>
      <c r="I23">
        <f>$C$14*ReDiarioFert!G12</f>
        <v>3.260605931259842</v>
      </c>
      <c r="K23">
        <f>$C$14*ReDiarioFert!I12</f>
        <v>0.00003013500394607048</v>
      </c>
      <c r="M23">
        <f>$C$14*ReDiarioFert!K12</f>
        <v>0.00010482084435091291</v>
      </c>
      <c r="O23">
        <f>$C$14*ReDiarioFert!M12</f>
        <v>24.866793170731707</v>
      </c>
      <c r="S23">
        <f>((E23/100)*$G$113+(G23/100)*$G$114+(I23/100)*$G$115+(K23/100)*$G$116+(M23/100)*$G$117+(O23)*$G$118+(Q23*$G$119))</f>
        <v>40.50581825069054</v>
      </c>
    </row>
    <row r="24" ht="18.75" customHeight="1">
      <c r="B24">
        <v>7</v>
      </c>
      <c r="C24">
        <f>$I$13+B24</f>
        <v>39486</v>
      </c>
      <c r="E24">
        <f>IF($C$14*ReDiarioFert!C13&lt;=0,"0",$C$14*ReDiarioFert!C13)</f>
        <v>4.291112655119864</v>
      </c>
      <c r="G24">
        <f>$C$14*ReDiarioFert!E13</f>
        <v>1.0642026520673233</v>
      </c>
      <c r="I24">
        <f>$C$14*ReDiarioFert!G13</f>
        <v>3.260605931259842</v>
      </c>
      <c r="K24">
        <f>$C$14*ReDiarioFert!I13</f>
        <v>0.00003013500394607048</v>
      </c>
      <c r="M24">
        <f>$C$14*ReDiarioFert!K13</f>
        <v>0.00010482084435091291</v>
      </c>
      <c r="O24">
        <f>$C$14*ReDiarioFert!M13</f>
        <v>24.866793170731707</v>
      </c>
      <c r="S24">
        <f>((E24/100)*$G$113+(G24/100)*$G$114+(I24/100)*$G$115+(K24/100)*$G$116+(M24/100)*$G$117+(O24)*$G$118+(Q24*$G$119))</f>
        <v>40.50581825069054</v>
      </c>
    </row>
    <row r="25">
      <c r="A25">
        <v>2</v>
      </c>
      <c r="B25">
        <v>8</v>
      </c>
      <c r="C25">
        <f>$I$13+B25</f>
        <v>39487</v>
      </c>
      <c r="E25">
        <f>IF($C$14*ReDiarioFert!C14&lt;=0,"0",$C$14*ReDiarioFert!C14)</f>
        <v>4.291112655119864</v>
      </c>
      <c r="G25">
        <f>$C$14*ReDiarioFert!E14</f>
        <v>1.0642026520673233</v>
      </c>
      <c r="I25">
        <f>$C$14*ReDiarioFert!G14</f>
        <v>3.260605931259842</v>
      </c>
      <c r="K25">
        <f>$C$14*ReDiarioFert!I14</f>
        <v>0.00003013500394607048</v>
      </c>
      <c r="M25">
        <f>$C$14*ReDiarioFert!K14</f>
        <v>0.00010482084435091291</v>
      </c>
      <c r="O25">
        <f>$C$14*ReDiarioFert!M14</f>
        <v>24.866793170731707</v>
      </c>
      <c r="Q25">
        <f>$C$14*Main!$D$63</f>
        <v>20.019999999999996</v>
      </c>
      <c r="S25">
        <f>((E25/100)*$G$113+(G25/100)*$G$114+(I25/100)*$G$115+(K25/100)*$G$116+(M25/100)*$G$117+(O25)*$G$118+(Q25*$G$119))</f>
        <v>96.56181825069052</v>
      </c>
    </row>
    <row r="26">
      <c r="B26">
        <v>9</v>
      </c>
      <c r="C26">
        <f>$I$13+B26</f>
        <v>39488</v>
      </c>
      <c r="E26">
        <f>IF($C$14*ReDiarioFert!C15&lt;=0,"0",$C$14*ReDiarioFert!C15)</f>
        <v>4.291112655119864</v>
      </c>
      <c r="G26">
        <f>$C$14*ReDiarioFert!E15</f>
        <v>1.0642026520673233</v>
      </c>
      <c r="I26">
        <f>$C$14*ReDiarioFert!G15</f>
        <v>3.260605931259842</v>
      </c>
      <c r="K26">
        <f>$C$14*ReDiarioFert!I15</f>
        <v>0.00003013500394607048</v>
      </c>
      <c r="M26">
        <f>$C$14*ReDiarioFert!K15</f>
        <v>0.00010482084435091291</v>
      </c>
      <c r="O26">
        <f>$C$14*ReDiarioFert!M15</f>
        <v>24.866793170731707</v>
      </c>
      <c r="S26">
        <f>((E26/100)*$G$113+(G26/100)*$G$114+(I26/100)*$G$115+(K26/100)*$G$116+(M26/100)*$G$117+(O26)*$G$118+(Q26*$G$119))</f>
        <v>40.50581825069054</v>
      </c>
    </row>
    <row r="27">
      <c r="B27">
        <v>10</v>
      </c>
      <c r="C27">
        <f>$I$13+B27</f>
        <v>39489</v>
      </c>
      <c r="E27">
        <f>IF($C$14*ReDiarioFert!C16&lt;=0,"0",$C$14*ReDiarioFert!C16)</f>
        <v>4.291112655119864</v>
      </c>
      <c r="G27">
        <f>$C$14*ReDiarioFert!E16</f>
        <v>1.0642026520673233</v>
      </c>
      <c r="I27">
        <f>$C$14*ReDiarioFert!G16</f>
        <v>3.260605931259842</v>
      </c>
      <c r="K27">
        <f>$C$14*ReDiarioFert!I16</f>
        <v>0.00003013500394607048</v>
      </c>
      <c r="M27">
        <f>$C$14*ReDiarioFert!K16</f>
        <v>0.00010482084435091291</v>
      </c>
      <c r="O27">
        <f>$C$14*ReDiarioFert!M16</f>
        <v>24.866793170731707</v>
      </c>
      <c r="S27">
        <f>((E27/100)*$G$113+(G27/100)*$G$114+(I27/100)*$G$115+(K27/100)*$G$116+(M27/100)*$G$117+(O27)*$G$118+(Q27*$G$119))</f>
        <v>40.50581825069054</v>
      </c>
    </row>
    <row r="28">
      <c r="B28">
        <v>11</v>
      </c>
      <c r="C28">
        <f>$I$13+B28</f>
        <v>39490</v>
      </c>
      <c r="E28">
        <f>IF($C$14*ReDiarioFert!C17&lt;=0,"0",$C$14*ReDiarioFert!C17)</f>
        <v>6.436668982679795</v>
      </c>
      <c r="G28">
        <f>$C$14*ReDiarioFert!E17</f>
        <v>1.5963039781009853</v>
      </c>
      <c r="I28">
        <f>$C$14*ReDiarioFert!G17</f>
        <v>4.890908896889763</v>
      </c>
      <c r="K28">
        <f>$C$14*ReDiarioFert!I17</f>
        <v>0.00004520250591910573</v>
      </c>
      <c r="M28">
        <f>$C$14*ReDiarioFert!K17</f>
        <v>0.0001572312665263694</v>
      </c>
      <c r="O28">
        <f>$C$14*ReDiarioFert!M17</f>
        <v>44.76032536585365</v>
      </c>
      <c r="S28">
        <f>((E28/100)*$G$113+(G28/100)*$G$114+(I28/100)*$G$115+(K28/100)*$G$116+(M28/100)*$G$117+(O28)*$G$118+(Q28*$G$119))</f>
        <v>61.05713280042606</v>
      </c>
    </row>
    <row r="29">
      <c r="B29">
        <v>12</v>
      </c>
      <c r="C29">
        <f>$I$13+B29</f>
        <v>39491</v>
      </c>
      <c r="E29">
        <f>IF($C$14*ReDiarioFert!C18&lt;=0,"0",$C$14*ReDiarioFert!C18)</f>
        <v>6.436668982679795</v>
      </c>
      <c r="G29">
        <f>$C$14*ReDiarioFert!E18</f>
        <v>1.5963039781009853</v>
      </c>
      <c r="I29">
        <f>$C$14*ReDiarioFert!G18</f>
        <v>4.890908896889763</v>
      </c>
      <c r="K29">
        <f>$C$14*ReDiarioFert!I18</f>
        <v>0.00004520250591910573</v>
      </c>
      <c r="M29">
        <f>$C$14*ReDiarioFert!K18</f>
        <v>0.0001572312665263694</v>
      </c>
      <c r="O29">
        <f>$C$14*ReDiarioFert!M18</f>
        <v>44.76032536585365</v>
      </c>
      <c r="S29">
        <f>((E29/100)*$G$113+(G29/100)*$G$114+(I29/100)*$G$115+(K29/100)*$G$116+(M29/100)*$G$117+(O29)*$G$118+(Q29*$G$119))</f>
        <v>61.05713280042606</v>
      </c>
    </row>
    <row r="30">
      <c r="B30">
        <v>13</v>
      </c>
      <c r="C30">
        <f>$I$13+B30</f>
        <v>39492</v>
      </c>
      <c r="E30">
        <f>IF($C$14*ReDiarioFert!C19&lt;=0,"0",$C$14*ReDiarioFert!C19)</f>
        <v>6.436668982679795</v>
      </c>
      <c r="G30">
        <f>$C$14*ReDiarioFert!E19</f>
        <v>1.5963039781009853</v>
      </c>
      <c r="I30">
        <f>$C$14*ReDiarioFert!G19</f>
        <v>4.890908896889763</v>
      </c>
      <c r="K30">
        <f>$C$14*ReDiarioFert!I19</f>
        <v>0.00004520250591910573</v>
      </c>
      <c r="M30">
        <f>$C$14*ReDiarioFert!K19</f>
        <v>0.0001572312665263694</v>
      </c>
      <c r="O30">
        <f>$C$14*ReDiarioFert!M19</f>
        <v>44.76032536585365</v>
      </c>
      <c r="S30">
        <f>((E30/100)*$G$113+(G30/100)*$G$114+(I30/100)*$G$115+(K30/100)*$G$116+(M30/100)*$G$117+(O30)*$G$118+(Q30*$G$119))</f>
        <v>61.05713280042606</v>
      </c>
    </row>
    <row r="31">
      <c r="B31">
        <v>14</v>
      </c>
      <c r="C31">
        <f>$I$13+B31</f>
        <v>39493</v>
      </c>
      <c r="E31">
        <f>IF($C$14*ReDiarioFert!C20&lt;=0,"0",$C$14*ReDiarioFert!C20)</f>
        <v>6.436668982679795</v>
      </c>
      <c r="G31">
        <f>$C$14*ReDiarioFert!E20</f>
        <v>1.5963039781009853</v>
      </c>
      <c r="I31">
        <f>$C$14*ReDiarioFert!G20</f>
        <v>4.890908896889763</v>
      </c>
      <c r="K31">
        <f>$C$14*ReDiarioFert!I20</f>
        <v>0.00004520250591910573</v>
      </c>
      <c r="M31">
        <f>$C$14*ReDiarioFert!K20</f>
        <v>0.0001572312665263694</v>
      </c>
      <c r="O31">
        <f>$C$14*ReDiarioFert!M20</f>
        <v>44.76032536585365</v>
      </c>
      <c r="S31">
        <f>((E31/100)*$G$113+(G31/100)*$G$114+(I31/100)*$G$115+(K31/100)*$G$116+(M31/100)*$G$117+(O31)*$G$118+(Q31*$G$119))</f>
        <v>61.05713280042606</v>
      </c>
    </row>
    <row r="32">
      <c r="A32">
        <v>3</v>
      </c>
      <c r="B32">
        <v>15</v>
      </c>
      <c r="C32">
        <f>$I$13+B32</f>
        <v>39494</v>
      </c>
      <c r="E32">
        <f>IF($C$14*ReDiarioFert!C21&lt;=0,"0",$C$14*ReDiarioFert!C21)</f>
        <v>5.915641514608175</v>
      </c>
      <c r="G32">
        <f>$C$14*ReDiarioFert!E21</f>
        <v>1.5963039781009853</v>
      </c>
      <c r="I32">
        <f>$C$14*ReDiarioFert!G21</f>
        <v>4.890908896889763</v>
      </c>
      <c r="K32">
        <f>$C$14*ReDiarioFert!I21</f>
        <v>0.00004520250591910573</v>
      </c>
      <c r="M32">
        <f>$C$14*ReDiarioFert!K21</f>
        <v>0.0001572312665263694</v>
      </c>
      <c r="O32">
        <f>$C$14*ReDiarioFert!M21</f>
        <v>44.76032536585365</v>
      </c>
      <c r="Q32">
        <f>$C$14*Main!$D$63</f>
        <v>20.019999999999996</v>
      </c>
      <c r="S32">
        <f>((E32/100)*$G$113+(G32/100)*$G$114+(I32/100)*$G$115+(K32/100)*$G$116+(M32/100)*$G$117+(O32)*$G$118+(Q32*$G$119))</f>
        <v>115.00297155473598</v>
      </c>
    </row>
    <row r="33">
      <c r="B33">
        <v>16</v>
      </c>
      <c r="C33">
        <f>$I$13+B33</f>
        <v>39495</v>
      </c>
      <c r="E33">
        <f>IF($C$14*ReDiarioFert!C22&lt;=0,"0",$C$14*ReDiarioFert!C22)</f>
        <v>5.915641514608175</v>
      </c>
      <c r="G33">
        <f>$C$14*ReDiarioFert!E22</f>
        <v>1.5963039781009853</v>
      </c>
      <c r="I33">
        <f>$C$14*ReDiarioFert!G22</f>
        <v>4.890908896889763</v>
      </c>
      <c r="K33">
        <f>$C$14*ReDiarioFert!I22</f>
        <v>0.00004520250591910573</v>
      </c>
      <c r="M33">
        <f>$C$14*ReDiarioFert!K22</f>
        <v>0.0001572312665263694</v>
      </c>
      <c r="O33">
        <f>$C$14*ReDiarioFert!M22</f>
        <v>44.76032536585365</v>
      </c>
      <c r="S33">
        <f>((E33/100)*$G$113+(G33/100)*$G$114+(I33/100)*$G$115+(K33/100)*$G$116+(M33/100)*$G$117+(O33)*$G$118+(Q33*$G$119))</f>
        <v>58.946971554735995</v>
      </c>
    </row>
    <row r="34">
      <c r="B34">
        <v>17</v>
      </c>
      <c r="C34">
        <f>$I$13+B34</f>
        <v>39496</v>
      </c>
      <c r="E34">
        <f>IF($C$14*ReDiarioFert!C23&lt;=0,"0",$C$14*ReDiarioFert!C23)</f>
        <v>5.915641514608175</v>
      </c>
      <c r="G34">
        <f>$C$14*ReDiarioFert!E23</f>
        <v>1.5963039781009853</v>
      </c>
      <c r="I34">
        <f>$C$14*ReDiarioFert!G23</f>
        <v>4.890908896889763</v>
      </c>
      <c r="K34">
        <f>$C$14*ReDiarioFert!I23</f>
        <v>0.00004520250591910573</v>
      </c>
      <c r="M34">
        <f>$C$14*ReDiarioFert!K23</f>
        <v>0.0001572312665263694</v>
      </c>
      <c r="O34">
        <f>$C$14*ReDiarioFert!M23</f>
        <v>44.76032536585365</v>
      </c>
      <c r="S34">
        <f>((E34/100)*$G$113+(G34/100)*$G$114+(I34/100)*$G$115+(K34/100)*$G$116+(M34/100)*$G$117+(O34)*$G$118+(Q34*$G$119))</f>
        <v>58.946971554735995</v>
      </c>
    </row>
    <row r="35">
      <c r="B35">
        <v>18</v>
      </c>
      <c r="C35">
        <f>$I$13+B35</f>
        <v>39497</v>
      </c>
      <c r="E35">
        <f>IF($C$14*ReDiarioFert!C24&lt;=0,"0",$C$14*ReDiarioFert!C24)</f>
        <v>7.887522019477566</v>
      </c>
      <c r="G35">
        <f>$C$14*ReDiarioFert!E24</f>
        <v>2.1284053041346467</v>
      </c>
      <c r="I35">
        <f>$C$14*ReDiarioFert!G24</f>
        <v>6.521211862519684</v>
      </c>
      <c r="K35">
        <f>$C$14*ReDiarioFert!I24</f>
        <v>0.00006027000789214096</v>
      </c>
      <c r="M35">
        <f>$C$14*ReDiarioFert!K24</f>
        <v>0.00020964168870182581</v>
      </c>
      <c r="O35">
        <f>$C$14*ReDiarioFert!M24</f>
        <v>59.680108292682924</v>
      </c>
      <c r="S35">
        <f>((E35/100)*$G$113+(G35/100)*$G$114+(I35/100)*$G$115+(K35/100)*$G$116+(M35/100)*$G$117+(O35)*$G$118+(Q35*$G$119))</f>
        <v>78.59594905184312</v>
      </c>
    </row>
    <row r="36">
      <c r="B36">
        <v>19</v>
      </c>
      <c r="C36">
        <f>$I$13+B36</f>
        <v>39498</v>
      </c>
      <c r="E36">
        <f>IF($C$14*ReDiarioFert!C25&lt;=0,"0",$C$14*ReDiarioFert!C25)</f>
        <v>7.887522019477566</v>
      </c>
      <c r="G36">
        <f>$C$14*ReDiarioFert!E25</f>
        <v>2.1284053041346467</v>
      </c>
      <c r="I36">
        <f>$C$14*ReDiarioFert!G25</f>
        <v>6.521211862519684</v>
      </c>
      <c r="K36">
        <f>$C$14*ReDiarioFert!I25</f>
        <v>0.00006027000789214096</v>
      </c>
      <c r="M36">
        <f>$C$14*ReDiarioFert!K25</f>
        <v>0.00020964168870182581</v>
      </c>
      <c r="O36">
        <f>$C$14*ReDiarioFert!M25</f>
        <v>59.680108292682924</v>
      </c>
      <c r="S36">
        <f>((E36/100)*$G$113+(G36/100)*$G$114+(I36/100)*$G$115+(K36/100)*$G$116+(M36/100)*$G$117+(O36)*$G$118+(Q36*$G$119))</f>
        <v>78.59594905184312</v>
      </c>
    </row>
    <row r="37">
      <c r="B37">
        <v>20</v>
      </c>
      <c r="C37">
        <f>$I$13+B37</f>
        <v>39499</v>
      </c>
      <c r="E37">
        <f>IF($C$14*ReDiarioFert!C26&lt;=0,"0",$C$14*ReDiarioFert!C26)</f>
        <v>7.887522019477566</v>
      </c>
      <c r="G37">
        <f>$C$14*ReDiarioFert!E26</f>
        <v>2.1284053041346467</v>
      </c>
      <c r="I37">
        <f>$C$14*ReDiarioFert!G26</f>
        <v>6.521211862519684</v>
      </c>
      <c r="K37">
        <f>$C$14*ReDiarioFert!I26</f>
        <v>0.00006027000789214096</v>
      </c>
      <c r="M37">
        <f>$C$14*ReDiarioFert!K26</f>
        <v>0.00020964168870182581</v>
      </c>
      <c r="O37">
        <f>$C$14*ReDiarioFert!M26</f>
        <v>59.680108292682924</v>
      </c>
      <c r="S37">
        <f>((E37/100)*$G$113+(G37/100)*$G$114+(I37/100)*$G$115+(K37/100)*$G$116+(M37/100)*$G$117+(O37)*$G$118+(Q37*$G$119))</f>
        <v>78.59594905184312</v>
      </c>
    </row>
    <row r="38">
      <c r="B38">
        <v>21</v>
      </c>
      <c r="C38">
        <f>$I$13+B38</f>
        <v>39500</v>
      </c>
      <c r="E38">
        <f>IF($C$14*ReDiarioFert!C27&lt;=0,"0",$C$14*ReDiarioFert!C27)</f>
        <v>7.887522019477566</v>
      </c>
      <c r="G38">
        <f>$C$14*ReDiarioFert!E27</f>
        <v>2.1284053041346467</v>
      </c>
      <c r="I38">
        <f>$C$14*ReDiarioFert!G27</f>
        <v>6.521211862519684</v>
      </c>
      <c r="K38">
        <f>$C$14*ReDiarioFert!I27</f>
        <v>0.00006027000789214096</v>
      </c>
      <c r="M38">
        <f>$C$14*ReDiarioFert!K27</f>
        <v>0.00020964168870182581</v>
      </c>
      <c r="O38">
        <f>$C$14*ReDiarioFert!M27</f>
        <v>59.680108292682924</v>
      </c>
      <c r="S38">
        <f>((E38/100)*$G$113+(G38/100)*$G$114+(I38/100)*$G$115+(K38/100)*$G$116+(M38/100)*$G$117+(O38)*$G$118+(Q38*$G$119))</f>
        <v>78.59594905184312</v>
      </c>
    </row>
    <row r="39">
      <c r="A39">
        <v>4</v>
      </c>
      <c r="B39">
        <v>22</v>
      </c>
      <c r="C39">
        <f>$I$13+B39</f>
        <v>39501</v>
      </c>
      <c r="E39">
        <f>IF($C$14*ReDiarioFert!C28&lt;=0,"0",$C$14*ReDiarioFert!C28)</f>
        <v>7.887522019477566</v>
      </c>
      <c r="G39">
        <f>$C$14*ReDiarioFert!E28</f>
        <v>2.1284053041346467</v>
      </c>
      <c r="I39">
        <f>$C$14*ReDiarioFert!G28</f>
        <v>6.521211862519684</v>
      </c>
      <c r="K39">
        <f>$C$14*ReDiarioFert!I28</f>
        <v>0.00006027000789214096</v>
      </c>
      <c r="M39">
        <f>$C$14*ReDiarioFert!K28</f>
        <v>0.00020964168870182581</v>
      </c>
      <c r="O39">
        <f>$C$14*ReDiarioFert!M28</f>
        <v>59.680108292682924</v>
      </c>
      <c r="Q39">
        <f>$C$14*Main!$D$63</f>
        <v>20.019999999999996</v>
      </c>
      <c r="S39">
        <f>((E39/100)*$G$113+(G39/100)*$G$114+(I39/100)*$G$115+(K39/100)*$G$116+(M39/100)*$G$117+(O39)*$G$118+(Q39*$G$119))</f>
        <v>134.6519490518431</v>
      </c>
    </row>
    <row r="40">
      <c r="B40">
        <v>23</v>
      </c>
      <c r="C40">
        <f>$I$13+B40</f>
        <v>39502</v>
      </c>
      <c r="E40">
        <f>IF($C$14*ReDiarioFert!C29&lt;=0,"0",$C$14*ReDiarioFert!C29)</f>
        <v>7.887522019477566</v>
      </c>
      <c r="G40">
        <f>$C$14*ReDiarioFert!E29</f>
        <v>2.1284053041346467</v>
      </c>
      <c r="I40">
        <f>$C$14*ReDiarioFert!G29</f>
        <v>6.521211862519684</v>
      </c>
      <c r="K40">
        <f>$C$14*ReDiarioFert!I29</f>
        <v>0.00006027000789214096</v>
      </c>
      <c r="M40">
        <f>$C$14*ReDiarioFert!K29</f>
        <v>0.00020964168870182581</v>
      </c>
      <c r="O40">
        <f>$C$14*ReDiarioFert!M29</f>
        <v>59.680108292682924</v>
      </c>
      <c r="S40">
        <f>((E40/100)*$G$113+(G40/100)*$G$114+(I40/100)*$G$115+(K40/100)*$G$116+(M40/100)*$G$117+(O40)*$G$118+(Q40*$G$119))</f>
        <v>78.59594905184312</v>
      </c>
    </row>
    <row r="41">
      <c r="B41">
        <v>24</v>
      </c>
      <c r="C41">
        <f>$I$13+B41</f>
        <v>39503</v>
      </c>
      <c r="E41">
        <f>IF($C$14*ReDiarioFert!C30&lt;=0,"0",$C$14*ReDiarioFert!C30)</f>
        <v>7.887522019477566</v>
      </c>
      <c r="G41">
        <f>$C$14*ReDiarioFert!E30</f>
        <v>2.1284053041346467</v>
      </c>
      <c r="I41">
        <f>$C$14*ReDiarioFert!G30</f>
        <v>6.521211862519684</v>
      </c>
      <c r="K41">
        <f>$C$14*ReDiarioFert!I30</f>
        <v>0.00006027000789214096</v>
      </c>
      <c r="M41">
        <f>$C$14*ReDiarioFert!K30</f>
        <v>0.00020964168870182581</v>
      </c>
      <c r="O41">
        <f>$C$14*ReDiarioFert!M30</f>
        <v>59.680108292682924</v>
      </c>
      <c r="S41">
        <f>((E41/100)*$G$113+(G41/100)*$G$114+(I41/100)*$G$115+(K41/100)*$G$116+(M41/100)*$G$117+(O41)*$G$118+(Q41*$G$119))</f>
        <v>78.59594905184312</v>
      </c>
    </row>
    <row r="42">
      <c r="B42">
        <v>25</v>
      </c>
      <c r="C42">
        <f>$I$13+B42</f>
        <v>39504</v>
      </c>
      <c r="E42">
        <f>IF($C$14*ReDiarioFert!C31&lt;=0,"0",$C$14*ReDiarioFert!C31)</f>
        <v>7.887522019477566</v>
      </c>
      <c r="G42">
        <f>$C$14*ReDiarioFert!E31</f>
        <v>2.1284053041346467</v>
      </c>
      <c r="I42">
        <f>$C$14*ReDiarioFert!G31</f>
        <v>6.521211862519684</v>
      </c>
      <c r="K42">
        <f>$C$14*ReDiarioFert!I31</f>
        <v>0.00006027000789214096</v>
      </c>
      <c r="M42">
        <f>$C$14*ReDiarioFert!K31</f>
        <v>0.00020964168870182581</v>
      </c>
      <c r="O42">
        <f>$C$14*ReDiarioFert!M31</f>
        <v>59.680108292682924</v>
      </c>
      <c r="S42">
        <f>((E42/100)*$G$113+(G42/100)*$G$114+(I42/100)*$G$115+(K42/100)*$G$116+(M42/100)*$G$117+(O42)*$G$118+(Q42*$G$119))</f>
        <v>78.59594905184312</v>
      </c>
    </row>
    <row r="43">
      <c r="B43">
        <v>26</v>
      </c>
      <c r="C43">
        <f>$I$13+B43</f>
        <v>39505</v>
      </c>
      <c r="E43">
        <f>IF($C$14*ReDiarioFert!C32&lt;=0,"0",$C$14*ReDiarioFert!C32)</f>
        <v>7.887522019477566</v>
      </c>
      <c r="G43">
        <f>$C$14*ReDiarioFert!E32</f>
        <v>2.1284053041346467</v>
      </c>
      <c r="I43">
        <f>$C$14*ReDiarioFert!G32</f>
        <v>6.521211862519684</v>
      </c>
      <c r="K43">
        <f>$C$14*ReDiarioFert!I32</f>
        <v>0.00006027000789214096</v>
      </c>
      <c r="M43">
        <f>$C$14*ReDiarioFert!K32</f>
        <v>0.00020964168870182581</v>
      </c>
      <c r="O43">
        <f>$C$14*ReDiarioFert!M32</f>
        <v>59.680108292682924</v>
      </c>
      <c r="S43">
        <f>((E43/100)*$G$113+(G43/100)*$G$114+(I43/100)*$G$115+(K43/100)*$G$116+(M43/100)*$G$117+(O43)*$G$118+(Q43*$G$119))</f>
        <v>78.59594905184312</v>
      </c>
    </row>
    <row r="44">
      <c r="B44">
        <v>27</v>
      </c>
      <c r="C44">
        <f>$I$13+B44</f>
        <v>39506</v>
      </c>
      <c r="E44">
        <f>IF($C$14*ReDiarioFert!C33&lt;=0,"0",$C$14*ReDiarioFert!C33)</f>
        <v>7.887522019477566</v>
      </c>
      <c r="G44">
        <f>$C$14*ReDiarioFert!E33</f>
        <v>2.1284053041346467</v>
      </c>
      <c r="I44">
        <f>$C$14*ReDiarioFert!G33</f>
        <v>6.521211862519684</v>
      </c>
      <c r="K44">
        <f>$C$14*ReDiarioFert!I33</f>
        <v>0.00006027000789214096</v>
      </c>
      <c r="M44">
        <f>$C$14*ReDiarioFert!K33</f>
        <v>0.00020964168870182581</v>
      </c>
      <c r="O44">
        <f>$C$14*ReDiarioFert!M33</f>
        <v>59.680108292682924</v>
      </c>
      <c r="S44">
        <f>((E44/100)*$G$113+(G44/100)*$G$114+(I44/100)*$G$115+(K44/100)*$G$116+(M44/100)*$G$117+(O44)*$G$118+(Q44*$G$119))</f>
        <v>78.59594905184312</v>
      </c>
    </row>
    <row r="45">
      <c r="B45">
        <v>28</v>
      </c>
      <c r="C45">
        <f>$I$13+B45</f>
        <v>39507</v>
      </c>
      <c r="E45">
        <f>IF($C$14*ReDiarioFert!C34&lt;=0,"0",$C$14*ReDiarioFert!C34)</f>
        <v>7.887522019477566</v>
      </c>
      <c r="G45">
        <f>$C$14*ReDiarioFert!E34</f>
        <v>2.1284053041346467</v>
      </c>
      <c r="I45">
        <f>$C$14*ReDiarioFert!G34</f>
        <v>6.521211862519684</v>
      </c>
      <c r="K45">
        <f>$C$14*ReDiarioFert!I34</f>
        <v>0.00006027000789214096</v>
      </c>
      <c r="M45">
        <f>$C$14*ReDiarioFert!K34</f>
        <v>0.00020964168870182581</v>
      </c>
      <c r="O45">
        <f>$C$14*ReDiarioFert!M34</f>
        <v>59.680108292682924</v>
      </c>
      <c r="S45">
        <f>((E45/100)*$G$113+(G45/100)*$G$114+(I45/100)*$G$115+(K45/100)*$G$116+(M45/100)*$G$117+(O45)*$G$118+(Q45*$G$119))</f>
        <v>78.59594905184312</v>
      </c>
    </row>
    <row r="46">
      <c r="A46">
        <v>5</v>
      </c>
      <c r="B46">
        <v>29</v>
      </c>
      <c r="C46">
        <f>$I$13+B46</f>
        <v>39508</v>
      </c>
      <c r="E46">
        <f>IF($C$14*ReDiarioFert!C35&lt;=0,"0",$C$14*ReDiarioFert!C35)</f>
        <v>7.887522019477566</v>
      </c>
      <c r="G46">
        <f>$C$14*ReDiarioFert!E35</f>
        <v>2.1284053041346467</v>
      </c>
      <c r="I46">
        <f>$C$14*ReDiarioFert!G35</f>
        <v>6.521211862519684</v>
      </c>
      <c r="K46">
        <f>$C$14*ReDiarioFert!I35</f>
        <v>0.00006027000789214096</v>
      </c>
      <c r="M46">
        <f>$C$14*ReDiarioFert!K35</f>
        <v>0.00020964168870182581</v>
      </c>
      <c r="O46">
        <f>$C$14*ReDiarioFert!M35</f>
        <v>59.680108292682924</v>
      </c>
      <c r="Q46">
        <f>$C$14*Main!$D$63</f>
        <v>20.019999999999996</v>
      </c>
      <c r="S46">
        <f>((E46/100)*$G$113+(G46/100)*$G$114+(I46/100)*$G$115+(K46/100)*$G$116+(M46/100)*$G$117+(O46)*$G$118+(Q46*$G$119))</f>
        <v>134.6519490518431</v>
      </c>
    </row>
    <row r="47">
      <c r="B47">
        <v>30</v>
      </c>
      <c r="C47">
        <f>$I$13+B47</f>
        <v>39509</v>
      </c>
      <c r="E47">
        <f>IF($C$14*ReDiarioFert!C36&lt;=0,"0",$C$14*ReDiarioFert!C36)</f>
        <v>7.887522019477566</v>
      </c>
      <c r="G47">
        <f>$C$14*ReDiarioFert!E36</f>
        <v>2.1284053041346467</v>
      </c>
      <c r="I47">
        <f>$C$14*ReDiarioFert!G36</f>
        <v>6.521211862519684</v>
      </c>
      <c r="K47">
        <f>$C$14*ReDiarioFert!I36</f>
        <v>0.00006027000789214096</v>
      </c>
      <c r="M47">
        <f>$C$14*ReDiarioFert!K36</f>
        <v>0.00020964168870182581</v>
      </c>
      <c r="O47">
        <f>$C$14*ReDiarioFert!M36</f>
        <v>59.680108292682924</v>
      </c>
      <c r="S47">
        <f>((E47/100)*$G$113+(G47/100)*$G$114+(I47/100)*$G$115+(K47/100)*$G$116+(M47/100)*$G$117+(O47)*$G$118+(Q47*$G$119))</f>
        <v>78.59594905184312</v>
      </c>
    </row>
    <row r="48">
      <c r="B48">
        <v>31</v>
      </c>
      <c r="C48">
        <f>$I$13+B48</f>
        <v>39510</v>
      </c>
      <c r="E48">
        <f>IF($C$14*ReDiarioFert!C37&lt;=0,"0",$C$14*ReDiarioFert!C37)</f>
        <v>7.887522019477566</v>
      </c>
      <c r="G48">
        <f>$C$14*ReDiarioFert!E37</f>
        <v>2.1284053041346467</v>
      </c>
      <c r="I48">
        <f>$C$14*ReDiarioFert!G37</f>
        <v>6.521211862519684</v>
      </c>
      <c r="K48">
        <f>$C$14*ReDiarioFert!I37</f>
        <v>0.00006027000789214096</v>
      </c>
      <c r="M48">
        <f>$C$14*ReDiarioFert!K37</f>
        <v>0.00020964168870182581</v>
      </c>
      <c r="O48">
        <f>$C$14*ReDiarioFert!M37</f>
        <v>59.680108292682924</v>
      </c>
      <c r="S48">
        <f>((E48/100)*$G$113+(G48/100)*$G$114+(I48/100)*$G$115+(K48/100)*$G$116+(M48/100)*$G$117+(O48)*$G$118+(Q48*$G$119))</f>
        <v>78.59594905184312</v>
      </c>
    </row>
    <row r="49">
      <c r="B49">
        <v>32</v>
      </c>
      <c r="C49">
        <f>$I$13+B49</f>
        <v>39511</v>
      </c>
      <c r="E49">
        <f>IF($C$14*ReDiarioFert!C38&lt;=0,"0",$C$14*ReDiarioFert!C38)</f>
        <v>7.887522019477566</v>
      </c>
      <c r="G49">
        <f>$C$14*ReDiarioFert!E38</f>
        <v>2.1284053041346467</v>
      </c>
      <c r="I49">
        <f>$C$14*ReDiarioFert!G38</f>
        <v>6.521211862519684</v>
      </c>
      <c r="K49">
        <f>$C$14*ReDiarioFert!I38</f>
        <v>0.00006027000789214096</v>
      </c>
      <c r="M49">
        <f>$C$14*ReDiarioFert!K38</f>
        <v>0.00020964168870182581</v>
      </c>
      <c r="O49">
        <f>$C$14*ReDiarioFert!M38</f>
        <v>59.680108292682924</v>
      </c>
      <c r="S49">
        <f>((E49/100)*$G$113+(G49/100)*$G$114+(I49/100)*$G$115+(K49/100)*$G$116+(M49/100)*$G$117+(O49)*$G$118+(Q49*$G$119))</f>
        <v>78.59594905184312</v>
      </c>
    </row>
    <row r="50">
      <c r="B50">
        <v>33</v>
      </c>
      <c r="C50">
        <f>$I$13+B50</f>
        <v>39512</v>
      </c>
      <c r="E50">
        <f>IF($C$14*ReDiarioFert!C39&lt;=0,"0",$C$14*ReDiarioFert!C39)</f>
        <v>11.83128302921635</v>
      </c>
      <c r="G50">
        <f>$C$14*ReDiarioFert!E39</f>
        <v>3.1926079562019707</v>
      </c>
      <c r="I50">
        <f>$C$14*ReDiarioFert!G39</f>
        <v>9.781817793779526</v>
      </c>
      <c r="K50">
        <f>$C$14*ReDiarioFert!I39</f>
        <v>0.00009040501183821145</v>
      </c>
      <c r="M50">
        <f>$C$14*ReDiarioFert!K39</f>
        <v>0.0003144625330527388</v>
      </c>
      <c r="O50">
        <f>$C$14*ReDiarioFert!M39</f>
        <v>84.54738975609757</v>
      </c>
      <c r="S50">
        <f>((E50/100)*$G$113+(G50/100)*$G$114+(I50/100)*$G$115+(K50/100)*$G$116+(M50/100)*$G$117+(O50)*$G$118+(Q50*$G$119))</f>
        <v>117.6950126704476</v>
      </c>
    </row>
    <row r="51">
      <c r="B51">
        <v>34</v>
      </c>
      <c r="C51">
        <f>$I$13+B51</f>
        <v>39513</v>
      </c>
      <c r="E51">
        <f>IF($C$14*ReDiarioFert!C40&lt;=0,"0",$C$14*ReDiarioFert!C40)</f>
        <v>11.83128302921635</v>
      </c>
      <c r="G51">
        <f>$C$14*ReDiarioFert!E40</f>
        <v>3.1926079562019707</v>
      </c>
      <c r="I51">
        <f>$C$14*ReDiarioFert!G40</f>
        <v>9.781817793779526</v>
      </c>
      <c r="K51">
        <f>$C$14*ReDiarioFert!I40</f>
        <v>0.00009040501183821145</v>
      </c>
      <c r="M51">
        <f>$C$14*ReDiarioFert!K40</f>
        <v>0.0003144625330527388</v>
      </c>
      <c r="O51">
        <f>$C$14*ReDiarioFert!M40</f>
        <v>84.54738975609757</v>
      </c>
      <c r="S51">
        <f>((E51/100)*$G$113+(G51/100)*$G$114+(I51/100)*$G$115+(K51/100)*$G$116+(M51/100)*$G$117+(O51)*$G$118+(Q51*$G$119))</f>
        <v>117.6950126704476</v>
      </c>
    </row>
    <row r="52">
      <c r="B52">
        <v>35</v>
      </c>
      <c r="C52">
        <f>$I$13+B52</f>
        <v>39514</v>
      </c>
      <c r="E52">
        <f>IF($C$14*ReDiarioFert!C41&lt;=0,"0",$C$14*ReDiarioFert!C41)</f>
        <v>11.83128302921635</v>
      </c>
      <c r="G52">
        <f>$C$14*ReDiarioFert!E41</f>
        <v>3.1926079562019707</v>
      </c>
      <c r="I52">
        <f>$C$14*ReDiarioFert!G41</f>
        <v>9.781817793779526</v>
      </c>
      <c r="K52">
        <f>$C$14*ReDiarioFert!I41</f>
        <v>0.00009040501183821145</v>
      </c>
      <c r="M52">
        <f>$C$14*ReDiarioFert!K41</f>
        <v>0.0003144625330527388</v>
      </c>
      <c r="O52">
        <f>$C$14*ReDiarioFert!M41</f>
        <v>84.54738975609757</v>
      </c>
      <c r="S52">
        <f>((E52/100)*$G$113+(G52/100)*$G$114+(I52/100)*$G$115+(K52/100)*$G$116+(M52/100)*$G$117+(O52)*$G$118+(Q52*$G$119))</f>
        <v>117.6950126704476</v>
      </c>
    </row>
    <row r="53">
      <c r="A53">
        <v>6</v>
      </c>
      <c r="B53">
        <v>36</v>
      </c>
      <c r="C53">
        <f>$I$13+B53</f>
        <v>39515</v>
      </c>
      <c r="E53">
        <f>IF($C$14*ReDiarioFert!C42&lt;=0,"0",$C$14*ReDiarioFert!C42)</f>
        <v>10.7892280930731</v>
      </c>
      <c r="G53">
        <f>$C$14*ReDiarioFert!E42</f>
        <v>3.1926079562019707</v>
      </c>
      <c r="I53">
        <f>$C$14*ReDiarioFert!G42</f>
        <v>9.781817793779526</v>
      </c>
      <c r="K53">
        <f>$C$14*ReDiarioFert!I42</f>
        <v>0.00009040501183821145</v>
      </c>
      <c r="M53">
        <f>$C$14*ReDiarioFert!K42</f>
        <v>0.0003144625330527388</v>
      </c>
      <c r="O53">
        <f>$C$14*ReDiarioFert!M42</f>
        <v>84.54738975609757</v>
      </c>
      <c r="Q53">
        <f>$C$14*Main!$D$63</f>
        <v>20.019999999999996</v>
      </c>
      <c r="S53">
        <f>((E53/100)*$G$113+(G53/100)*$G$114+(I53/100)*$G$115+(K53/100)*$G$116+(M53/100)*$G$117+(O53)*$G$118+(Q53*$G$119))</f>
        <v>169.53069017906745</v>
      </c>
    </row>
    <row r="54">
      <c r="B54">
        <v>37</v>
      </c>
      <c r="C54">
        <f>$I$13+B54</f>
        <v>39516</v>
      </c>
      <c r="E54">
        <f>IF($C$14*ReDiarioFert!C43&lt;=0,"0",$C$14*ReDiarioFert!C43)</f>
        <v>10.7892280930731</v>
      </c>
      <c r="G54">
        <f>$C$14*ReDiarioFert!E43</f>
        <v>3.1926079562019707</v>
      </c>
      <c r="I54">
        <f>$C$14*ReDiarioFert!G43</f>
        <v>9.781817793779526</v>
      </c>
      <c r="K54">
        <f>$C$14*ReDiarioFert!I43</f>
        <v>0.00009040501183821145</v>
      </c>
      <c r="M54">
        <f>$C$14*ReDiarioFert!K43</f>
        <v>0.0003144625330527388</v>
      </c>
      <c r="O54">
        <f>$C$14*ReDiarioFert!M43</f>
        <v>84.54738975609757</v>
      </c>
      <c r="S54">
        <f>((E54/100)*$G$113+(G54/100)*$G$114+(I54/100)*$G$115+(K54/100)*$G$116+(M54/100)*$G$117+(O54)*$G$118+(Q54*$G$119))</f>
        <v>113.47469017906745</v>
      </c>
    </row>
    <row r="55">
      <c r="B55">
        <v>38</v>
      </c>
      <c r="C55">
        <f>$I$13+B55</f>
        <v>39517</v>
      </c>
      <c r="E55">
        <f>IF($C$14*ReDiarioFert!C44&lt;=0,"0",$C$14*ReDiarioFert!C44)</f>
        <v>10.7892280930731</v>
      </c>
      <c r="G55">
        <f>$C$14*ReDiarioFert!E44</f>
        <v>3.1926079562019707</v>
      </c>
      <c r="I55">
        <f>$C$14*ReDiarioFert!G44</f>
        <v>9.781817793779526</v>
      </c>
      <c r="K55">
        <f>$C$14*ReDiarioFert!I44</f>
        <v>0.00009040501183821145</v>
      </c>
      <c r="M55">
        <f>$C$14*ReDiarioFert!K44</f>
        <v>0.0003144625330527388</v>
      </c>
      <c r="O55">
        <f>$C$14*ReDiarioFert!M44</f>
        <v>84.54738975609757</v>
      </c>
      <c r="S55">
        <f>((E55/100)*$G$113+(G55/100)*$G$114+(I55/100)*$G$115+(K55/100)*$G$116+(M55/100)*$G$117+(O55)*$G$118+(Q55*$G$119))</f>
        <v>113.47469017906745</v>
      </c>
    </row>
    <row r="56">
      <c r="B56">
        <v>39</v>
      </c>
      <c r="C56">
        <f>$I$13+B56</f>
        <v>39518</v>
      </c>
      <c r="E56">
        <f>IF($C$14*ReDiarioFert!C45&lt;=0,"0",$C$14*ReDiarioFert!C45)</f>
        <v>10.7892280930731</v>
      </c>
      <c r="G56">
        <f>$C$14*ReDiarioFert!E45</f>
        <v>3.1926079562019707</v>
      </c>
      <c r="I56">
        <f>$C$14*ReDiarioFert!G45</f>
        <v>9.781817793779526</v>
      </c>
      <c r="K56">
        <f>$C$14*ReDiarioFert!I45</f>
        <v>0.00009040501183821145</v>
      </c>
      <c r="M56">
        <f>$C$14*ReDiarioFert!K45</f>
        <v>0.0003144625330527388</v>
      </c>
      <c r="O56">
        <f>$C$14*ReDiarioFert!M45</f>
        <v>84.54738975609757</v>
      </c>
      <c r="S56">
        <f>((E56/100)*$G$113+(G56/100)*$G$114+(I56/100)*$G$115+(K56/100)*$G$116+(M56/100)*$G$117+(O56)*$G$118+(Q56*$G$119))</f>
        <v>113.47469017906745</v>
      </c>
    </row>
    <row r="57">
      <c r="B57">
        <v>40</v>
      </c>
      <c r="C57">
        <f>$I$13+B57</f>
        <v>39519</v>
      </c>
      <c r="E57">
        <f>IF($C$14*ReDiarioFert!C46&lt;=0,"0",$C$14*ReDiarioFert!C46)</f>
        <v>10.7892280930731</v>
      </c>
      <c r="G57">
        <f>$C$14*ReDiarioFert!E46</f>
        <v>3.1926079562019707</v>
      </c>
      <c r="I57">
        <f>$C$14*ReDiarioFert!G46</f>
        <v>9.781817793779526</v>
      </c>
      <c r="K57">
        <f>$C$14*ReDiarioFert!I46</f>
        <v>0.00009040501183821145</v>
      </c>
      <c r="M57">
        <f>$C$14*ReDiarioFert!K46</f>
        <v>0.0003144625330527388</v>
      </c>
      <c r="O57">
        <f>$C$14*ReDiarioFert!M46</f>
        <v>84.54738975609757</v>
      </c>
      <c r="S57">
        <f>((E57/100)*$G$113+(G57/100)*$G$114+(I57/100)*$G$115+(K57/100)*$G$116+(M57/100)*$G$117+(O57)*$G$118+(Q57*$G$119))</f>
        <v>113.47469017906745</v>
      </c>
    </row>
    <row r="58">
      <c r="B58">
        <v>41</v>
      </c>
      <c r="C58">
        <f>$I$13+B58</f>
        <v>39520</v>
      </c>
      <c r="E58">
        <f>IF($C$14*ReDiarioFert!C47&lt;=0,"0",$C$14*ReDiarioFert!C47)</f>
        <v>10.7892280930731</v>
      </c>
      <c r="G58">
        <f>$C$14*ReDiarioFert!E47</f>
        <v>3.1926079562019707</v>
      </c>
      <c r="I58">
        <f>$C$14*ReDiarioFert!G47</f>
        <v>9.781817793779526</v>
      </c>
      <c r="K58">
        <f>$C$14*ReDiarioFert!I47</f>
        <v>0.00009040501183821145</v>
      </c>
      <c r="M58">
        <f>$C$14*ReDiarioFert!K47</f>
        <v>0.0003144625330527388</v>
      </c>
      <c r="O58">
        <f>$C$14*ReDiarioFert!M47</f>
        <v>84.54738975609757</v>
      </c>
      <c r="S58">
        <f>((E58/100)*$G$113+(G58/100)*$G$114+(I58/100)*$G$115+(K58/100)*$G$116+(M58/100)*$G$117+(O58)*$G$118+(Q58*$G$119))</f>
        <v>113.47469017906745</v>
      </c>
    </row>
    <row r="59">
      <c r="B59">
        <v>42</v>
      </c>
      <c r="C59">
        <f>$I$13+B59</f>
        <v>39521</v>
      </c>
      <c r="E59">
        <f>IF($C$14*ReDiarioFert!C48&lt;=0,"0",$C$14*ReDiarioFert!C48)</f>
        <v>10.7892280930731</v>
      </c>
      <c r="G59">
        <f>$C$14*ReDiarioFert!E48</f>
        <v>3.1926079562019707</v>
      </c>
      <c r="I59">
        <f>$C$14*ReDiarioFert!G48</f>
        <v>9.781817793779526</v>
      </c>
      <c r="K59">
        <f>$C$14*ReDiarioFert!I48</f>
        <v>0.00009040501183821145</v>
      </c>
      <c r="M59">
        <f>$C$14*ReDiarioFert!K48</f>
        <v>0.0003144625330527388</v>
      </c>
      <c r="O59">
        <f>$C$14*ReDiarioFert!M48</f>
        <v>84.54738975609757</v>
      </c>
      <c r="S59">
        <f>((E59/100)*$G$113+(G59/100)*$G$114+(I59/100)*$G$115+(K59/100)*$G$116+(M59/100)*$G$117+(O59)*$G$118+(Q59*$G$119))</f>
        <v>113.47469017906745</v>
      </c>
    </row>
    <row r="60">
      <c r="A60">
        <v>7</v>
      </c>
      <c r="B60">
        <v>43</v>
      </c>
      <c r="C60">
        <f>$I$13+B60</f>
        <v>39522</v>
      </c>
      <c r="E60">
        <f>IF($C$14*ReDiarioFert!C49&lt;=0,"0",$C$14*ReDiarioFert!C49)</f>
        <v>10.7892280930731</v>
      </c>
      <c r="G60">
        <f>$C$14*ReDiarioFert!E49</f>
        <v>3.1926079562019707</v>
      </c>
      <c r="I60">
        <f>$C$14*ReDiarioFert!G49</f>
        <v>9.781817793779526</v>
      </c>
      <c r="K60">
        <f>$C$14*ReDiarioFert!I49</f>
        <v>0.00009040501183821145</v>
      </c>
      <c r="M60">
        <f>$C$14*ReDiarioFert!K49</f>
        <v>0.0003144625330527388</v>
      </c>
      <c r="O60">
        <f>$C$14*ReDiarioFert!M49</f>
        <v>84.54738975609757</v>
      </c>
      <c r="Q60">
        <f>$C$14*Main!$D$63</f>
        <v>20.019999999999996</v>
      </c>
      <c r="S60">
        <f>((E60/100)*$G$113+(G60/100)*$G$114+(I60/100)*$G$115+(K60/100)*$G$116+(M60/100)*$G$117+(O60)*$G$118+(Q60*$G$119))</f>
        <v>169.53069017906745</v>
      </c>
    </row>
    <row r="61">
      <c r="B61">
        <v>44</v>
      </c>
      <c r="C61">
        <f>$I$13+B61</f>
        <v>39523</v>
      </c>
      <c r="E61">
        <f>IF($C$14*ReDiarioFert!C50&lt;=0,"0",$C$14*ReDiarioFert!C50)</f>
        <v>10.7892280930731</v>
      </c>
      <c r="G61">
        <f>$C$14*ReDiarioFert!E50</f>
        <v>3.1926079562019707</v>
      </c>
      <c r="I61">
        <f>$C$14*ReDiarioFert!G50</f>
        <v>9.781817793779526</v>
      </c>
      <c r="K61">
        <f>$C$14*ReDiarioFert!I50</f>
        <v>0.00009040501183821145</v>
      </c>
      <c r="M61">
        <f>$C$14*ReDiarioFert!K50</f>
        <v>0.0003144625330527388</v>
      </c>
      <c r="O61">
        <f>$C$14*ReDiarioFert!M50</f>
        <v>84.54738975609757</v>
      </c>
      <c r="S61">
        <f>((E61/100)*$G$113+(G61/100)*$G$114+(I61/100)*$G$115+(K61/100)*$G$116+(M61/100)*$G$117+(O61)*$G$118+(Q61*$G$119))</f>
        <v>113.47469017906745</v>
      </c>
    </row>
    <row r="62">
      <c r="B62">
        <v>45</v>
      </c>
      <c r="C62">
        <f>$I$13+B62</f>
        <v>39524</v>
      </c>
      <c r="E62">
        <f>IF($C$14*ReDiarioFert!C51&lt;=0,"0",$C$14*ReDiarioFert!C51)</f>
        <v>10.7892280930731</v>
      </c>
      <c r="G62">
        <f>$C$14*ReDiarioFert!E51</f>
        <v>3.1926079562019707</v>
      </c>
      <c r="I62">
        <f>$C$14*ReDiarioFert!G51</f>
        <v>9.781817793779526</v>
      </c>
      <c r="K62">
        <f>$C$14*ReDiarioFert!I51</f>
        <v>0.00009040501183821145</v>
      </c>
      <c r="M62">
        <f>$C$14*ReDiarioFert!K51</f>
        <v>0.0003144625330527388</v>
      </c>
      <c r="O62">
        <f>$C$14*ReDiarioFert!M51</f>
        <v>84.54738975609757</v>
      </c>
      <c r="S62">
        <f>((E62/100)*$G$113+(G62/100)*$G$114+(I62/100)*$G$115+(K62/100)*$G$116+(M62/100)*$G$117+(O62)*$G$118+(Q62*$G$119))</f>
        <v>113.47469017906745</v>
      </c>
    </row>
    <row r="63">
      <c r="B63">
        <v>46</v>
      </c>
      <c r="C63">
        <f>$I$13+B63</f>
        <v>39525</v>
      </c>
      <c r="E63">
        <f>IF($C$14*ReDiarioFert!C52&lt;=0,"0",$C$14*ReDiarioFert!C52)</f>
        <v>10.7892280930731</v>
      </c>
      <c r="G63">
        <f>$C$14*ReDiarioFert!E52</f>
        <v>3.1926079562019707</v>
      </c>
      <c r="I63">
        <f>$C$14*ReDiarioFert!G52</f>
        <v>9.781817793779526</v>
      </c>
      <c r="K63">
        <f>$C$14*ReDiarioFert!I52</f>
        <v>0.00009040501183821145</v>
      </c>
      <c r="M63">
        <f>$C$14*ReDiarioFert!K52</f>
        <v>0.0003144625330527388</v>
      </c>
      <c r="O63">
        <f>$C$14*ReDiarioFert!M52</f>
        <v>84.54738975609757</v>
      </c>
      <c r="S63">
        <f>((E63/100)*$G$113+(G63/100)*$G$114+(I63/100)*$G$115+(K63/100)*$G$116+(M63/100)*$G$117+(O63)*$G$118+(Q63*$G$119))</f>
        <v>113.47469017906745</v>
      </c>
    </row>
    <row r="64">
      <c r="B64">
        <v>47</v>
      </c>
      <c r="C64">
        <f>$I$13+B64</f>
        <v>39526</v>
      </c>
      <c r="E64">
        <f>IF($C$14*ReDiarioFert!C53&lt;=0,"0",$C$14*ReDiarioFert!C53)</f>
        <v>10.7892280930731</v>
      </c>
      <c r="G64">
        <f>$C$14*ReDiarioFert!E53</f>
        <v>3.1926079562019707</v>
      </c>
      <c r="I64">
        <f>$C$14*ReDiarioFert!G53</f>
        <v>9.781817793779526</v>
      </c>
      <c r="K64">
        <f>$C$14*ReDiarioFert!I53</f>
        <v>0.00009040501183821145</v>
      </c>
      <c r="M64">
        <f>$C$14*ReDiarioFert!K53</f>
        <v>0.0003144625330527388</v>
      </c>
      <c r="O64">
        <f>$C$14*ReDiarioFert!M53</f>
        <v>84.54738975609757</v>
      </c>
      <c r="S64">
        <f>((E64/100)*$G$113+(G64/100)*$G$114+(I64/100)*$G$115+(K64/100)*$G$116+(M64/100)*$G$117+(O64)*$G$118+(Q64*$G$119))</f>
        <v>113.47469017906745</v>
      </c>
    </row>
    <row r="65">
      <c r="B65">
        <v>48</v>
      </c>
      <c r="C65">
        <f>$I$13+B65</f>
        <v>39527</v>
      </c>
      <c r="E65">
        <f>IF($C$14*ReDiarioFert!C54&lt;=0,"0",$C$14*ReDiarioFert!C54)</f>
        <v>14.385637457430807</v>
      </c>
      <c r="G65">
        <f>$C$14*ReDiarioFert!E54</f>
        <v>4.256810608269293</v>
      </c>
      <c r="I65">
        <f>$C$14*ReDiarioFert!G54</f>
        <v>13.042423725039368</v>
      </c>
      <c r="K65">
        <f>$C$14*ReDiarioFert!I54</f>
        <v>0.00012054001578428192</v>
      </c>
      <c r="M65">
        <f>$C$14*ReDiarioFert!K54</f>
        <v>0.00041928337740365163</v>
      </c>
      <c r="O65">
        <f>$C$14*ReDiarioFert!M54</f>
        <v>114.387443902439</v>
      </c>
      <c r="S65">
        <f>((E65/100)*$G$113+(G65/100)*$G$114+(I65/100)*$G$115+(K65/100)*$G$116+(M65/100)*$G$117+(O65)*$G$118+(Q65*$G$119))</f>
        <v>151.36589054119563</v>
      </c>
    </row>
    <row r="66">
      <c r="B66">
        <v>49</v>
      </c>
      <c r="C66">
        <f>$I$13+B66</f>
        <v>39528</v>
      </c>
      <c r="E66">
        <f>IF($C$14*ReDiarioFert!C55&lt;=0,"0",$C$14*ReDiarioFert!C55)</f>
        <v>14.385637457430807</v>
      </c>
      <c r="G66">
        <f>$C$14*ReDiarioFert!E55</f>
        <v>4.256810608269293</v>
      </c>
      <c r="I66">
        <f>$C$14*ReDiarioFert!G55</f>
        <v>13.042423725039368</v>
      </c>
      <c r="K66">
        <f>$C$14*ReDiarioFert!I55</f>
        <v>0.00012054001578428192</v>
      </c>
      <c r="M66">
        <f>$C$14*ReDiarioFert!K55</f>
        <v>0.00041928337740365163</v>
      </c>
      <c r="O66">
        <f>$C$14*ReDiarioFert!M55</f>
        <v>114.387443902439</v>
      </c>
      <c r="S66">
        <f>((E66/100)*$G$113+(G66/100)*$G$114+(I66/100)*$G$115+(K66/100)*$G$116+(M66/100)*$G$117+(O66)*$G$118+(Q66*$G$119))</f>
        <v>151.36589054119563</v>
      </c>
    </row>
    <row r="67">
      <c r="A67">
        <v>8</v>
      </c>
      <c r="B67">
        <v>50</v>
      </c>
      <c r="C67">
        <f>$I$13+B67</f>
        <v>39529</v>
      </c>
      <c r="E67">
        <f>IF($C$14*ReDiarioFert!C56&lt;=0,"0",$C$14*ReDiarioFert!C56)</f>
        <v>14.385637457430807</v>
      </c>
      <c r="G67">
        <f>$C$14*ReDiarioFert!E56</f>
        <v>4.256810608269293</v>
      </c>
      <c r="I67">
        <f>$C$14*ReDiarioFert!G56</f>
        <v>13.042423725039368</v>
      </c>
      <c r="K67">
        <f>$C$14*ReDiarioFert!I56</f>
        <v>0.00012054001578428192</v>
      </c>
      <c r="M67">
        <f>$C$14*ReDiarioFert!K56</f>
        <v>0.00041928337740365163</v>
      </c>
      <c r="O67">
        <f>$C$14*ReDiarioFert!M56</f>
        <v>114.387443902439</v>
      </c>
      <c r="Q67">
        <f>$C$14*Main!$D$63</f>
        <v>20.019999999999996</v>
      </c>
      <c r="S67">
        <f>((E67/100)*$G$113+(G67/100)*$G$114+(I67/100)*$G$115+(K67/100)*$G$116+(M67/100)*$G$117+(O67)*$G$118+(Q67*$G$119))</f>
        <v>207.4218905411956</v>
      </c>
    </row>
    <row r="68">
      <c r="B68">
        <v>51</v>
      </c>
      <c r="C68">
        <f>$I$13+B68</f>
        <v>39530</v>
      </c>
      <c r="E68">
        <f>IF($C$14*ReDiarioFert!C57&lt;=0,"0",$C$14*ReDiarioFert!C57)</f>
        <v>14.385637457430807</v>
      </c>
      <c r="G68">
        <f>$C$14*ReDiarioFert!E57</f>
        <v>4.256810608269293</v>
      </c>
      <c r="I68">
        <f>$C$14*ReDiarioFert!G57</f>
        <v>13.042423725039368</v>
      </c>
      <c r="K68">
        <f>$C$14*ReDiarioFert!I57</f>
        <v>0.00012054001578428192</v>
      </c>
      <c r="M68">
        <f>$C$14*ReDiarioFert!K57</f>
        <v>0.00041928337740365163</v>
      </c>
      <c r="O68">
        <f>$C$14*ReDiarioFert!M57</f>
        <v>114.387443902439</v>
      </c>
      <c r="S68">
        <f>((E68/100)*$G$113+(G68/100)*$G$114+(I68/100)*$G$115+(K68/100)*$G$116+(M68/100)*$G$117+(O68)*$G$118+(Q68*$G$119))</f>
        <v>151.36589054119563</v>
      </c>
    </row>
    <row r="69">
      <c r="B69">
        <v>52</v>
      </c>
      <c r="C69">
        <f>$I$13+B69</f>
        <v>39531</v>
      </c>
      <c r="E69">
        <f>IF($C$14*ReDiarioFert!C58&lt;=0,"0",$C$14*ReDiarioFert!C58)</f>
        <v>14.385637457430807</v>
      </c>
      <c r="G69">
        <f>$C$14*ReDiarioFert!E58</f>
        <v>4.256810608269293</v>
      </c>
      <c r="I69">
        <f>$C$14*ReDiarioFert!G58</f>
        <v>13.042423725039368</v>
      </c>
      <c r="K69">
        <f>$C$14*ReDiarioFert!I58</f>
        <v>0.00012054001578428192</v>
      </c>
      <c r="M69">
        <f>$C$14*ReDiarioFert!K58</f>
        <v>0.00041928337740365163</v>
      </c>
      <c r="O69">
        <f>$C$14*ReDiarioFert!M58</f>
        <v>114.387443902439</v>
      </c>
      <c r="S69">
        <f>((E69/100)*$G$113+(G69/100)*$G$114+(I69/100)*$G$115+(K69/100)*$G$116+(M69/100)*$G$117+(O69)*$G$118+(Q69*$G$119))</f>
        <v>151.36589054119563</v>
      </c>
    </row>
    <row r="70">
      <c r="B70">
        <v>53</v>
      </c>
      <c r="C70">
        <f>$I$13+B70</f>
        <v>39532</v>
      </c>
      <c r="E70">
        <f>IF($C$14*ReDiarioFert!C59&lt;=0,"0",$C$14*ReDiarioFert!C59)</f>
        <v>14.385637457430807</v>
      </c>
      <c r="G70">
        <f>$C$14*ReDiarioFert!E59</f>
        <v>4.256810608269293</v>
      </c>
      <c r="I70">
        <f>$C$14*ReDiarioFert!G59</f>
        <v>13.042423725039368</v>
      </c>
      <c r="K70">
        <f>$C$14*ReDiarioFert!I59</f>
        <v>0.00012054001578428192</v>
      </c>
      <c r="M70">
        <f>$C$14*ReDiarioFert!K59</f>
        <v>0.00041928337740365163</v>
      </c>
      <c r="O70">
        <f>$C$14*ReDiarioFert!M59</f>
        <v>114.387443902439</v>
      </c>
      <c r="S70">
        <f>((E70/100)*$G$113+(G70/100)*$G$114+(I70/100)*$G$115+(K70/100)*$G$116+(M70/100)*$G$117+(O70)*$G$118+(Q70*$G$119))</f>
        <v>151.36589054119563</v>
      </c>
    </row>
    <row r="71">
      <c r="B71">
        <v>54</v>
      </c>
      <c r="C71">
        <f>$I$13+B71</f>
        <v>39533</v>
      </c>
      <c r="E71">
        <f>IF($C$14*ReDiarioFert!C60&lt;=0,"0",$C$14*ReDiarioFert!C60)</f>
        <v>14.385637457430807</v>
      </c>
      <c r="G71">
        <f>$C$14*ReDiarioFert!E60</f>
        <v>4.256810608269293</v>
      </c>
      <c r="I71">
        <f>$C$14*ReDiarioFert!G60</f>
        <v>13.042423725039368</v>
      </c>
      <c r="K71">
        <f>$C$14*ReDiarioFert!I60</f>
        <v>0.00012054001578428192</v>
      </c>
      <c r="M71">
        <f>$C$14*ReDiarioFert!K60</f>
        <v>0.00041928337740365163</v>
      </c>
      <c r="O71">
        <f>$C$14*ReDiarioFert!M60</f>
        <v>114.387443902439</v>
      </c>
      <c r="S71">
        <f>((E71/100)*$G$113+(G71/100)*$G$114+(I71/100)*$G$115+(K71/100)*$G$116+(M71/100)*$G$117+(O71)*$G$118+(Q71*$G$119))</f>
        <v>151.36589054119563</v>
      </c>
    </row>
    <row r="72">
      <c r="B72">
        <v>55</v>
      </c>
      <c r="C72">
        <f>$I$13+B72</f>
        <v>39534</v>
      </c>
      <c r="E72">
        <f>IF($C$14*ReDiarioFert!C61&lt;=0,"0",$C$14*ReDiarioFert!C61)</f>
        <v>14.385637457430807</v>
      </c>
      <c r="G72">
        <f>$C$14*ReDiarioFert!E61</f>
        <v>4.256810608269293</v>
      </c>
      <c r="I72">
        <f>$C$14*ReDiarioFert!G61</f>
        <v>13.042423725039368</v>
      </c>
      <c r="K72">
        <f>$C$14*ReDiarioFert!I61</f>
        <v>0.00012054001578428192</v>
      </c>
      <c r="M72">
        <f>$C$14*ReDiarioFert!K61</f>
        <v>0.00041928337740365163</v>
      </c>
      <c r="O72">
        <f>$C$14*ReDiarioFert!M61</f>
        <v>114.387443902439</v>
      </c>
      <c r="S72">
        <f>((E72/100)*$G$113+(G72/100)*$G$114+(I72/100)*$G$115+(K72/100)*$G$116+(M72/100)*$G$117+(O72)*$G$118+(Q72*$G$119))</f>
        <v>151.36589054119563</v>
      </c>
    </row>
    <row r="73">
      <c r="B73">
        <v>56</v>
      </c>
      <c r="C73">
        <f>$I$13+B73</f>
        <v>39535</v>
      </c>
      <c r="E73">
        <f>IF($C$14*ReDiarioFert!C62&lt;=0,"0",$C$14*ReDiarioFert!C62)</f>
        <v>14.385637457430807</v>
      </c>
      <c r="G73">
        <f>$C$14*ReDiarioFert!E62</f>
        <v>4.256810608269293</v>
      </c>
      <c r="I73">
        <f>$C$14*ReDiarioFert!G62</f>
        <v>13.042423725039368</v>
      </c>
      <c r="K73">
        <f>$C$14*ReDiarioFert!I62</f>
        <v>0.00012054001578428192</v>
      </c>
      <c r="M73">
        <f>$C$14*ReDiarioFert!K62</f>
        <v>0.00041928337740365163</v>
      </c>
      <c r="O73">
        <f>$C$14*ReDiarioFert!M62</f>
        <v>114.387443902439</v>
      </c>
      <c r="S73">
        <f>((E73/100)*$G$113+(G73/100)*$G$114+(I73/100)*$G$115+(K73/100)*$G$116+(M73/100)*$G$117+(O73)*$G$118+(Q73*$G$119))</f>
        <v>151.36589054119563</v>
      </c>
    </row>
    <row r="74">
      <c r="A74">
        <v>9</v>
      </c>
      <c r="B74">
        <v>57</v>
      </c>
      <c r="C74">
        <f>$I$13+B74</f>
        <v>39536</v>
      </c>
      <c r="E74">
        <f>IF($C$14*ReDiarioFert!C63&lt;=0,"0",$C$14*ReDiarioFert!C63)</f>
        <v>13.690934166668642</v>
      </c>
      <c r="G74">
        <f>$C$14*ReDiarioFert!E63</f>
        <v>4.256810608269293</v>
      </c>
      <c r="I74">
        <f>$C$14*ReDiarioFert!G63</f>
        <v>13.042423725039368</v>
      </c>
      <c r="K74">
        <f>$C$14*ReDiarioFert!I63</f>
        <v>0.00012054001578428192</v>
      </c>
      <c r="M74">
        <f>$C$14*ReDiarioFert!K63</f>
        <v>0.00041928337740365163</v>
      </c>
      <c r="O74">
        <f>$C$14*ReDiarioFert!M63</f>
        <v>114.387443902439</v>
      </c>
      <c r="Q74">
        <f>$C$14*Main!$D$63</f>
        <v>20.019999999999996</v>
      </c>
      <c r="S74">
        <f>((E74/100)*$G$113+(G74/100)*$G$114+(I74/100)*$G$115+(K74/100)*$G$116+(M74/100)*$G$117+(O74)*$G$118+(Q74*$G$119))</f>
        <v>204.6083422136088</v>
      </c>
    </row>
    <row r="75">
      <c r="B75">
        <v>58</v>
      </c>
      <c r="C75">
        <f>$I$13+B75</f>
        <v>39537</v>
      </c>
      <c r="E75">
        <f>IF($C$14*ReDiarioFert!C64&lt;=0,"0",$C$14*ReDiarioFert!C64)</f>
        <v>13.690934166668642</v>
      </c>
      <c r="G75">
        <f>$C$14*ReDiarioFert!E64</f>
        <v>4.256810608269293</v>
      </c>
      <c r="I75">
        <f>$C$14*ReDiarioFert!G64</f>
        <v>13.042423725039368</v>
      </c>
      <c r="K75">
        <f>$C$14*ReDiarioFert!I64</f>
        <v>0.00012054001578428192</v>
      </c>
      <c r="M75">
        <f>$C$14*ReDiarioFert!K64</f>
        <v>0.00041928337740365163</v>
      </c>
      <c r="O75">
        <f>$C$14*ReDiarioFert!M64</f>
        <v>114.387443902439</v>
      </c>
      <c r="S75">
        <f>((E75/100)*$G$113+(G75/100)*$G$114+(I75/100)*$G$115+(K75/100)*$G$116+(M75/100)*$G$117+(O75)*$G$118+(Q75*$G$119))</f>
        <v>148.55234221360882</v>
      </c>
    </row>
    <row r="76">
      <c r="B76">
        <v>59</v>
      </c>
      <c r="C76">
        <f>$I$13+B76</f>
        <v>39538</v>
      </c>
      <c r="E76">
        <f>IF($C$14*ReDiarioFert!C65&lt;=0,"0",$C$14*ReDiarioFert!C65)</f>
        <v>13.690934166668642</v>
      </c>
      <c r="G76">
        <f>$C$14*ReDiarioFert!E65</f>
        <v>4.256810608269293</v>
      </c>
      <c r="I76">
        <f>$C$14*ReDiarioFert!G65</f>
        <v>13.042423725039368</v>
      </c>
      <c r="K76">
        <f>$C$14*ReDiarioFert!I65</f>
        <v>0.00012054001578428192</v>
      </c>
      <c r="M76">
        <f>$C$14*ReDiarioFert!K65</f>
        <v>0.00041928337740365163</v>
      </c>
      <c r="O76">
        <f>$C$14*ReDiarioFert!M65</f>
        <v>114.387443902439</v>
      </c>
      <c r="S76">
        <f>((E76/100)*$G$113+(G76/100)*$G$114+(I76/100)*$G$115+(K76/100)*$G$116+(M76/100)*$G$117+(O76)*$G$118+(Q76*$G$119))</f>
        <v>148.55234221360882</v>
      </c>
    </row>
    <row r="77">
      <c r="B77">
        <v>60</v>
      </c>
      <c r="C77">
        <f>$I$13+B77</f>
        <v>39539</v>
      </c>
      <c r="E77">
        <f>IF($C$14*ReDiarioFert!C66&lt;=0,"0",$C$14*ReDiarioFert!C66)</f>
        <v>13.690934166668642</v>
      </c>
      <c r="G77">
        <f>$C$14*ReDiarioFert!E66</f>
        <v>4.256810608269293</v>
      </c>
      <c r="I77">
        <f>$C$14*ReDiarioFert!G66</f>
        <v>13.042423725039368</v>
      </c>
      <c r="K77">
        <f>$C$14*ReDiarioFert!I66</f>
        <v>0.00012054001578428192</v>
      </c>
      <c r="M77">
        <f>$C$14*ReDiarioFert!K66</f>
        <v>0.00041928337740365163</v>
      </c>
      <c r="O77">
        <f>$C$14*ReDiarioFert!M66</f>
        <v>114.387443902439</v>
      </c>
      <c r="S77">
        <f>((E77/100)*$G$113+(G77/100)*$G$114+(I77/100)*$G$115+(K77/100)*$G$116+(M77/100)*$G$117+(O77)*$G$118+(Q77*$G$119))</f>
        <v>148.55234221360882</v>
      </c>
    </row>
    <row r="78">
      <c r="B78">
        <v>61</v>
      </c>
      <c r="C78">
        <f>$I$13+B78</f>
        <v>39540</v>
      </c>
      <c r="E78">
        <f>IF($C$14*ReDiarioFert!C67&lt;=0,"0",$C$14*ReDiarioFert!C67)</f>
        <v>17.366902461806532</v>
      </c>
      <c r="G78">
        <f>$C$14*ReDiarioFert!E67</f>
        <v>5.675747477692393</v>
      </c>
      <c r="I78">
        <f>$C$14*ReDiarioFert!G67</f>
        <v>16.665319204216967</v>
      </c>
      <c r="K78">
        <f>$C$14*ReDiarioFert!I67</f>
        <v>0.00015402335350213797</v>
      </c>
      <c r="M78">
        <f>$C$14*ReDiarioFert!K67</f>
        <v>0.0005357509822379993</v>
      </c>
      <c r="O78">
        <f>$C$14*ReDiarioFert!M67</f>
        <v>114.387443902439</v>
      </c>
      <c r="S78">
        <f>((E78/100)*$G$113+(G78/100)*$G$114+(I78/100)*$G$115+(K78/100)*$G$116+(M78/100)*$G$117+(O78)*$G$118+(Q78*$G$119))</f>
        <v>189.35562185440756</v>
      </c>
    </row>
    <row r="79">
      <c r="B79">
        <v>62</v>
      </c>
      <c r="C79">
        <f>$I$13+B79</f>
        <v>39541</v>
      </c>
      <c r="E79">
        <f>IF($C$14*ReDiarioFert!C68&lt;=0,"0",$C$14*ReDiarioFert!C68)</f>
        <v>17.366902461806532</v>
      </c>
      <c r="G79">
        <f>$C$14*ReDiarioFert!E68</f>
        <v>5.675747477692393</v>
      </c>
      <c r="I79">
        <f>$C$14*ReDiarioFert!G68</f>
        <v>16.665319204216967</v>
      </c>
      <c r="K79">
        <f>$C$14*ReDiarioFert!I68</f>
        <v>0.00015402335350213797</v>
      </c>
      <c r="M79">
        <f>$C$14*ReDiarioFert!K68</f>
        <v>0.0005357509822379993</v>
      </c>
      <c r="O79">
        <f>$C$14*ReDiarioFert!M68</f>
        <v>114.387443902439</v>
      </c>
      <c r="S79">
        <f>((E79/100)*$G$113+(G79/100)*$G$114+(I79/100)*$G$115+(K79/100)*$G$116+(M79/100)*$G$117+(O79)*$G$118+(Q79*$G$119))</f>
        <v>189.35562185440756</v>
      </c>
    </row>
    <row r="80">
      <c r="B80">
        <v>63</v>
      </c>
      <c r="C80">
        <f>$I$13+B80</f>
        <v>39542</v>
      </c>
      <c r="E80">
        <f>IF($C$14*ReDiarioFert!C69&lt;=0,"0",$C$14*ReDiarioFert!C69)</f>
        <v>21.70862807725816</v>
      </c>
      <c r="G80">
        <f>$C$14*ReDiarioFert!E69</f>
        <v>7.094684347115491</v>
      </c>
      <c r="I80">
        <f>$C$14*ReDiarioFert!G69</f>
        <v>20.831649005271206</v>
      </c>
      <c r="K80">
        <f>$C$14*ReDiarioFert!I69</f>
        <v>0.0001925291918776725</v>
      </c>
      <c r="M80">
        <f>$C$14*ReDiarioFert!K69</f>
        <v>0.000669688727797499</v>
      </c>
      <c r="O80">
        <f>$C$14*ReDiarioFert!M69</f>
        <v>144.2279863414634</v>
      </c>
      <c r="S80">
        <f>((E80/100)*$G$113+(G80/100)*$G$114+(I80/100)*$G$115+(K80/100)*$G$116+(M80/100)*$G$117+(O80)*$G$118+(Q80*$G$119))</f>
        <v>236.74427457654602</v>
      </c>
    </row>
    <row r="81">
      <c r="A81">
        <v>10</v>
      </c>
      <c r="B81">
        <v>64</v>
      </c>
      <c r="C81">
        <f>$I$13+B81</f>
        <v>39543</v>
      </c>
      <c r="E81">
        <f>IF($C$14*ReDiarioFert!C70&lt;=0,"0",$C$14*ReDiarioFert!C70)</f>
        <v>21.70862807725816</v>
      </c>
      <c r="G81">
        <f>$C$14*ReDiarioFert!E70</f>
        <v>7.094684347115491</v>
      </c>
      <c r="I81">
        <f>$C$14*ReDiarioFert!G70</f>
        <v>20.831649005271206</v>
      </c>
      <c r="K81">
        <f>$C$14*ReDiarioFert!I70</f>
        <v>0.0001925291918776725</v>
      </c>
      <c r="M81">
        <f>$C$14*ReDiarioFert!K70</f>
        <v>0.000669688727797499</v>
      </c>
      <c r="O81">
        <f>$C$14*ReDiarioFert!M70</f>
        <v>144.2279863414634</v>
      </c>
      <c r="Q81">
        <f>$C$14*Main!$D$63</f>
        <v>20.019999999999996</v>
      </c>
      <c r="S81">
        <f>((E81/100)*$G$113+(G81/100)*$G$114+(I81/100)*$G$115+(K81/100)*$G$116+(M81/100)*$G$117+(O81)*$G$118+(Q81*$G$119))</f>
        <v>292.80027457654603</v>
      </c>
    </row>
    <row r="82">
      <c r="B82">
        <v>65</v>
      </c>
      <c r="C82">
        <f>$I$13+B82</f>
        <v>39544</v>
      </c>
      <c r="E82">
        <f>IF($C$14*ReDiarioFert!C71&lt;=0,"0",$C$14*ReDiarioFert!C71)</f>
        <v>21.70862807725816</v>
      </c>
      <c r="G82">
        <f>$C$14*ReDiarioFert!E71</f>
        <v>7.094684347115491</v>
      </c>
      <c r="I82">
        <f>$C$14*ReDiarioFert!G71</f>
        <v>20.831649005271206</v>
      </c>
      <c r="K82">
        <f>$C$14*ReDiarioFert!I71</f>
        <v>0.0001925291918776725</v>
      </c>
      <c r="M82">
        <f>$C$14*ReDiarioFert!K71</f>
        <v>0.000669688727797499</v>
      </c>
      <c r="O82">
        <f>$C$14*ReDiarioFert!M71</f>
        <v>144.2279863414634</v>
      </c>
      <c r="S82">
        <f>((E82/100)*$G$113+(G82/100)*$G$114+(I82/100)*$G$115+(K82/100)*$G$116+(M82/100)*$G$117+(O82)*$G$118+(Q82*$G$119))</f>
        <v>236.74427457654602</v>
      </c>
    </row>
    <row r="83">
      <c r="B83">
        <v>66</v>
      </c>
      <c r="C83">
        <f>$I$13+B83</f>
        <v>39545</v>
      </c>
      <c r="E83">
        <f>IF($C$14*ReDiarioFert!C72&lt;=0,"0",$C$14*ReDiarioFert!C72)</f>
        <v>21.70862807725816</v>
      </c>
      <c r="G83">
        <f>$C$14*ReDiarioFert!E72</f>
        <v>7.094684347115491</v>
      </c>
      <c r="I83">
        <f>$C$14*ReDiarioFert!G72</f>
        <v>20.831649005271206</v>
      </c>
      <c r="K83">
        <f>$C$14*ReDiarioFert!I72</f>
        <v>0.0001925291918776725</v>
      </c>
      <c r="M83">
        <f>$C$14*ReDiarioFert!K72</f>
        <v>0.000669688727797499</v>
      </c>
      <c r="O83">
        <f>$C$14*ReDiarioFert!M72</f>
        <v>144.2279863414634</v>
      </c>
      <c r="S83">
        <f>((E83/100)*$G$113+(G83/100)*$G$114+(I83/100)*$G$115+(K83/100)*$G$116+(M83/100)*$G$117+(O83)*$G$118+(Q83*$G$119))</f>
        <v>236.74427457654602</v>
      </c>
    </row>
    <row r="84">
      <c r="B84">
        <v>67</v>
      </c>
      <c r="C84">
        <f>$I$13+B84</f>
        <v>39546</v>
      </c>
      <c r="E84">
        <f>IF($C$14*ReDiarioFert!C73&lt;=0,"0",$C$14*ReDiarioFert!C73)</f>
        <v>21.70862807725816</v>
      </c>
      <c r="G84">
        <f>$C$14*ReDiarioFert!E73</f>
        <v>7.094684347115491</v>
      </c>
      <c r="I84">
        <f>$C$14*ReDiarioFert!G73</f>
        <v>20.831649005271206</v>
      </c>
      <c r="K84">
        <f>$C$14*ReDiarioFert!I73</f>
        <v>0.0001925291918776725</v>
      </c>
      <c r="M84">
        <f>$C$14*ReDiarioFert!K73</f>
        <v>0.000669688727797499</v>
      </c>
      <c r="O84">
        <f>$C$14*ReDiarioFert!M73</f>
        <v>144.2279863414634</v>
      </c>
      <c r="S84">
        <f>((E84/100)*$G$113+(G84/100)*$G$114+(I84/100)*$G$115+(K84/100)*$G$116+(M84/100)*$G$117+(O84)*$G$118+(Q84*$G$119))</f>
        <v>236.74427457654602</v>
      </c>
    </row>
    <row r="85">
      <c r="B85">
        <v>68</v>
      </c>
      <c r="C85">
        <f>$I$13+B85</f>
        <v>39547</v>
      </c>
      <c r="E85">
        <f>IF($C$14*ReDiarioFert!C74&lt;=0,"0",$C$14*ReDiarioFert!C74)</f>
        <v>21.70862807725816</v>
      </c>
      <c r="G85">
        <f>$C$14*ReDiarioFert!E74</f>
        <v>7.094684347115491</v>
      </c>
      <c r="I85">
        <f>$C$14*ReDiarioFert!G74</f>
        <v>20.831649005271206</v>
      </c>
      <c r="K85">
        <f>$C$14*ReDiarioFert!I74</f>
        <v>0.0001925291918776725</v>
      </c>
      <c r="M85">
        <f>$C$14*ReDiarioFert!K74</f>
        <v>0.000669688727797499</v>
      </c>
      <c r="O85">
        <f>$C$14*ReDiarioFert!M74</f>
        <v>144.2279863414634</v>
      </c>
      <c r="S85">
        <f>((E85/100)*$G$113+(G85/100)*$G$114+(I85/100)*$G$115+(K85/100)*$G$116+(M85/100)*$G$117+(O85)*$G$118+(Q85*$G$119))</f>
        <v>236.74427457654602</v>
      </c>
    </row>
    <row r="86">
      <c r="B86">
        <v>69</v>
      </c>
      <c r="C86">
        <f>$I$13+B86</f>
        <v>39548</v>
      </c>
      <c r="E86">
        <f>IF($C$14*ReDiarioFert!C75&lt;=0,"0",$C$14*ReDiarioFert!C75)</f>
        <v>21.70862807725816</v>
      </c>
      <c r="G86">
        <f>$C$14*ReDiarioFert!E75</f>
        <v>7.094684347115491</v>
      </c>
      <c r="I86">
        <f>$C$14*ReDiarioFert!G75</f>
        <v>20.831649005271206</v>
      </c>
      <c r="K86">
        <f>$C$14*ReDiarioFert!I75</f>
        <v>0.0001925291918776725</v>
      </c>
      <c r="M86">
        <f>$C$14*ReDiarioFert!K75</f>
        <v>0.000669688727797499</v>
      </c>
      <c r="O86">
        <f>$C$14*ReDiarioFert!M75</f>
        <v>144.2279863414634</v>
      </c>
      <c r="S86">
        <f>((E86/100)*$G$113+(G86/100)*$G$114+(I86/100)*$G$115+(K86/100)*$G$116+(M86/100)*$G$117+(O86)*$G$118+(Q86*$G$119))</f>
        <v>236.74427457654602</v>
      </c>
    </row>
    <row r="87">
      <c r="B87">
        <v>70</v>
      </c>
      <c r="C87">
        <f>$I$13+B87</f>
        <v>39549</v>
      </c>
      <c r="E87">
        <f>IF($C$14*ReDiarioFert!C76&lt;=0,"0",$C$14*ReDiarioFert!C76)</f>
        <v>21.70862807725816</v>
      </c>
      <c r="G87">
        <f>$C$14*ReDiarioFert!E76</f>
        <v>7.094684347115491</v>
      </c>
      <c r="I87">
        <f>$C$14*ReDiarioFert!G76</f>
        <v>20.831649005271206</v>
      </c>
      <c r="K87">
        <f>$C$14*ReDiarioFert!I76</f>
        <v>0.0001925291918776725</v>
      </c>
      <c r="M87">
        <f>$C$14*ReDiarioFert!K76</f>
        <v>0.000669688727797499</v>
      </c>
      <c r="O87">
        <f>$C$14*ReDiarioFert!M76</f>
        <v>144.2279863414634</v>
      </c>
      <c r="S87">
        <f>((E87/100)*$G$113+(G87/100)*$G$114+(I87/100)*$G$115+(K87/100)*$G$116+(M87/100)*$G$117+(O87)*$G$118+(Q87*$G$119))</f>
        <v>236.74427457654602</v>
      </c>
    </row>
    <row r="88">
      <c r="A88">
        <v>11</v>
      </c>
      <c r="B88">
        <v>71</v>
      </c>
      <c r="C88">
        <f>$I$13+B88</f>
        <v>39550</v>
      </c>
      <c r="E88">
        <f>IF($C$14*ReDiarioFert!C77&lt;=0,"0",$C$14*ReDiarioFert!C77)</f>
        <v>18.379841475689464</v>
      </c>
      <c r="G88">
        <f>$C$14*ReDiarioFert!E77</f>
        <v>7.094684347115491</v>
      </c>
      <c r="I88">
        <f>$C$14*ReDiarioFert!G77</f>
        <v>20.831649005271206</v>
      </c>
      <c r="K88">
        <f>$C$14*ReDiarioFert!I77</f>
        <v>0.0001925291918776725</v>
      </c>
      <c r="M88">
        <f>$C$14*ReDiarioFert!K77</f>
        <v>0.000669688727797499</v>
      </c>
      <c r="O88">
        <f>$C$14*ReDiarioFert!M77</f>
        <v>144.2279863414634</v>
      </c>
      <c r="Q88">
        <f>$C$14*Main!$D$63</f>
        <v>20.019999999999996</v>
      </c>
      <c r="S88">
        <f>((E88/100)*$G$113+(G88/100)*$G$114+(I88/100)*$G$115+(K88/100)*$G$116+(M88/100)*$G$117+(O88)*$G$118+(Q88*$G$119))</f>
        <v>279.31868884019275</v>
      </c>
    </row>
    <row r="89">
      <c r="B89">
        <v>72</v>
      </c>
      <c r="C89">
        <f>$I$13+B89</f>
        <v>39551</v>
      </c>
      <c r="E89">
        <f>IF($C$14*ReDiarioFert!C78&lt;=0,"0",$C$14*ReDiarioFert!C78)</f>
        <v>18.379841475689464</v>
      </c>
      <c r="G89">
        <f>$C$14*ReDiarioFert!E78</f>
        <v>7.094684347115491</v>
      </c>
      <c r="I89">
        <f>$C$14*ReDiarioFert!G78</f>
        <v>20.831649005271206</v>
      </c>
      <c r="K89">
        <f>$C$14*ReDiarioFert!I78</f>
        <v>0.0001925291918776725</v>
      </c>
      <c r="M89">
        <f>$C$14*ReDiarioFert!K78</f>
        <v>0.000669688727797499</v>
      </c>
      <c r="O89">
        <f>$C$14*ReDiarioFert!M78</f>
        <v>144.2279863414634</v>
      </c>
      <c r="S89">
        <f>((E89/100)*$G$113+(G89/100)*$G$114+(I89/100)*$G$115+(K89/100)*$G$116+(M89/100)*$G$117+(O89)*$G$118+(Q89*$G$119))</f>
        <v>223.2626888401928</v>
      </c>
    </row>
    <row r="90">
      <c r="B90">
        <v>73</v>
      </c>
      <c r="C90">
        <f>$I$13+B90</f>
        <v>39552</v>
      </c>
      <c r="E90">
        <f>IF($C$14*ReDiarioFert!C79&lt;=0,"0",$C$14*ReDiarioFert!C79)</f>
        <v>18.379841475689464</v>
      </c>
      <c r="G90">
        <f>$C$14*ReDiarioFert!E79</f>
        <v>7.094684347115491</v>
      </c>
      <c r="I90">
        <f>$C$14*ReDiarioFert!G79</f>
        <v>20.831649005271206</v>
      </c>
      <c r="K90">
        <f>$C$14*ReDiarioFert!I79</f>
        <v>0.0001925291918776725</v>
      </c>
      <c r="M90">
        <f>$C$14*ReDiarioFert!K79</f>
        <v>0.000669688727797499</v>
      </c>
      <c r="O90">
        <f>$C$14*ReDiarioFert!M79</f>
        <v>144.2279863414634</v>
      </c>
      <c r="S90">
        <f>((E90/100)*$G$113+(G90/100)*$G$114+(I90/100)*$G$115+(K90/100)*$G$116+(M90/100)*$G$117+(O90)*$G$118+(Q90*$G$119))</f>
        <v>223.2626888401928</v>
      </c>
    </row>
    <row r="91">
      <c r="B91">
        <v>74</v>
      </c>
      <c r="C91">
        <f>$I$13+B91</f>
        <v>39553</v>
      </c>
      <c r="E91">
        <f>IF($C$14*ReDiarioFert!C80&lt;=0,"0",$C$14*ReDiarioFert!C80)</f>
        <v>18.379841475689464</v>
      </c>
      <c r="G91">
        <f>$C$14*ReDiarioFert!E80</f>
        <v>7.094684347115491</v>
      </c>
      <c r="I91">
        <f>$C$14*ReDiarioFert!G80</f>
        <v>20.831649005271206</v>
      </c>
      <c r="K91">
        <f>$C$14*ReDiarioFert!I80</f>
        <v>0.0001925291918776725</v>
      </c>
      <c r="M91">
        <f>$C$14*ReDiarioFert!K80</f>
        <v>0.000669688727797499</v>
      </c>
      <c r="O91">
        <f>$C$14*ReDiarioFert!M80</f>
        <v>144.2279863414634</v>
      </c>
      <c r="S91">
        <f>((E91/100)*$G$113+(G91/100)*$G$114+(I91/100)*$G$115+(K91/100)*$G$116+(M91/100)*$G$117+(O91)*$G$118+(Q91*$G$119))</f>
        <v>223.2626888401928</v>
      </c>
    </row>
    <row r="92">
      <c r="B92">
        <v>75</v>
      </c>
      <c r="C92">
        <f>$I$13+B92</f>
        <v>39554</v>
      </c>
      <c r="E92">
        <f>IF($C$14*ReDiarioFert!C81&lt;=0,"0",$C$14*ReDiarioFert!C81)</f>
        <v>18.379841475689464</v>
      </c>
      <c r="G92">
        <f>$C$14*ReDiarioFert!E81</f>
        <v>7.094684347115491</v>
      </c>
      <c r="I92">
        <f>$C$14*ReDiarioFert!G81</f>
        <v>20.831649005271206</v>
      </c>
      <c r="K92">
        <f>$C$14*ReDiarioFert!I81</f>
        <v>0.0001925291918776725</v>
      </c>
      <c r="M92">
        <f>$C$14*ReDiarioFert!K81</f>
        <v>0.000669688727797499</v>
      </c>
      <c r="O92">
        <f>$C$14*ReDiarioFert!M81</f>
        <v>144.2279863414634</v>
      </c>
      <c r="S92">
        <f>((E92/100)*$G$113+(G92/100)*$G$114+(I92/100)*$G$115+(K92/100)*$G$116+(M92/100)*$G$117+(O92)*$G$118+(Q92*$G$119))</f>
        <v>223.2626888401928</v>
      </c>
    </row>
    <row r="93">
      <c r="B93">
        <v>76</v>
      </c>
      <c r="C93">
        <f>$I$13+B93</f>
        <v>39555</v>
      </c>
      <c r="E93">
        <f>IF($C$14*ReDiarioFert!C82&lt;=0,"0",$C$14*ReDiarioFert!C82)</f>
        <v>18.379841475689464</v>
      </c>
      <c r="G93">
        <f>$C$14*ReDiarioFert!E82</f>
        <v>7.094684347115491</v>
      </c>
      <c r="I93">
        <f>$C$14*ReDiarioFert!G82</f>
        <v>20.831649005271206</v>
      </c>
      <c r="K93">
        <f>$C$14*ReDiarioFert!I82</f>
        <v>0.0001925291918776725</v>
      </c>
      <c r="M93">
        <f>$C$14*ReDiarioFert!K82</f>
        <v>0.000669688727797499</v>
      </c>
      <c r="O93">
        <f>$C$14*ReDiarioFert!M82</f>
        <v>144.2279863414634</v>
      </c>
      <c r="S93">
        <f>((E93/100)*$G$113+(G93/100)*$G$114+(I93/100)*$G$115+(K93/100)*$G$116+(M93/100)*$G$117+(O93)*$G$118+(Q93*$G$119))</f>
        <v>223.2626888401928</v>
      </c>
    </row>
    <row r="94">
      <c r="B94">
        <v>77</v>
      </c>
      <c r="C94">
        <f>$I$13+B94</f>
        <v>39556</v>
      </c>
      <c r="E94">
        <f>IF($C$14*ReDiarioFert!C83&lt;=0,"0",$C$14*ReDiarioFert!C83)</f>
        <v>18.379841475689464</v>
      </c>
      <c r="G94">
        <f>$C$14*ReDiarioFert!E83</f>
        <v>7.094684347115491</v>
      </c>
      <c r="I94">
        <f>$C$14*ReDiarioFert!G83</f>
        <v>20.831649005271206</v>
      </c>
      <c r="K94">
        <f>$C$14*ReDiarioFert!I83</f>
        <v>0.0001925291918776725</v>
      </c>
      <c r="M94">
        <f>$C$14*ReDiarioFert!K83</f>
        <v>0.000669688727797499</v>
      </c>
      <c r="O94">
        <f>$C$14*ReDiarioFert!M83</f>
        <v>144.2279863414634</v>
      </c>
      <c r="S94">
        <f>((E94/100)*$G$113+(G94/100)*$G$114+(I94/100)*$G$115+(K94/100)*$G$116+(M94/100)*$G$117+(O94)*$G$118+(Q94*$G$119))</f>
        <v>223.2626888401928</v>
      </c>
    </row>
    <row r="95">
      <c r="A95">
        <v>12</v>
      </c>
      <c r="B95">
        <v>78</v>
      </c>
      <c r="C95">
        <f>$I$13+B95</f>
        <v>39557</v>
      </c>
      <c r="E95">
        <f>IF($C$14*ReDiarioFert!C84&lt;=0,"0",$C$14*ReDiarioFert!C84)</f>
        <v>16.160650407977</v>
      </c>
      <c r="G95">
        <f>$C$14*ReDiarioFert!E84</f>
        <v>7.094684347115491</v>
      </c>
      <c r="I95">
        <f>$C$14*ReDiarioFert!G84</f>
        <v>20.831649005271206</v>
      </c>
      <c r="K95">
        <f>$C$14*ReDiarioFert!I84</f>
        <v>0.0001925291918776725</v>
      </c>
      <c r="M95">
        <f>$C$14*ReDiarioFert!K84</f>
        <v>0.000669688727797499</v>
      </c>
      <c r="O95">
        <f>$C$14*ReDiarioFert!M84</f>
        <v>144.2279863414634</v>
      </c>
      <c r="Q95">
        <f>$C$14*Main!$D$63</f>
        <v>20.019999999999996</v>
      </c>
      <c r="S95">
        <f>((E95/100)*$G$113+(G95/100)*$G$114+(I95/100)*$G$115+(K95/100)*$G$116+(M95/100)*$G$117+(O95)*$G$118+(Q95*$G$119))</f>
        <v>270.3309650159573</v>
      </c>
    </row>
    <row r="96">
      <c r="B96">
        <v>79</v>
      </c>
      <c r="C96">
        <f>$I$13+B96</f>
        <v>39558</v>
      </c>
      <c r="E96">
        <f>IF($C$14*ReDiarioFert!C85&lt;=0,"0",$C$14*ReDiarioFert!C85)</f>
        <v>16.160650407977</v>
      </c>
      <c r="G96">
        <f>$C$14*ReDiarioFert!E85</f>
        <v>7.094684347115491</v>
      </c>
      <c r="I96">
        <f>$C$14*ReDiarioFert!G85</f>
        <v>20.831649005271206</v>
      </c>
      <c r="K96">
        <f>$C$14*ReDiarioFert!I85</f>
        <v>0.0001925291918776725</v>
      </c>
      <c r="M96">
        <f>$C$14*ReDiarioFert!K85</f>
        <v>0.000669688727797499</v>
      </c>
      <c r="O96">
        <f>$C$14*ReDiarioFert!M85</f>
        <v>144.2279863414634</v>
      </c>
      <c r="S96">
        <f>((E96/100)*$G$113+(G96/100)*$G$114+(I96/100)*$G$115+(K96/100)*$G$116+(M96/100)*$G$117+(O96)*$G$118+(Q96*$G$119))</f>
        <v>214.2749650159573</v>
      </c>
    </row>
    <row r="97">
      <c r="B97">
        <v>80</v>
      </c>
      <c r="C97">
        <f>$I$13+B97</f>
        <v>39559</v>
      </c>
      <c r="E97">
        <f>IF($C$14*ReDiarioFert!C86&lt;=0,"0",$C$14*ReDiarioFert!C86)</f>
        <v>16.160650407977</v>
      </c>
      <c r="G97">
        <f>$C$14*ReDiarioFert!E86</f>
        <v>7.094684347115491</v>
      </c>
      <c r="I97">
        <f>$C$14*ReDiarioFert!G86</f>
        <v>20.831649005271206</v>
      </c>
      <c r="K97">
        <f>$C$14*ReDiarioFert!I86</f>
        <v>0.0001925291918776725</v>
      </c>
      <c r="M97">
        <f>$C$14*ReDiarioFert!K86</f>
        <v>0.000669688727797499</v>
      </c>
      <c r="O97">
        <f>$C$14*ReDiarioFert!M86</f>
        <v>144.2279863414634</v>
      </c>
      <c r="S97">
        <f>((E97/100)*$G$113+(G97/100)*$G$114+(I97/100)*$G$115+(K97/100)*$G$116+(M97/100)*$G$117+(O97)*$G$118+(Q97*$G$119))</f>
        <v>214.2749650159573</v>
      </c>
    </row>
    <row r="98">
      <c r="B98">
        <v>81</v>
      </c>
      <c r="C98">
        <f>$I$13+B98</f>
        <v>39560</v>
      </c>
      <c r="E98">
        <f>IF($C$14*ReDiarioFert!C87&lt;=0,"0",$C$14*ReDiarioFert!C87)</f>
        <v>16.160650407977</v>
      </c>
      <c r="G98">
        <f>$C$14*ReDiarioFert!E87</f>
        <v>7.094684347115491</v>
      </c>
      <c r="I98">
        <f>$C$14*ReDiarioFert!G87</f>
        <v>20.831649005271206</v>
      </c>
      <c r="K98">
        <f>$C$14*ReDiarioFert!I87</f>
        <v>0.0001925291918776725</v>
      </c>
      <c r="M98">
        <f>$C$14*ReDiarioFert!K87</f>
        <v>0.000669688727797499</v>
      </c>
      <c r="O98">
        <f>$C$14*ReDiarioFert!M87</f>
        <v>174.06804048780486</v>
      </c>
      <c r="S98">
        <f>((E98/100)*$G$113+(G98/100)*$G$114+(I98/100)*$G$115+(K98/100)*$G$116+(M98/100)*$G$117+(O98)*$G$118+(Q98*$G$119))</f>
        <v>215.46856718181095</v>
      </c>
    </row>
    <row r="99">
      <c r="B99">
        <v>82</v>
      </c>
      <c r="C99">
        <f>$I$13+B99</f>
        <v>39561</v>
      </c>
      <c r="E99">
        <f>IF($C$14*ReDiarioFert!C88&lt;=0,"0",$C$14*ReDiarioFert!C88)</f>
        <v>16.160650407977</v>
      </c>
      <c r="G99">
        <f>$C$14*ReDiarioFert!E88</f>
        <v>7.094684347115491</v>
      </c>
      <c r="I99">
        <f>$C$14*ReDiarioFert!G88</f>
        <v>20.831649005271206</v>
      </c>
      <c r="K99">
        <f>$C$14*ReDiarioFert!I88</f>
        <v>0.0001925291918776725</v>
      </c>
      <c r="M99">
        <f>$C$14*ReDiarioFert!K88</f>
        <v>0.000669688727797499</v>
      </c>
      <c r="O99">
        <f>$C$14*ReDiarioFert!M88</f>
        <v>174.06804048780486</v>
      </c>
      <c r="S99">
        <f>((E99/100)*$G$113+(G99/100)*$G$114+(I99/100)*$G$115+(K99/100)*$G$116+(M99/100)*$G$117+(O99)*$G$118+(Q99*$G$119))</f>
        <v>215.46856718181095</v>
      </c>
    </row>
    <row r="100">
      <c r="B100">
        <v>83</v>
      </c>
      <c r="C100">
        <f>$I$13+B100</f>
        <v>39562</v>
      </c>
      <c r="E100">
        <f>IF($C$14*ReDiarioFert!C89&lt;=0,"0",$C$14*ReDiarioFert!C89)</f>
        <v>16.160650407977</v>
      </c>
      <c r="G100">
        <f>$C$14*ReDiarioFert!E89</f>
        <v>7.094684347115491</v>
      </c>
      <c r="I100">
        <f>$C$14*ReDiarioFert!G89</f>
        <v>20.831649005271206</v>
      </c>
      <c r="K100">
        <f>$C$14*ReDiarioFert!I89</f>
        <v>0.0001925291918776725</v>
      </c>
      <c r="M100">
        <f>$C$14*ReDiarioFert!K89</f>
        <v>0.000669688727797499</v>
      </c>
      <c r="O100">
        <f>$C$14*ReDiarioFert!M89</f>
        <v>174.06804048780486</v>
      </c>
      <c r="S100">
        <f>((E100/100)*$G$113+(G100/100)*$G$114+(I100/100)*$G$115+(K100/100)*$G$116+(M100/100)*$G$117+(O100)*$G$118+(Q100*$G$119))</f>
        <v>215.46856718181095</v>
      </c>
    </row>
    <row r="101">
      <c r="B101">
        <v>84</v>
      </c>
      <c r="C101">
        <f>$I$13+B101</f>
        <v>39563</v>
      </c>
      <c r="E101">
        <f>IF($C$14*ReDiarioFert!C90&lt;=0,"0",$C$14*ReDiarioFert!C90)</f>
        <v>16.160650407977</v>
      </c>
      <c r="G101">
        <f>$C$14*ReDiarioFert!E90</f>
        <v>7.094684347115491</v>
      </c>
      <c r="I101">
        <f>$C$14*ReDiarioFert!G90</f>
        <v>20.831649005271206</v>
      </c>
      <c r="K101">
        <f>$C$14*ReDiarioFert!I90</f>
        <v>0.0001925291918776725</v>
      </c>
      <c r="M101">
        <f>$C$14*ReDiarioFert!K90</f>
        <v>0.000669688727797499</v>
      </c>
      <c r="O101">
        <f>$C$14*ReDiarioFert!M90</f>
        <v>174.06804048780486</v>
      </c>
      <c r="S101">
        <f>((E101/100)*$G$113+(G101/100)*$G$114+(I101/100)*$G$115+(K101/100)*$G$116+(M101/100)*$G$117+(O101)*$G$118+(Q101*$G$119))</f>
        <v>215.46856718181095</v>
      </c>
    </row>
    <row r="102" ht="18" customHeight="1">
      <c r="A102">
        <v>13</v>
      </c>
      <c r="B102">
        <v>85</v>
      </c>
      <c r="C102">
        <f>$I$13+B102</f>
        <v>39564</v>
      </c>
      <c r="E102">
        <f>IF($C$14*ReDiarioFert!C91&lt;=0,"0",$C$14*ReDiarioFert!C91)</f>
        <v>15.051054874120766</v>
      </c>
      <c r="G102">
        <f>$C$14*ReDiarioFert!E91</f>
        <v>7.094684347115491</v>
      </c>
      <c r="I102">
        <f>$C$14*ReDiarioFert!G91</f>
        <v>20.831649005271206</v>
      </c>
      <c r="K102">
        <f>$C$14*ReDiarioFert!I91</f>
        <v>0.0001925291918776725</v>
      </c>
      <c r="M102">
        <f>$C$14*ReDiarioFert!K91</f>
        <v>0.000669688727797499</v>
      </c>
      <c r="O102">
        <f>$C$14*ReDiarioFert!M91</f>
        <v>174.06804048780486</v>
      </c>
      <c r="Q102">
        <f>$C$14*Main!$D$63</f>
        <v>20.019999999999996</v>
      </c>
      <c r="S102">
        <f>((E102/100)*$G$113+(G102/100)*$G$114+(I102/100)*$G$115+(K102/100)*$G$116+(M102/100)*$G$117+(O102)*$G$118+(Q102*$G$119))</f>
        <v>267.0307052696932</v>
      </c>
    </row>
    <row r="103" ht="18" customHeight="1">
      <c r="B103">
        <v>86</v>
      </c>
      <c r="C103">
        <f>$I$13+B103</f>
        <v>39565</v>
      </c>
      <c r="E103">
        <f>IF($C$14*ReDiarioFert!C92&lt;=0,"0",$C$14*ReDiarioFert!C92)</f>
        <v>15.051054874120766</v>
      </c>
      <c r="G103">
        <f>$C$14*ReDiarioFert!E92</f>
        <v>7.094684347115491</v>
      </c>
      <c r="I103">
        <f>$C$14*ReDiarioFert!G92</f>
        <v>20.831649005271206</v>
      </c>
      <c r="K103">
        <f>$C$14*ReDiarioFert!I92</f>
        <v>0.0001925291918776725</v>
      </c>
      <c r="M103">
        <f>$C$14*ReDiarioFert!K92</f>
        <v>0.000669688727797499</v>
      </c>
      <c r="O103">
        <f>$C$14*ReDiarioFert!M92</f>
        <v>174.06804048780486</v>
      </c>
      <c r="S103">
        <f>((E103/100)*$G$113+(G103/100)*$G$114+(I103/100)*$G$115+(K103/100)*$G$116+(M103/100)*$G$117+(O103)*$G$118+(Q103*$G$119))</f>
        <v>210.97470526969323</v>
      </c>
    </row>
    <row r="104" ht="18" customHeight="1">
      <c r="B104">
        <v>87</v>
      </c>
      <c r="C104">
        <f>$I$13+B104</f>
        <v>39566</v>
      </c>
      <c r="E104">
        <f>IF($C$14*ReDiarioFert!C93&lt;=0,"0",$C$14*ReDiarioFert!C93)</f>
        <v>15.051054874120766</v>
      </c>
      <c r="G104">
        <f>$C$14*ReDiarioFert!E93</f>
        <v>7.094684347115491</v>
      </c>
      <c r="I104">
        <f>$C$14*ReDiarioFert!G93</f>
        <v>20.831649005271206</v>
      </c>
      <c r="K104">
        <f>$C$14*ReDiarioFert!I93</f>
        <v>0.0001925291918776725</v>
      </c>
      <c r="M104">
        <f>$C$14*ReDiarioFert!K93</f>
        <v>0.000669688727797499</v>
      </c>
      <c r="O104">
        <f>$C$14*ReDiarioFert!M93</f>
        <v>174.06804048780486</v>
      </c>
      <c r="S104">
        <f>((E104/100)*$G$113+(G104/100)*$G$114+(I104/100)*$G$115+(K104/100)*$G$116+(M104/100)*$G$117+(O104)*$G$118+(Q104*$G$119))</f>
        <v>210.97470526969323</v>
      </c>
    </row>
    <row r="105" ht="18" customHeight="1">
      <c r="B105">
        <v>88</v>
      </c>
      <c r="C105">
        <f>$I$13+B105</f>
        <v>39567</v>
      </c>
      <c r="E105">
        <f>IF($C$14*ReDiarioFert!C94&lt;=0,"0",$C$14*ReDiarioFert!C94)</f>
        <v>15.051054874120766</v>
      </c>
      <c r="G105">
        <f>$C$14*ReDiarioFert!E94</f>
        <v>7.094684347115491</v>
      </c>
      <c r="I105">
        <f>$C$14*ReDiarioFert!G94</f>
        <v>20.831649005271206</v>
      </c>
      <c r="K105">
        <f>$C$14*ReDiarioFert!I94</f>
        <v>0.0001925291918776725</v>
      </c>
      <c r="M105">
        <f>$C$14*ReDiarioFert!K94</f>
        <v>0.000669688727797499</v>
      </c>
      <c r="O105">
        <f>$C$14*ReDiarioFert!M94</f>
        <v>174.06804048780486</v>
      </c>
      <c r="S105">
        <f>((E105/100)*$G$113+(G105/100)*$G$114+(I105/100)*$G$115+(K105/100)*$G$116+(M105/100)*$G$117+(O105)*$G$118+(Q105*$G$119))</f>
        <v>210.97470526969323</v>
      </c>
    </row>
    <row r="106" ht="18" customHeight="1">
      <c r="B106">
        <v>89</v>
      </c>
      <c r="C106">
        <f>$I$13+B106</f>
        <v>39568</v>
      </c>
      <c r="E106">
        <f>IF($C$14*ReDiarioFert!C95&lt;=0,"0",$C$14*ReDiarioFert!C95)</f>
        <v>15.051054874120766</v>
      </c>
      <c r="G106">
        <f>$C$14*ReDiarioFert!E95</f>
        <v>7.094684347115491</v>
      </c>
      <c r="I106">
        <f>$C$14*ReDiarioFert!G95</f>
        <v>20.831649005271206</v>
      </c>
      <c r="K106">
        <f>$C$14*ReDiarioFert!I95</f>
        <v>0.0001925291918776725</v>
      </c>
      <c r="M106">
        <f>$C$14*ReDiarioFert!K95</f>
        <v>0.000669688727797499</v>
      </c>
      <c r="O106">
        <f>$C$14*ReDiarioFert!M95</f>
        <v>174.06804048780486</v>
      </c>
      <c r="S106">
        <f>((E106/100)*$G$113+(G106/100)*$G$114+(I106/100)*$G$115+(K106/100)*$G$116+(M106/100)*$G$117+(O106)*$G$118+(Q106*$G$119))</f>
        <v>210.97470526969323</v>
      </c>
    </row>
    <row r="107" ht="18" customHeight="1">
      <c r="B107">
        <v>90</v>
      </c>
      <c r="C107">
        <f>$I$13+B107</f>
        <v>39569</v>
      </c>
      <c r="E107">
        <f>IF($C$14*ReDiarioFert!C96&lt;=0,"0",$C$14*ReDiarioFert!C96)</f>
        <v>15.051054874120766</v>
      </c>
      <c r="G107">
        <f>$C$14*ReDiarioFert!E96</f>
        <v>7.094684347115491</v>
      </c>
      <c r="I107">
        <f>$C$14*ReDiarioFert!G96</f>
        <v>20.831649005271206</v>
      </c>
      <c r="K107">
        <f>$C$14*ReDiarioFert!I96</f>
        <v>0.0001925291918776725</v>
      </c>
      <c r="M107">
        <f>$C$14*ReDiarioFert!K96</f>
        <v>0.000669688727797499</v>
      </c>
      <c r="O107">
        <f>$C$14*ReDiarioFert!M96</f>
        <v>174.06804048780486</v>
      </c>
      <c r="S107">
        <f>((E107/100)*$G$113+(G107/100)*$G$114+(I107/100)*$G$115+(K107/100)*$G$116+(M107/100)*$G$117+(O107)*$G$118+(Q107*$G$119))</f>
        <v>210.97470526969323</v>
      </c>
    </row>
    <row r="108" ht="18" customHeight="1">
      <c r="B108">
        <v>91</v>
      </c>
      <c r="C108">
        <f>$I$13+B108</f>
        <v>39570</v>
      </c>
      <c r="E108">
        <f>IF($C$14*ReDiarioFert!C97&lt;=0,"0",$C$14*ReDiarioFert!C97)</f>
        <v>15.051054874120766</v>
      </c>
      <c r="G108">
        <f>$C$14*ReDiarioFert!E97</f>
        <v>7.094684347115491</v>
      </c>
      <c r="I108">
        <f>$C$14*ReDiarioFert!G97</f>
        <v>20.831649005271206</v>
      </c>
      <c r="K108">
        <f>$C$14*ReDiarioFert!I97</f>
        <v>0.0001925291918776725</v>
      </c>
      <c r="M108">
        <f>$C$14*ReDiarioFert!K97</f>
        <v>0.000669688727797499</v>
      </c>
      <c r="O108">
        <f>$C$14*ReDiarioFert!M97</f>
        <v>174.06804048780486</v>
      </c>
      <c r="S108">
        <f>((E108/100)*$G$113+(G108/100)*$G$114+(I108/100)*$G$115+(K108/100)*$G$116+(M108/100)*$G$117+(O108)*$G$118+(Q108*$G$119))</f>
        <v>210.97470526969323</v>
      </c>
    </row>
    <row r="109">
      <c r="C109" t="str">
        <v>Total</v>
      </c>
      <c r="E109">
        <f>SUM(E18:E108)</f>
        <v>1109.4602741521724</v>
      </c>
      <c r="G109">
        <f>SUM(G18:G108)</f>
        <v>374.0672322016645</v>
      </c>
      <c r="I109">
        <f>SUM(I18:I108)</f>
        <v>1118.387834422125</v>
      </c>
      <c r="K109">
        <f>SUM(K18:K108)</f>
        <v>0.010336306353502174</v>
      </c>
      <c r="M109">
        <f>SUM(M18:M108)</f>
        <v>0.03595354961236308</v>
      </c>
      <c r="O109">
        <f>SUM(O18:O108)</f>
        <v>8952.066538048777</v>
      </c>
      <c r="Q109">
        <f>SUM(Q18:Q108)</f>
        <v>260.2599999999999</v>
      </c>
      <c r="S109">
        <f>SUM(S18:S108)</f>
        <v>13222.104930901301</v>
      </c>
    </row>
    <row r="110">
      <c r="D110" t="str">
        <v>OJO cualquier cultivo que no se termine la cosecha en el ultimo dia del calendario solo seguir repitiendo la ultima aplicacion de fertilizante.</v>
      </c>
    </row>
    <row r="111" ht="39.75" customHeight="1">
      <c r="B111" t="str">
        <v>Producto</v>
      </c>
      <c r="F111" t="str">
        <v>Lbs/Ha</v>
      </c>
      <c r="G111" t="str">
        <v>Costo por qq</v>
      </c>
    </row>
    <row r="112" ht="24" customHeight="1">
      <c r="G112" t="str">
        <f>Main!$E$25</f>
        <v>Lempiras</v>
      </c>
    </row>
    <row r="113">
      <c r="B113" t="str">
        <f>Main!D42</f>
        <v>Nitrato de Amonio</v>
      </c>
      <c r="F113">
        <f>E109/C14</f>
        <v>1108.3519222299426</v>
      </c>
      <c r="G113">
        <f>Main!D43</f>
        <v>405</v>
      </c>
    </row>
    <row r="114">
      <c r="B114" t="str">
        <f>Main!D32</f>
        <v>DAP 18-46-0</v>
      </c>
      <c r="F114">
        <f>G109/C14</f>
        <v>373.69353866300156</v>
      </c>
      <c r="G114">
        <f>Main!D33</f>
        <v>560</v>
      </c>
    </row>
    <row r="115">
      <c r="B115" t="str">
        <f>Main!D37</f>
        <v>Kcl Soluble</v>
      </c>
      <c r="F115">
        <f>I109/C14</f>
        <v>1117.2705638582668</v>
      </c>
      <c r="G115">
        <f>Main!D38</f>
        <v>496</v>
      </c>
    </row>
    <row r="116">
      <c r="B116" t="str">
        <f>Main!D47</f>
        <v>Sin Magnecio</v>
      </c>
      <c r="F116">
        <f>K109/C14</f>
        <v>0.010325980373129045</v>
      </c>
      <c r="G116">
        <f>Main!D48</f>
        <v>0</v>
      </c>
    </row>
    <row r="117">
      <c r="B117" t="str">
        <f>Main!D52</f>
        <v>Sin Calcio</v>
      </c>
      <c r="F117">
        <f>M109/C14</f>
        <v>0.0359176319803827</v>
      </c>
      <c r="G117">
        <f>Main!D53</f>
        <v>0</v>
      </c>
    </row>
    <row r="118">
      <c r="B118" t="str">
        <f>Main!D57</f>
        <v>Solubor</v>
      </c>
      <c r="F118">
        <f>O109/C14</f>
        <v>8943.123414634145</v>
      </c>
      <c r="G118">
        <f>Main!D58</f>
        <v>0.04</v>
      </c>
      <c r="I118" t="str">
        <v xml:space="preserve">Preparado y Autorizado Por </v>
      </c>
    </row>
    <row r="119" ht="18" customHeight="1">
      <c r="B119" t="str">
        <f>Main!D61</f>
        <v>Melaza</v>
      </c>
      <c r="F119">
        <f>Q109/C14</f>
        <v>259.9999999999999</v>
      </c>
      <c r="G119">
        <f>Main!D62</f>
        <v>2.8</v>
      </c>
      <c r="I119" t="str">
        <v>MSc Ricardo D. Lardizábal</v>
      </c>
    </row>
    <row r="120">
      <c r="B120" t="str">
        <v>NOTA: El Nitrato de Calcio se debe de diluir en un barril aparte para inyectarse al sistema</v>
      </c>
    </row>
    <row r="122">
      <c r="B122" t="str">
        <v>Abreviaciones usadas</v>
      </c>
    </row>
    <row r="123">
      <c r="B123" t="str">
        <v>Mz-Manzanas, Ha-Hectáreas, Lbs-Libras, Lts-Litros y DDT-Días después de Transplante</v>
      </c>
    </row>
  </sheetData>
  <sheetProtection sheet="1"/>
  <mergeCells count="53">
    <mergeCell ref="A13:B13"/>
    <mergeCell ref="A14:B14"/>
    <mergeCell ref="I13:M13"/>
    <mergeCell ref="I14:M14"/>
    <mergeCell ref="G114:H114"/>
    <mergeCell ref="G112:H112"/>
    <mergeCell ref="G113:H113"/>
    <mergeCell ref="I118:Q118"/>
    <mergeCell ref="A12:B12"/>
    <mergeCell ref="C12:E12"/>
    <mergeCell ref="F12:H12"/>
    <mergeCell ref="C13:E13"/>
    <mergeCell ref="C14:E14"/>
    <mergeCell ref="A16:A17"/>
    <mergeCell ref="B118:E118"/>
    <mergeCell ref="F13:H13"/>
    <mergeCell ref="F14:H14"/>
    <mergeCell ref="B120:I121"/>
    <mergeCell ref="I119:Q119"/>
    <mergeCell ref="B122:D122"/>
    <mergeCell ref="B115:E115"/>
    <mergeCell ref="S16:S17"/>
    <mergeCell ref="Q16:R16"/>
    <mergeCell ref="K16:L16"/>
    <mergeCell ref="O16:P16"/>
    <mergeCell ref="M16:N16"/>
    <mergeCell ref="I16:J16"/>
    <mergeCell ref="G119:H119"/>
    <mergeCell ref="B117:E117"/>
    <mergeCell ref="B119:E119"/>
    <mergeCell ref="G117:H117"/>
    <mergeCell ref="G118:H118"/>
    <mergeCell ref="B116:E116"/>
    <mergeCell ref="C16:D16"/>
    <mergeCell ref="E16:F16"/>
    <mergeCell ref="G16:H16"/>
    <mergeCell ref="G115:H115"/>
    <mergeCell ref="G116:H116"/>
    <mergeCell ref="G111:H111"/>
    <mergeCell ref="B111:E111"/>
    <mergeCell ref="B16:B17"/>
    <mergeCell ref="B113:E113"/>
    <mergeCell ref="B114:E114"/>
    <mergeCell ref="B123:S123"/>
    <mergeCell ref="A9:K9"/>
    <mergeCell ref="P9:S12"/>
    <mergeCell ref="P1:S3"/>
    <mergeCell ref="P5:S7"/>
    <mergeCell ref="I11:M11"/>
    <mergeCell ref="I12:M12"/>
    <mergeCell ref="F11:H11"/>
    <mergeCell ref="C11:E11"/>
    <mergeCell ref="A11:B11"/>
  </mergeCells>
  <pageMargins left="0" right="0" top="0.2" bottom="0.56" header="0" footer="0.25"/>
  <ignoredErrors>
    <ignoredError numberStoredAsText="1" sqref="A1:Z124"/>
  </ignoredErrors>
  <legacyDrawing r:id="rId1"/>
</worksheet>
</file>

<file path=xl/worksheets/sheet4.xml><?xml version="1.0" encoding="utf-8"?>
<worksheet xmlns="http://schemas.openxmlformats.org/spreadsheetml/2006/main" xmlns:r="http://schemas.openxmlformats.org/officeDocument/2006/relationships">
  <dimension ref="A1:V79"/>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Repollo</v>
      </c>
    </row>
    <row r="6" ht="29.25" customHeight="1"/>
    <row r="7" ht="16.95" customHeight="1"/>
    <row r="8" ht="21" customHeight="1">
      <c r="A8" t="str">
        <f>Main!$C$13</f>
        <v>"Sin Fertilización Base"</v>
      </c>
    </row>
    <row r="9" ht="20.1" customHeight="1">
      <c r="A9" t="str">
        <v>Productor</v>
      </c>
      <c r="C9" t="str">
        <f>Main!E17</f>
        <v>Pancho Pérez</v>
      </c>
      <c r="F9" t="str">
        <v>Parcela</v>
      </c>
      <c r="I9" t="str">
        <f>Main!E19</f>
        <v>La Frondosa</v>
      </c>
      <c r="P9" t="str">
        <f>Main!$G$21</f>
        <v>Izalco</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39479</v>
      </c>
    </row>
    <row r="12" ht="20.1" customHeight="1">
      <c r="A12" t="str">
        <v>Área Ha.</v>
      </c>
      <c r="C12">
        <f>Main!I22</f>
        <v>1.001</v>
      </c>
      <c r="F12" t="str">
        <v>Fecha de Cosecha:</v>
      </c>
      <c r="I12">
        <f>I11+Main!E24</f>
        <v>39569</v>
      </c>
    </row>
    <row r="13" ht="19.5" customHeight="1"/>
    <row r="14" ht="27.600000000000005" customHeight="1">
      <c r="A14" t="str">
        <v>Semana</v>
      </c>
      <c r="B14" t="str">
        <v>DDT</v>
      </c>
      <c r="C14" t="str">
        <v>FECHA</v>
      </c>
      <c r="E14" t="str">
        <f>Main!$D$42</f>
        <v>Nitrato de Amonio</v>
      </c>
      <c r="G14" t="str">
        <f>Main!$D$32</f>
        <v>DAP 18-46-0</v>
      </c>
      <c r="I14" t="str">
        <f>Main!$D$37</f>
        <v>Kcl Soluble</v>
      </c>
      <c r="K14" t="str">
        <f>Main!$D$47</f>
        <v>Sin Magnecio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t="str">
        <f>Main!E57</f>
        <v>Gramos</v>
      </c>
      <c r="P15" t="str">
        <v>Cambios</v>
      </c>
      <c r="Q15" t="str">
        <f>Main!$E$61</f>
        <v>Lts</v>
      </c>
      <c r="R15" t="str">
        <v>Cambios</v>
      </c>
    </row>
    <row r="16" ht="18.75" customHeight="1">
      <c r="A16">
        <v>1</v>
      </c>
      <c r="B16">
        <v>1</v>
      </c>
      <c r="C16">
        <f>$I$11+B16</f>
        <v>39480</v>
      </c>
      <c r="E16">
        <f>IF(($C$12*(ReDiarioFert!C7+ReDiarioFert!C8))&lt;=0,"0",($C$12*(ReDiarioFert!C7+ReDiarioFert!C8)))</f>
        <v>8.582225310239728</v>
      </c>
      <c r="G16">
        <f>$C$12*(ReDiarioFert!E7+ReDiarioFert!E8)</f>
        <v>2.1284053041346467</v>
      </c>
      <c r="I16">
        <f>$C$12*(ReDiarioFert!G7+ReDiarioFert!G8)</f>
        <v>6.521211862519684</v>
      </c>
      <c r="K16">
        <f>$C$12*(ReDiarioFert!I7+ReDiarioFert!I8)</f>
        <v>0.00006027000789214096</v>
      </c>
      <c r="M16">
        <f>$C$12*(ReDiarioFert!K7+ReDiarioFert!K8)</f>
        <v>0.00020964168870182581</v>
      </c>
      <c r="O16">
        <f>$C$12*(ReDiarioFert!M7+ReDiarioFert!M8)</f>
        <v>49.733586341463415</v>
      </c>
      <c r="Q16">
        <f>$C$12*Main!$D$63</f>
        <v>20.019999999999996</v>
      </c>
      <c r="S16">
        <f>((E16/100)*$G$59+(G16/100)*$G$60+(I16/100)*$G$61+(K16/100)*$G$62+(M16/100)*$G$63+(O16)*$G$64+(Q16*$G$65))</f>
        <v>137.06763650138106</v>
      </c>
    </row>
    <row r="17" ht="18.75" customHeight="1">
      <c r="B17">
        <v>3</v>
      </c>
      <c r="C17">
        <f>$I$11+B17</f>
        <v>39482</v>
      </c>
      <c r="E17">
        <f>IF(($C$12*(ReDiarioFert!C9+ReDiarioFert!C10))&lt;=0,"0",($C$12*(ReDiarioFert!C9+ReDiarioFert!C10)))</f>
        <v>8.582225310239728</v>
      </c>
      <c r="G17">
        <f>$C$12*(ReDiarioFert!E9+ReDiarioFert!E10)</f>
        <v>2.1284053041346467</v>
      </c>
      <c r="I17">
        <f>$C$12*(ReDiarioFert!G9+ReDiarioFert!G10)</f>
        <v>6.521211862519684</v>
      </c>
      <c r="K17">
        <f>$C$12*(ReDiarioFert!I9+ReDiarioFert!I10)</f>
        <v>0.00006027000789214096</v>
      </c>
      <c r="M17">
        <f>$C$12*(ReDiarioFert!K9+ReDiarioFert!K10)</f>
        <v>0.00020964168870182581</v>
      </c>
      <c r="O17">
        <f>$C$12*(ReDiarioFert!M9+ReDiarioFert!M10)</f>
        <v>49.733586341463415</v>
      </c>
      <c r="S17">
        <f>((E17/100)*$G$59+(G17/100)*$G$60+(I17/100)*$G$61+(K17/100)*$G$62+(M17/100)*$G$63+(O17)*$G$64+(Q17*$G$65))</f>
        <v>81.01163650138108</v>
      </c>
    </row>
    <row r="18" ht="18.75" customHeight="1">
      <c r="B18">
        <v>5</v>
      </c>
      <c r="C18">
        <f>$I$11+B18</f>
        <v>39484</v>
      </c>
      <c r="E18">
        <f>IF(($C$12*(ReDiarioFert!C11+ReDiarioFert!C12+ReDiarioFert!C13))&lt;=0,"0",($C$12*(ReDiarioFert!C11+ReDiarioFert!C12+ReDiarioFert!C13)))</f>
        <v>12.873337965359593</v>
      </c>
      <c r="G18">
        <f>$C$12*(ReDiarioFert!E11+ReDiarioFert!E12+ReDiarioFert!E13)</f>
        <v>3.19260795620197</v>
      </c>
      <c r="I18">
        <f>$C$12*(ReDiarioFert!G11+ReDiarioFert!G12+ReDiarioFert!G13)</f>
        <v>9.781817793779526</v>
      </c>
      <c r="K18">
        <f>$C$12*(ReDiarioFert!I11+ReDiarioFert!I12+ReDiarioFert!I13)</f>
        <v>0.00009040501183821144</v>
      </c>
      <c r="M18">
        <f>$C$12*(ReDiarioFert!K11+ReDiarioFert!K12+ReDiarioFert!K13)</f>
        <v>0.0003144625330527388</v>
      </c>
      <c r="O18">
        <f>$C$12*(ReDiarioFert!M11+ReDiarioFert!M12+ReDiarioFert!M13)</f>
        <v>74.60037951219512</v>
      </c>
      <c r="S18">
        <f>((E18/100)*$G$59+(G18/100)*$G$60+(I18/100)*$G$61+(K18/100)*$G$62+(M18/100)*$G$63+(O18)*$G$64+(Q18*$G$65))</f>
        <v>121.51745475207164</v>
      </c>
    </row>
    <row r="19">
      <c r="A19">
        <v>2</v>
      </c>
      <c r="B19">
        <f>B18+3</f>
        <v>8</v>
      </c>
      <c r="C19">
        <f>$I$11+B19</f>
        <v>39487</v>
      </c>
      <c r="E19">
        <f>IF(($C$12*(ReDiarioFert!C14+ReDiarioFert!C15))&lt;=0,"0",($C$12*(ReDiarioFert!C14+ReDiarioFert!C15)))</f>
        <v>8.582225310239728</v>
      </c>
      <c r="G19">
        <f>$C$12*(ReDiarioFert!E14+ReDiarioFert!E15)</f>
        <v>2.1284053041346467</v>
      </c>
      <c r="I19">
        <f>$C$12*(ReDiarioFert!G14+ReDiarioFert!G15)</f>
        <v>6.521211862519684</v>
      </c>
      <c r="K19">
        <f>$C$12*(ReDiarioFert!I14+ReDiarioFert!I15)</f>
        <v>0.00006027000789214096</v>
      </c>
      <c r="M19">
        <f>$C$12*(ReDiarioFert!K14+ReDiarioFert!K15)</f>
        <v>0.00020964168870182581</v>
      </c>
      <c r="O19">
        <f>$C$12*(ReDiarioFert!M14+ReDiarioFert!M15)</f>
        <v>49.733586341463415</v>
      </c>
      <c r="Q19">
        <f>$C$12*Main!$D$63</f>
        <v>20.019999999999996</v>
      </c>
      <c r="S19">
        <f>((E19/100)*$G$59+(G19/100)*$G$60+(I19/100)*$G$61+(K19/100)*$G$62+(M19/100)*$G$63+(O19)*$G$64+(Q19*$G$65))</f>
        <v>137.06763650138106</v>
      </c>
    </row>
    <row r="20">
      <c r="B20">
        <f>B19+2</f>
        <v>10</v>
      </c>
      <c r="C20">
        <f>$I$11+B20</f>
        <v>39489</v>
      </c>
      <c r="E20">
        <f>IF(($C$12*(ReDiarioFert!C16+ReDiarioFert!C17))&lt;=0,"0",($C$12*(ReDiarioFert!C16+ReDiarioFert!C17)))</f>
        <v>10.727781637799659</v>
      </c>
      <c r="G20">
        <f>$C$12*(ReDiarioFert!E16+ReDiarioFert!E17)</f>
        <v>2.6605066301683085</v>
      </c>
      <c r="I20">
        <f>$C$12*(ReDiarioFert!G16+ReDiarioFert!G17)</f>
        <v>8.151514828149605</v>
      </c>
      <c r="K20">
        <f>$C$12*(ReDiarioFert!I16+ReDiarioFert!I17)</f>
        <v>0.0000753375098651762</v>
      </c>
      <c r="M20">
        <f>$C$12*(ReDiarioFert!K16+ReDiarioFert!K17)</f>
        <v>0.0002620521108772823</v>
      </c>
      <c r="O20">
        <f>$C$12*(ReDiarioFert!M16+ReDiarioFert!M17)</f>
        <v>69.62711853658536</v>
      </c>
      <c r="S20">
        <f>((E20/100)*$G$59+(G20/100)*$G$60+(I20/100)*$G$61+(K20/100)*$G$62+(M20/100)*$G$63+(O20)*$G$64+(Q20*$G$65))</f>
        <v>101.56295105111658</v>
      </c>
    </row>
    <row r="21">
      <c r="B21">
        <f>B20+2</f>
        <v>12</v>
      </c>
      <c r="C21">
        <f>$I$11+B21</f>
        <v>39491</v>
      </c>
      <c r="E21">
        <f>IF(($C$12*(ReDiarioFert!C18+ReDiarioFert!C19+ReDiarioFert!C20))&lt;=0,"0",($C$12*(ReDiarioFert!C18+ReDiarioFert!C19+ReDiarioFert!C20)))</f>
        <v>19.310006948039387</v>
      </c>
      <c r="G21">
        <f>$C$12*(ReDiarioFert!E18+ReDiarioFert!E19+ReDiarioFert!E20)</f>
        <v>4.7889119343029565</v>
      </c>
      <c r="I21">
        <f>$C$12*(ReDiarioFert!G18+ReDiarioFert!G19+ReDiarioFert!G20)</f>
        <v>14.672726690669288</v>
      </c>
      <c r="K21">
        <f>$C$12*(ReDiarioFert!I18+ReDiarioFert!I19+ReDiarioFert!I20)</f>
        <v>0.00013560751775731718</v>
      </c>
      <c r="M21">
        <f>$C$12*(ReDiarioFert!K18+ReDiarioFert!K19+ReDiarioFert!K20)</f>
        <v>0.00047169379957910814</v>
      </c>
      <c r="O21">
        <f>$C$12*(ReDiarioFert!M18+ReDiarioFert!M19+ReDiarioFert!M20)</f>
        <v>134.28097609756097</v>
      </c>
      <c r="S21">
        <f>((E21/100)*$G$59+(G21/100)*$G$60+(I21/100)*$G$61+(K21/100)*$G$62+(M21/100)*$G$63+(O21)*$G$64+(Q21*$G$65))</f>
        <v>183.1713984012782</v>
      </c>
    </row>
    <row r="22">
      <c r="A22">
        <v>3</v>
      </c>
      <c r="B22">
        <f>B21+3</f>
        <v>15</v>
      </c>
      <c r="C22">
        <f>$I$11+B22</f>
        <v>39494</v>
      </c>
      <c r="E22">
        <f>IF(($C$12*(ReDiarioFert!C21+ReDiarioFert!C22))&lt;=0,"0",($C$12*(ReDiarioFert!C21+ReDiarioFert!C22)))</f>
        <v>11.83128302921635</v>
      </c>
      <c r="G22">
        <f>$C$12*(ReDiarioFert!E21+ReDiarioFert!E22)</f>
        <v>3.1926079562019707</v>
      </c>
      <c r="I22">
        <f>$C$12*(ReDiarioFert!G21+ReDiarioFert!G22)</f>
        <v>9.781817793779526</v>
      </c>
      <c r="K22">
        <f>$C$12*(ReDiarioFert!I21+ReDiarioFert!I22)</f>
        <v>0.00009040501183821145</v>
      </c>
      <c r="M22">
        <f>$C$12*(ReDiarioFert!K21+ReDiarioFert!K22)</f>
        <v>0.0003144625330527388</v>
      </c>
      <c r="O22">
        <f>$C$12*(ReDiarioFert!M21+ReDiarioFert!M22)</f>
        <v>89.5206507317073</v>
      </c>
      <c r="Q22">
        <f>$C$12*Main!$D$63</f>
        <v>20.019999999999996</v>
      </c>
      <c r="S22">
        <f>((E22/100)*$G$59+(G22/100)*$G$60+(I22/100)*$G$61+(K22/100)*$G$62+(M22/100)*$G$63+(O22)*$G$64+(Q22*$G$65))</f>
        <v>173.94994310947197</v>
      </c>
    </row>
    <row r="23">
      <c r="B23">
        <f>B22+2</f>
        <v>17</v>
      </c>
      <c r="C23">
        <f>$I$11+B23</f>
        <v>39496</v>
      </c>
      <c r="E23">
        <f>IF(($C$12*(ReDiarioFert!C23+ReDiarioFert!C24))&lt;=0,"0",($C$12*(ReDiarioFert!C23+ReDiarioFert!C24)))</f>
        <v>13.80316353408574</v>
      </c>
      <c r="G23">
        <f>$C$12*(ReDiarioFert!E23+ReDiarioFert!E24)</f>
        <v>3.724709282235632</v>
      </c>
      <c r="I23">
        <f>$C$12*(ReDiarioFert!G23+ReDiarioFert!G24)</f>
        <v>11.412120759409447</v>
      </c>
      <c r="K23">
        <f>$C$12*(ReDiarioFert!I23+ReDiarioFert!I24)</f>
        <v>0.00010547251381124668</v>
      </c>
      <c r="M23">
        <f>$C$12*(ReDiarioFert!K23+ReDiarioFert!K24)</f>
        <v>0.0003668729552281952</v>
      </c>
      <c r="O23">
        <f>$C$12*(ReDiarioFert!M23+ReDiarioFert!M24)</f>
        <v>104.44043365853658</v>
      </c>
      <c r="S23">
        <f>((E23/100)*$G$59+(G23/100)*$G$60+(I23/100)*$G$61+(K23/100)*$G$62+(M23/100)*$G$63+(O23)*$G$64+(Q23*$G$65))</f>
        <v>137.54292060657912</v>
      </c>
    </row>
    <row r="24">
      <c r="B24">
        <f>B23+2</f>
        <v>19</v>
      </c>
      <c r="C24">
        <f>$I$11+B24</f>
        <v>39498</v>
      </c>
      <c r="E24">
        <f>IF(($C$12*(ReDiarioFert!C25+ReDiarioFert!C26+ReDiarioFert!C27))&lt;=0,"0",($C$12*(ReDiarioFert!C25+ReDiarioFert!C26+ReDiarioFert!C27)))</f>
        <v>23.662566058432695</v>
      </c>
      <c r="G24">
        <f>$C$12*(ReDiarioFert!E25+ReDiarioFert!E26+ReDiarioFert!E27)</f>
        <v>6.38521591240394</v>
      </c>
      <c r="I24">
        <f>$C$12*(ReDiarioFert!G25+ReDiarioFert!G26+ReDiarioFert!G27)</f>
        <v>19.56363558755905</v>
      </c>
      <c r="K24">
        <f>$C$12*(ReDiarioFert!I25+ReDiarioFert!I26+ReDiarioFert!I27)</f>
        <v>0.00018081002367642288</v>
      </c>
      <c r="M24">
        <f>$C$12*(ReDiarioFert!K25+ReDiarioFert!K26+ReDiarioFert!K27)</f>
        <v>0.0006289250661054776</v>
      </c>
      <c r="O24">
        <f>$C$12*(ReDiarioFert!M25+ReDiarioFert!M26+ReDiarioFert!M27)</f>
        <v>179.04032487804878</v>
      </c>
      <c r="S24">
        <f>((E24/100)*$G$59+(G24/100)*$G$60+(I24/100)*$G$61+(K24/100)*$G$62+(M24/100)*$G$63+(O24)*$G$64+(Q24*$G$65))</f>
        <v>235.78784715552933</v>
      </c>
    </row>
    <row r="25">
      <c r="A25">
        <v>4</v>
      </c>
      <c r="B25">
        <f>B24+3</f>
        <v>22</v>
      </c>
      <c r="C25">
        <f>$I$11+B25</f>
        <v>39501</v>
      </c>
      <c r="E25">
        <f>IF(($C$12*(ReDiarioFert!C28+ReDiarioFert!C29))&lt;=0,"0",($C$12*(ReDiarioFert!C28+ReDiarioFert!C29)))</f>
        <v>15.775044038955132</v>
      </c>
      <c r="G25">
        <f>$C$12*(ReDiarioFert!E28+ReDiarioFert!E29)</f>
        <v>4.256810608269293</v>
      </c>
      <c r="I25">
        <f>$C$12*(ReDiarioFert!G28+ReDiarioFert!G29)</f>
        <v>13.042423725039368</v>
      </c>
      <c r="K25">
        <f>$C$12*(ReDiarioFert!I28+ReDiarioFert!I29)</f>
        <v>0.00012054001578428192</v>
      </c>
      <c r="M25">
        <f>$C$12*(ReDiarioFert!K28+ReDiarioFert!K29)</f>
        <v>0.00041928337740365163</v>
      </c>
      <c r="O25">
        <f>$C$12*(ReDiarioFert!M28+ReDiarioFert!M29)</f>
        <v>119.36021658536585</v>
      </c>
      <c r="Q25">
        <f>$C$12*Main!$D$63</f>
        <v>20.019999999999996</v>
      </c>
      <c r="S25">
        <f>((E25/100)*$G$59+(G25/100)*$G$60+(I25/100)*$G$61+(K25/100)*$G$62+(M25/100)*$G$63+(O25)*$G$64+(Q25*$G$65))</f>
        <v>213.24789810368623</v>
      </c>
    </row>
    <row r="26">
      <c r="B26">
        <f>B25+2</f>
        <v>24</v>
      </c>
      <c r="C26">
        <f>$I$11+B26</f>
        <v>39503</v>
      </c>
      <c r="E26">
        <f>IF(($C$12*(ReDiarioFert!C30+ReDiarioFert!C31))&lt;=0,"0",($C$12*(ReDiarioFert!C30+ReDiarioFert!C31)))</f>
        <v>15.775044038955132</v>
      </c>
      <c r="G26">
        <f>$C$12*(ReDiarioFert!E30+ReDiarioFert!E31)</f>
        <v>4.256810608269293</v>
      </c>
      <c r="I26">
        <f>$C$12*(ReDiarioFert!G30+ReDiarioFert!G31)</f>
        <v>13.042423725039368</v>
      </c>
      <c r="K26">
        <f>$C$12*(ReDiarioFert!I30+ReDiarioFert!I31)</f>
        <v>0.00012054001578428192</v>
      </c>
      <c r="M26">
        <f>$C$12*(ReDiarioFert!K30+ReDiarioFert!K31)</f>
        <v>0.00041928337740365163</v>
      </c>
      <c r="O26">
        <f>$C$12*(ReDiarioFert!M30+ReDiarioFert!M31)</f>
        <v>119.36021658536585</v>
      </c>
      <c r="S26">
        <f>((E26/100)*$G$59+(G26/100)*$G$60+(I26/100)*$G$61+(K26/100)*$G$62+(M26/100)*$G$63+(O26)*$G$64+(Q26*$G$65))</f>
        <v>157.19189810368624</v>
      </c>
    </row>
    <row r="27">
      <c r="B27">
        <f>B26+2</f>
        <v>26</v>
      </c>
      <c r="C27">
        <f>$I$11+B27</f>
        <v>39505</v>
      </c>
      <c r="E27">
        <f>IF(($C$12*(ReDiarioFert!C32+ReDiarioFert!C33+ReDiarioFert!C34))&lt;=0,"0",($C$12*(ReDiarioFert!C32+ReDiarioFert!C33+ReDiarioFert!C34)))</f>
        <v>23.662566058432695</v>
      </c>
      <c r="G27">
        <f>$C$12*(ReDiarioFert!E32+ReDiarioFert!E33+ReDiarioFert!E34)</f>
        <v>6.38521591240394</v>
      </c>
      <c r="I27">
        <f>$C$12*(ReDiarioFert!G32+ReDiarioFert!G33+ReDiarioFert!G34)</f>
        <v>19.56363558755905</v>
      </c>
      <c r="K27">
        <f>$C$12*(ReDiarioFert!I32+ReDiarioFert!I33+ReDiarioFert!I34)</f>
        <v>0.00018081002367642288</v>
      </c>
      <c r="M27">
        <f>$C$12*(ReDiarioFert!K32+ReDiarioFert!K33+ReDiarioFert!K34)</f>
        <v>0.0006289250661054776</v>
      </c>
      <c r="O27">
        <f>$C$12*(ReDiarioFert!M32+ReDiarioFert!M33+ReDiarioFert!M34)</f>
        <v>179.04032487804878</v>
      </c>
      <c r="S27">
        <f>((E27/100)*$G$59+(G27/100)*$G$60+(I27/100)*$G$61+(K27/100)*$G$62+(M27/100)*$G$63+(O27)*$G$64+(Q27*$G$65))</f>
        <v>235.78784715552933</v>
      </c>
    </row>
    <row r="28">
      <c r="A28">
        <v>5</v>
      </c>
      <c r="B28">
        <f>B27+3</f>
        <v>29</v>
      </c>
      <c r="C28">
        <f>$I$11+B28</f>
        <v>39508</v>
      </c>
      <c r="E28">
        <f>IF(($C$12*(ReDiarioFert!C35+ReDiarioFert!C36))&lt;=0,"0",($C$12*(ReDiarioFert!C35+ReDiarioFert!C36)))</f>
        <v>15.775044038955132</v>
      </c>
      <c r="G28">
        <f>$C$12*(ReDiarioFert!E35+ReDiarioFert!E36)</f>
        <v>4.256810608269293</v>
      </c>
      <c r="I28">
        <f>$C$12*(ReDiarioFert!G35+ReDiarioFert!G36)</f>
        <v>13.042423725039368</v>
      </c>
      <c r="K28">
        <f>$C$12*(ReDiarioFert!I35+ReDiarioFert!I36)</f>
        <v>0.00012054001578428192</v>
      </c>
      <c r="M28">
        <f>$C$12*(ReDiarioFert!K35+ReDiarioFert!K36)</f>
        <v>0.00041928337740365163</v>
      </c>
      <c r="O28">
        <f>$C$12*(ReDiarioFert!M35+ReDiarioFert!M36)</f>
        <v>119.36021658536585</v>
      </c>
      <c r="Q28">
        <f>$C$12*Main!$D$63</f>
        <v>20.019999999999996</v>
      </c>
      <c r="S28">
        <f>((E28/100)*$G$59+(G28/100)*$G$60+(I28/100)*$G$61+(K28/100)*$G$62+(M28/100)*$G$63+(O28)*$G$64+(Q28*$G$65))</f>
        <v>213.24789810368623</v>
      </c>
    </row>
    <row r="29">
      <c r="B29">
        <f>B28+2</f>
        <v>31</v>
      </c>
      <c r="C29">
        <f>$I$11+B29</f>
        <v>39510</v>
      </c>
      <c r="E29">
        <f>IF(($C$12*(ReDiarioFert!C37+ReDiarioFert!C38))&lt;=0,"0",($C$12*(ReDiarioFert!C37+ReDiarioFert!C38)))</f>
        <v>15.775044038955132</v>
      </c>
      <c r="G29">
        <f>$C$12*(ReDiarioFert!E37+ReDiarioFert!E38)</f>
        <v>4.256810608269293</v>
      </c>
      <c r="I29">
        <f>$C$12*(ReDiarioFert!G37+ReDiarioFert!G38)</f>
        <v>13.042423725039368</v>
      </c>
      <c r="K29">
        <f>$C$12*(ReDiarioFert!I37+ReDiarioFert!I38)</f>
        <v>0.00012054001578428192</v>
      </c>
      <c r="M29">
        <f>$C$12*(ReDiarioFert!K37+ReDiarioFert!K38)</f>
        <v>0.00041928337740365163</v>
      </c>
      <c r="O29">
        <f>$C$12*(ReDiarioFert!M37+ReDiarioFert!M38)</f>
        <v>119.36021658536585</v>
      </c>
      <c r="S29">
        <f>((E29/100)*$G$59+(G29/100)*$G$60+(I29/100)*$G$61+(K29/100)*$G$62+(M29/100)*$G$63+(O29)*$G$64+(Q29*$G$65))</f>
        <v>157.19189810368624</v>
      </c>
    </row>
    <row r="30">
      <c r="B30">
        <f>B29+2</f>
        <v>33</v>
      </c>
      <c r="C30">
        <f>$I$11+B30</f>
        <v>39512</v>
      </c>
      <c r="E30">
        <f>IF(($C$12*(ReDiarioFert!C39+ReDiarioFert!C40+ReDiarioFert!C41))&lt;=0,"0",($C$12*(ReDiarioFert!C39+ReDiarioFert!C40+ReDiarioFert!C41)))</f>
        <v>35.493849087649046</v>
      </c>
      <c r="G30">
        <f>$C$12*(ReDiarioFert!E39+ReDiarioFert!E40+ReDiarioFert!E41)</f>
        <v>9.577823868605913</v>
      </c>
      <c r="I30">
        <f>$C$12*(ReDiarioFert!G39+ReDiarioFert!G40+ReDiarioFert!G41)</f>
        <v>29.345453381338576</v>
      </c>
      <c r="K30">
        <f>$C$12*(ReDiarioFert!I39+ReDiarioFert!I40+ReDiarioFert!I41)</f>
        <v>0.00027121503551463436</v>
      </c>
      <c r="M30">
        <f>$C$12*(ReDiarioFert!K39+ReDiarioFert!K40+ReDiarioFert!K41)</f>
        <v>0.0009433875991582163</v>
      </c>
      <c r="O30">
        <f>$C$12*(ReDiarioFert!M39+ReDiarioFert!M40+ReDiarioFert!M41)</f>
        <v>253.6421692682927</v>
      </c>
      <c r="S30">
        <f>((E30/100)*$G$59+(G30/100)*$G$60+(I30/100)*$G$61+(K30/100)*$G$62+(M30/100)*$G$63+(O30)*$G$64+(Q30*$G$65))</f>
        <v>353.0850380113428</v>
      </c>
    </row>
    <row r="31">
      <c r="A31">
        <v>6</v>
      </c>
      <c r="B31">
        <f>B30+3</f>
        <v>36</v>
      </c>
      <c r="C31">
        <f>$I$11+B31</f>
        <v>39515</v>
      </c>
      <c r="E31">
        <f>IF(($C$12*(ReDiarioFert!C42+ReDiarioFert!C43))&lt;=0,"0",($C$12*(ReDiarioFert!C42+ReDiarioFert!C43)))</f>
        <v>21.5784561861462</v>
      </c>
      <c r="G31">
        <f>$C$12*(ReDiarioFert!E42+ReDiarioFert!E43)</f>
        <v>6.385215912403941</v>
      </c>
      <c r="I31">
        <f>$C$12*(ReDiarioFert!G42+ReDiarioFert!G43)</f>
        <v>19.56363558755905</v>
      </c>
      <c r="K31">
        <f>$C$12*(ReDiarioFert!I42+ReDiarioFert!I43)</f>
        <v>0.0001808100236764229</v>
      </c>
      <c r="M31">
        <f>$C$12*(ReDiarioFert!K42+ReDiarioFert!K43)</f>
        <v>0.0006289250661054776</v>
      </c>
      <c r="O31">
        <f>$C$12*(ReDiarioFert!M42+ReDiarioFert!M43)</f>
        <v>169.09477951219515</v>
      </c>
      <c r="Q31">
        <f>$C$12*Main!$D$63</f>
        <v>20.019999999999996</v>
      </c>
      <c r="S31">
        <f>((E31/100)*$G$59+(G31/100)*$G$60+(I31/100)*$G$61+(K31/100)*$G$62+(M31/100)*$G$63+(O31)*$G$64+(Q31*$G$65))</f>
        <v>283.00538035813486</v>
      </c>
    </row>
    <row r="32">
      <c r="B32">
        <f>B31+2</f>
        <v>38</v>
      </c>
      <c r="C32">
        <f>$I$11+B32</f>
        <v>39517</v>
      </c>
      <c r="E32">
        <f>IF(($C$12*(ReDiarioFert!C44+ReDiarioFert!C45))&lt;=0,"0",($C$12*(ReDiarioFert!C44+ReDiarioFert!C45)))</f>
        <v>21.5784561861462</v>
      </c>
      <c r="G32">
        <f>$C$12*(ReDiarioFert!E44+ReDiarioFert!E45)</f>
        <v>6.385215912403941</v>
      </c>
      <c r="I32">
        <f>$C$12*(ReDiarioFert!G44+ReDiarioFert!G45)</f>
        <v>19.56363558755905</v>
      </c>
      <c r="K32">
        <f>$C$12*(ReDiarioFert!I44+ReDiarioFert!I45)</f>
        <v>0.0001808100236764229</v>
      </c>
      <c r="M32">
        <f>$C$12*(ReDiarioFert!K44+ReDiarioFert!K45)</f>
        <v>0.0006289250661054776</v>
      </c>
      <c r="O32">
        <f>$C$12*(ReDiarioFert!M44+ReDiarioFert!M45)</f>
        <v>169.09477951219515</v>
      </c>
      <c r="S32">
        <f>((E32/100)*$G$59+(G32/100)*$G$60+(I32/100)*$G$61+(K32/100)*$G$62+(M32/100)*$G$63+(O32)*$G$64+(Q32*$G$65))</f>
        <v>226.9493803581349</v>
      </c>
    </row>
    <row r="33">
      <c r="B33">
        <f>B32+2</f>
        <v>40</v>
      </c>
      <c r="C33">
        <f>$I$11+B33</f>
        <v>39519</v>
      </c>
      <c r="E33">
        <f>IF(($C$12*(ReDiarioFert!C46+ReDiarioFert!C47+ReDiarioFert!C48))&lt;=0,"0",($C$12*(ReDiarioFert!C46+ReDiarioFert!C47+ReDiarioFert!C48)))</f>
        <v>32.367684279219304</v>
      </c>
      <c r="G33">
        <f>$C$12*(ReDiarioFert!E46+ReDiarioFert!E47+ReDiarioFert!E48)</f>
        <v>9.577823868605913</v>
      </c>
      <c r="I33">
        <f>$C$12*(ReDiarioFert!G46+ReDiarioFert!G47+ReDiarioFert!G48)</f>
        <v>29.345453381338576</v>
      </c>
      <c r="K33">
        <f>$C$12*(ReDiarioFert!I46+ReDiarioFert!I47+ReDiarioFert!I48)</f>
        <v>0.00027121503551463436</v>
      </c>
      <c r="M33">
        <f>$C$12*(ReDiarioFert!K46+ReDiarioFert!K47+ReDiarioFert!K48)</f>
        <v>0.0009433875991582163</v>
      </c>
      <c r="O33">
        <f>$C$12*(ReDiarioFert!M46+ReDiarioFert!M47+ReDiarioFert!M48)</f>
        <v>253.6421692682927</v>
      </c>
      <c r="S33">
        <f>((E33/100)*$G$59+(G33/100)*$G$60+(I33/100)*$G$61+(K33/100)*$G$62+(M33/100)*$G$63+(O33)*$G$64+(Q33*$G$65))</f>
        <v>340.42407053720234</v>
      </c>
    </row>
    <row r="34">
      <c r="A34">
        <v>7</v>
      </c>
      <c r="B34">
        <f>B33+3</f>
        <v>43</v>
      </c>
      <c r="C34">
        <f>$I$11+B34</f>
        <v>39522</v>
      </c>
      <c r="E34">
        <f>IF(($C$12*(ReDiarioFert!C49+ReDiarioFert!C50))&lt;=0,"0",($C$12*(ReDiarioFert!C49+ReDiarioFert!C50)))</f>
        <v>21.5784561861462</v>
      </c>
      <c r="G34">
        <f>$C$12*(ReDiarioFert!E49+ReDiarioFert!E50)</f>
        <v>6.385215912403941</v>
      </c>
      <c r="I34">
        <f>$C$12*(ReDiarioFert!G49+ReDiarioFert!G50)</f>
        <v>19.56363558755905</v>
      </c>
      <c r="K34">
        <f>$C$12*(ReDiarioFert!I49+ReDiarioFert!I50)</f>
        <v>0.0001808100236764229</v>
      </c>
      <c r="M34">
        <f>$C$12*(ReDiarioFert!K49+ReDiarioFert!K50)</f>
        <v>0.0006289250661054776</v>
      </c>
      <c r="O34">
        <f>$C$12*(ReDiarioFert!M49+ReDiarioFert!M50)</f>
        <v>169.09477951219515</v>
      </c>
      <c r="Q34">
        <f>$C$12*Main!$D$63</f>
        <v>20.019999999999996</v>
      </c>
      <c r="S34">
        <f>((E34/100)*$G$59+(G34/100)*$G$60+(I34/100)*$G$61+(K34/100)*$G$62+(M34/100)*$G$63+(O34)*$G$64+(Q34*$G$65))</f>
        <v>283.00538035813486</v>
      </c>
    </row>
    <row r="35">
      <c r="B35">
        <f>B34+2</f>
        <v>45</v>
      </c>
      <c r="C35">
        <f>$I$11+B35</f>
        <v>39524</v>
      </c>
      <c r="E35">
        <f>IF(($C$12*(ReDiarioFert!C51+ReDiarioFert!C52))&lt;=0,"0",($C$12*(ReDiarioFert!C51+ReDiarioFert!C52)))</f>
        <v>21.5784561861462</v>
      </c>
      <c r="G35">
        <f>$C$12*(ReDiarioFert!E51+ReDiarioFert!E52)</f>
        <v>6.385215912403941</v>
      </c>
      <c r="I35">
        <f>$C$12*(ReDiarioFert!G51+ReDiarioFert!G52)</f>
        <v>19.56363558755905</v>
      </c>
      <c r="K35">
        <f>$C$12*(ReDiarioFert!I51+ReDiarioFert!I52)</f>
        <v>0.0001808100236764229</v>
      </c>
      <c r="M35">
        <f>$C$12*(ReDiarioFert!K51+ReDiarioFert!K52)</f>
        <v>0.0006289250661054776</v>
      </c>
      <c r="O35">
        <f>$C$12*(ReDiarioFert!M51+ReDiarioFert!M52)</f>
        <v>169.09477951219515</v>
      </c>
      <c r="S35">
        <f>((E35/100)*$G$59+(G35/100)*$G$60+(I35/100)*$G$61+(K35/100)*$G$62+(M35/100)*$G$63+(O35)*$G$64+(Q35*$G$65))</f>
        <v>226.9493803581349</v>
      </c>
    </row>
    <row r="36">
      <c r="B36">
        <f>B35+2</f>
        <v>47</v>
      </c>
      <c r="C36">
        <f>$I$11+B36</f>
        <v>39526</v>
      </c>
      <c r="E36">
        <f>IF(($C$12*(ReDiarioFert!C53+ReDiarioFert!C54+ReDiarioFert!C55))&lt;=0,"0",($C$12*(ReDiarioFert!C53+ReDiarioFert!C54+ReDiarioFert!C55)))</f>
        <v>39.56050300793471</v>
      </c>
      <c r="G36">
        <f>$C$12*(ReDiarioFert!E53+ReDiarioFert!E54+ReDiarioFert!E55)</f>
        <v>11.706229172740558</v>
      </c>
      <c r="I36">
        <f>$C$12*(ReDiarioFert!G53+ReDiarioFert!G54+ReDiarioFert!G55)</f>
        <v>35.866665243858264</v>
      </c>
      <c r="K36">
        <f>$C$12*(ReDiarioFert!I53+ReDiarioFert!I54+ReDiarioFert!I55)</f>
        <v>0.0003314850434067753</v>
      </c>
      <c r="M36">
        <f>$C$12*(ReDiarioFert!K53+ReDiarioFert!K54+ReDiarioFert!K55)</f>
        <v>0.001153029287860042</v>
      </c>
      <c r="O36">
        <f>$C$12*(ReDiarioFert!M53+ReDiarioFert!M54+ReDiarioFert!M55)</f>
        <v>313.3222775609756</v>
      </c>
      <c r="S36">
        <f>((E36/100)*$G$59+(G36/100)*$G$60+(I36/100)*$G$61+(K36/100)*$G$62+(M36/100)*$G$63+(O36)*$G$64+(Q36*$G$65))</f>
        <v>416.2064712614587</v>
      </c>
    </row>
    <row r="37">
      <c r="A37">
        <v>8</v>
      </c>
      <c r="B37">
        <f>B36+3</f>
        <v>50</v>
      </c>
      <c r="C37">
        <f>$I$11+B37</f>
        <v>39529</v>
      </c>
      <c r="E37">
        <f>IF(($C$12*(ReDiarioFert!C56+ReDiarioFert!C57))&lt;=0,"0",($C$12*(ReDiarioFert!C56+ReDiarioFert!C57)))</f>
        <v>28.771274914861614</v>
      </c>
      <c r="G37">
        <f>$C$12*(ReDiarioFert!E56+ReDiarioFert!E57)</f>
        <v>8.513621216538587</v>
      </c>
      <c r="I37">
        <f>$C$12*(ReDiarioFert!G56+ReDiarioFert!G57)</f>
        <v>26.084847450078737</v>
      </c>
      <c r="K37">
        <f>$C$12*(ReDiarioFert!I56+ReDiarioFert!I57)</f>
        <v>0.00024108003156856383</v>
      </c>
      <c r="M37">
        <f>$C$12*(ReDiarioFert!K56+ReDiarioFert!K57)</f>
        <v>0.0008385667548073033</v>
      </c>
      <c r="O37">
        <f>$C$12*(ReDiarioFert!M56+ReDiarioFert!M57)</f>
        <v>228.774887804878</v>
      </c>
      <c r="Q37">
        <f>$C$12*Main!$D$63</f>
        <v>20.019999999999996</v>
      </c>
      <c r="S37">
        <f>((E37/100)*$G$59+(G37/100)*$G$60+(I37/100)*$G$61+(K37/100)*$G$62+(M37/100)*$G$63+(O37)*$G$64+(Q37*$G$65))</f>
        <v>358.78778108239123</v>
      </c>
    </row>
    <row r="38">
      <c r="B38">
        <f>B37+2</f>
        <v>52</v>
      </c>
      <c r="C38">
        <f>$I$11+B38</f>
        <v>39531</v>
      </c>
      <c r="E38">
        <f>IF(($C$12*(ReDiarioFert!C58+ReDiarioFert!C59))&lt;=0,"0",($C$12*(ReDiarioFert!C58+ReDiarioFert!C59)))</f>
        <v>28.771274914861614</v>
      </c>
      <c r="G38">
        <f>$C$12*(ReDiarioFert!E58+ReDiarioFert!E59)</f>
        <v>8.513621216538587</v>
      </c>
      <c r="I38">
        <f>$C$12*(ReDiarioFert!G58+ReDiarioFert!G59)</f>
        <v>26.084847450078737</v>
      </c>
      <c r="K38">
        <f>$C$12*(ReDiarioFert!I58+ReDiarioFert!I59)</f>
        <v>0.00024108003156856383</v>
      </c>
      <c r="M38">
        <f>$C$12*(ReDiarioFert!K58+ReDiarioFert!K59)</f>
        <v>0.0008385667548073033</v>
      </c>
      <c r="O38">
        <f>$C$12*(ReDiarioFert!M58+ReDiarioFert!M59)</f>
        <v>228.774887804878</v>
      </c>
      <c r="S38">
        <f>((E38/100)*$G$59+(G38/100)*$G$60+(I38/100)*$G$61+(K38/100)*$G$62+(M38/100)*$G$63+(O38)*$G$64+(Q38*$G$65))</f>
        <v>302.73178108239125</v>
      </c>
    </row>
    <row r="39">
      <c r="B39">
        <f>B38+2</f>
        <v>54</v>
      </c>
      <c r="C39">
        <f>$I$11+B39</f>
        <v>39533</v>
      </c>
      <c r="E39">
        <f>IF(($C$12*(ReDiarioFert!C60+ReDiarioFert!C61+ReDiarioFert!C62))&lt;=0,"0",($C$12*(ReDiarioFert!C60+ReDiarioFert!C61+ReDiarioFert!C62)))</f>
        <v>43.15691237229242</v>
      </c>
      <c r="G39">
        <f>$C$12*(ReDiarioFert!E60+ReDiarioFert!E61+ReDiarioFert!E62)</f>
        <v>12.77043182480788</v>
      </c>
      <c r="I39">
        <f>$C$12*(ReDiarioFert!G60+ReDiarioFert!G61+ReDiarioFert!G62)</f>
        <v>39.1272711751181</v>
      </c>
      <c r="K39">
        <f>$C$12*(ReDiarioFert!I60+ReDiarioFert!I61+ReDiarioFert!I62)</f>
        <v>0.00036162004735284576</v>
      </c>
      <c r="M39">
        <f>$C$12*(ReDiarioFert!K60+ReDiarioFert!K61+ReDiarioFert!K62)</f>
        <v>0.001257850132210955</v>
      </c>
      <c r="O39">
        <f>$C$12*(ReDiarioFert!M60+ReDiarioFert!M61+ReDiarioFert!M62)</f>
        <v>343.16233170731704</v>
      </c>
      <c r="S39">
        <f>((E39/100)*$G$59+(G39/100)*$G$60+(I39/100)*$G$61+(K39/100)*$G$62+(M39/100)*$G$63+(O39)*$G$64+(Q39*$G$65))</f>
        <v>454.0976716235869</v>
      </c>
    </row>
    <row r="40">
      <c r="A40">
        <v>9</v>
      </c>
      <c r="B40">
        <f>B39+3</f>
        <v>57</v>
      </c>
      <c r="C40">
        <f>$I$11+B40</f>
        <v>39536</v>
      </c>
      <c r="E40">
        <f>IF(($C$12*(ReDiarioFert!C63+ReDiarioFert!C64))&lt;=0,"0",($C$12*(ReDiarioFert!C63+ReDiarioFert!C64)))</f>
        <v>27.381868333337284</v>
      </c>
      <c r="G40">
        <f>$C$12*(ReDiarioFert!E63+ReDiarioFert!E64)</f>
        <v>8.513621216538587</v>
      </c>
      <c r="I40">
        <f>$C$12*(ReDiarioFert!G63+ReDiarioFert!G64)</f>
        <v>26.084847450078737</v>
      </c>
      <c r="K40">
        <f>$C$12*(ReDiarioFert!I63+ReDiarioFert!I64)</f>
        <v>0.00024108003156856383</v>
      </c>
      <c r="M40">
        <f>$C$12*(ReDiarioFert!K63+ReDiarioFert!K64)</f>
        <v>0.0008385667548073033</v>
      </c>
      <c r="O40">
        <f>$C$12*(ReDiarioFert!M63+ReDiarioFert!M64)</f>
        <v>228.774887804878</v>
      </c>
      <c r="Q40">
        <f>$C$12*Main!$D$63</f>
        <v>20.019999999999996</v>
      </c>
      <c r="S40">
        <f>((E40/100)*$G$59+(G40/100)*$G$60+(I40/100)*$G$61+(K40/100)*$G$62+(M40/100)*$G$63+(O40)*$G$64+(Q40*$G$65))</f>
        <v>353.16068442721763</v>
      </c>
    </row>
    <row r="41">
      <c r="B41">
        <f>B40+2</f>
        <v>59</v>
      </c>
      <c r="C41">
        <f>$I$11+B41</f>
        <v>39538</v>
      </c>
      <c r="E41">
        <f>IF(($C$12*(ReDiarioFert!C65+ReDiarioFert!C66))&lt;=0,"0",($C$12*(ReDiarioFert!C65+ReDiarioFert!C66)))</f>
        <v>27.381868333337284</v>
      </c>
      <c r="G41">
        <f>$C$12*(ReDiarioFert!E65+ReDiarioFert!E66)</f>
        <v>8.513621216538587</v>
      </c>
      <c r="I41">
        <f>$C$12*(ReDiarioFert!G65+ReDiarioFert!G66)</f>
        <v>26.084847450078737</v>
      </c>
      <c r="K41">
        <f>$C$12*(ReDiarioFert!I65+ReDiarioFert!I66)</f>
        <v>0.00024108003156856383</v>
      </c>
      <c r="M41">
        <f>$C$12*(ReDiarioFert!K65+ReDiarioFert!K66)</f>
        <v>0.0008385667548073033</v>
      </c>
      <c r="O41">
        <f>$C$12*(ReDiarioFert!M65+ReDiarioFert!M66)</f>
        <v>228.774887804878</v>
      </c>
      <c r="S41">
        <f>((E41/100)*$G$59+(G41/100)*$G$60+(I41/100)*$G$61+(K41/100)*$G$62+(M41/100)*$G$63+(O41)*$G$64+(Q41*$G$65))</f>
        <v>297.10468442721765</v>
      </c>
    </row>
    <row r="42">
      <c r="B42">
        <f>B41+2</f>
        <v>61</v>
      </c>
      <c r="C42">
        <f>$I$11+B42</f>
        <v>39540</v>
      </c>
      <c r="E42">
        <f>IF(($C$12*(ReDiarioFert!C67+ReDiarioFert!C68+ReDiarioFert!C69))&lt;=0,"0",($C$12*(ReDiarioFert!C67+ReDiarioFert!C68+ReDiarioFert!C69)))</f>
        <v>56.442433000871226</v>
      </c>
      <c r="G42">
        <f>$C$12*(ReDiarioFert!E67+ReDiarioFert!E68+ReDiarioFert!E69)</f>
        <v>18.446179302500276</v>
      </c>
      <c r="I42">
        <f>$C$12*(ReDiarioFert!G67+ReDiarioFert!G68+ReDiarioFert!G69)</f>
        <v>54.162287413705144</v>
      </c>
      <c r="K42">
        <f>$C$12*(ReDiarioFert!I67+ReDiarioFert!I68+ReDiarioFert!I69)</f>
        <v>0.0005005758988819485</v>
      </c>
      <c r="M42">
        <f>$C$12*(ReDiarioFert!K67+ReDiarioFert!K68+ReDiarioFert!K69)</f>
        <v>0.0017411906922734975</v>
      </c>
      <c r="O42">
        <f>$C$12*(ReDiarioFert!M67+ReDiarioFert!M68+ReDiarioFert!M69)</f>
        <v>373.0028741463414</v>
      </c>
      <c r="S42">
        <f>((E42/100)*$G$59+(G42/100)*$G$60+(I42/100)*$G$61+(K42/100)*$G$62+(M42/100)*$G$63+(O42)*$G$64+(Q42*$G$65))</f>
        <v>615.4555182853612</v>
      </c>
    </row>
    <row r="43">
      <c r="A43">
        <v>10</v>
      </c>
      <c r="B43">
        <f>B42+3</f>
        <v>64</v>
      </c>
      <c r="C43">
        <f>$I$11+B43</f>
        <v>39543</v>
      </c>
      <c r="E43">
        <f>IF(($C$12*(ReDiarioFert!C70+ReDiarioFert!C71))&lt;=0,"0",($C$12*(ReDiarioFert!C70+ReDiarioFert!C71)))</f>
        <v>43.41725615451632</v>
      </c>
      <c r="G43">
        <f>$C$12*(ReDiarioFert!E70+ReDiarioFert!E71)</f>
        <v>14.189368694230982</v>
      </c>
      <c r="I43">
        <f>$C$12*(ReDiarioFert!G70+ReDiarioFert!G71)</f>
        <v>41.66329801054241</v>
      </c>
      <c r="K43">
        <f>$C$12*(ReDiarioFert!I70+ReDiarioFert!I71)</f>
        <v>0.000385058383755345</v>
      </c>
      <c r="M43">
        <f>$C$12*(ReDiarioFert!K70+ReDiarioFert!K71)</f>
        <v>0.001339377455594998</v>
      </c>
      <c r="O43">
        <f>$C$12*(ReDiarioFert!M70+ReDiarioFert!M71)</f>
        <v>288.4559726829268</v>
      </c>
      <c r="Q43">
        <f>$C$12*Main!$D$63</f>
        <v>20.019999999999996</v>
      </c>
      <c r="S43">
        <f>((E43/100)*$G$59+(G43/100)*$G$60+(I43/100)*$G$61+(K43/100)*$G$62+(M43/100)*$G$63+(O43)*$G$64+(Q43*$G$65))</f>
        <v>529.544549153092</v>
      </c>
    </row>
    <row r="44">
      <c r="B44">
        <f>B43+2</f>
        <v>66</v>
      </c>
      <c r="C44">
        <f>$I$11+B44</f>
        <v>39545</v>
      </c>
      <c r="E44">
        <f>IF(($C$12*(ReDiarioFert!C72+ReDiarioFert!C73))&lt;=0,"0",($C$12*(ReDiarioFert!C72+ReDiarioFert!C73)))</f>
        <v>43.41725615451632</v>
      </c>
      <c r="G44">
        <f>$C$12*(ReDiarioFert!E72+ReDiarioFert!E73)</f>
        <v>14.189368694230982</v>
      </c>
      <c r="I44">
        <f>$C$12*(ReDiarioFert!G72+ReDiarioFert!G73)</f>
        <v>41.66329801054241</v>
      </c>
      <c r="K44">
        <f>$C$12*(ReDiarioFert!I72+ReDiarioFert!I73)</f>
        <v>0.000385058383755345</v>
      </c>
      <c r="M44">
        <f>$C$12*(ReDiarioFert!K72+ReDiarioFert!K73)</f>
        <v>0.001339377455594998</v>
      </c>
      <c r="O44">
        <f>$C$12*(ReDiarioFert!M72+ReDiarioFert!M73)</f>
        <v>288.4559726829268</v>
      </c>
      <c r="S44">
        <f>((E44/100)*$G$59+(G44/100)*$G$60+(I44/100)*$G$61+(K44/100)*$G$62+(M44/100)*$G$63+(O44)*$G$64+(Q44*$G$65))</f>
        <v>473.48854915309204</v>
      </c>
    </row>
    <row r="45">
      <c r="B45">
        <f>B44+2</f>
        <v>68</v>
      </c>
      <c r="C45">
        <f>$I$11+B45</f>
        <v>39547</v>
      </c>
      <c r="E45">
        <f>IF(($C$12*(ReDiarioFert!C74+ReDiarioFert!C75+ReDiarioFert!C76))&lt;=0,"0",($C$12*(ReDiarioFert!C74+ReDiarioFert!C75+ReDiarioFert!C76)))</f>
        <v>65.12588423177448</v>
      </c>
      <c r="G45">
        <f>$C$12*(ReDiarioFert!E74+ReDiarioFert!E75+ReDiarioFert!E76)</f>
        <v>21.284053041346475</v>
      </c>
      <c r="I45">
        <f>$C$12*(ReDiarioFert!G74+ReDiarioFert!G75+ReDiarioFert!G76)</f>
        <v>62.494947015813615</v>
      </c>
      <c r="K45">
        <f>$C$12*(ReDiarioFert!I74+ReDiarioFert!I75+ReDiarioFert!I76)</f>
        <v>0.0005775875756330176</v>
      </c>
      <c r="M45">
        <f>$C$12*(ReDiarioFert!K74+ReDiarioFert!K75+ReDiarioFert!K76)</f>
        <v>0.002009066183392497</v>
      </c>
      <c r="O45">
        <f>$C$12*(ReDiarioFert!M74+ReDiarioFert!M75+ReDiarioFert!M76)</f>
        <v>432.6839590243902</v>
      </c>
      <c r="S45">
        <f>((E45/100)*$G$59+(G45/100)*$G$60+(I45/100)*$G$61+(K45/100)*$G$62+(M45/100)*$G$63+(O45)*$G$64+(Q45*$G$65))</f>
        <v>710.2328237296381</v>
      </c>
    </row>
    <row r="46">
      <c r="A46">
        <v>11</v>
      </c>
      <c r="B46">
        <f>B45+3</f>
        <v>71</v>
      </c>
      <c r="C46">
        <f>$I$11+B46</f>
        <v>39550</v>
      </c>
      <c r="E46">
        <f>IF(($C$12*(ReDiarioFert!C77+ReDiarioFert!C78))&lt;=0,"0",($C$12*(ReDiarioFert!C77+ReDiarioFert!C78)))</f>
        <v>36.75968295137893</v>
      </c>
      <c r="G46">
        <f>$C$12*(ReDiarioFert!E77+ReDiarioFert!E78)</f>
        <v>14.189368694230982</v>
      </c>
      <c r="I46">
        <f>$C$12*(ReDiarioFert!G77+ReDiarioFert!G78)</f>
        <v>41.66329801054241</v>
      </c>
      <c r="K46">
        <f>$C$12*(ReDiarioFert!I77+ReDiarioFert!I78)</f>
        <v>0.000385058383755345</v>
      </c>
      <c r="M46">
        <f>$C$12*(ReDiarioFert!K77+ReDiarioFert!K78)</f>
        <v>0.001339377455594998</v>
      </c>
      <c r="O46">
        <f>$C$12*(ReDiarioFert!M77+ReDiarioFert!M78)</f>
        <v>288.4559726829268</v>
      </c>
      <c r="Q46">
        <f>$C$12*Main!$D$63</f>
        <v>20.019999999999996</v>
      </c>
      <c r="S46">
        <f>((E46/100)*$G$59+(G46/100)*$G$60+(I46/100)*$G$61+(K46/100)*$G$62+(M46/100)*$G$63+(O46)*$G$64+(Q46*$G$65))</f>
        <v>502.5813776803856</v>
      </c>
    </row>
    <row r="47">
      <c r="B47">
        <f>B46+2</f>
        <v>73</v>
      </c>
      <c r="C47">
        <f>$I$11+B47</f>
        <v>39552</v>
      </c>
      <c r="E47">
        <f>IF(($C$12*(ReDiarioFert!C79+ReDiarioFert!C80))&lt;=0,"0",($C$12*(ReDiarioFert!C79+ReDiarioFert!C80)))</f>
        <v>36.75968295137893</v>
      </c>
      <c r="G47">
        <f>$C$12*(ReDiarioFert!E79+ReDiarioFert!E80)</f>
        <v>14.189368694230982</v>
      </c>
      <c r="I47">
        <f>$C$12*(ReDiarioFert!G79+ReDiarioFert!G80)</f>
        <v>41.66329801054241</v>
      </c>
      <c r="K47">
        <f>$C$12*(ReDiarioFert!I79+ReDiarioFert!I80)</f>
        <v>0.000385058383755345</v>
      </c>
      <c r="M47">
        <f>$C$12*(ReDiarioFert!K79+ReDiarioFert!K80)</f>
        <v>0.001339377455594998</v>
      </c>
      <c r="O47">
        <f>$C$12*(ReDiarioFert!M79+ReDiarioFert!M80)</f>
        <v>288.4559726829268</v>
      </c>
      <c r="S47">
        <f>((E47/100)*$G$59+(G47/100)*$G$60+(I47/100)*$G$61+(K47/100)*$G$62+(M47/100)*$G$63+(O47)*$G$64+(Q47*$G$65))</f>
        <v>446.5253776803856</v>
      </c>
    </row>
    <row r="48">
      <c r="B48">
        <f>B47+2</f>
        <v>75</v>
      </c>
      <c r="C48">
        <f>$I$11+B48</f>
        <v>39554</v>
      </c>
      <c r="E48">
        <f>IF(($C$12*(ReDiarioFert!C81+ReDiarioFert!C82+ReDiarioFert!C83))&lt;=0,"0",($C$12*(ReDiarioFert!C81+ReDiarioFert!C82+ReDiarioFert!C83)))</f>
        <v>55.13952442706839</v>
      </c>
      <c r="G48">
        <f>$C$12*(ReDiarioFert!E81+ReDiarioFert!E82+ReDiarioFert!E83)</f>
        <v>21.284053041346475</v>
      </c>
      <c r="I48">
        <f>$C$12*(ReDiarioFert!G81+ReDiarioFert!G82+ReDiarioFert!G83)</f>
        <v>62.494947015813615</v>
      </c>
      <c r="K48">
        <f>$C$12*(ReDiarioFert!I81+ReDiarioFert!I82+ReDiarioFert!I83)</f>
        <v>0.0005775875756330176</v>
      </c>
      <c r="M48">
        <f>$C$12*(ReDiarioFert!K81+ReDiarioFert!K82+ReDiarioFert!K83)</f>
        <v>0.002009066183392497</v>
      </c>
      <c r="O48">
        <f>$C$12*(ReDiarioFert!M81+ReDiarioFert!M82+ReDiarioFert!M83)</f>
        <v>432.6839590243902</v>
      </c>
      <c r="S48">
        <f>((E48/100)*$G$59+(G48/100)*$G$60+(I48/100)*$G$61+(K48/100)*$G$62+(M48/100)*$G$63+(O48)*$G$64+(Q48*$G$65))</f>
        <v>669.7880665205784</v>
      </c>
    </row>
    <row r="49">
      <c r="A49">
        <v>12</v>
      </c>
      <c r="B49">
        <f>B48+3</f>
        <v>78</v>
      </c>
      <c r="C49">
        <f>$I$11+B49</f>
        <v>39557</v>
      </c>
      <c r="E49">
        <f>IF(($C$12*(ReDiarioFert!C84+ReDiarioFert!C85))&lt;=0,"0",($C$12*(ReDiarioFert!C84+ReDiarioFert!C85)))</f>
        <v>32.321300815954</v>
      </c>
      <c r="G49">
        <f>$C$12*(ReDiarioFert!E84+ReDiarioFert!E85)</f>
        <v>14.189368694230982</v>
      </c>
      <c r="I49">
        <f>$C$12*(ReDiarioFert!G84+ReDiarioFert!G85)</f>
        <v>41.66329801054241</v>
      </c>
      <c r="K49">
        <f>$C$12*(ReDiarioFert!I84+ReDiarioFert!I85)</f>
        <v>0.000385058383755345</v>
      </c>
      <c r="M49">
        <f>$C$12*(ReDiarioFert!K84+ReDiarioFert!K85)</f>
        <v>0.001339377455594998</v>
      </c>
      <c r="O49">
        <f>$C$12*(ReDiarioFert!M84+ReDiarioFert!M85)</f>
        <v>288.4559726829268</v>
      </c>
      <c r="Q49">
        <f>$C$12*Main!$D$63</f>
        <v>20.019999999999996</v>
      </c>
      <c r="S49">
        <f>((E49/100)*$G$59+(G49/100)*$G$60+(I49/100)*$G$61+(K49/100)*$G$62+(M49/100)*$G$63+(O49)*$G$64+(Q49*$G$65))</f>
        <v>484.60593003191457</v>
      </c>
    </row>
    <row r="50">
      <c r="B50">
        <f>B49+2</f>
        <v>80</v>
      </c>
      <c r="C50">
        <f>$I$11+B50</f>
        <v>39559</v>
      </c>
      <c r="E50">
        <f>IF(($C$12*(ReDiarioFert!C86+ReDiarioFert!C87))&lt;=0,"0",($C$12*(ReDiarioFert!C86+ReDiarioFert!C87)))</f>
        <v>32.321300815954</v>
      </c>
      <c r="G50">
        <f>$C$12*(ReDiarioFert!E86+ReDiarioFert!E87)</f>
        <v>14.189368694230982</v>
      </c>
      <c r="I50">
        <f>$C$12*(ReDiarioFert!G86+ReDiarioFert!G87)</f>
        <v>41.66329801054241</v>
      </c>
      <c r="K50">
        <f>$C$12*(ReDiarioFert!I86+ReDiarioFert!I87)</f>
        <v>0.000385058383755345</v>
      </c>
      <c r="M50">
        <f>$C$12*(ReDiarioFert!K86+ReDiarioFert!K87)</f>
        <v>0.001339377455594998</v>
      </c>
      <c r="O50">
        <f>$C$12*(ReDiarioFert!M86+ReDiarioFert!M87)</f>
        <v>318.29602682926827</v>
      </c>
      <c r="S50">
        <f>((E50/100)*$G$59+(G50/100)*$G$60+(I50/100)*$G$61+(K50/100)*$G$62+(M50/100)*$G$63+(O50)*$G$64+(Q50*$G$65))</f>
        <v>429.7435321977683</v>
      </c>
    </row>
    <row r="51">
      <c r="B51">
        <f>B50+2</f>
        <v>82</v>
      </c>
      <c r="C51">
        <f>$I$11+B51</f>
        <v>39561</v>
      </c>
      <c r="E51">
        <f>IF(($C$12*(ReDiarioFert!C88+ReDiarioFert!C89+ReDiarioFert!C90))&lt;=0,"0",($C$12*(ReDiarioFert!C88+ReDiarioFert!C89+ReDiarioFert!C90)))</f>
        <v>48.481951223931</v>
      </c>
      <c r="G51">
        <f>$C$12*(ReDiarioFert!E88+ReDiarioFert!E89+ReDiarioFert!E90)</f>
        <v>21.284053041346475</v>
      </c>
      <c r="I51">
        <f>$C$12*(ReDiarioFert!G88+ReDiarioFert!G89+ReDiarioFert!G90)</f>
        <v>62.494947015813615</v>
      </c>
      <c r="K51">
        <f>$C$12*(ReDiarioFert!I88+ReDiarioFert!I89+ReDiarioFert!I90)</f>
        <v>0.0005775875756330176</v>
      </c>
      <c r="M51">
        <f>$C$12*(ReDiarioFert!K88+ReDiarioFert!K89+ReDiarioFert!K90)</f>
        <v>0.002009066183392497</v>
      </c>
      <c r="O51">
        <f>$C$12*(ReDiarioFert!M88+ReDiarioFert!M89+ReDiarioFert!M90)</f>
        <v>522.2041214634146</v>
      </c>
      <c r="S51">
        <f>((E51/100)*$G$59+(G51/100)*$G$60+(I51/100)*$G$61+(K51/100)*$G$62+(M51/100)*$G$63+(O51)*$G$64+(Q51*$G$65))</f>
        <v>646.405701545433</v>
      </c>
    </row>
    <row r="52" ht="18" customHeight="1">
      <c r="A52">
        <v>13</v>
      </c>
      <c r="B52">
        <f>B51+3</f>
        <v>85</v>
      </c>
      <c r="C52">
        <f>$I$11+B52</f>
        <v>39564</v>
      </c>
      <c r="E52">
        <f>IF(($C$12*(ReDiarioFert!C91+ReDiarioFert!C92))&lt;=0,"0",($C$12*(ReDiarioFert!C91+ReDiarioFert!C92)))</f>
        <v>30.10210974824153</v>
      </c>
      <c r="G52">
        <f>$C$12*(ReDiarioFert!E91+ReDiarioFert!E92)</f>
        <v>14.189368694230982</v>
      </c>
      <c r="I52">
        <f>$C$12*(ReDiarioFert!G91+ReDiarioFert!G92)</f>
        <v>41.66329801054241</v>
      </c>
      <c r="K52">
        <f>$C$12*(ReDiarioFert!I91+ReDiarioFert!I92)</f>
        <v>0.000385058383755345</v>
      </c>
      <c r="M52">
        <f>$C$12*(ReDiarioFert!K91+ReDiarioFert!K92)</f>
        <v>0.001339377455594998</v>
      </c>
      <c r="O52">
        <f>$C$12*(ReDiarioFert!M91+ReDiarioFert!M92)</f>
        <v>348.13608097560973</v>
      </c>
      <c r="Q52">
        <f>$C$12*Main!$D$63</f>
        <v>20.019999999999996</v>
      </c>
      <c r="S52">
        <f>((E52/100)*$G$59+(G52/100)*$G$60+(I52/100)*$G$61+(K52/100)*$G$62+(M52/100)*$G$63+(O52)*$G$64+(Q52*$G$65))</f>
        <v>478.00541053938645</v>
      </c>
    </row>
    <row r="53" ht="18" customHeight="1">
      <c r="B53">
        <f>B52+2</f>
        <v>87</v>
      </c>
      <c r="C53">
        <f>$I$11+B53</f>
        <v>39566</v>
      </c>
      <c r="E53">
        <f>IF(($C$12*(ReDiarioFert!C93+ReDiarioFert!C94))&lt;=0,"0",($C$12*(ReDiarioFert!C93+ReDiarioFert!C94)))</f>
        <v>30.10210974824153</v>
      </c>
      <c r="G53">
        <f>$C$12*(ReDiarioFert!E93+ReDiarioFert!E94)</f>
        <v>14.189368694230982</v>
      </c>
      <c r="I53">
        <f>$C$12*(ReDiarioFert!G93+ReDiarioFert!G94)</f>
        <v>41.66329801054241</v>
      </c>
      <c r="K53">
        <f>$C$12*(ReDiarioFert!I93+ReDiarioFert!I94)</f>
        <v>0.000385058383755345</v>
      </c>
      <c r="M53">
        <f>$C$12*(ReDiarioFert!K93+ReDiarioFert!K94)</f>
        <v>0.001339377455594998</v>
      </c>
      <c r="O53">
        <f>$C$12*(ReDiarioFert!M93+ReDiarioFert!M94)</f>
        <v>348.13608097560973</v>
      </c>
      <c r="S53">
        <f>((E53/100)*$G$59+(G53/100)*$G$60+(I53/100)*$G$61+(K53/100)*$G$62+(M53/100)*$G$63+(O53)*$G$64+(Q53*$G$65))</f>
        <v>421.94941053938646</v>
      </c>
    </row>
    <row r="54" ht="18" customHeight="1">
      <c r="B54">
        <f>B53+2</f>
        <v>89</v>
      </c>
      <c r="C54">
        <f>$I$11+B54</f>
        <v>39568</v>
      </c>
      <c r="E54">
        <f>IF(($C$12*(ReDiarioFert!C95+ReDiarioFert!C96+ReDiarioFert!C97))&lt;=0,"0",($C$12*(ReDiarioFert!C95+ReDiarioFert!C96+ReDiarioFert!C97)))</f>
        <v>45.1531646223623</v>
      </c>
      <c r="G54">
        <f>$C$12*(ReDiarioFert!E95+ReDiarioFert!E96+ReDiarioFert!E97)</f>
        <v>21.284053041346475</v>
      </c>
      <c r="I54">
        <f>$C$12*(ReDiarioFert!G95+ReDiarioFert!G96+ReDiarioFert!G97)</f>
        <v>62.494947015813615</v>
      </c>
      <c r="K54">
        <f>$C$12*(ReDiarioFert!I95+ReDiarioFert!I96+ReDiarioFert!I97)</f>
        <v>0.0005775875756330176</v>
      </c>
      <c r="M54">
        <f>$C$12*(ReDiarioFert!K95+ReDiarioFert!K96+ReDiarioFert!K97)</f>
        <v>0.002009066183392497</v>
      </c>
      <c r="O54">
        <f>$C$12*(ReDiarioFert!M95+ReDiarioFert!M96+ReDiarioFert!M97)</f>
        <v>522.2041214634146</v>
      </c>
      <c r="S54">
        <f>((E54/100)*$G$59+(G54/100)*$G$60+(I54/100)*$G$61+(K54/100)*$G$62+(M54/100)*$G$63+(O54)*$G$64+(Q54*$G$65))</f>
        <v>632.9241158090797</v>
      </c>
    </row>
    <row r="55">
      <c r="C55" t="str">
        <v>Total</v>
      </c>
      <c r="E55">
        <f>SUM(E16:E54)</f>
        <v>1109.4602741521728</v>
      </c>
      <c r="G55">
        <f>SUM(G16:G54)</f>
        <v>374.06723220166424</v>
      </c>
      <c r="I55">
        <f>SUM(I16:I54)</f>
        <v>1118.3878344221257</v>
      </c>
      <c r="K55">
        <f>SUM(K16:K54)</f>
        <v>0.010336306353502179</v>
      </c>
      <c r="M55">
        <f>SUM(M16:M54)</f>
        <v>0.03595354961236312</v>
      </c>
      <c r="O55">
        <f>SUM(O16:O54)</f>
        <v>8952.066538048777</v>
      </c>
      <c r="Q55">
        <f>SUM(Q16:Q54)</f>
        <v>260.2599999999999</v>
      </c>
      <c r="S55">
        <f>SUM(S16:S54)</f>
        <v>13222.104930901312</v>
      </c>
    </row>
    <row r="56">
      <c r="D56" t="str">
        <v>OJO cualquier cultivo que no se termine la cosecha en el ultimo dia del calendario solo seguir repitiendo la ultima aplicacion de fertilizante.</v>
      </c>
    </row>
    <row r="57" ht="39.75" customHeight="1">
      <c r="B57" t="str">
        <v>Producto</v>
      </c>
      <c r="F57" t="str">
        <v>Lbs/Ha</v>
      </c>
      <c r="G57" t="str">
        <v>Costo por qq</v>
      </c>
    </row>
    <row r="58" ht="24" customHeight="1">
      <c r="G58" t="str">
        <f>Main!$E$25</f>
        <v>Lempiras</v>
      </c>
    </row>
    <row r="59">
      <c r="B59" t="str">
        <f>Main!D42</f>
        <v>Nitrato de Amonio</v>
      </c>
      <c r="F59">
        <f>E55/C12</f>
        <v>1108.351922229943</v>
      </c>
      <c r="G59">
        <f>Main!D43</f>
        <v>405</v>
      </c>
    </row>
    <row r="60">
      <c r="B60" t="str">
        <f>Main!D32</f>
        <v>DAP 18-46-0</v>
      </c>
      <c r="F60">
        <f>G55/C12</f>
        <v>373.6935386630013</v>
      </c>
      <c r="G60">
        <f>Main!D33</f>
        <v>560</v>
      </c>
    </row>
    <row r="61">
      <c r="B61" t="str">
        <f>Main!D37</f>
        <v>Kcl Soluble</v>
      </c>
      <c r="F61">
        <f>I55/C12</f>
        <v>1117.2705638582675</v>
      </c>
      <c r="G61">
        <f>Main!D38</f>
        <v>496</v>
      </c>
    </row>
    <row r="62">
      <c r="B62" t="str">
        <f>Main!D47</f>
        <v>Sin Magnecio</v>
      </c>
      <c r="F62">
        <f>K55/C12</f>
        <v>0.01032598037312905</v>
      </c>
      <c r="G62">
        <f>Main!D48</f>
        <v>0</v>
      </c>
    </row>
    <row r="63">
      <c r="B63" t="str">
        <f>Main!D52</f>
        <v>Sin Calcio</v>
      </c>
      <c r="F63">
        <f>M55/C12</f>
        <v>0.03591763198038274</v>
      </c>
      <c r="G63">
        <f>Main!D53</f>
        <v>0</v>
      </c>
    </row>
    <row r="64">
      <c r="B64" t="str">
        <f>Main!D57</f>
        <v>Solubor</v>
      </c>
      <c r="F64">
        <f>O55/C12</f>
        <v>8943.123414634145</v>
      </c>
      <c r="G64">
        <f>Main!D58</f>
        <v>0.04</v>
      </c>
      <c r="I64" t="str">
        <v xml:space="preserve">Preparado y Autorizado Por </v>
      </c>
    </row>
    <row r="65" ht="18" customHeight="1">
      <c r="B65" t="str">
        <f>Main!D61</f>
        <v>Melaza</v>
      </c>
      <c r="F65">
        <f>Q55/C12</f>
        <v>259.9999999999999</v>
      </c>
      <c r="G65">
        <f>Main!D62</f>
        <v>2.8</v>
      </c>
      <c r="I65" t="str">
        <v>MSc Ricardo D. Lardizábal</v>
      </c>
    </row>
    <row r="66" ht="17.4" customHeight="1">
      <c r="B66" t="str">
        <v>NOTA: El Nitrato de Calcio se debe de diluir en un barril aparte para inyectarse al sistema</v>
      </c>
    </row>
    <row r="69">
      <c r="B69" t="str">
        <v>Abreviaciones usadas</v>
      </c>
    </row>
    <row r="70">
      <c r="B70" t="str">
        <v>Mz-Manzanas, Ha-Hectáreas, Lbs-Libras, Lts-Litros y DDT-Días después de Transplante</v>
      </c>
    </row>
  </sheetData>
  <sheetProtection sheet="1"/>
  <mergeCells count="53">
    <mergeCell ref="G64:H64"/>
    <mergeCell ref="I65:Q65"/>
    <mergeCell ref="I9:M9"/>
    <mergeCell ref="I10:M10"/>
    <mergeCell ref="I11:M11"/>
    <mergeCell ref="I12:M12"/>
    <mergeCell ref="I64:Q64"/>
    <mergeCell ref="S14:S15"/>
    <mergeCell ref="M14:N14"/>
    <mergeCell ref="Q14:R14"/>
    <mergeCell ref="O14:P14"/>
    <mergeCell ref="G59:H59"/>
    <mergeCell ref="G60:H60"/>
    <mergeCell ref="I14:J14"/>
    <mergeCell ref="K14:L14"/>
    <mergeCell ref="G57:H57"/>
    <mergeCell ref="G58:H58"/>
    <mergeCell ref="A11:B11"/>
    <mergeCell ref="B62:E62"/>
    <mergeCell ref="B57:E57"/>
    <mergeCell ref="B59:E59"/>
    <mergeCell ref="B60:E60"/>
    <mergeCell ref="B61:E61"/>
    <mergeCell ref="G65:H65"/>
    <mergeCell ref="F12:H12"/>
    <mergeCell ref="A14:A15"/>
    <mergeCell ref="B14:B15"/>
    <mergeCell ref="C14:D14"/>
    <mergeCell ref="E14:F14"/>
    <mergeCell ref="G14:H14"/>
    <mergeCell ref="A12:B12"/>
    <mergeCell ref="C12:E12"/>
    <mergeCell ref="G62:H62"/>
    <mergeCell ref="A9:B9"/>
    <mergeCell ref="G61:H61"/>
    <mergeCell ref="A10:B10"/>
    <mergeCell ref="C10:E10"/>
    <mergeCell ref="C11:E11"/>
    <mergeCell ref="B69:C69"/>
    <mergeCell ref="B65:E65"/>
    <mergeCell ref="B63:E63"/>
    <mergeCell ref="B66:I67"/>
    <mergeCell ref="B64:E64"/>
    <mergeCell ref="F9:H9"/>
    <mergeCell ref="G63:H63"/>
    <mergeCell ref="B70:S70"/>
    <mergeCell ref="P2:S3"/>
    <mergeCell ref="A8:M8"/>
    <mergeCell ref="P5:S7"/>
    <mergeCell ref="P9:S12"/>
    <mergeCell ref="F10:H10"/>
    <mergeCell ref="F11:H11"/>
    <mergeCell ref="C9:E9"/>
  </mergeCells>
  <pageMargins left="0.25" right="0.25" top="0.39" bottom="0.5" header="0.27" footer="0.25"/>
  <ignoredErrors>
    <ignoredError numberStoredAsText="1" sqref="A1:V79"/>
  </ignoredErrors>
  <legacyDrawing r:id="rId1"/>
</worksheet>
</file>

<file path=xl/worksheets/sheet5.xml><?xml version="1.0" encoding="utf-8"?>
<worksheet xmlns="http://schemas.openxmlformats.org/spreadsheetml/2006/main" xmlns:r="http://schemas.openxmlformats.org/officeDocument/2006/relationships">
  <dimension ref="A1:V66"/>
  <sheetViews>
    <sheetView workbookViewId="0" rightToLeft="0"/>
  </sheetViews>
  <sheetData>
    <row r="1" ht="56.4" customHeight="1"/>
    <row r="2" ht="32.7" customHeight="1">
      <c r="P2" t="str">
        <v>Calendario de Fertilización para Goteo 2 Veces Por Semana</v>
      </c>
    </row>
    <row r="3" ht="32.7" customHeight="1"/>
    <row r="5">
      <c r="P5" t="str">
        <f>Main!$E$21</f>
        <v>Repollo</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Izalco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39479</v>
      </c>
    </row>
    <row r="12" ht="20.1" customHeight="1">
      <c r="A12" t="str">
        <v>Área Ha.</v>
      </c>
      <c r="C12">
        <f>Main!I22</f>
        <v>1.001</v>
      </c>
      <c r="G12" t="str">
        <v>Fecha de Cosecha:</v>
      </c>
      <c r="J12">
        <f>J11+Main!E24</f>
        <v>39569</v>
      </c>
    </row>
    <row r="13" ht="19.5" customHeight="1"/>
    <row r="14" ht="28.5" customHeight="1">
      <c r="A14" t="str">
        <v>Semana</v>
      </c>
      <c r="B14" t="str">
        <v>DDT</v>
      </c>
      <c r="C14" t="str">
        <v>FECHA</v>
      </c>
      <c r="E14" t="str">
        <f>Main!$D$42</f>
        <v>Nitrato de Amonio</v>
      </c>
      <c r="G14" t="str">
        <f>Main!$D$32</f>
        <v>DAP 18-46-0</v>
      </c>
      <c r="I14" t="str">
        <f>Main!$D$37</f>
        <v>Kcl Soluble</v>
      </c>
      <c r="K14" t="str">
        <f>Main!$D$47</f>
        <v>Sin Magnecio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t="str">
        <f>Main!E57</f>
        <v>Gramos</v>
      </c>
      <c r="P15" t="str">
        <v>Cambios</v>
      </c>
      <c r="Q15" t="str">
        <f>Main!$E$61</f>
        <v>Lts</v>
      </c>
      <c r="R15" t="str">
        <v>Cambios</v>
      </c>
    </row>
    <row r="16" ht="18.75" customHeight="1">
      <c r="A16">
        <v>1</v>
      </c>
      <c r="B16">
        <v>3</v>
      </c>
      <c r="C16">
        <f>$J$11+B16</f>
        <v>39482</v>
      </c>
      <c r="D16" t="str">
        <f>Main!$H$81</f>
        <v>Furadan 48 SC</v>
      </c>
      <c r="E16">
        <f>IF(((SUM(ReDiarioFert!C7:C13)/2)*$C$12)&lt;=0,"0",(((SUM(ReDiarioFert!C7:C13)/2)*$C$12)))</f>
        <v>15.018894292919525</v>
      </c>
      <c r="G16">
        <f>IF(((SUM(ReDiarioFert!E7:E13)/2)*$C$12)&lt;=0,"0",(((SUM(ReDiarioFert!E7:E13)/2)*$C$12)))</f>
        <v>3.724709282235632</v>
      </c>
      <c r="I16">
        <f>IF(((SUM(ReDiarioFert!G7:G13)/2)*$C$12)&lt;=0,"0",(((SUM(ReDiarioFert!G7:G13)/2)*$C$12)))</f>
        <v>11.412120759409445</v>
      </c>
      <c r="K16">
        <f>IF(((SUM(ReDiarioFert!I7:I13)/2)*$C$12)&lt;=0,"0",(((SUM(ReDiarioFert!I7:I13)/2)*$C$12)))</f>
        <v>0.00010547251381124668</v>
      </c>
      <c r="M16">
        <f>IF(((SUM(ReDiarioFert!K7:K13)/2)*$C$12)&lt;=0,"0",(((SUM(ReDiarioFert!K7:K13)/2)*$C$12)))</f>
        <v>0.0003668729552281951</v>
      </c>
      <c r="O16">
        <f>IF(((SUM(ReDiarioFert!M7:M13)/2)*$C$12)&lt;=0,"0",(((SUM(ReDiarioFert!M7:M13)/2)*$C$12)))</f>
        <v>87.03377609756097</v>
      </c>
      <c r="Q16">
        <f>$C$12*Main!$D$63</f>
        <v>20.019999999999996</v>
      </c>
      <c r="R16">
        <f>Main!$K$81*Main!$I$22</f>
        <v>3.788785</v>
      </c>
      <c r="S16">
        <f>((E16/100)*$G$46+(G16/100)*$G$47+(I16/100)*$G$48+(K16/100)*$G$49+(M16/100)*$G$50+(O16)*$G$51+(Q16*$G$52)+(R16*Main!$J$81))</f>
        <v>1648.9310188774168</v>
      </c>
    </row>
    <row r="17" ht="18.75" customHeight="1">
      <c r="B17">
        <v>7</v>
      </c>
      <c r="C17">
        <f>$J$11+B17</f>
        <v>39486</v>
      </c>
      <c r="E17">
        <f>E16</f>
        <v>15.018894292919525</v>
      </c>
      <c r="G17">
        <f>G16</f>
        <v>3.724709282235632</v>
      </c>
      <c r="I17">
        <f>I16</f>
        <v>11.412120759409445</v>
      </c>
      <c r="K17">
        <f>K16</f>
        <v>0.00010547251381124668</v>
      </c>
      <c r="M17">
        <f>M16</f>
        <v>0.0003668729552281951</v>
      </c>
      <c r="O17">
        <f>O16</f>
        <v>87.03377609756097</v>
      </c>
      <c r="S17">
        <f>((E17/100)*$G$46+(G17/100)*$G$47+(I17/100)*$G$48+(K17/100)*$G$49+(M17/100)*$G$50+(O17)*$G$51+(Q17*$G$52))</f>
        <v>141.77036387741688</v>
      </c>
    </row>
    <row r="18">
      <c r="A18">
        <v>2</v>
      </c>
      <c r="B18">
        <f>B17+3</f>
        <v>10</v>
      </c>
      <c r="C18">
        <f>$J$11+B18</f>
        <v>39489</v>
      </c>
      <c r="E18">
        <f>IF(((SUM(ReDiarioFert!C14:C20)/2)*$C$12)&lt;=0,"0",(((SUM(ReDiarioFert!C14:C20)/2)*$C$12)))</f>
        <v>19.310006948039387</v>
      </c>
      <c r="G18">
        <f>IF(((SUM(ReDiarioFert!E14:E20)/2)*$C$12)&lt;=0,"0",(((SUM(ReDiarioFert!E14:E20)/2)*$C$12)))</f>
        <v>4.788911934302955</v>
      </c>
      <c r="I18">
        <f>IF(((SUM(ReDiarioFert!G14:G20)/2)*$C$12)&lt;=0,"0",(((SUM(ReDiarioFert!G14:G20)/2)*$C$12)))</f>
        <v>14.672726690669288</v>
      </c>
      <c r="K18">
        <f>IF(((SUM(ReDiarioFert!I14:I20)/2)*$C$12)&lt;=0,"0",(((SUM(ReDiarioFert!I14:I20)/2)*$C$12)))</f>
        <v>0.00013560751775731715</v>
      </c>
      <c r="M18">
        <f>IF(((SUM(ReDiarioFert!K14:K20)/2)*$C$12)&lt;=0,"0",(((SUM(ReDiarioFert!K14:K20)/2)*$C$12)))</f>
        <v>0.0004716937995791081</v>
      </c>
      <c r="O18">
        <f>IF(((SUM(ReDiarioFert!M14:M20)/2)*$C$12)&lt;=0,"0",(((SUM(ReDiarioFert!M14:M20)/2)*$C$12)))</f>
        <v>126.82084048780487</v>
      </c>
      <c r="Q18">
        <f>$C$12*Main!$D$63</f>
        <v>20.019999999999996</v>
      </c>
      <c r="S18">
        <f>((E18/100)*$G$46+(G18/100)*$G$47+(I18/100)*$G$48+(K18/100)*$G$49+(M18/100)*$G$50+(O18)*$G$51+(Q18*$G$52))</f>
        <v>238.92899297688788</v>
      </c>
    </row>
    <row r="19">
      <c r="B19">
        <f>B18+4</f>
        <v>14</v>
      </c>
      <c r="C19">
        <f>$J$11+B19</f>
        <v>39493</v>
      </c>
      <c r="E19">
        <f>E18</f>
        <v>19.310006948039387</v>
      </c>
      <c r="G19">
        <f>G18</f>
        <v>4.788911934302955</v>
      </c>
      <c r="I19">
        <f>I18</f>
        <v>14.672726690669288</v>
      </c>
      <c r="K19">
        <f>K18</f>
        <v>0.00013560751775731715</v>
      </c>
      <c r="M19">
        <f>M18</f>
        <v>0.0004716937995791081</v>
      </c>
      <c r="O19">
        <f>O18</f>
        <v>126.82084048780487</v>
      </c>
      <c r="S19">
        <f>((E19/100)*$G$46+(G19/100)*$G$47+(I19/100)*$G$48+(K19/100)*$G$49+(M19/100)*$G$50+(O19)*$G$51+(Q19*$G$52))</f>
        <v>182.8729929768879</v>
      </c>
    </row>
    <row r="20">
      <c r="A20">
        <v>3</v>
      </c>
      <c r="B20">
        <f>B19+3</f>
        <v>17</v>
      </c>
      <c r="C20">
        <f>$J$11+B20</f>
        <v>39496</v>
      </c>
      <c r="E20">
        <f>IF(((SUM(ReDiarioFert!C21:C27)/2)*$C$12)&lt;=0,"0",(((SUM(ReDiarioFert!C21:C27)/2)*$C$12)))</f>
        <v>24.648506310867393</v>
      </c>
      <c r="G20">
        <f>IF(((SUM(ReDiarioFert!E21:E27)/2)*$C$12)&lt;=0,"0",(((SUM(ReDiarioFert!E21:E27)/2)*$C$12)))</f>
        <v>6.651266575420772</v>
      </c>
      <c r="I20">
        <f>IF(((SUM(ReDiarioFert!G21:G27)/2)*$C$12)&lt;=0,"0",(((SUM(ReDiarioFert!G21:G27)/2)*$C$12)))</f>
        <v>20.378787070374013</v>
      </c>
      <c r="K20">
        <f>IF(((SUM(ReDiarioFert!I21:I27)/2)*$C$12)&lt;=0,"0",(((SUM(ReDiarioFert!I21:I27)/2)*$C$12)))</f>
        <v>0.00018834377466294053</v>
      </c>
      <c r="M20">
        <f>IF(((SUM(ReDiarioFert!K21:K27)/2)*$C$12)&lt;=0,"0",(((SUM(ReDiarioFert!K21:K27)/2)*$C$12)))</f>
        <v>0.0006551302771932056</v>
      </c>
      <c r="O20">
        <f>IF(((SUM(ReDiarioFert!M21:M27)/2)*$C$12)&lt;=0,"0",(((SUM(ReDiarioFert!M21:M27)/2)*$C$12)))</f>
        <v>186.50070463414633</v>
      </c>
      <c r="Q20">
        <f>$C$12*Main!$D$63</f>
        <v>20.019999999999996</v>
      </c>
      <c r="S20">
        <f>((E20/100)*$G$46+(G20/100)*$G$47+(I20/100)*$G$48+(K20/100)*$G$49+(M20/100)*$G$50+(O20)*$G$51+(Q20*$G$52))</f>
        <v>301.6683554357902</v>
      </c>
    </row>
    <row r="21">
      <c r="B21">
        <f>B20+4</f>
        <v>21</v>
      </c>
      <c r="C21">
        <f>$J$11+B21</f>
        <v>39500</v>
      </c>
      <c r="E21">
        <f>E20</f>
        <v>24.648506310867393</v>
      </c>
      <c r="G21">
        <f>G20</f>
        <v>6.651266575420772</v>
      </c>
      <c r="I21">
        <f>I20</f>
        <v>20.378787070374013</v>
      </c>
      <c r="K21">
        <f>K20</f>
        <v>0.00018834377466294053</v>
      </c>
      <c r="M21">
        <f>M20</f>
        <v>0.0006551302771932056</v>
      </c>
      <c r="O21">
        <f>O20</f>
        <v>186.50070463414633</v>
      </c>
      <c r="S21">
        <f>((E21/100)*$G$46+(G21/100)*$G$47+(I21/100)*$G$48+(K21/100)*$G$49+(M21/100)*$G$50+(O21)*$G$51+(Q21*$G$52))</f>
        <v>245.61235543579022</v>
      </c>
    </row>
    <row r="22">
      <c r="A22">
        <v>4</v>
      </c>
      <c r="B22">
        <f>B21+3</f>
        <v>24</v>
      </c>
      <c r="C22">
        <f>$J$11+B22</f>
        <v>39503</v>
      </c>
      <c r="E22">
        <f>IF(((SUM(ReDiarioFert!C28:C34)/2)*$C$12)&lt;=0,"0",(((SUM(ReDiarioFert!C28:C34)/2)*$C$12)))</f>
        <v>27.606327068171478</v>
      </c>
      <c r="G22">
        <f>IF(((SUM(ReDiarioFert!E28:E34)/2)*$C$12)&lt;=0,"0",(((SUM(ReDiarioFert!E28:E34)/2)*$C$12)))</f>
        <v>7.449418564471264</v>
      </c>
      <c r="I22">
        <f>IF(((SUM(ReDiarioFert!G28:G34)/2)*$C$12)&lt;=0,"0",(((SUM(ReDiarioFert!G28:G34)/2)*$C$12)))</f>
        <v>22.82424151881889</v>
      </c>
      <c r="K22">
        <f>IF(((SUM(ReDiarioFert!I28:I34)/2)*$C$12)&lt;=0,"0",(((SUM(ReDiarioFert!I28:I34)/2)*$C$12)))</f>
        <v>0.00021094502762249336</v>
      </c>
      <c r="M22">
        <f>IF(((SUM(ReDiarioFert!K28:K34)/2)*$C$12)&lt;=0,"0",(((SUM(ReDiarioFert!K28:K34)/2)*$C$12)))</f>
        <v>0.0007337459104563902</v>
      </c>
      <c r="O22">
        <f>IF(((SUM(ReDiarioFert!M28:M34)/2)*$C$12)&lt;=0,"0",(((SUM(ReDiarioFert!M28:M34)/2)*$C$12)))</f>
        <v>208.88037902439024</v>
      </c>
      <c r="Q22">
        <f>$C$12*Main!$D$63</f>
        <v>20.019999999999996</v>
      </c>
      <c r="S22">
        <f>((E22/100)*$G$46+(G22/100)*$G$47+(I22/100)*$G$48+(K22/100)*$G$49+(M22/100)*$G$50+(O22)*$G$51+(Q22*$G$52))</f>
        <v>331.14182168145084</v>
      </c>
    </row>
    <row r="23">
      <c r="B23">
        <f>B22+4</f>
        <v>28</v>
      </c>
      <c r="C23">
        <f>$J$11+B23</f>
        <v>39507</v>
      </c>
      <c r="D23" t="str">
        <f>Main!$H$83</f>
        <v>Acido Salicílico</v>
      </c>
      <c r="E23">
        <f>E22</f>
        <v>27.606327068171478</v>
      </c>
      <c r="G23">
        <f>G22</f>
        <v>7.449418564471264</v>
      </c>
      <c r="I23">
        <f>I22</f>
        <v>22.82424151881889</v>
      </c>
      <c r="K23">
        <f>K22</f>
        <v>0.00021094502762249336</v>
      </c>
      <c r="M23">
        <f>M22</f>
        <v>0.0007337459104563902</v>
      </c>
      <c r="O23">
        <f>O22</f>
        <v>208.88037902439024</v>
      </c>
      <c r="R23">
        <f>Main!$K$83*Main!$I$22</f>
        <v>250.24999999999997</v>
      </c>
      <c r="S23">
        <f>((E23/100)*$G$46+(G23/100)*$G$47+(I23/100)*$G$48+(K23/100)*$G$49+(M23/100)*$G$50+(O23)*$G$51+(Q23*$G$52)+(R23*Main!$J$83))</f>
        <v>317.62832168145087</v>
      </c>
    </row>
    <row r="24">
      <c r="A24">
        <v>5</v>
      </c>
      <c r="B24">
        <f>B23+3</f>
        <v>31</v>
      </c>
      <c r="C24">
        <f>$J$11+B24</f>
        <v>39510</v>
      </c>
      <c r="D24" t="str">
        <f>Main!$H$86</f>
        <v>BaZam</v>
      </c>
      <c r="E24">
        <f>IF(((SUM(ReDiarioFert!C35:C41)/2)*$C$12)&lt;=0,"0",(((SUM(ReDiarioFert!C35:C41)/2)*$C$12)))</f>
        <v>33.52196858277966</v>
      </c>
      <c r="G24">
        <f>IF(((SUM(ReDiarioFert!E35:E41)/2)*$C$12)&lt;=0,"0",(((SUM(ReDiarioFert!E35:E41)/2)*$C$12)))</f>
        <v>9.045722542572248</v>
      </c>
      <c r="I24">
        <f>IF(((SUM(ReDiarioFert!G35:G41)/2)*$C$12)&lt;=0,"0",(((SUM(ReDiarioFert!G35:G41)/2)*$C$12)))</f>
        <v>27.715150415708653</v>
      </c>
      <c r="K24">
        <f>IF(((SUM(ReDiarioFert!I35:I41)/2)*$C$12)&lt;=0,"0",(((SUM(ReDiarioFert!I35:I41)/2)*$C$12)))</f>
        <v>0.0002561475335415991</v>
      </c>
      <c r="M24">
        <f>IF(((SUM(ReDiarioFert!K35:K41)/2)*$C$12)&lt;=0,"0",(((SUM(ReDiarioFert!K35:K41)/2)*$C$12)))</f>
        <v>0.0008909771769827597</v>
      </c>
      <c r="O24">
        <f>IF(((SUM(ReDiarioFert!M35:M41)/2)*$C$12)&lt;=0,"0",(((SUM(ReDiarioFert!M35:M41)/2)*$C$12)))</f>
        <v>246.18130121951222</v>
      </c>
      <c r="Q24">
        <f>$C$12*Main!$D$63</f>
        <v>20.019999999999996</v>
      </c>
      <c r="R24">
        <f>Main!$K$86*Main!$I$22</f>
        <v>1.001</v>
      </c>
      <c r="S24">
        <f>((E24/100)*$G$46+(G24/100)*$G$47+(I24/100)*$G$48+(K24/100)*$G$49+(M24/100)*$G$50+(O24)*$G$51+(Q24*$G$52)+(R24*Main!$J$86))</f>
        <v>770.1704171093575</v>
      </c>
    </row>
    <row r="25">
      <c r="B25">
        <f>B24+4</f>
        <v>35</v>
      </c>
      <c r="C25">
        <f>$J$11+B25</f>
        <v>39514</v>
      </c>
      <c r="D25" t="str">
        <f>Main!$H$84</f>
        <v>Acido Fosforoso</v>
      </c>
      <c r="E25">
        <f>E24</f>
        <v>33.52196858277966</v>
      </c>
      <c r="G25">
        <f>G24</f>
        <v>9.045722542572248</v>
      </c>
      <c r="I25">
        <f>I24</f>
        <v>27.715150415708653</v>
      </c>
      <c r="K25">
        <f>K24</f>
        <v>0.0002561475335415991</v>
      </c>
      <c r="M25">
        <f>M24</f>
        <v>0.0008909771769827597</v>
      </c>
      <c r="O25">
        <f>O24</f>
        <v>246.18130121951222</v>
      </c>
      <c r="R25">
        <f>Main!$K$84*Main!$I$22</f>
        <v>5.004999999999999</v>
      </c>
      <c r="S25">
        <f>((E25/100)*$G$46+(G25/100)*$G$47+(I25/100)*$G$48+(K25/100)*$G$49+(M25/100)*$G$50+(O25)*$G$51+(Q25*$G$52)+(R25*Main!$J$84))</f>
        <v>734.1344171093575</v>
      </c>
    </row>
    <row r="26">
      <c r="A26">
        <v>6</v>
      </c>
      <c r="B26">
        <f>B25+3</f>
        <v>38</v>
      </c>
      <c r="C26">
        <f>$J$11+B26</f>
        <v>39517</v>
      </c>
      <c r="E26">
        <f>IF(((SUM(ReDiarioFert!C42:C48)/2)*$C$12)&lt;=0,"0",(((SUM(ReDiarioFert!C42:C48)/2)*$C$12)))</f>
        <v>37.76229832575585</v>
      </c>
      <c r="G26">
        <f>IF(((SUM(ReDiarioFert!E42:E48)/2)*$C$12)&lt;=0,"0",(((SUM(ReDiarioFert!E42:E48)/2)*$C$12)))</f>
        <v>11.174127846706895</v>
      </c>
      <c r="I26">
        <f>IF(((SUM(ReDiarioFert!G42:G48)/2)*$C$12)&lt;=0,"0",(((SUM(ReDiarioFert!G42:G48)/2)*$C$12)))</f>
        <v>34.236362278228334</v>
      </c>
      <c r="K26">
        <f>IF(((SUM(ReDiarioFert!I42:I48)/2)*$C$12)&lt;=0,"0",(((SUM(ReDiarioFert!I42:I48)/2)*$C$12)))</f>
        <v>0.0003164175414337401</v>
      </c>
      <c r="M26">
        <f>IF(((SUM(ReDiarioFert!K42:K48)/2)*$C$12)&lt;=0,"0",(((SUM(ReDiarioFert!K42:K48)/2)*$C$12)))</f>
        <v>0.0011006188656845855</v>
      </c>
      <c r="O26">
        <f>IF(((SUM(ReDiarioFert!M42:M48)/2)*$C$12)&lt;=0,"0",(((SUM(ReDiarioFert!M42:M48)/2)*$C$12)))</f>
        <v>295.9158641463415</v>
      </c>
      <c r="Q26">
        <f>$C$12*Main!$D$63</f>
        <v>20.019999999999996</v>
      </c>
      <c r="S26">
        <f>((E26/100)*$G$46+(G26/100)*$G$47+(I26/100)*$G$48+(K26/100)*$G$49+(M26/100)*$G$50+(O26)*$G$51+(Q26*$G$52))</f>
        <v>453.217415626736</v>
      </c>
    </row>
    <row r="27">
      <c r="B27">
        <f>B26+4</f>
        <v>42</v>
      </c>
      <c r="C27">
        <f>$J$11+B27</f>
        <v>39521</v>
      </c>
      <c r="E27">
        <f>E26</f>
        <v>37.76229832575585</v>
      </c>
      <c r="G27">
        <f>G26</f>
        <v>11.174127846706895</v>
      </c>
      <c r="I27">
        <f>I26</f>
        <v>34.236362278228334</v>
      </c>
      <c r="K27">
        <f>K26</f>
        <v>0.0003164175414337401</v>
      </c>
      <c r="M27">
        <f>M26</f>
        <v>0.0011006188656845855</v>
      </c>
      <c r="O27">
        <f>O26</f>
        <v>295.9158641463415</v>
      </c>
      <c r="S27">
        <f>((E27/100)*$G$46+(G27/100)*$G$47+(I27/100)*$G$48+(K27/100)*$G$49+(M27/100)*$G$50+(O27)*$G$51+(Q27*$G$52))</f>
        <v>397.161415626736</v>
      </c>
    </row>
    <row r="28">
      <c r="A28">
        <v>7</v>
      </c>
      <c r="B28">
        <f>B27+3</f>
        <v>45</v>
      </c>
      <c r="C28">
        <f>$J$11+B28</f>
        <v>39524</v>
      </c>
      <c r="E28">
        <f>IF(((SUM(ReDiarioFert!C49:C55)/2)*$C$12)&lt;=0,"0",(((SUM(ReDiarioFert!C49:C55)/2)*$C$12)))</f>
        <v>41.35870769011356</v>
      </c>
      <c r="G28">
        <f>IF(((SUM(ReDiarioFert!E49:E55)/2)*$C$12)&lt;=0,"0",(((SUM(ReDiarioFert!E49:E55)/2)*$C$12)))</f>
        <v>12.23833049877422</v>
      </c>
      <c r="I28">
        <f>IF(((SUM(ReDiarioFert!G49:G55)/2)*$C$12)&lt;=0,"0",(((SUM(ReDiarioFert!G49:G55)/2)*$C$12)))</f>
        <v>37.49696820948818</v>
      </c>
      <c r="K28">
        <f>IF(((SUM(ReDiarioFert!I49:I55)/2)*$C$12)&lt;=0,"0",(((SUM(ReDiarioFert!I49:I55)/2)*$C$12)))</f>
        <v>0.00034655254537981057</v>
      </c>
      <c r="M28">
        <f>IF(((SUM(ReDiarioFert!K49:K55)/2)*$C$12)&lt;=0,"0",(((SUM(ReDiarioFert!K49:K55)/2)*$C$12)))</f>
        <v>0.0012054397100354983</v>
      </c>
      <c r="O28">
        <f>IF(((SUM(ReDiarioFert!M49:M55)/2)*$C$12)&lt;=0,"0",(((SUM(ReDiarioFert!M49:M55)/2)*$C$12)))</f>
        <v>325.75591829268296</v>
      </c>
      <c r="Q28">
        <f>$C$12*Main!$D$63</f>
        <v>20.019999999999996</v>
      </c>
      <c r="S28">
        <f>((E28/100)*$G$46+(G28/100)*$G$47+(I28/100)*$G$48+(K28/100)*$G$49+(M28/100)*$G$50+(O28)*$G$51+(Q28*$G$52))</f>
        <v>491.1086159888642</v>
      </c>
    </row>
    <row r="29">
      <c r="B29">
        <f>B28+4</f>
        <v>49</v>
      </c>
      <c r="C29">
        <f>$J$11+B29</f>
        <v>39528</v>
      </c>
      <c r="D29" t="str">
        <f>Main!$H$83</f>
        <v>Acido Salicílico</v>
      </c>
      <c r="E29">
        <f>E28</f>
        <v>41.35870769011356</v>
      </c>
      <c r="G29">
        <f>G28</f>
        <v>12.23833049877422</v>
      </c>
      <c r="I29">
        <f>I28</f>
        <v>37.49696820948818</v>
      </c>
      <c r="K29">
        <f>K28</f>
        <v>0.00034655254537981057</v>
      </c>
      <c r="M29">
        <f>M28</f>
        <v>0.0012054397100354983</v>
      </c>
      <c r="O29">
        <f>O28</f>
        <v>325.75591829268296</v>
      </c>
      <c r="R29">
        <f>Main!$K$83*Main!$I$22</f>
        <v>250.24999999999997</v>
      </c>
      <c r="S29">
        <f>((E29/100)*$G$46+(G29/100)*$G$47+(I29/100)*$G$48+(K29/100)*$G$49+(M29/100)*$G$50+(O29)*$G$51+(Q29*$G$52)+(R29*Main!$J$83))</f>
        <v>477.5951159888642</v>
      </c>
    </row>
    <row r="30">
      <c r="A30">
        <v>8</v>
      </c>
      <c r="B30">
        <f>B29+3</f>
        <v>52</v>
      </c>
      <c r="C30">
        <f>$J$11+B30</f>
        <v>39531</v>
      </c>
      <c r="E30">
        <f>IF(((SUM(ReDiarioFert!C56:C62)/2)*$C$12)&lt;=0,"0",(((SUM(ReDiarioFert!C56:C62)/2)*$C$12)))</f>
        <v>50.34973110100782</v>
      </c>
      <c r="G30">
        <f>IF(((SUM(ReDiarioFert!E56:E62)/2)*$C$12)&lt;=0,"0",(((SUM(ReDiarioFert!E56:E62)/2)*$C$12)))</f>
        <v>14.898837128942528</v>
      </c>
      <c r="I30">
        <f>IF(((SUM(ReDiarioFert!G56:G62)/2)*$C$12)&lt;=0,"0",(((SUM(ReDiarioFert!G56:G62)/2)*$C$12)))</f>
        <v>45.64848303763778</v>
      </c>
      <c r="K30">
        <f>IF(((SUM(ReDiarioFert!I56:I62)/2)*$C$12)&lt;=0,"0",(((SUM(ReDiarioFert!I56:I62)/2)*$C$12)))</f>
        <v>0.0004218900552449867</v>
      </c>
      <c r="M30">
        <f>IF(((SUM(ReDiarioFert!K56:K62)/2)*$C$12)&lt;=0,"0",(((SUM(ReDiarioFert!K56:K62)/2)*$C$12)))</f>
        <v>0.0014674918209127805</v>
      </c>
      <c r="O30">
        <f>IF(((SUM(ReDiarioFert!M56:M62)/2)*$C$12)&lt;=0,"0",(((SUM(ReDiarioFert!M56:M62)/2)*$C$12)))</f>
        <v>400.35605365853655</v>
      </c>
      <c r="Q30">
        <f>$C$12*Main!$D$63</f>
        <v>20.019999999999996</v>
      </c>
      <c r="S30">
        <f>((E30/100)*$G$46+(G30/100)*$G$47+(I30/100)*$G$48+(K30/100)*$G$49+(M30/100)*$G$50+(O30)*$G$51+(Q30*$G$52))</f>
        <v>585.8366168941845</v>
      </c>
    </row>
    <row r="31">
      <c r="B31">
        <f>B30+4</f>
        <v>56</v>
      </c>
      <c r="C31">
        <f>$J$11+B31</f>
        <v>39535</v>
      </c>
      <c r="E31">
        <f>E30</f>
        <v>50.34973110100782</v>
      </c>
      <c r="G31">
        <f>G30</f>
        <v>14.898837128942528</v>
      </c>
      <c r="I31">
        <f>I30</f>
        <v>45.64848303763778</v>
      </c>
      <c r="K31">
        <f>K30</f>
        <v>0.0004218900552449867</v>
      </c>
      <c r="M31">
        <f>M30</f>
        <v>0.0014674918209127805</v>
      </c>
      <c r="O31">
        <f>O30</f>
        <v>400.35605365853655</v>
      </c>
      <c r="S31">
        <f>((E31/100)*$G$46+(G31/100)*$G$47+(I31/100)*$G$48+(K31/100)*$G$49+(M31/100)*$G$50+(O31)*$G$51+(Q31*$G$52))</f>
        <v>529.7806168941846</v>
      </c>
    </row>
    <row r="32">
      <c r="A32">
        <v>9</v>
      </c>
      <c r="B32">
        <f>B31+3</f>
        <v>59</v>
      </c>
      <c r="C32">
        <f>$J$11+B32</f>
        <v>39538</v>
      </c>
      <c r="D32" t="str">
        <f>Main!$H$85</f>
        <v>TricoZam</v>
      </c>
      <c r="E32">
        <f>IF(((SUM(ReDiarioFert!C63:C69)/2)*$C$12)&lt;=0,"0",(((SUM(ReDiarioFert!C63:C69)/2)*$C$12)))</f>
        <v>55.6030848337729</v>
      </c>
      <c r="G32">
        <f>IF(((SUM(ReDiarioFert!E63:E69)/2)*$C$12)&lt;=0,"0",(((SUM(ReDiarioFert!E63:E69)/2)*$C$12)))</f>
        <v>17.736710867788723</v>
      </c>
      <c r="I32">
        <f>IF(((SUM(ReDiarioFert!G63:G69)/2)*$C$12)&lt;=0,"0",(((SUM(ReDiarioFert!G63:G69)/2)*$C$12)))</f>
        <v>53.16599115693131</v>
      </c>
      <c r="K32">
        <f>IF(((SUM(ReDiarioFert!I63:I69)/2)*$C$12)&lt;=0,"0",(((SUM(ReDiarioFert!I63:I69)/2)*$C$12)))</f>
        <v>0.0004913679810095381</v>
      </c>
      <c r="M32">
        <f>IF(((SUM(ReDiarioFert!K63:K69)/2)*$C$12)&lt;=0,"0",(((SUM(ReDiarioFert!K63:K69)/2)*$C$12)))</f>
        <v>0.0017091621009440517</v>
      </c>
      <c r="O32">
        <f>IF(((SUM(ReDiarioFert!M63:M69)/2)*$C$12)&lt;=0,"0",(((SUM(ReDiarioFert!M63:M69)/2)*$C$12)))</f>
        <v>415.27632487804874</v>
      </c>
      <c r="Q32">
        <f>$C$12*Main!$D$63</f>
        <v>20.019999999999996</v>
      </c>
      <c r="R32">
        <f>Main!$K$85*Main!$I$22</f>
        <v>1.001</v>
      </c>
      <c r="S32">
        <f>((E32/100)*$G$46+(G32/100)*$G$47+(I32/100)*$G$48+(K32/100)*$G$49+(M32/100)*$G$50+(O32)*$G$51+(Q32*$G$52)+(R32*Main!$J$85))</f>
        <v>1041.2684435698982</v>
      </c>
    </row>
    <row r="33">
      <c r="B33">
        <f>B32+4</f>
        <v>63</v>
      </c>
      <c r="C33">
        <f>$J$11+B33</f>
        <v>39542</v>
      </c>
      <c r="E33">
        <f>E32</f>
        <v>55.6030848337729</v>
      </c>
      <c r="G33">
        <f>G32</f>
        <v>17.736710867788723</v>
      </c>
      <c r="I33">
        <f>I32</f>
        <v>53.16599115693131</v>
      </c>
      <c r="K33">
        <f>K32</f>
        <v>0.0004913679810095381</v>
      </c>
      <c r="M33">
        <f>M32</f>
        <v>0.0017091621009440517</v>
      </c>
      <c r="O33">
        <f>O32</f>
        <v>415.27632487804874</v>
      </c>
      <c r="S33">
        <f>((E33/100)*$G$46+(G33/100)*$G$47+(I33/100)*$G$48+(K33/100)*$G$49+(M33/100)*$G$50+(O33)*$G$51+(Q33*$G$52))</f>
        <v>604.8324435698984</v>
      </c>
    </row>
    <row r="34">
      <c r="A34">
        <v>10</v>
      </c>
      <c r="B34">
        <f>B33+3</f>
        <v>66</v>
      </c>
      <c r="C34">
        <f>$J$11+B34</f>
        <v>39545</v>
      </c>
      <c r="E34">
        <f>IF(((SUM(ReDiarioFert!C70:C76)/2)*$C$12)&lt;=0,"0",(((SUM(ReDiarioFert!C70:C76)/2)*$C$12)))</f>
        <v>75.98019827040356</v>
      </c>
      <c r="G34">
        <f>IF(((SUM(ReDiarioFert!E70:E76)/2)*$C$12)&lt;=0,"0",(((SUM(ReDiarioFert!E70:E76)/2)*$C$12)))</f>
        <v>24.831395214904223</v>
      </c>
      <c r="I34">
        <f>IF(((SUM(ReDiarioFert!G70:G76)/2)*$C$12)&lt;=0,"0",(((SUM(ReDiarioFert!G70:G76)/2)*$C$12)))</f>
        <v>72.91077151844922</v>
      </c>
      <c r="K34">
        <f>IF(((SUM(ReDiarioFert!I70:I76)/2)*$C$12)&lt;=0,"0",(((SUM(ReDiarioFert!I70:I76)/2)*$C$12)))</f>
        <v>0.0006738521715718538</v>
      </c>
      <c r="M34">
        <f>IF(((SUM(ReDiarioFert!K70:K76)/2)*$C$12)&lt;=0,"0",(((SUM(ReDiarioFert!K70:K76)/2)*$C$12)))</f>
        <v>0.002343910547291247</v>
      </c>
      <c r="O34">
        <f>IF(((SUM(ReDiarioFert!M70:M76)/2)*$C$12)&lt;=0,"0",(((SUM(ReDiarioFert!M70:M76)/2)*$C$12)))</f>
        <v>504.797952195122</v>
      </c>
      <c r="Q34">
        <f>$C$12*Main!$D$63</f>
        <v>20.019999999999996</v>
      </c>
      <c r="S34">
        <f>((E34/100)*$G$46+(G34/100)*$G$47+(I34/100)*$G$48+(K34/100)*$G$49+(M34/100)*$G$50+(O34)*$G$51+(Q34*$G$52))</f>
        <v>884.6609610179112</v>
      </c>
    </row>
    <row r="35">
      <c r="B35">
        <f>B34+4</f>
        <v>70</v>
      </c>
      <c r="C35">
        <f>$J$11+B35</f>
        <v>39549</v>
      </c>
      <c r="D35" t="str">
        <f>Main!$H$83</f>
        <v>Acido Salicílico</v>
      </c>
      <c r="E35">
        <f>E34</f>
        <v>75.98019827040356</v>
      </c>
      <c r="G35">
        <f>G34</f>
        <v>24.831395214904223</v>
      </c>
      <c r="I35">
        <f>I34</f>
        <v>72.91077151844922</v>
      </c>
      <c r="K35">
        <f>K34</f>
        <v>0.0006738521715718538</v>
      </c>
      <c r="M35">
        <f>M34</f>
        <v>0.002343910547291247</v>
      </c>
      <c r="O35">
        <f>O34</f>
        <v>504.797952195122</v>
      </c>
      <c r="R35">
        <f>Main!$K$83*Main!$I$22</f>
        <v>250.24999999999997</v>
      </c>
      <c r="S35">
        <f>((E35/100)*$G$46+(G35/100)*$G$47+(I35/100)*$G$48+(K35/100)*$G$49+(M35/100)*$G$50+(O35)*$G$51+(Q35*$G$52)+(R35*Main!$J$83))</f>
        <v>871.1474610179112</v>
      </c>
    </row>
    <row r="36">
      <c r="A36">
        <v>11</v>
      </c>
      <c r="B36">
        <f>B35+3</f>
        <v>73</v>
      </c>
      <c r="C36">
        <f>$J$11+B36</f>
        <v>39552</v>
      </c>
      <c r="E36">
        <f>IF(((SUM(ReDiarioFert!C77:C83)/2)*$C$12)&lt;=0,"0",(((SUM(ReDiarioFert!C77:C83)/2)*$C$12)))</f>
        <v>64.32944516491311</v>
      </c>
      <c r="G36">
        <f>IF(((SUM(ReDiarioFert!E77:E83)/2)*$C$12)&lt;=0,"0",(((SUM(ReDiarioFert!E77:E83)/2)*$C$12)))</f>
        <v>24.831395214904223</v>
      </c>
      <c r="I36">
        <f>IF(((SUM(ReDiarioFert!G77:G83)/2)*$C$12)&lt;=0,"0",(((SUM(ReDiarioFert!G77:G83)/2)*$C$12)))</f>
        <v>72.91077151844922</v>
      </c>
      <c r="K36">
        <f>IF(((SUM(ReDiarioFert!I77:I83)/2)*$C$12)&lt;=0,"0",(((SUM(ReDiarioFert!I77:I83)/2)*$C$12)))</f>
        <v>0.0006738521715718538</v>
      </c>
      <c r="M36">
        <f>IF(((SUM(ReDiarioFert!K77:K83)/2)*$C$12)&lt;=0,"0",(((SUM(ReDiarioFert!K77:K83)/2)*$C$12)))</f>
        <v>0.002343910547291247</v>
      </c>
      <c r="O36">
        <f>IF(((SUM(ReDiarioFert!M77:M83)/2)*$C$12)&lt;=0,"0",(((SUM(ReDiarioFert!M77:M83)/2)*$C$12)))</f>
        <v>504.797952195122</v>
      </c>
      <c r="Q36">
        <f>$C$12*Main!$D$63</f>
        <v>20.019999999999996</v>
      </c>
      <c r="S36">
        <f>((E36/100)*$G$46+(G36/100)*$G$47+(I36/100)*$G$48+(K36/100)*$G$49+(M36/100)*$G$50+(O36)*$G$51+(Q36*$G$52))</f>
        <v>837.4754109406749</v>
      </c>
    </row>
    <row r="37">
      <c r="B37">
        <f>B36+4</f>
        <v>77</v>
      </c>
      <c r="C37">
        <f>$J$11+B37</f>
        <v>39556</v>
      </c>
      <c r="E37">
        <f>E36</f>
        <v>64.32944516491311</v>
      </c>
      <c r="G37">
        <f>G36</f>
        <v>24.831395214904223</v>
      </c>
      <c r="I37">
        <f>I36</f>
        <v>72.91077151844922</v>
      </c>
      <c r="K37">
        <f>K36</f>
        <v>0.0006738521715718538</v>
      </c>
      <c r="M37">
        <f>M36</f>
        <v>0.002343910547291247</v>
      </c>
      <c r="O37">
        <f>O36</f>
        <v>504.797952195122</v>
      </c>
      <c r="S37">
        <f>((E37/100)*$G$46+(G37/100)*$G$47+(I37/100)*$G$48+(K37/100)*$G$49+(M37/100)*$G$50+(O37)*$G$51+(Q37*$G$52))</f>
        <v>781.4194109406749</v>
      </c>
    </row>
    <row r="38">
      <c r="A38">
        <v>12</v>
      </c>
      <c r="B38">
        <f>B37+3</f>
        <v>80</v>
      </c>
      <c r="C38">
        <f>$J$11+B38</f>
        <v>39559</v>
      </c>
      <c r="E38">
        <f>IF(((SUM(ReDiarioFert!C84:C90)/2)*$C$12)&lt;=0,"0",(((SUM(ReDiarioFert!C84:C90)/2)*$C$12)))</f>
        <v>56.56227642791949</v>
      </c>
      <c r="G38">
        <f>IF(((SUM(ReDiarioFert!E84:E90)/2)*$C$12)&lt;=0,"0",(((SUM(ReDiarioFert!E84:E90)/2)*$C$12)))</f>
        <v>24.831395214904223</v>
      </c>
      <c r="I38">
        <f>IF(((SUM(ReDiarioFert!G84:G90)/2)*$C$12)&lt;=0,"0",(((SUM(ReDiarioFert!G84:G90)/2)*$C$12)))</f>
        <v>72.91077151844922</v>
      </c>
      <c r="K38">
        <f>IF(((SUM(ReDiarioFert!I84:I90)/2)*$C$12)&lt;=0,"0",(((SUM(ReDiarioFert!I84:I90)/2)*$C$12)))</f>
        <v>0.0006738521715718538</v>
      </c>
      <c r="M38">
        <f>IF(((SUM(ReDiarioFert!K84:K90)/2)*$C$12)&lt;=0,"0",(((SUM(ReDiarioFert!K84:K90)/2)*$C$12)))</f>
        <v>0.002343910547291247</v>
      </c>
      <c r="O38">
        <f>IF(((SUM(ReDiarioFert!M84:M90)/2)*$C$12)&lt;=0,"0",(((SUM(ReDiarioFert!M84:M90)/2)*$C$12)))</f>
        <v>564.4780604878048</v>
      </c>
      <c r="Q38">
        <f>$C$12*Main!$D$63</f>
        <v>20.019999999999996</v>
      </c>
      <c r="S38">
        <f>((E38/100)*$G$46+(G38/100)*$G$47+(I38/100)*$G$48+(K38/100)*$G$49+(M38/100)*$G$50+(O38)*$G$51+(Q38*$G$52))</f>
        <v>808.4055818875579</v>
      </c>
    </row>
    <row r="39">
      <c r="B39">
        <f>B38+4</f>
        <v>84</v>
      </c>
      <c r="C39">
        <f>$J$11+B39</f>
        <v>39563</v>
      </c>
      <c r="E39">
        <f>E38</f>
        <v>56.56227642791949</v>
      </c>
      <c r="G39">
        <f>G38</f>
        <v>24.831395214904223</v>
      </c>
      <c r="I39">
        <f>I38</f>
        <v>72.91077151844922</v>
      </c>
      <c r="K39">
        <f>K38</f>
        <v>0.0006738521715718538</v>
      </c>
      <c r="M39">
        <f>M38</f>
        <v>0.002343910547291247</v>
      </c>
      <c r="O39">
        <f>O38</f>
        <v>564.4780604878048</v>
      </c>
      <c r="S39">
        <f>((E39/100)*$G$46+(G39/100)*$G$47+(I39/100)*$G$48+(K39/100)*$G$49+(M39/100)*$G$50+(O39)*$G$51+(Q39*$G$52))</f>
        <v>752.3495818875579</v>
      </c>
    </row>
    <row r="40" ht="18" customHeight="1">
      <c r="A40">
        <v>13</v>
      </c>
      <c r="B40">
        <f>B39+3</f>
        <v>87</v>
      </c>
      <c r="C40">
        <f>$J$11+B40</f>
        <v>39566</v>
      </c>
      <c r="E40">
        <f>IF(((SUM(ReDiarioFert!C91:C97)/2)*$C$12)&lt;=0,"0",(((SUM(ReDiarioFert!C91:C97)/2)*$C$12)))</f>
        <v>52.67869205942267</v>
      </c>
      <c r="G40">
        <f>IF(((SUM(ReDiarioFert!E91:E97)/2)*$C$12)&lt;=0,"0",(((SUM(ReDiarioFert!E91:E97)/2)*$C$12)))</f>
        <v>24.831395214904223</v>
      </c>
      <c r="I40">
        <f>IF(((SUM(ReDiarioFert!G91:G97)/2)*$C$12)&lt;=0,"0",(((SUM(ReDiarioFert!G91:G97)/2)*$C$12)))</f>
        <v>72.91077151844922</v>
      </c>
      <c r="K40">
        <f>IF(((SUM(ReDiarioFert!I91:I97)/2)*$C$12)&lt;=0,"0",(((SUM(ReDiarioFert!I91:I97)/2)*$C$12)))</f>
        <v>0.0006738521715718538</v>
      </c>
      <c r="M40">
        <f>IF(((SUM(ReDiarioFert!K91:K97)/2)*$C$12)&lt;=0,"0",(((SUM(ReDiarioFert!K91:K97)/2)*$C$12)))</f>
        <v>0.002343910547291247</v>
      </c>
      <c r="O40">
        <f>IF(((SUM(ReDiarioFert!M91:M97)/2)*$C$12)&lt;=0,"0",(((SUM(ReDiarioFert!M91:M97)/2)*$C$12)))</f>
        <v>609.2381417073171</v>
      </c>
      <c r="Q40">
        <f>$C$12*Main!$D$63</f>
        <v>20.019999999999996</v>
      </c>
      <c r="S40">
        <f>((E40/100)*$G$46+(G40/100)*$G$47+(I40/100)*$G$48+(K40/100)*$G$49+(M40/100)*$G$50+(O40)*$G$51+(Q40*$G$52)+(R40*Main!$J$86))</f>
        <v>794.4674684439262</v>
      </c>
    </row>
    <row r="41" ht="18" customHeight="1">
      <c r="B41">
        <f>B40+4</f>
        <v>91</v>
      </c>
      <c r="C41">
        <f>$J$11+B41</f>
        <v>39570</v>
      </c>
      <c r="E41">
        <f>E40</f>
        <v>52.67869205942267</v>
      </c>
      <c r="G41">
        <f>G40</f>
        <v>24.831395214904223</v>
      </c>
      <c r="I41">
        <f>I40</f>
        <v>72.91077151844922</v>
      </c>
      <c r="K41">
        <f>K40</f>
        <v>0.0006738521715718538</v>
      </c>
      <c r="M41">
        <f>M40</f>
        <v>0.002343910547291247</v>
      </c>
      <c r="O41">
        <f>O40</f>
        <v>609.2381417073171</v>
      </c>
      <c r="S41">
        <f>((E41/100)*$G$46+(G41/100)*$G$47+(I41/100)*$G$48+(K41/100)*$G$49+(M41/100)*$G$50+(O41)*$G$51+(Q41*$G$52)+(R41*Main!$J$83))</f>
        <v>738.4114684439262</v>
      </c>
    </row>
    <row r="42">
      <c r="C42" t="str">
        <v>Total</v>
      </c>
      <c r="E42">
        <f>SUM(E16:E41)</f>
        <v>1109.4602741521728</v>
      </c>
      <c r="G42">
        <f>SUM(G16:G41)</f>
        <v>374.06723220166424</v>
      </c>
      <c r="I42">
        <f>SUM(I16:I41)</f>
        <v>1118.3878344221257</v>
      </c>
      <c r="K42">
        <f>SUM(K16:K41)</f>
        <v>0.010336306353502174</v>
      </c>
      <c r="M42">
        <f>SUM(M16:M41)</f>
        <v>0.03595354961236313</v>
      </c>
      <c r="O42">
        <f>SUM(O16:O41)</f>
        <v>8952.06653804878</v>
      </c>
      <c r="Q42">
        <f>SUM(Q16:Q41)</f>
        <v>260.2599999999999</v>
      </c>
      <c r="S42">
        <f>SUM(S16:S41)</f>
        <v>15961.997085901316</v>
      </c>
    </row>
    <row r="43">
      <c r="D43" t="str">
        <v>OJO cualquier cultivo que no se termine la cosecha en el ultimo dia del calendario solo seguir repitiendo la ultima aplicacion de fertilizante.</v>
      </c>
    </row>
    <row r="44" ht="39.75" customHeight="1">
      <c r="B44" t="str">
        <v>Producto</v>
      </c>
      <c r="F44" t="str">
        <v>Lbs/Ha</v>
      </c>
      <c r="G44" t="str">
        <v>Costo por qq</v>
      </c>
    </row>
    <row r="45" ht="24" customHeight="1">
      <c r="G45" t="str">
        <f>Main!$E$25</f>
        <v>Lempiras</v>
      </c>
    </row>
    <row r="46">
      <c r="B46" t="str">
        <f>Main!D42</f>
        <v>Nitrato de Amonio</v>
      </c>
      <c r="F46">
        <f>E42/C12</f>
        <v>1108.351922229943</v>
      </c>
      <c r="G46">
        <f>Main!D43</f>
        <v>405</v>
      </c>
    </row>
    <row r="47">
      <c r="B47" t="str">
        <f>Main!D32</f>
        <v>DAP 18-46-0</v>
      </c>
      <c r="F47">
        <f>G42/C12</f>
        <v>373.6935386630013</v>
      </c>
      <c r="G47">
        <f>Main!D33</f>
        <v>560</v>
      </c>
    </row>
    <row r="48">
      <c r="B48" t="str">
        <f>Main!D37</f>
        <v>Kcl Soluble</v>
      </c>
      <c r="F48">
        <f>I42/C12</f>
        <v>1117.2705638582675</v>
      </c>
      <c r="G48">
        <f>Main!D38</f>
        <v>496</v>
      </c>
    </row>
    <row r="49">
      <c r="B49" t="str">
        <f>Main!D47</f>
        <v>Sin Magnecio</v>
      </c>
      <c r="F49">
        <f>K42/C12</f>
        <v>0.010325980373129045</v>
      </c>
      <c r="G49">
        <f>Main!D48</f>
        <v>0</v>
      </c>
    </row>
    <row r="50">
      <c r="B50" t="str">
        <f>Main!D52</f>
        <v>Sin Calcio</v>
      </c>
      <c r="F50">
        <f>M42/C12</f>
        <v>0.035917631980382746</v>
      </c>
      <c r="G50">
        <f>Main!D53</f>
        <v>0</v>
      </c>
    </row>
    <row r="51">
      <c r="B51" t="str">
        <f>Main!D57</f>
        <v>Solubor</v>
      </c>
      <c r="F51">
        <f>O42/C12</f>
        <v>8943.123414634149</v>
      </c>
      <c r="G51">
        <f>Main!D58</f>
        <v>0.04</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Transplante</v>
      </c>
    </row>
  </sheetData>
  <sheetProtection sheet="1"/>
  <mergeCells count="53">
    <mergeCell ref="P9:S12"/>
    <mergeCell ref="P5:S7"/>
    <mergeCell ref="A8:N8"/>
    <mergeCell ref="P2:S3"/>
    <mergeCell ref="A10:B10"/>
    <mergeCell ref="G9:I9"/>
    <mergeCell ref="G10:I10"/>
    <mergeCell ref="A9:B9"/>
    <mergeCell ref="C9:F9"/>
    <mergeCell ref="C10:F10"/>
    <mergeCell ref="B50:E50"/>
    <mergeCell ref="B49:E49"/>
    <mergeCell ref="I52:Q52"/>
    <mergeCell ref="B51:E51"/>
    <mergeCell ref="G52:H52"/>
    <mergeCell ref="G51:H51"/>
    <mergeCell ref="G49:H49"/>
    <mergeCell ref="G50:H50"/>
    <mergeCell ref="I51:Q51"/>
    <mergeCell ref="B57:S57"/>
    <mergeCell ref="E14:F14"/>
    <mergeCell ref="B56:C56"/>
    <mergeCell ref="B52:E52"/>
    <mergeCell ref="B44:E44"/>
    <mergeCell ref="B46:E46"/>
    <mergeCell ref="B47:E47"/>
    <mergeCell ref="B48:E48"/>
    <mergeCell ref="C14:D14"/>
    <mergeCell ref="B53:I54"/>
    <mergeCell ref="C11:F11"/>
    <mergeCell ref="C12:F12"/>
    <mergeCell ref="G11:I11"/>
    <mergeCell ref="G12:I12"/>
    <mergeCell ref="A14:A15"/>
    <mergeCell ref="B14:B15"/>
    <mergeCell ref="A11:B11"/>
    <mergeCell ref="A12:B12"/>
    <mergeCell ref="G48:H48"/>
    <mergeCell ref="S14:S15"/>
    <mergeCell ref="O14:P14"/>
    <mergeCell ref="Q14:R14"/>
    <mergeCell ref="G14:H14"/>
    <mergeCell ref="I14:J14"/>
    <mergeCell ref="K14:L14"/>
    <mergeCell ref="M14:N14"/>
    <mergeCell ref="G44:H44"/>
    <mergeCell ref="G45:H45"/>
    <mergeCell ref="G46:H46"/>
    <mergeCell ref="G47:H47"/>
    <mergeCell ref="J9:N9"/>
    <mergeCell ref="J10:N10"/>
    <mergeCell ref="J11:N11"/>
    <mergeCell ref="J12:N12"/>
  </mergeCells>
  <pageMargins left="0.25" right="0.25" top="0.48" bottom="0.8" header="0.25" footer="0.25"/>
  <ignoredErrors>
    <ignoredError numberStoredAsText="1" sqref="A1:V66"/>
  </ignoredErrors>
  <legacyDrawing r:id="rId1"/>
</worksheet>
</file>

<file path=xl/worksheets/sheet6.xml><?xml version="1.0" encoding="utf-8"?>
<worksheet xmlns="http://schemas.openxmlformats.org/spreadsheetml/2006/main" xmlns:r="http://schemas.openxmlformats.org/officeDocument/2006/relationships">
  <dimension ref="A1:V66"/>
  <sheetViews>
    <sheetView workbookViewId="0" rightToLeft="0"/>
  </sheetViews>
  <sheetData>
    <row r="1" ht="32.7" customHeight="1"/>
    <row r="2" ht="32.7" customHeight="1">
      <c r="P2" t="str">
        <v>Calendario de Fertilización para Goteo 2 Veces Por Semana</v>
      </c>
    </row>
    <row r="3" ht="32.7" customHeight="1"/>
    <row r="5">
      <c r="P5" t="str">
        <f>Main!$E$21</f>
        <v>Repollo</v>
      </c>
    </row>
    <row r="6" ht="29.25" customHeight="1"/>
    <row r="7" ht="26.25" customHeight="1"/>
    <row r="8" ht="25.95" customHeight="1">
      <c r="A8" t="str">
        <f>Main!$C$13</f>
        <v>"Sin Fertilización Base"</v>
      </c>
    </row>
    <row r="9" ht="20.1" customHeight="1">
      <c r="A9" t="str">
        <v>Productor</v>
      </c>
      <c r="C9" t="str">
        <f>Main!E17</f>
        <v>Pancho Pérez</v>
      </c>
      <c r="G9" t="str">
        <v>Parcela</v>
      </c>
      <c r="J9" t="str">
        <f>Main!E19</f>
        <v>La Frondosa</v>
      </c>
      <c r="P9" t="str">
        <f>Main!$G$21</f>
        <v>Izalco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39479</v>
      </c>
    </row>
    <row r="12" ht="20.1" customHeight="1">
      <c r="A12" t="str">
        <v>Área Ha.</v>
      </c>
      <c r="C12">
        <f>Main!I22</f>
        <v>1.001</v>
      </c>
      <c r="G12" t="str">
        <v>Fecha de Cosecha:</v>
      </c>
      <c r="J12">
        <f>J11+Main!E24</f>
        <v>39569</v>
      </c>
    </row>
    <row r="13" ht="19.5" customHeight="1"/>
    <row r="14" ht="28.5" customHeight="1">
      <c r="A14" t="str">
        <v>Semana</v>
      </c>
      <c r="B14" t="str">
        <v>DDT</v>
      </c>
      <c r="C14" t="str">
        <v>FECHA</v>
      </c>
      <c r="E14" t="str">
        <f>Main!$D$42</f>
        <v>Nitrato de Amonio</v>
      </c>
      <c r="G14" t="str">
        <f>Main!$D$32</f>
        <v>DAP 18-46-0</v>
      </c>
      <c r="I14" t="str">
        <f>Main!$D$37</f>
        <v>Kcl Soluble</v>
      </c>
      <c r="K14" t="str">
        <f>Main!$D$47</f>
        <v>Sin Magnecio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t="str">
        <f>Main!E57</f>
        <v>Gramos</v>
      </c>
      <c r="P15" t="str">
        <v>Cambios</v>
      </c>
      <c r="Q15" t="str">
        <f>Main!$E$61</f>
        <v>Lts</v>
      </c>
      <c r="R15" t="str">
        <v>Cambios</v>
      </c>
    </row>
    <row r="16" ht="18.75" customHeight="1">
      <c r="A16">
        <v>1</v>
      </c>
      <c r="B16">
        <v>3</v>
      </c>
      <c r="C16">
        <f>$J$11+B16</f>
        <v>39482</v>
      </c>
      <c r="E16">
        <f>IF(((SUM(ReDiarioFert!C7:C13)/2)*$C$12)&lt;=0,"0",(((SUM(ReDiarioFert!C7:C13)/2)*$C$12)))</f>
        <v>15.018894292919525</v>
      </c>
      <c r="G16">
        <f>IF(((SUM(ReDiarioFert!E7:E13)/2)*$C$12)&lt;=0,"0",(((SUM(ReDiarioFert!E7:E13)/2)*$C$12)))</f>
        <v>3.724709282235632</v>
      </c>
      <c r="I16">
        <f>IF(((SUM(ReDiarioFert!G7:G13)/2)*$C$12)&lt;=0,"0",(((SUM(ReDiarioFert!G7:G13)/2)*$C$12)))</f>
        <v>11.412120759409445</v>
      </c>
      <c r="K16">
        <f>IF(((SUM(ReDiarioFert!I7:I13)/2)*$C$12)&lt;=0,"0",(((SUM(ReDiarioFert!I7:I13)/2)*$C$12)))</f>
        <v>0.00010547251381124668</v>
      </c>
      <c r="M16">
        <f>IF(((SUM(ReDiarioFert!K7:K13)/2)*$C$12)&lt;=0,"0",(((SUM(ReDiarioFert!K7:K13)/2)*$C$12)))</f>
        <v>0.0003668729552281951</v>
      </c>
      <c r="O16">
        <f>IF(((SUM(ReDiarioFert!M7:M13)/2)*$C$12)&lt;=0,"0",(((SUM(ReDiarioFert!M7:M13)/2)*$C$12)))</f>
        <v>87.03377609756097</v>
      </c>
      <c r="Q16">
        <f>$C$12*Main!$D$63</f>
        <v>20.019999999999996</v>
      </c>
      <c r="S16">
        <f>((E16/100)*$G$46+(G16/100)*$G$47+(I16/100)*$G$48+(K16/100)*$G$49+(M16/100)*$G$50+(O16)*$G$51+(Q16*$G$52))</f>
        <v>197.82636387741687</v>
      </c>
    </row>
    <row r="17" ht="18.75" customHeight="1">
      <c r="B17">
        <v>7</v>
      </c>
      <c r="C17">
        <f>$J$11+B17</f>
        <v>39486</v>
      </c>
      <c r="E17">
        <f>E16</f>
        <v>15.018894292919525</v>
      </c>
      <c r="G17">
        <f>G16</f>
        <v>3.724709282235632</v>
      </c>
      <c r="I17">
        <f>I16</f>
        <v>11.412120759409445</v>
      </c>
      <c r="K17">
        <f>K16</f>
        <v>0.00010547251381124668</v>
      </c>
      <c r="M17">
        <f>M16</f>
        <v>0.0003668729552281951</v>
      </c>
      <c r="O17">
        <f>O16</f>
        <v>87.03377609756097</v>
      </c>
      <c r="S17">
        <f>((E17/100)*$G$46+(G17/100)*$G$47+(I17/100)*$G$48+(K17/100)*$G$49+(M17/100)*$G$50+(O17)*$G$51+(Q17*$G$52))</f>
        <v>141.77036387741688</v>
      </c>
    </row>
    <row r="18">
      <c r="A18">
        <v>2</v>
      </c>
      <c r="B18">
        <f>B17+3</f>
        <v>10</v>
      </c>
      <c r="C18">
        <f>$J$11+B18</f>
        <v>39489</v>
      </c>
      <c r="E18">
        <f>IF(((SUM(ReDiarioFert!C14:C20)/2)*$C$12)&lt;=0,"0",(((SUM(ReDiarioFert!C14:C20)/2)*$C$12)))</f>
        <v>19.310006948039387</v>
      </c>
      <c r="G18">
        <f>IF(((SUM(ReDiarioFert!E14:E20)/2)*$C$12)&lt;=0,"0",(((SUM(ReDiarioFert!E14:E20)/2)*$C$12)))</f>
        <v>4.788911934302955</v>
      </c>
      <c r="I18">
        <f>IF(((SUM(ReDiarioFert!G14:G20)/2)*$C$12)&lt;=0,"0",(((SUM(ReDiarioFert!G14:G20)/2)*$C$12)))</f>
        <v>14.672726690669288</v>
      </c>
      <c r="K18">
        <f>IF(((SUM(ReDiarioFert!I14:I20)/2)*$C$12)&lt;=0,"0",(((SUM(ReDiarioFert!I14:I20)/2)*$C$12)))</f>
        <v>0.00013560751775731715</v>
      </c>
      <c r="M18">
        <f>IF(((SUM(ReDiarioFert!K14:K20)/2)*$C$12)&lt;=0,"0",(((SUM(ReDiarioFert!K14:K20)/2)*$C$12)))</f>
        <v>0.0004716937995791081</v>
      </c>
      <c r="O18">
        <f>IF(((SUM(ReDiarioFert!M14:M20)/2)*$C$12)&lt;=0,"0",(((SUM(ReDiarioFert!M14:M20)/2)*$C$12)))</f>
        <v>126.82084048780487</v>
      </c>
      <c r="Q18">
        <f>$C$12*Main!$D$63</f>
        <v>20.019999999999996</v>
      </c>
      <c r="S18">
        <f>((E18/100)*$G$46+(G18/100)*$G$47+(I18/100)*$G$48+(K18/100)*$G$49+(M18/100)*$G$50+(O18)*$G$51+(Q18*$G$52))</f>
        <v>238.92899297688788</v>
      </c>
    </row>
    <row r="19">
      <c r="B19">
        <f>B18+4</f>
        <v>14</v>
      </c>
      <c r="C19">
        <f>$J$11+B19</f>
        <v>39493</v>
      </c>
      <c r="E19">
        <f>E18</f>
        <v>19.310006948039387</v>
      </c>
      <c r="G19">
        <f>G18</f>
        <v>4.788911934302955</v>
      </c>
      <c r="I19">
        <f>I18</f>
        <v>14.672726690669288</v>
      </c>
      <c r="K19">
        <f>K18</f>
        <v>0.00013560751775731715</v>
      </c>
      <c r="M19">
        <f>M18</f>
        <v>0.0004716937995791081</v>
      </c>
      <c r="O19">
        <f>O18</f>
        <v>126.82084048780487</v>
      </c>
      <c r="S19">
        <f>((E19/100)*$G$46+(G19/100)*$G$47+(I19/100)*$G$48+(K19/100)*$G$49+(M19/100)*$G$50+(O19)*$G$51+(Q19*$G$52))</f>
        <v>182.8729929768879</v>
      </c>
    </row>
    <row r="20">
      <c r="A20">
        <v>3</v>
      </c>
      <c r="B20">
        <f>B19+3</f>
        <v>17</v>
      </c>
      <c r="C20">
        <f>$J$11+B20</f>
        <v>39496</v>
      </c>
      <c r="E20">
        <f>IF(((SUM(ReDiarioFert!C21:C27)/2)*$C$12)&lt;=0,"0",(((SUM(ReDiarioFert!C21:C27)/2)*$C$12)))</f>
        <v>24.648506310867393</v>
      </c>
      <c r="G20">
        <f>IF(((SUM(ReDiarioFert!E21:E27)/2)*$C$12)&lt;=0,"0",(((SUM(ReDiarioFert!E21:E27)/2)*$C$12)))</f>
        <v>6.651266575420772</v>
      </c>
      <c r="I20">
        <f>IF(((SUM(ReDiarioFert!G21:G27)/2)*$C$12)&lt;=0,"0",(((SUM(ReDiarioFert!G21:G27)/2)*$C$12)))</f>
        <v>20.378787070374013</v>
      </c>
      <c r="K20">
        <f>IF(((SUM(ReDiarioFert!I21:I27)/2)*$C$12)&lt;=0,"0",(((SUM(ReDiarioFert!I21:I27)/2)*$C$12)))</f>
        <v>0.00018834377466294053</v>
      </c>
      <c r="M20">
        <f>IF(((SUM(ReDiarioFert!K21:K27)/2)*$C$12)&lt;=0,"0",(((SUM(ReDiarioFert!K21:K27)/2)*$C$12)))</f>
        <v>0.0006551302771932056</v>
      </c>
      <c r="O20">
        <f>IF(((SUM(ReDiarioFert!M21:M27)/2)*$C$12)&lt;=0,"0",(((SUM(ReDiarioFert!M21:M27)/2)*$C$12)))</f>
        <v>186.50070463414633</v>
      </c>
      <c r="Q20">
        <f>$C$12*Main!$D$63</f>
        <v>20.019999999999996</v>
      </c>
      <c r="S20">
        <f>((E20/100)*$G$46+(G20/100)*$G$47+(I20/100)*$G$48+(K20/100)*$G$49+(M20/100)*$G$50+(O20)*$G$51+(Q20*$G$52))</f>
        <v>301.6683554357902</v>
      </c>
    </row>
    <row r="21">
      <c r="B21">
        <f>B20+4</f>
        <v>21</v>
      </c>
      <c r="C21">
        <f>$J$11+B21</f>
        <v>39500</v>
      </c>
      <c r="E21">
        <f>E20</f>
        <v>24.648506310867393</v>
      </c>
      <c r="G21">
        <f>G20</f>
        <v>6.651266575420772</v>
      </c>
      <c r="I21">
        <f>I20</f>
        <v>20.378787070374013</v>
      </c>
      <c r="K21">
        <f>K20</f>
        <v>0.00018834377466294053</v>
      </c>
      <c r="M21">
        <f>M20</f>
        <v>0.0006551302771932056</v>
      </c>
      <c r="O21">
        <f>O20</f>
        <v>186.50070463414633</v>
      </c>
      <c r="S21">
        <f>((E21/100)*$G$46+(G21/100)*$G$47+(I21/100)*$G$48+(K21/100)*$G$49+(M21/100)*$G$50+(O21)*$G$51+(Q21*$G$52))</f>
        <v>245.61235543579022</v>
      </c>
    </row>
    <row r="22">
      <c r="A22">
        <v>4</v>
      </c>
      <c r="B22">
        <f>B21+3</f>
        <v>24</v>
      </c>
      <c r="C22">
        <f>$J$11+B22</f>
        <v>39503</v>
      </c>
      <c r="E22">
        <f>IF(((SUM(ReDiarioFert!C28:C34)/2)*$C$12)&lt;=0,"0",(((SUM(ReDiarioFert!C28:C34)/2)*$C$12)))</f>
        <v>27.606327068171478</v>
      </c>
      <c r="G22">
        <f>IF(((SUM(ReDiarioFert!E28:E34)/2)*$C$12)&lt;=0,"0",(((SUM(ReDiarioFert!E28:E34)/2)*$C$12)))</f>
        <v>7.449418564471264</v>
      </c>
      <c r="I22">
        <f>IF(((SUM(ReDiarioFert!G28:G34)/2)*$C$12)&lt;=0,"0",(((SUM(ReDiarioFert!G28:G34)/2)*$C$12)))</f>
        <v>22.82424151881889</v>
      </c>
      <c r="K22">
        <f>IF(((SUM(ReDiarioFert!I28:I34)/2)*$C$12)&lt;=0,"0",(((SUM(ReDiarioFert!I28:I34)/2)*$C$12)))</f>
        <v>0.00021094502762249336</v>
      </c>
      <c r="M22">
        <f>IF(((SUM(ReDiarioFert!K28:K34)/2)*$C$12)&lt;=0,"0",(((SUM(ReDiarioFert!K28:K34)/2)*$C$12)))</f>
        <v>0.0007337459104563902</v>
      </c>
      <c r="O22">
        <f>IF(((SUM(ReDiarioFert!M28:M34)/2)*$C$12)&lt;=0,"0",(((SUM(ReDiarioFert!M28:M34)/2)*$C$12)))</f>
        <v>208.88037902439024</v>
      </c>
      <c r="Q22">
        <f>$C$12*Main!$D$63</f>
        <v>20.019999999999996</v>
      </c>
      <c r="S22">
        <f>((E22/100)*$G$46+(G22/100)*$G$47+(I22/100)*$G$48+(K22/100)*$G$49+(M22/100)*$G$50+(O22)*$G$51+(Q22*$G$52))</f>
        <v>331.14182168145084</v>
      </c>
    </row>
    <row r="23">
      <c r="B23">
        <f>B22+4</f>
        <v>28</v>
      </c>
      <c r="C23">
        <f>$J$11+B23</f>
        <v>39507</v>
      </c>
      <c r="E23">
        <f>E22</f>
        <v>27.606327068171478</v>
      </c>
      <c r="G23">
        <f>G22</f>
        <v>7.449418564471264</v>
      </c>
      <c r="I23">
        <f>I22</f>
        <v>22.82424151881889</v>
      </c>
      <c r="K23">
        <f>K22</f>
        <v>0.00021094502762249336</v>
      </c>
      <c r="M23">
        <f>M22</f>
        <v>0.0007337459104563902</v>
      </c>
      <c r="O23">
        <f>O22</f>
        <v>208.88037902439024</v>
      </c>
      <c r="S23">
        <f>((E23/100)*$G$46+(G23/100)*$G$47+(I23/100)*$G$48+(K23/100)*$G$49+(M23/100)*$G$50+(O23)*$G$51+(Q23*$G$52))</f>
        <v>275.08582168145085</v>
      </c>
    </row>
    <row r="24">
      <c r="A24">
        <v>5</v>
      </c>
      <c r="B24">
        <f>B23+3</f>
        <v>31</v>
      </c>
      <c r="C24">
        <f>$J$11+B24</f>
        <v>39510</v>
      </c>
      <c r="E24">
        <f>IF(((SUM(ReDiarioFert!C35:C41)/2)*$C$12)&lt;=0,"0",(((SUM(ReDiarioFert!C35:C41)/2)*$C$12)))</f>
        <v>33.52196858277966</v>
      </c>
      <c r="G24">
        <f>IF(((SUM(ReDiarioFert!E35:E41)/2)*$C$12)&lt;=0,"0",(((SUM(ReDiarioFert!E35:E41)/2)*$C$12)))</f>
        <v>9.045722542572248</v>
      </c>
      <c r="I24">
        <f>IF(((SUM(ReDiarioFert!G35:G41)/2)*$C$12)&lt;=0,"0",(((SUM(ReDiarioFert!G35:G41)/2)*$C$12)))</f>
        <v>27.715150415708653</v>
      </c>
      <c r="K24">
        <f>IF(((SUM(ReDiarioFert!I35:I41)/2)*$C$12)&lt;=0,"0",(((SUM(ReDiarioFert!I35:I41)/2)*$C$12)))</f>
        <v>0.0002561475335415991</v>
      </c>
      <c r="M24">
        <f>IF(((SUM(ReDiarioFert!K35:K41)/2)*$C$12)&lt;=0,"0",(((SUM(ReDiarioFert!K35:K41)/2)*$C$12)))</f>
        <v>0.0008909771769827597</v>
      </c>
      <c r="O24">
        <f>IF(((SUM(ReDiarioFert!M35:M41)/2)*$C$12)&lt;=0,"0",(((SUM(ReDiarioFert!M35:M41)/2)*$C$12)))</f>
        <v>246.18130121951222</v>
      </c>
      <c r="Q24">
        <f>$C$12*Main!$D$63</f>
        <v>20.019999999999996</v>
      </c>
      <c r="S24">
        <f>((E24/100)*$G$46+(G24/100)*$G$47+(I24/100)*$G$48+(K24/100)*$G$49+(M24/100)*$G$50+(O24)*$G$51+(Q24*$G$52))</f>
        <v>389.7904171093576</v>
      </c>
    </row>
    <row r="25">
      <c r="B25">
        <f>B24+4</f>
        <v>35</v>
      </c>
      <c r="C25">
        <f>$J$11+B25</f>
        <v>39514</v>
      </c>
      <c r="E25">
        <f>E24</f>
        <v>33.52196858277966</v>
      </c>
      <c r="G25">
        <f>G24</f>
        <v>9.045722542572248</v>
      </c>
      <c r="I25">
        <f>I24</f>
        <v>27.715150415708653</v>
      </c>
      <c r="K25">
        <f>K24</f>
        <v>0.0002561475335415991</v>
      </c>
      <c r="M25">
        <f>M24</f>
        <v>0.0008909771769827597</v>
      </c>
      <c r="O25">
        <f>O24</f>
        <v>246.18130121951222</v>
      </c>
      <c r="S25">
        <f>((E25/100)*$G$46+(G25/100)*$G$47+(I25/100)*$G$48+(K25/100)*$G$49+(M25/100)*$G$50+(O25)*$G$51+(Q25*$G$52))</f>
        <v>333.7344171093576</v>
      </c>
    </row>
    <row r="26">
      <c r="A26">
        <v>6</v>
      </c>
      <c r="B26">
        <f>B25+3</f>
        <v>38</v>
      </c>
      <c r="C26">
        <f>$J$11+B26</f>
        <v>39517</v>
      </c>
      <c r="E26">
        <f>IF(((SUM(ReDiarioFert!C42:C48)/2)*$C$12)&lt;=0,"0",(((SUM(ReDiarioFert!C42:C48)/2)*$C$12)))</f>
        <v>37.76229832575585</v>
      </c>
      <c r="G26">
        <f>IF(((SUM(ReDiarioFert!E42:E48)/2)*$C$12)&lt;=0,"0",(((SUM(ReDiarioFert!E42:E48)/2)*$C$12)))</f>
        <v>11.174127846706895</v>
      </c>
      <c r="I26">
        <f>IF(((SUM(ReDiarioFert!G42:G48)/2)*$C$12)&lt;=0,"0",(((SUM(ReDiarioFert!G42:G48)/2)*$C$12)))</f>
        <v>34.236362278228334</v>
      </c>
      <c r="K26">
        <f>IF(((SUM(ReDiarioFert!I42:I48)/2)*$C$12)&lt;=0,"0",(((SUM(ReDiarioFert!I42:I48)/2)*$C$12)))</f>
        <v>0.0003164175414337401</v>
      </c>
      <c r="M26">
        <f>IF(((SUM(ReDiarioFert!K42:K48)/2)*$C$12)&lt;=0,"0",(((SUM(ReDiarioFert!K42:K48)/2)*$C$12)))</f>
        <v>0.0011006188656845855</v>
      </c>
      <c r="O26">
        <f>IF(((SUM(ReDiarioFert!M42:M48)/2)*$C$12)&lt;=0,"0",(((SUM(ReDiarioFert!M42:M48)/2)*$C$12)))</f>
        <v>295.9158641463415</v>
      </c>
      <c r="Q26">
        <f>$C$12*Main!$D$63</f>
        <v>20.019999999999996</v>
      </c>
      <c r="S26">
        <f>((E26/100)*$G$46+(G26/100)*$G$47+(I26/100)*$G$48+(K26/100)*$G$49+(M26/100)*$G$50+(O26)*$G$51+(Q26*$G$52))</f>
        <v>453.217415626736</v>
      </c>
    </row>
    <row r="27">
      <c r="B27">
        <f>B26+4</f>
        <v>42</v>
      </c>
      <c r="C27">
        <f>$J$11+B27</f>
        <v>39521</v>
      </c>
      <c r="E27">
        <f>E26</f>
        <v>37.76229832575585</v>
      </c>
      <c r="G27">
        <f>G26</f>
        <v>11.174127846706895</v>
      </c>
      <c r="I27">
        <f>I26</f>
        <v>34.236362278228334</v>
      </c>
      <c r="K27">
        <f>K26</f>
        <v>0.0003164175414337401</v>
      </c>
      <c r="M27">
        <f>M26</f>
        <v>0.0011006188656845855</v>
      </c>
      <c r="O27">
        <f>O26</f>
        <v>295.9158641463415</v>
      </c>
      <c r="S27">
        <f>((E27/100)*$G$46+(G27/100)*$G$47+(I27/100)*$G$48+(K27/100)*$G$49+(M27/100)*$G$50+(O27)*$G$51+(Q27*$G$52))</f>
        <v>397.161415626736</v>
      </c>
    </row>
    <row r="28">
      <c r="A28">
        <v>7</v>
      </c>
      <c r="B28">
        <f>B27+3</f>
        <v>45</v>
      </c>
      <c r="C28">
        <f>$J$11+B28</f>
        <v>39524</v>
      </c>
      <c r="E28">
        <f>IF(((SUM(ReDiarioFert!C49:C55)/2)*$C$12)&lt;=0,"0",(((SUM(ReDiarioFert!C49:C55)/2)*$C$12)))</f>
        <v>41.35870769011356</v>
      </c>
      <c r="G28">
        <f>IF(((SUM(ReDiarioFert!E49:E55)/2)*$C$12)&lt;=0,"0",(((SUM(ReDiarioFert!E49:E55)/2)*$C$12)))</f>
        <v>12.23833049877422</v>
      </c>
      <c r="I28">
        <f>IF(((SUM(ReDiarioFert!G49:G55)/2)*$C$12)&lt;=0,"0",(((SUM(ReDiarioFert!G49:G55)/2)*$C$12)))</f>
        <v>37.49696820948818</v>
      </c>
      <c r="K28">
        <f>IF(((SUM(ReDiarioFert!I49:I55)/2)*$C$12)&lt;=0,"0",(((SUM(ReDiarioFert!I49:I55)/2)*$C$12)))</f>
        <v>0.00034655254537981057</v>
      </c>
      <c r="M28">
        <f>IF(((SUM(ReDiarioFert!K49:K55)/2)*$C$12)&lt;=0,"0",(((SUM(ReDiarioFert!K49:K55)/2)*$C$12)))</f>
        <v>0.0012054397100354983</v>
      </c>
      <c r="O28">
        <f>IF(((SUM(ReDiarioFert!M49:M55)/2)*$C$12)&lt;=0,"0",(((SUM(ReDiarioFert!M49:M55)/2)*$C$12)))</f>
        <v>325.75591829268296</v>
      </c>
      <c r="Q28">
        <f>$C$12*Main!$D$63</f>
        <v>20.019999999999996</v>
      </c>
      <c r="S28">
        <f>((E28/100)*$G$46+(G28/100)*$G$47+(I28/100)*$G$48+(K28/100)*$G$49+(M28/100)*$G$50+(O28)*$G$51+(Q28*$G$52))</f>
        <v>491.1086159888642</v>
      </c>
    </row>
    <row r="29">
      <c r="B29">
        <f>B28+4</f>
        <v>49</v>
      </c>
      <c r="C29">
        <f>$J$11+B29</f>
        <v>39528</v>
      </c>
      <c r="E29">
        <f>E28</f>
        <v>41.35870769011356</v>
      </c>
      <c r="G29">
        <f>G28</f>
        <v>12.23833049877422</v>
      </c>
      <c r="I29">
        <f>I28</f>
        <v>37.49696820948818</v>
      </c>
      <c r="K29">
        <f>K28</f>
        <v>0.00034655254537981057</v>
      </c>
      <c r="M29">
        <f>M28</f>
        <v>0.0012054397100354983</v>
      </c>
      <c r="O29">
        <f>O28</f>
        <v>325.75591829268296</v>
      </c>
      <c r="S29">
        <f>((E29/100)*$G$46+(G29/100)*$G$47+(I29/100)*$G$48+(K29/100)*$G$49+(M29/100)*$G$50+(O29)*$G$51+(Q29*$G$52))</f>
        <v>435.0526159888642</v>
      </c>
    </row>
    <row r="30">
      <c r="A30">
        <v>8</v>
      </c>
      <c r="B30">
        <f>B29+3</f>
        <v>52</v>
      </c>
      <c r="C30">
        <f>$J$11+B30</f>
        <v>39531</v>
      </c>
      <c r="E30">
        <f>IF(((SUM(ReDiarioFert!C56:C62)/2)*$C$12)&lt;=0,"0",(((SUM(ReDiarioFert!C56:C62)/2)*$C$12)))</f>
        <v>50.34973110100782</v>
      </c>
      <c r="G30">
        <f>IF(((SUM(ReDiarioFert!E56:E62)/2)*$C$12)&lt;=0,"0",(((SUM(ReDiarioFert!E56:E62)/2)*$C$12)))</f>
        <v>14.898837128942528</v>
      </c>
      <c r="I30">
        <f>IF(((SUM(ReDiarioFert!G56:G62)/2)*$C$12)&lt;=0,"0",(((SUM(ReDiarioFert!G56:G62)/2)*$C$12)))</f>
        <v>45.64848303763778</v>
      </c>
      <c r="K30">
        <f>IF(((SUM(ReDiarioFert!I56:I62)/2)*$C$12)&lt;=0,"0",(((SUM(ReDiarioFert!I56:I62)/2)*$C$12)))</f>
        <v>0.0004218900552449867</v>
      </c>
      <c r="M30">
        <f>IF(((SUM(ReDiarioFert!K56:K62)/2)*$C$12)&lt;=0,"0",(((SUM(ReDiarioFert!K56:K62)/2)*$C$12)))</f>
        <v>0.0014674918209127805</v>
      </c>
      <c r="O30">
        <f>IF(((SUM(ReDiarioFert!M56:M62)/2)*$C$12)&lt;=0,"0",(((SUM(ReDiarioFert!M56:M62)/2)*$C$12)))</f>
        <v>400.35605365853655</v>
      </c>
      <c r="Q30">
        <f>$C$12*Main!$D$63</f>
        <v>20.019999999999996</v>
      </c>
      <c r="S30">
        <f>((E30/100)*$G$46+(G30/100)*$G$47+(I30/100)*$G$48+(K30/100)*$G$49+(M30/100)*$G$50+(O30)*$G$51+(Q30*$G$52))</f>
        <v>585.8366168941845</v>
      </c>
    </row>
    <row r="31">
      <c r="B31">
        <f>B30+4</f>
        <v>56</v>
      </c>
      <c r="C31">
        <f>$J$11+B31</f>
        <v>39535</v>
      </c>
      <c r="E31">
        <f>E30</f>
        <v>50.34973110100782</v>
      </c>
      <c r="G31">
        <f>G30</f>
        <v>14.898837128942528</v>
      </c>
      <c r="I31">
        <f>I30</f>
        <v>45.64848303763778</v>
      </c>
      <c r="K31">
        <f>K30</f>
        <v>0.0004218900552449867</v>
      </c>
      <c r="M31">
        <f>M30</f>
        <v>0.0014674918209127805</v>
      </c>
      <c r="O31">
        <f>O30</f>
        <v>400.35605365853655</v>
      </c>
      <c r="S31">
        <f>((E31/100)*$G$46+(G31/100)*$G$47+(I31/100)*$G$48+(K31/100)*$G$49+(M31/100)*$G$50+(O31)*$G$51+(Q31*$G$52))</f>
        <v>529.7806168941846</v>
      </c>
    </row>
    <row r="32">
      <c r="A32">
        <v>9</v>
      </c>
      <c r="B32">
        <f>B31+3</f>
        <v>59</v>
      </c>
      <c r="C32">
        <f>$J$11+B32</f>
        <v>39538</v>
      </c>
      <c r="E32">
        <f>IF(((SUM(ReDiarioFert!C63:C69)/2)*$C$12)&lt;=0,"0",(((SUM(ReDiarioFert!C63:C69)/2)*$C$12)))</f>
        <v>55.6030848337729</v>
      </c>
      <c r="G32">
        <f>IF(((SUM(ReDiarioFert!E63:E69)/2)*$C$12)&lt;=0,"0",(((SUM(ReDiarioFert!E63:E69)/2)*$C$12)))</f>
        <v>17.736710867788723</v>
      </c>
      <c r="I32">
        <f>IF(((SUM(ReDiarioFert!G63:G69)/2)*$C$12)&lt;=0,"0",(((SUM(ReDiarioFert!G63:G69)/2)*$C$12)))</f>
        <v>53.16599115693131</v>
      </c>
      <c r="K32">
        <f>IF(((SUM(ReDiarioFert!I63:I69)/2)*$C$12)&lt;=0,"0",(((SUM(ReDiarioFert!I63:I69)/2)*$C$12)))</f>
        <v>0.0004913679810095381</v>
      </c>
      <c r="M32">
        <f>IF(((SUM(ReDiarioFert!K63:K69)/2)*$C$12)&lt;=0,"0",(((SUM(ReDiarioFert!K63:K69)/2)*$C$12)))</f>
        <v>0.0017091621009440517</v>
      </c>
      <c r="O32">
        <f>IF(((SUM(ReDiarioFert!M63:M69)/2)*$C$12)&lt;=0,"0",(((SUM(ReDiarioFert!M63:M69)/2)*$C$12)))</f>
        <v>415.27632487804874</v>
      </c>
      <c r="Q32">
        <f>$C$12*Main!$D$63</f>
        <v>20.019999999999996</v>
      </c>
      <c r="S32">
        <f>((E32/100)*$G$46+(G32/100)*$G$47+(I32/100)*$G$48+(K32/100)*$G$49+(M32/100)*$G$50+(O32)*$G$51+(Q32*$G$52))</f>
        <v>660.8884435698983</v>
      </c>
    </row>
    <row r="33">
      <c r="B33">
        <f>B32+4</f>
        <v>63</v>
      </c>
      <c r="C33">
        <f>$J$11+B33</f>
        <v>39542</v>
      </c>
      <c r="E33">
        <f>E32</f>
        <v>55.6030848337729</v>
      </c>
      <c r="G33">
        <f>G32</f>
        <v>17.736710867788723</v>
      </c>
      <c r="I33">
        <f>I32</f>
        <v>53.16599115693131</v>
      </c>
      <c r="K33">
        <f>K32</f>
        <v>0.0004913679810095381</v>
      </c>
      <c r="M33">
        <f>M32</f>
        <v>0.0017091621009440517</v>
      </c>
      <c r="O33">
        <f>O32</f>
        <v>415.27632487804874</v>
      </c>
      <c r="S33">
        <f>((E33/100)*$G$46+(G33/100)*$G$47+(I33/100)*$G$48+(K33/100)*$G$49+(M33/100)*$G$50+(O33)*$G$51+(Q33*$G$52))</f>
        <v>604.8324435698984</v>
      </c>
    </row>
    <row r="34">
      <c r="A34">
        <v>10</v>
      </c>
      <c r="B34">
        <f>B33+3</f>
        <v>66</v>
      </c>
      <c r="C34">
        <f>$J$11+B34</f>
        <v>39545</v>
      </c>
      <c r="E34">
        <f>IF(((SUM(ReDiarioFert!C70:C76)/2)*$C$12)&lt;=0,"0",(((SUM(ReDiarioFert!C70:C76)/2)*$C$12)))</f>
        <v>75.98019827040356</v>
      </c>
      <c r="G34">
        <f>IF(((SUM(ReDiarioFert!E70:E76)/2)*$C$12)&lt;=0,"0",(((SUM(ReDiarioFert!E70:E76)/2)*$C$12)))</f>
        <v>24.831395214904223</v>
      </c>
      <c r="I34">
        <f>IF(((SUM(ReDiarioFert!G70:G76)/2)*$C$12)&lt;=0,"0",(((SUM(ReDiarioFert!G70:G76)/2)*$C$12)))</f>
        <v>72.91077151844922</v>
      </c>
      <c r="K34">
        <f>IF(((SUM(ReDiarioFert!I70:I76)/2)*$C$12)&lt;=0,"0",(((SUM(ReDiarioFert!I70:I76)/2)*$C$12)))</f>
        <v>0.0006738521715718538</v>
      </c>
      <c r="M34">
        <f>IF(((SUM(ReDiarioFert!K70:K76)/2)*$C$12)&lt;=0,"0",(((SUM(ReDiarioFert!K70:K76)/2)*$C$12)))</f>
        <v>0.002343910547291247</v>
      </c>
      <c r="O34">
        <f>IF(((SUM(ReDiarioFert!M70:M76)/2)*$C$12)&lt;=0,"0",(((SUM(ReDiarioFert!M70:M76)/2)*$C$12)))</f>
        <v>504.797952195122</v>
      </c>
      <c r="Q34">
        <f>$C$12*Main!$D$63</f>
        <v>20.019999999999996</v>
      </c>
      <c r="S34">
        <f>((E34/100)*$G$46+(G34/100)*$G$47+(I34/100)*$G$48+(K34/100)*$G$49+(M34/100)*$G$50+(O34)*$G$51+(Q34*$G$52))</f>
        <v>884.6609610179112</v>
      </c>
    </row>
    <row r="35">
      <c r="B35">
        <f>B34+4</f>
        <v>70</v>
      </c>
      <c r="C35">
        <f>$J$11+B35</f>
        <v>39549</v>
      </c>
      <c r="E35">
        <f>E34</f>
        <v>75.98019827040356</v>
      </c>
      <c r="G35">
        <f>G34</f>
        <v>24.831395214904223</v>
      </c>
      <c r="I35">
        <f>I34</f>
        <v>72.91077151844922</v>
      </c>
      <c r="K35">
        <f>K34</f>
        <v>0.0006738521715718538</v>
      </c>
      <c r="M35">
        <f>M34</f>
        <v>0.002343910547291247</v>
      </c>
      <c r="O35">
        <f>O34</f>
        <v>504.797952195122</v>
      </c>
      <c r="S35">
        <f>((E35/100)*$G$46+(G35/100)*$G$47+(I35/100)*$G$48+(K35/100)*$G$49+(M35/100)*$G$50+(O35)*$G$51+(Q35*$G$52))</f>
        <v>828.6049610179111</v>
      </c>
    </row>
    <row r="36">
      <c r="A36">
        <v>11</v>
      </c>
      <c r="B36">
        <f>B35+3</f>
        <v>73</v>
      </c>
      <c r="C36">
        <f>$J$11+B36</f>
        <v>39552</v>
      </c>
      <c r="E36">
        <f>IF(((SUM(ReDiarioFert!C77:C83)/2)*$C$12)&lt;=0,"0",(((SUM(ReDiarioFert!C77:C83)/2)*$C$12)))</f>
        <v>64.32944516491311</v>
      </c>
      <c r="G36">
        <f>IF(((SUM(ReDiarioFert!E77:E83)/2)*$C$12)&lt;=0,"0",(((SUM(ReDiarioFert!E77:E83)/2)*$C$12)))</f>
        <v>24.831395214904223</v>
      </c>
      <c r="I36">
        <f>IF(((SUM(ReDiarioFert!G77:G83)/2)*$C$12)&lt;=0,"0",(((SUM(ReDiarioFert!G77:G83)/2)*$C$12)))</f>
        <v>72.91077151844922</v>
      </c>
      <c r="K36">
        <f>IF(((SUM(ReDiarioFert!I77:I83)/2)*$C$12)&lt;=0,"0",(((SUM(ReDiarioFert!I77:I83)/2)*$C$12)))</f>
        <v>0.0006738521715718538</v>
      </c>
      <c r="M36">
        <f>IF(((SUM(ReDiarioFert!K77:K83)/2)*$C$12)&lt;=0,"0",(((SUM(ReDiarioFert!K77:K83)/2)*$C$12)))</f>
        <v>0.002343910547291247</v>
      </c>
      <c r="O36">
        <f>IF(((SUM(ReDiarioFert!M77:M83)/2)*$C$12)&lt;=0,"0",(((SUM(ReDiarioFert!M77:M83)/2)*$C$12)))</f>
        <v>504.797952195122</v>
      </c>
      <c r="Q36">
        <f>$C$12*Main!$D$63</f>
        <v>20.019999999999996</v>
      </c>
      <c r="S36">
        <f>((E36/100)*$G$46+(G36/100)*$G$47+(I36/100)*$G$48+(K36/100)*$G$49+(M36/100)*$G$50+(O36)*$G$51+(Q36*$G$52))</f>
        <v>837.4754109406749</v>
      </c>
    </row>
    <row r="37">
      <c r="B37">
        <f>B36+4</f>
        <v>77</v>
      </c>
      <c r="C37">
        <f>$J$11+B37</f>
        <v>39556</v>
      </c>
      <c r="E37">
        <f>E36</f>
        <v>64.32944516491311</v>
      </c>
      <c r="G37">
        <f>G36</f>
        <v>24.831395214904223</v>
      </c>
      <c r="I37">
        <f>I36</f>
        <v>72.91077151844922</v>
      </c>
      <c r="K37">
        <f>K36</f>
        <v>0.0006738521715718538</v>
      </c>
      <c r="M37">
        <f>M36</f>
        <v>0.002343910547291247</v>
      </c>
      <c r="O37">
        <f>O36</f>
        <v>504.797952195122</v>
      </c>
      <c r="S37">
        <f>((E37/100)*$G$46+(G37/100)*$G$47+(I37/100)*$G$48+(K37/100)*$G$49+(M37/100)*$G$50+(O37)*$G$51+(Q37*$G$52))</f>
        <v>781.4194109406749</v>
      </c>
    </row>
    <row r="38">
      <c r="A38">
        <v>12</v>
      </c>
      <c r="B38">
        <f>B37+3</f>
        <v>80</v>
      </c>
      <c r="C38">
        <f>$J$11+B38</f>
        <v>39559</v>
      </c>
      <c r="E38">
        <f>IF(((SUM(ReDiarioFert!C84:C90)/2)*$C$12)&lt;=0,"0",(((SUM(ReDiarioFert!C84:C90)/2)*$C$12)))</f>
        <v>56.56227642791949</v>
      </c>
      <c r="G38">
        <f>IF(((SUM(ReDiarioFert!E84:E90)/2)*$C$12)&lt;=0,"0",(((SUM(ReDiarioFert!E84:E90)/2)*$C$12)))</f>
        <v>24.831395214904223</v>
      </c>
      <c r="I38">
        <f>IF(((SUM(ReDiarioFert!G84:G90)/2)*$C$12)&lt;=0,"0",(((SUM(ReDiarioFert!G84:G90)/2)*$C$12)))</f>
        <v>72.91077151844922</v>
      </c>
      <c r="K38">
        <f>IF(((SUM(ReDiarioFert!I84:I90)/2)*$C$12)&lt;=0,"0",(((SUM(ReDiarioFert!I84:I90)/2)*$C$12)))</f>
        <v>0.0006738521715718538</v>
      </c>
      <c r="M38">
        <f>IF(((SUM(ReDiarioFert!K84:K90)/2)*$C$12)&lt;=0,"0",(((SUM(ReDiarioFert!K84:K90)/2)*$C$12)))</f>
        <v>0.002343910547291247</v>
      </c>
      <c r="O38">
        <f>IF(((SUM(ReDiarioFert!M84:M90)/2)*$C$12)&lt;=0,"0",(((SUM(ReDiarioFert!M84:M90)/2)*$C$12)))</f>
        <v>564.4780604878048</v>
      </c>
      <c r="Q38">
        <f>$C$12*Main!$D$63</f>
        <v>20.019999999999996</v>
      </c>
      <c r="S38">
        <f>((E38/100)*$G$46+(G38/100)*$G$47+(I38/100)*$G$48+(K38/100)*$G$49+(M38/100)*$G$50+(O38)*$G$51+(Q38*$G$52))</f>
        <v>808.4055818875579</v>
      </c>
    </row>
    <row r="39">
      <c r="B39">
        <f>B38+4</f>
        <v>84</v>
      </c>
      <c r="C39">
        <f>$J$11+B39</f>
        <v>39563</v>
      </c>
      <c r="E39">
        <f>E38</f>
        <v>56.56227642791949</v>
      </c>
      <c r="G39">
        <f>G38</f>
        <v>24.831395214904223</v>
      </c>
      <c r="I39">
        <f>I38</f>
        <v>72.91077151844922</v>
      </c>
      <c r="K39">
        <f>K38</f>
        <v>0.0006738521715718538</v>
      </c>
      <c r="M39">
        <f>M38</f>
        <v>0.002343910547291247</v>
      </c>
      <c r="O39">
        <f>O38</f>
        <v>564.4780604878048</v>
      </c>
      <c r="S39">
        <f>((E39/100)*$G$46+(G39/100)*$G$47+(I39/100)*$G$48+(K39/100)*$G$49+(M39/100)*$G$50+(O39)*$G$51+(Q39*$G$52))</f>
        <v>752.3495818875579</v>
      </c>
    </row>
    <row r="40" ht="18" customHeight="1">
      <c r="A40">
        <v>13</v>
      </c>
      <c r="B40">
        <f>B39+3</f>
        <v>87</v>
      </c>
      <c r="C40">
        <f>$J$11+B40</f>
        <v>39566</v>
      </c>
      <c r="E40">
        <f>IF(((SUM(ReDiarioFert!C91:C97)/2)*$C$12)&lt;=0,"0",(((SUM(ReDiarioFert!C91:C97)/2)*$C$12)))</f>
        <v>52.67869205942267</v>
      </c>
      <c r="G40">
        <f>IF(((SUM(ReDiarioFert!E91:E97)/2)*$C$12)&lt;=0,"0",(((SUM(ReDiarioFert!E91:E97)/2)*$C$12)))</f>
        <v>24.831395214904223</v>
      </c>
      <c r="I40">
        <f>IF(((SUM(ReDiarioFert!G91:G97)/2)*$C$12)&lt;=0,"0",(((SUM(ReDiarioFert!G91:G97)/2)*$C$12)))</f>
        <v>72.91077151844922</v>
      </c>
      <c r="K40">
        <f>IF(((SUM(ReDiarioFert!I91:I97)/2)*$C$12)&lt;=0,"0",(((SUM(ReDiarioFert!I91:I97)/2)*$C$12)))</f>
        <v>0.0006738521715718538</v>
      </c>
      <c r="M40">
        <f>IF(((SUM(ReDiarioFert!K91:K97)/2)*$C$12)&lt;=0,"0",(((SUM(ReDiarioFert!K91:K97)/2)*$C$12)))</f>
        <v>0.002343910547291247</v>
      </c>
      <c r="O40">
        <f>IF(((SUM(ReDiarioFert!M91:M97)/2)*$C$12)&lt;=0,"0",(((SUM(ReDiarioFert!M91:M97)/2)*$C$12)))</f>
        <v>609.2381417073171</v>
      </c>
      <c r="Q40">
        <f>$C$12*Main!$D$63</f>
        <v>20.019999999999996</v>
      </c>
      <c r="S40">
        <f>((E40/100)*$G$46+(G40/100)*$G$47+(I40/100)*$G$48+(K40/100)*$G$49+(M40/100)*$G$50+(O40)*$G$51+(Q40*$G$52))</f>
        <v>794.4674684439262</v>
      </c>
    </row>
    <row r="41" ht="18" customHeight="1">
      <c r="B41">
        <f>B40+4</f>
        <v>91</v>
      </c>
      <c r="C41">
        <f>$J$11+B41</f>
        <v>39570</v>
      </c>
      <c r="E41">
        <f>E40</f>
        <v>52.67869205942267</v>
      </c>
      <c r="G41">
        <f>G40</f>
        <v>24.831395214904223</v>
      </c>
      <c r="I41">
        <f>I40</f>
        <v>72.91077151844922</v>
      </c>
      <c r="K41">
        <f>K40</f>
        <v>0.0006738521715718538</v>
      </c>
      <c r="M41">
        <f>M40</f>
        <v>0.002343910547291247</v>
      </c>
      <c r="O41">
        <f>O40</f>
        <v>609.2381417073171</v>
      </c>
      <c r="S41">
        <f>((E41/100)*$G$46+(G41/100)*$G$47+(I41/100)*$G$48+(K41/100)*$G$49+(M41/100)*$G$50+(O41)*$G$51+(Q41*$G$52))</f>
        <v>738.4114684439262</v>
      </c>
    </row>
    <row r="42">
      <c r="C42" t="str">
        <v>Total</v>
      </c>
      <c r="E42">
        <f>SUM(E16:E41)</f>
        <v>1109.4602741521728</v>
      </c>
      <c r="G42">
        <f>SUM(G16:G41)</f>
        <v>374.06723220166424</v>
      </c>
      <c r="I42">
        <f>SUM(I16:I41)</f>
        <v>1118.3878344221257</v>
      </c>
      <c r="K42">
        <f>SUM(K16:K41)</f>
        <v>0.010336306353502174</v>
      </c>
      <c r="M42">
        <f>SUM(M16:M41)</f>
        <v>0.03595354961236313</v>
      </c>
      <c r="O42">
        <f>SUM(O16:O41)</f>
        <v>8952.06653804878</v>
      </c>
      <c r="Q42">
        <f>SUM(Q16:Q41)</f>
        <v>260.2599999999999</v>
      </c>
      <c r="S42">
        <f>SUM(S16:S41)</f>
        <v>13222.104930901316</v>
      </c>
    </row>
    <row r="43">
      <c r="D43" t="str">
        <v>OJO cualquier cultivo que no se termine la cosecha en el ultimo dia del calendario solo seguir repitiendo la ultima aplicacion de fertilizante.</v>
      </c>
    </row>
    <row r="44" ht="39.75" customHeight="1">
      <c r="B44" t="str">
        <v>Producto</v>
      </c>
      <c r="F44" t="str">
        <v>Lbs/Ha</v>
      </c>
      <c r="G44" t="str">
        <v>Costo por qq</v>
      </c>
    </row>
    <row r="45" ht="24" customHeight="1">
      <c r="G45" t="str">
        <f>Main!$E$25</f>
        <v>Lempiras</v>
      </c>
    </row>
    <row r="46">
      <c r="B46" t="str">
        <f>Main!D42</f>
        <v>Nitrato de Amonio</v>
      </c>
      <c r="F46">
        <f>E42/C12</f>
        <v>1108.351922229943</v>
      </c>
      <c r="G46">
        <f>Main!D43</f>
        <v>405</v>
      </c>
    </row>
    <row r="47">
      <c r="B47" t="str">
        <f>Main!D32</f>
        <v>DAP 18-46-0</v>
      </c>
      <c r="F47">
        <f>G42/C12</f>
        <v>373.6935386630013</v>
      </c>
      <c r="G47">
        <f>Main!D33</f>
        <v>560</v>
      </c>
    </row>
    <row r="48">
      <c r="B48" t="str">
        <f>Main!D37</f>
        <v>Kcl Soluble</v>
      </c>
      <c r="F48">
        <f>I42/C12</f>
        <v>1117.2705638582675</v>
      </c>
      <c r="G48">
        <f>Main!D38</f>
        <v>496</v>
      </c>
    </row>
    <row r="49">
      <c r="B49" t="str">
        <f>Main!D47</f>
        <v>Sin Magnecio</v>
      </c>
      <c r="F49">
        <f>K42/C12</f>
        <v>0.010325980373129045</v>
      </c>
      <c r="G49">
        <f>Main!D48</f>
        <v>0</v>
      </c>
    </row>
    <row r="50">
      <c r="B50" t="str">
        <f>Main!D52</f>
        <v>Sin Calcio</v>
      </c>
      <c r="F50">
        <f>M42/C12</f>
        <v>0.035917631980382746</v>
      </c>
      <c r="G50">
        <f>Main!D53</f>
        <v>0</v>
      </c>
    </row>
    <row r="51">
      <c r="B51" t="str">
        <f>Main!D57</f>
        <v>Solubor</v>
      </c>
      <c r="F51">
        <f>O42/C12</f>
        <v>8943.123414634149</v>
      </c>
      <c r="G51">
        <f>Main!D58</f>
        <v>0.04</v>
      </c>
      <c r="I51" t="str">
        <v xml:space="preserve">Preparado y Autorizado Por </v>
      </c>
    </row>
    <row r="52" ht="18" customHeight="1">
      <c r="B52" t="str">
        <f>Main!D61</f>
        <v>Melaza</v>
      </c>
      <c r="F52">
        <f>Q42/C12</f>
        <v>259.9999999999999</v>
      </c>
      <c r="G52">
        <f>Main!D62</f>
        <v>2.8</v>
      </c>
      <c r="I52" t="str">
        <v>MSc Ricardo D. Lardizábal</v>
      </c>
    </row>
    <row r="53" ht="17.4" customHeight="1">
      <c r="B53" t="str">
        <v>NOTA: El Nitrato de Calcio se debe de diluir en un barril aparte para inyectarse al sistema</v>
      </c>
    </row>
    <row r="56">
      <c r="B56" t="str">
        <v>Abreviaciones usadas</v>
      </c>
    </row>
    <row r="57">
      <c r="B57" t="str">
        <v>Mz-Manzanas, Ha-Hectáreas, Lbs-Libras, Lts-Litros y DDT-Días después de Transplante</v>
      </c>
    </row>
  </sheetData>
  <sheetProtection sheet="1"/>
  <mergeCells count="53">
    <mergeCell ref="G47:H47"/>
    <mergeCell ref="J9:N9"/>
    <mergeCell ref="J10:N10"/>
    <mergeCell ref="J11:N11"/>
    <mergeCell ref="J12:N12"/>
    <mergeCell ref="G11:I11"/>
    <mergeCell ref="G12:I12"/>
    <mergeCell ref="G48:H48"/>
    <mergeCell ref="S14:S15"/>
    <mergeCell ref="O14:P14"/>
    <mergeCell ref="Q14:R14"/>
    <mergeCell ref="G14:H14"/>
    <mergeCell ref="I14:J14"/>
    <mergeCell ref="K14:L14"/>
    <mergeCell ref="M14:N14"/>
    <mergeCell ref="G45:H45"/>
    <mergeCell ref="G46:H46"/>
    <mergeCell ref="A14:A15"/>
    <mergeCell ref="B14:B15"/>
    <mergeCell ref="A11:B11"/>
    <mergeCell ref="A12:B12"/>
    <mergeCell ref="C11:F11"/>
    <mergeCell ref="C12:F12"/>
    <mergeCell ref="B57:S57"/>
    <mergeCell ref="E14:F14"/>
    <mergeCell ref="B56:C56"/>
    <mergeCell ref="B52:E52"/>
    <mergeCell ref="B44:E44"/>
    <mergeCell ref="B46:E46"/>
    <mergeCell ref="B47:E47"/>
    <mergeCell ref="B48:E48"/>
    <mergeCell ref="C14:D14"/>
    <mergeCell ref="G44:H44"/>
    <mergeCell ref="B53:I54"/>
    <mergeCell ref="B50:E50"/>
    <mergeCell ref="B49:E49"/>
    <mergeCell ref="I52:Q52"/>
    <mergeCell ref="B51:E51"/>
    <mergeCell ref="G52:H52"/>
    <mergeCell ref="G51:H51"/>
    <mergeCell ref="G49:H49"/>
    <mergeCell ref="G50:H50"/>
    <mergeCell ref="I51:Q51"/>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66"/>
  </ignoredErrors>
  <legacyDrawing r:id="rId1"/>
</worksheet>
</file>

<file path=xl/worksheets/sheet7.xml><?xml version="1.0" encoding="utf-8"?>
<worksheet xmlns="http://schemas.openxmlformats.org/spreadsheetml/2006/main" xmlns:r="http://schemas.openxmlformats.org/officeDocument/2006/relationships">
  <dimension ref="A1:V51"/>
  <sheetViews>
    <sheetView workbookViewId="0" rightToLeft="0"/>
  </sheetViews>
  <sheetData>
    <row r="1" ht="32.7" customHeight="1"/>
    <row r="2" ht="32.7" customHeight="1">
      <c r="P2" t="str">
        <v>Calendario de Fertilización para Goteo 1 Vez Por Semana</v>
      </c>
    </row>
    <row r="3" ht="32.7" customHeight="1"/>
    <row r="5">
      <c r="P5" t="str">
        <f>Main!$E$21</f>
        <v>Repollo</v>
      </c>
    </row>
    <row r="6" ht="29.25" customHeight="1"/>
    <row r="7" ht="26.25" customHeight="1"/>
    <row r="8" ht="27.600000000000005" customHeight="1">
      <c r="A8" t="str">
        <f>Main!$C$13</f>
        <v>"Sin Fertilización Base"</v>
      </c>
    </row>
    <row r="9" ht="20.1" customHeight="1">
      <c r="A9" t="str">
        <v>Productor</v>
      </c>
      <c r="C9" t="str">
        <f>Main!E17</f>
        <v>Pancho Pérez</v>
      </c>
      <c r="G9" t="str">
        <v>Parcela</v>
      </c>
      <c r="J9" t="str">
        <f>Main!E19</f>
        <v>La Frondosa</v>
      </c>
      <c r="P9" t="str">
        <f>Main!$G$21</f>
        <v>Izalco</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39479</v>
      </c>
    </row>
    <row r="12" ht="20.1" customHeight="1">
      <c r="A12" t="str">
        <v>Área Ha.</v>
      </c>
      <c r="C12">
        <f>Main!I22</f>
        <v>1.001</v>
      </c>
      <c r="G12" t="str">
        <v>Fecha de Cosecha:</v>
      </c>
      <c r="J12">
        <f>J11+Main!E24</f>
        <v>39569</v>
      </c>
    </row>
    <row r="13" ht="19.5" customHeight="1"/>
    <row r="14" ht="26.399999999999995" customHeight="1">
      <c r="A14" t="str">
        <v>Semana</v>
      </c>
      <c r="B14" t="str">
        <v>DDT</v>
      </c>
      <c r="C14" t="str">
        <v>FECHA</v>
      </c>
      <c r="E14" t="str">
        <f>Main!$D$42</f>
        <v>Nitrato de Amonio</v>
      </c>
      <c r="G14" t="str">
        <f>Main!$D$32</f>
        <v>DAP 18-46-0</v>
      </c>
      <c r="I14" t="str">
        <f>Main!$D$37</f>
        <v>Kcl Soluble</v>
      </c>
      <c r="K14" t="str">
        <f>Main!$D$47</f>
        <v>Sin Magnecio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t="str">
        <f>Main!E57</f>
        <v>Gramos</v>
      </c>
      <c r="P15" t="str">
        <v>Cambios</v>
      </c>
      <c r="Q15" t="str">
        <f>Main!$E$61</f>
        <v>Lts</v>
      </c>
      <c r="R15" t="str">
        <v>Cambios</v>
      </c>
    </row>
    <row r="16" ht="18.75" customHeight="1">
      <c r="A16">
        <v>1</v>
      </c>
      <c r="B16">
        <v>1</v>
      </c>
      <c r="C16">
        <f>$J$11+B16</f>
        <v>39480</v>
      </c>
      <c r="E16">
        <f>IF((SUM(ReDiarioFert!C7:C13)*$C$12)&lt;=0,"0",((SUM(ReDiarioFert!C7:C13)*$C$12)))</f>
        <v>30.03778858583905</v>
      </c>
      <c r="G16">
        <f>IF((SUM(ReDiarioFert!E7:E13)*$C$12)&lt;=0,"0",((SUM(ReDiarioFert!E7:E13)*$C$12)))</f>
        <v>7.449418564471264</v>
      </c>
      <c r="I16">
        <f>IF((SUM(ReDiarioFert!G7:G13)*$C$12)&lt;=0,"0",((SUM(ReDiarioFert!G7:G13)*$C$12)))</f>
        <v>22.82424151881889</v>
      </c>
      <c r="K16">
        <f>IF((SUM(ReDiarioFert!I7:I13)*$C$12)&lt;=0,"0",((SUM(ReDiarioFert!I7:I13)*$C$12)))</f>
        <v>0.00021094502762249336</v>
      </c>
      <c r="M16">
        <f>IF((SUM(ReDiarioFert!K7:K13)*$C$12)&lt;=0,"0",((SUM(ReDiarioFert!K7:K13)*$C$12)))</f>
        <v>0.0007337459104563902</v>
      </c>
      <c r="O16">
        <f>IF((SUM(ReDiarioFert!M7:M13)*$C$12)&lt;=0,"0",((SUM(ReDiarioFert!M7:M13)*$C$12)))</f>
        <v>174.06755219512195</v>
      </c>
      <c r="Q16">
        <f>$C$12*Main!$D$63</f>
        <v>20.019999999999996</v>
      </c>
      <c r="S16">
        <f>((E16/100)*$G$33+(G16/100)*$G$34+(I16/100)*$G$35+(K16/100)*$G$36+(M16/100)*$G$37+(O16)*$G$38+(Q16*$G$39))</f>
        <v>339.59672775483375</v>
      </c>
    </row>
    <row r="17">
      <c r="A17">
        <v>2</v>
      </c>
      <c r="B17">
        <v>8</v>
      </c>
      <c r="C17">
        <f>$J$11+B17</f>
        <v>39487</v>
      </c>
      <c r="E17">
        <f>IF((SUM(ReDiarioFert!C14:C20)*$C$12)&lt;=0,"0",((SUM(ReDiarioFert!C14:C20)*$C$12)))</f>
        <v>38.620013896078774</v>
      </c>
      <c r="G17">
        <f>IF((SUM(ReDiarioFert!E14:E20)*$C$12)&lt;=0,"0",((SUM(ReDiarioFert!E14:E20)*$C$12)))</f>
        <v>9.57782386860591</v>
      </c>
      <c r="I17">
        <f>IF((SUM(ReDiarioFert!G14:G20)*$C$12)&lt;=0,"0",((SUM(ReDiarioFert!G14:G20)*$C$12)))</f>
        <v>29.345453381338576</v>
      </c>
      <c r="K17">
        <f>IF((SUM(ReDiarioFert!I14:I20)*$C$12)&lt;=0,"0",((SUM(ReDiarioFert!I14:I20)*$C$12)))</f>
        <v>0.0002712150355146343</v>
      </c>
      <c r="M17">
        <f>IF((SUM(ReDiarioFert!K14:K20)*$C$12)&lt;=0,"0",((SUM(ReDiarioFert!K14:K20)*$C$12)))</f>
        <v>0.0009433875991582162</v>
      </c>
      <c r="O17">
        <f>IF((SUM(ReDiarioFert!M14:M20)*$C$12)&lt;=0,"0",((SUM(ReDiarioFert!M14:M20)*$C$12)))</f>
        <v>253.64168097560975</v>
      </c>
      <c r="Q17">
        <f>$C$12*Main!$D$63</f>
        <v>20.019999999999996</v>
      </c>
      <c r="S17">
        <f>((E17/100)*$G$33+(G17/100)*$G$34+(I17/100)*$G$35+(K17/100)*$G$36+(M17/100)*$G$37+(O17)*$G$38+(Q17*$G$39))</f>
        <v>421.8019859537758</v>
      </c>
    </row>
    <row r="18">
      <c r="A18">
        <v>3</v>
      </c>
      <c r="B18">
        <v>15</v>
      </c>
      <c r="C18">
        <f>$J$11+B18</f>
        <v>39494</v>
      </c>
      <c r="E18">
        <f>IF((SUM(ReDiarioFert!C21:C27)*$C$12)&lt;=0,"0",((SUM(ReDiarioFert!C21:C27)*$C$12)))</f>
        <v>49.29701262173479</v>
      </c>
      <c r="G18">
        <f>IF((SUM(ReDiarioFert!E21:E27)*$C$12)&lt;=0,"0",((SUM(ReDiarioFert!E21:E27)*$C$12)))</f>
        <v>13.302533150841544</v>
      </c>
      <c r="I18">
        <f>IF((SUM(ReDiarioFert!G21:G27)*$C$12)&lt;=0,"0",((SUM(ReDiarioFert!G21:G27)*$C$12)))</f>
        <v>40.75757414074803</v>
      </c>
      <c r="K18">
        <f>IF((SUM(ReDiarioFert!I21:I27)*$C$12)&lt;=0,"0",((SUM(ReDiarioFert!I21:I27)*$C$12)))</f>
        <v>0.00037668754932588107</v>
      </c>
      <c r="M18">
        <f>IF((SUM(ReDiarioFert!K21:K27)*$C$12)&lt;=0,"0",((SUM(ReDiarioFert!K21:K27)*$C$12)))</f>
        <v>0.0013102605543864113</v>
      </c>
      <c r="O18">
        <f>IF((SUM(ReDiarioFert!M21:M27)*$C$12)&lt;=0,"0",((SUM(ReDiarioFert!M21:M27)*$C$12)))</f>
        <v>373.00140926829266</v>
      </c>
      <c r="Q18">
        <f>$C$12*Main!$D$63</f>
        <v>20.019999999999996</v>
      </c>
      <c r="S18">
        <f>((E18/100)*$G$33+(G18/100)*$G$34+(I18/100)*$G$35+(K18/100)*$G$36+(M18/100)*$G$37+(O18)*$G$38+(Q18*$G$39))</f>
        <v>547.2807108715804</v>
      </c>
    </row>
    <row r="19">
      <c r="A19">
        <v>4</v>
      </c>
      <c r="B19">
        <v>22</v>
      </c>
      <c r="C19">
        <f>$J$11+B19</f>
        <v>39501</v>
      </c>
      <c r="E19">
        <f>IF((SUM(ReDiarioFert!C28:C34)*$C$12)&lt;=0,"0",((SUM(ReDiarioFert!C28:C34)*$C$12)))</f>
        <v>55.212654136342955</v>
      </c>
      <c r="G19">
        <f>IF((SUM(ReDiarioFert!E28:E34)*$C$12)&lt;=0,"0",((SUM(ReDiarioFert!E28:E34)*$C$12)))</f>
        <v>14.898837128942528</v>
      </c>
      <c r="I19">
        <f>IF((SUM(ReDiarioFert!G28:G34)*$C$12)&lt;=0,"0",((SUM(ReDiarioFert!G28:G34)*$C$12)))</f>
        <v>45.64848303763778</v>
      </c>
      <c r="K19">
        <f>IF((SUM(ReDiarioFert!I28:I34)*$C$12)&lt;=0,"0",((SUM(ReDiarioFert!I28:I34)*$C$12)))</f>
        <v>0.0004218900552449867</v>
      </c>
      <c r="M19">
        <f>IF((SUM(ReDiarioFert!K28:K34)*$C$12)&lt;=0,"0",((SUM(ReDiarioFert!K28:K34)*$C$12)))</f>
        <v>0.0014674918209127805</v>
      </c>
      <c r="O19">
        <f>IF((SUM(ReDiarioFert!M28:M34)*$C$12)&lt;=0,"0",((SUM(ReDiarioFert!M28:M34)*$C$12)))</f>
        <v>417.7607580487805</v>
      </c>
      <c r="Q19">
        <f>$C$12*Main!$D$63</f>
        <v>20.019999999999996</v>
      </c>
      <c r="S19">
        <f>((E19/100)*$G$33+(G19/100)*$G$34+(I19/100)*$G$35+(K19/100)*$G$36+(M19/100)*$G$37+(O19)*$G$38+(Q19*$G$39))</f>
        <v>606.2276433629017</v>
      </c>
    </row>
    <row r="20">
      <c r="A20">
        <v>5</v>
      </c>
      <c r="B20">
        <v>29</v>
      </c>
      <c r="C20">
        <f>$J$11+B20</f>
        <v>39508</v>
      </c>
      <c r="E20">
        <f>IF((SUM(ReDiarioFert!C35:C41)*$C$12)&lt;=0,"0",((SUM(ReDiarioFert!C35:C41)*$C$12)))</f>
        <v>67.04393716555931</v>
      </c>
      <c r="G20">
        <f>IF((SUM(ReDiarioFert!E35:E41)*$C$12)&lt;=0,"0",((SUM(ReDiarioFert!E35:E41)*$C$12)))</f>
        <v>18.091445085144496</v>
      </c>
      <c r="I20">
        <f>IF((SUM(ReDiarioFert!G35:G41)*$C$12)&lt;=0,"0",((SUM(ReDiarioFert!G35:G41)*$C$12)))</f>
        <v>55.430300831417306</v>
      </c>
      <c r="K20">
        <f>IF((SUM(ReDiarioFert!I35:I41)*$C$12)&lt;=0,"0",((SUM(ReDiarioFert!I35:I41)*$C$12)))</f>
        <v>0.0005122950670831982</v>
      </c>
      <c r="M20">
        <f>IF((SUM(ReDiarioFert!K35:K41)*$C$12)&lt;=0,"0",((SUM(ReDiarioFert!K35:K41)*$C$12)))</f>
        <v>0.0017819543539655193</v>
      </c>
      <c r="O20">
        <f>IF((SUM(ReDiarioFert!M35:M41)*$C$12)&lt;=0,"0",((SUM(ReDiarioFert!M35:M41)*$C$12)))</f>
        <v>492.36260243902444</v>
      </c>
      <c r="Q20">
        <f>$C$12*Main!$D$63</f>
        <v>20.019999999999996</v>
      </c>
      <c r="S20">
        <f>((E20/100)*$G$33+(G20/100)*$G$34+(I20/100)*$G$35+(K20/100)*$G$36+(M20/100)*$G$37+(O20)*$G$38+(Q20*$G$39))</f>
        <v>723.5248342187151</v>
      </c>
    </row>
    <row r="21">
      <c r="A21">
        <v>6</v>
      </c>
      <c r="B21">
        <v>36</v>
      </c>
      <c r="C21">
        <f>$J$11+B21</f>
        <v>39515</v>
      </c>
      <c r="E21">
        <f>IF((SUM(ReDiarioFert!C42:C48)*$C$12)&lt;=0,"0",((SUM(ReDiarioFert!C42:C48)*$C$12)))</f>
        <v>75.5245966515117</v>
      </c>
      <c r="G21">
        <f>IF((SUM(ReDiarioFert!E42:E48)*$C$12)&lt;=0,"0",((SUM(ReDiarioFert!E42:E48)*$C$12)))</f>
        <v>22.34825569341379</v>
      </c>
      <c r="I21">
        <f>IF((SUM(ReDiarioFert!G42:G48)*$C$12)&lt;=0,"0",((SUM(ReDiarioFert!G42:G48)*$C$12)))</f>
        <v>68.47272455645667</v>
      </c>
      <c r="K21">
        <f>IF((SUM(ReDiarioFert!I42:I48)*$C$12)&lt;=0,"0",((SUM(ReDiarioFert!I42:I48)*$C$12)))</f>
        <v>0.0006328350828674802</v>
      </c>
      <c r="M21">
        <f>IF((SUM(ReDiarioFert!K42:K48)*$C$12)&lt;=0,"0",((SUM(ReDiarioFert!K42:K48)*$C$12)))</f>
        <v>0.002201237731369171</v>
      </c>
      <c r="O21">
        <f>IF((SUM(ReDiarioFert!M42:M48)*$C$12)&lt;=0,"0",((SUM(ReDiarioFert!M42:M48)*$C$12)))</f>
        <v>591.831728292683</v>
      </c>
      <c r="Q21">
        <f>$C$12*Main!$D$63</f>
        <v>20.019999999999996</v>
      </c>
      <c r="S21">
        <f>((E21/100)*$G$33+(G21/100)*$G$34+(I21/100)*$G$35+(K21/100)*$G$36+(M21/100)*$G$37+(O21)*$G$38+(Q21*$G$39))</f>
        <v>850.3788312534721</v>
      </c>
    </row>
    <row r="22">
      <c r="A22">
        <v>7</v>
      </c>
      <c r="B22">
        <v>43</v>
      </c>
      <c r="C22">
        <f>$J$11+B22</f>
        <v>39522</v>
      </c>
      <c r="E22">
        <f>IF((SUM(ReDiarioFert!C49:C55)*$C$12)&lt;=0,"0",((SUM(ReDiarioFert!C49:C55)*$C$12)))</f>
        <v>82.71741538022712</v>
      </c>
      <c r="G22">
        <f>IF((SUM(ReDiarioFert!E49:E55)*$C$12)&lt;=0,"0",((SUM(ReDiarioFert!E49:E55)*$C$12)))</f>
        <v>24.47666099754844</v>
      </c>
      <c r="I22">
        <f>IF((SUM(ReDiarioFert!G49:G55)*$C$12)&lt;=0,"0",((SUM(ReDiarioFert!G49:G55)*$C$12)))</f>
        <v>74.99393641897636</v>
      </c>
      <c r="K22">
        <f>IF((SUM(ReDiarioFert!I49:I55)*$C$12)&lt;=0,"0",((SUM(ReDiarioFert!I49:I55)*$C$12)))</f>
        <v>0.0006931050907596211</v>
      </c>
      <c r="M22">
        <f>IF((SUM(ReDiarioFert!K49:K55)*$C$12)&lt;=0,"0",((SUM(ReDiarioFert!K49:K55)*$C$12)))</f>
        <v>0.0024108794200709965</v>
      </c>
      <c r="O22">
        <f>IF((SUM(ReDiarioFert!M49:M55)*$C$12)&lt;=0,"0",((SUM(ReDiarioFert!M49:M55)*$C$12)))</f>
        <v>651.5118365853659</v>
      </c>
      <c r="Q22">
        <f>$C$12*Main!$D$63</f>
        <v>20.019999999999996</v>
      </c>
      <c r="S22">
        <f>((E22/100)*$G$33+(G22/100)*$G$34+(I22/100)*$G$35+(K22/100)*$G$36+(M22/100)*$G$37+(O22)*$G$38+(Q22*$G$39))</f>
        <v>926.1612319777284</v>
      </c>
    </row>
    <row r="23">
      <c r="A23">
        <v>8</v>
      </c>
      <c r="B23">
        <v>50</v>
      </c>
      <c r="C23">
        <f>$J$11+B23</f>
        <v>39529</v>
      </c>
      <c r="E23">
        <f>IF((SUM(ReDiarioFert!C56:C62)*$C$12)&lt;=0,"0",((SUM(ReDiarioFert!C56:C62)*$C$12)))</f>
        <v>100.69946220201564</v>
      </c>
      <c r="G23">
        <f>IF((SUM(ReDiarioFert!E56:E62)*$C$12)&lt;=0,"0",((SUM(ReDiarioFert!E56:E62)*$C$12)))</f>
        <v>29.797674257885056</v>
      </c>
      <c r="I23">
        <f>IF((SUM(ReDiarioFert!G56:G62)*$C$12)&lt;=0,"0",((SUM(ReDiarioFert!G56:G62)*$C$12)))</f>
        <v>91.29696607527556</v>
      </c>
      <c r="K23">
        <f>IF((SUM(ReDiarioFert!I56:I62)*$C$12)&lt;=0,"0",((SUM(ReDiarioFert!I56:I62)*$C$12)))</f>
        <v>0.0008437801104899734</v>
      </c>
      <c r="M23">
        <f>IF((SUM(ReDiarioFert!K56:K62)*$C$12)&lt;=0,"0",((SUM(ReDiarioFert!K56:K62)*$C$12)))</f>
        <v>0.002934983641825561</v>
      </c>
      <c r="O23">
        <f>IF((SUM(ReDiarioFert!M56:M62)*$C$12)&lt;=0,"0",((SUM(ReDiarioFert!M56:M62)*$C$12)))</f>
        <v>800.7121073170731</v>
      </c>
      <c r="Q23">
        <f>$C$12*Main!$D$63</f>
        <v>20.019999999999996</v>
      </c>
      <c r="S23">
        <f>((E23/100)*$G$33+(G23/100)*$G$34+(I23/100)*$G$35+(K23/100)*$G$36+(M23/100)*$G$37+(O23)*$G$38+(Q23*$G$39))</f>
        <v>1115.6172337883693</v>
      </c>
    </row>
    <row r="24">
      <c r="A24">
        <v>9</v>
      </c>
      <c r="B24">
        <v>57</v>
      </c>
      <c r="C24">
        <f>$J$11+B24</f>
        <v>39536</v>
      </c>
      <c r="E24">
        <f>IF((SUM(ReDiarioFert!C63:C69)*$C$12)&lt;=0,"0",((SUM(ReDiarioFert!C63:C69)*$C$12)))</f>
        <v>111.2061696675458</v>
      </c>
      <c r="G24">
        <f>IF((SUM(ReDiarioFert!E63:E69)*$C$12)&lt;=0,"0",((SUM(ReDiarioFert!E63:E69)*$C$12)))</f>
        <v>35.473421735577446</v>
      </c>
      <c r="I24">
        <f>IF((SUM(ReDiarioFert!G63:G69)*$C$12)&lt;=0,"0",((SUM(ReDiarioFert!G63:G69)*$C$12)))</f>
        <v>106.33198231386262</v>
      </c>
      <c r="K24">
        <f>IF((SUM(ReDiarioFert!I63:I69)*$C$12)&lt;=0,"0",((SUM(ReDiarioFert!I63:I69)*$C$12)))</f>
        <v>0.0009827359620190762</v>
      </c>
      <c r="M24">
        <f>IF((SUM(ReDiarioFert!K63:K69)*$C$12)&lt;=0,"0",((SUM(ReDiarioFert!K63:K69)*$C$12)))</f>
        <v>0.0034183242018881034</v>
      </c>
      <c r="O24">
        <f>IF((SUM(ReDiarioFert!M63:M69)*$C$12)&lt;=0,"0",((SUM(ReDiarioFert!M63:M69)*$C$12)))</f>
        <v>830.5526497560975</v>
      </c>
      <c r="Q24">
        <f>$C$12*Main!$D$63</f>
        <v>20.019999999999996</v>
      </c>
      <c r="S24">
        <f>((E24/100)*$G$33+(G24/100)*$G$34+(I24/100)*$G$35+(K24/100)*$G$36+(M24/100)*$G$37+(O24)*$G$38+(Q24*$G$39))</f>
        <v>1265.7208871397968</v>
      </c>
    </row>
    <row r="25">
      <c r="A25">
        <v>10</v>
      </c>
      <c r="B25">
        <v>64</v>
      </c>
      <c r="C25">
        <f>$J$11+B25</f>
        <v>39543</v>
      </c>
      <c r="E25">
        <f>IF((SUM(ReDiarioFert!C70:C76)*$C$12)&lt;=0,"0",((SUM(ReDiarioFert!C70:C76)*$C$12)))</f>
        <v>151.96039654080712</v>
      </c>
      <c r="G25">
        <f>IF((SUM(ReDiarioFert!E70:E76)*$C$12)&lt;=0,"0",((SUM(ReDiarioFert!E70:E76)*$C$12)))</f>
        <v>49.662790429808446</v>
      </c>
      <c r="I25">
        <f>IF((SUM(ReDiarioFert!G70:G76)*$C$12)&lt;=0,"0",((SUM(ReDiarioFert!G70:G76)*$C$12)))</f>
        <v>145.82154303689845</v>
      </c>
      <c r="K25">
        <f>IF((SUM(ReDiarioFert!I70:I76)*$C$12)&lt;=0,"0",((SUM(ReDiarioFert!I70:I76)*$C$12)))</f>
        <v>0.0013477043431437076</v>
      </c>
      <c r="M25">
        <f>IF((SUM(ReDiarioFert!K70:K76)*$C$12)&lt;=0,"0",((SUM(ReDiarioFert!K70:K76)*$C$12)))</f>
        <v>0.004687821094582494</v>
      </c>
      <c r="O25">
        <f>IF((SUM(ReDiarioFert!M70:M76)*$C$12)&lt;=0,"0",((SUM(ReDiarioFert!M70:M76)*$C$12)))</f>
        <v>1009.595904390244</v>
      </c>
      <c r="Q25">
        <f>$C$12*Main!$D$63</f>
        <v>20.019999999999996</v>
      </c>
      <c r="S25">
        <f>((E25/100)*$G$33+(G25/100)*$G$34+(I25/100)*$G$35+(K25/100)*$G$36+(M25/100)*$G$37+(O25)*$G$38+(Q25*$G$39))</f>
        <v>1713.2659220358223</v>
      </c>
    </row>
    <row r="26">
      <c r="A26">
        <v>11</v>
      </c>
      <c r="B26">
        <v>71</v>
      </c>
      <c r="C26">
        <f>$J$11+B26</f>
        <v>39550</v>
      </c>
      <c r="E26">
        <f>IF((SUM(ReDiarioFert!C77:C83)*$C$12)&lt;=0,"0",((SUM(ReDiarioFert!C77:C83)*$C$12)))</f>
        <v>128.65889032982622</v>
      </c>
      <c r="G26">
        <f>IF((SUM(ReDiarioFert!E77:E83)*$C$12)&lt;=0,"0",((SUM(ReDiarioFert!E77:E83)*$C$12)))</f>
        <v>49.662790429808446</v>
      </c>
      <c r="I26">
        <f>IF((SUM(ReDiarioFert!G77:G83)*$C$12)&lt;=0,"0",((SUM(ReDiarioFert!G77:G83)*$C$12)))</f>
        <v>145.82154303689845</v>
      </c>
      <c r="K26">
        <f>IF((SUM(ReDiarioFert!I77:I83)*$C$12)&lt;=0,"0",((SUM(ReDiarioFert!I77:I83)*$C$12)))</f>
        <v>0.0013477043431437076</v>
      </c>
      <c r="M26">
        <f>IF((SUM(ReDiarioFert!K77:K83)*$C$12)&lt;=0,"0",((SUM(ReDiarioFert!K77:K83)*$C$12)))</f>
        <v>0.004687821094582494</v>
      </c>
      <c r="O26">
        <f>IF((SUM(ReDiarioFert!M77:M83)*$C$12)&lt;=0,"0",((SUM(ReDiarioFert!M77:M83)*$C$12)))</f>
        <v>1009.595904390244</v>
      </c>
      <c r="Q26">
        <f>$C$12*Main!$D$63</f>
        <v>20.019999999999996</v>
      </c>
      <c r="S26">
        <f>((E26/100)*$G$33+(G26/100)*$G$34+(I26/100)*$G$35+(K26/100)*$G$36+(M26/100)*$G$37+(O26)*$G$38+(Q26*$G$39))</f>
        <v>1618.8948218813498</v>
      </c>
    </row>
    <row r="27">
      <c r="A27">
        <v>12</v>
      </c>
      <c r="B27">
        <v>78</v>
      </c>
      <c r="C27">
        <f>$J$11+B27</f>
        <v>39557</v>
      </c>
      <c r="E27">
        <f>IF((SUM(ReDiarioFert!C84:C90)*$C$12)&lt;=0,"0",((SUM(ReDiarioFert!C84:C90)*$C$12)))</f>
        <v>113.12455285583899</v>
      </c>
      <c r="G27">
        <f>IF((SUM(ReDiarioFert!E84:E90)*$C$12)&lt;=0,"0",((SUM(ReDiarioFert!E84:E90)*$C$12)))</f>
        <v>49.662790429808446</v>
      </c>
      <c r="I27">
        <f>IF((SUM(ReDiarioFert!G84:G90)*$C$12)&lt;=0,"0",((SUM(ReDiarioFert!G84:G90)*$C$12)))</f>
        <v>145.82154303689845</v>
      </c>
      <c r="K27">
        <f>IF((SUM(ReDiarioFert!I84:I90)*$C$12)&lt;=0,"0",((SUM(ReDiarioFert!I84:I90)*$C$12)))</f>
        <v>0.0013477043431437076</v>
      </c>
      <c r="M27">
        <f>IF((SUM(ReDiarioFert!K84:K90)*$C$12)&lt;=0,"0",((SUM(ReDiarioFert!K84:K90)*$C$12)))</f>
        <v>0.004687821094582494</v>
      </c>
      <c r="O27">
        <f>IF((SUM(ReDiarioFert!M84:M90)*$C$12)&lt;=0,"0",((SUM(ReDiarioFert!M84:M90)*$C$12)))</f>
        <v>1128.9561209756096</v>
      </c>
      <c r="Q27">
        <f>$C$12*Main!$D$63</f>
        <v>20.019999999999996</v>
      </c>
      <c r="S27">
        <f>((E27/100)*$G$33+(G27/100)*$G$34+(I27/100)*$G$35+(K27/100)*$G$36+(M27/100)*$G$37+(O27)*$G$38+(Q27*$G$39))</f>
        <v>1560.7551637751158</v>
      </c>
    </row>
    <row r="28" ht="18" customHeight="1">
      <c r="A28">
        <v>13</v>
      </c>
      <c r="B28">
        <v>85</v>
      </c>
      <c r="C28">
        <f>$J$11+B28</f>
        <v>39564</v>
      </c>
      <c r="E28">
        <f>IF((SUM(ReDiarioFert!C91:C97)*$C$12)&lt;=0,"0",((SUM(ReDiarioFert!C91:C97)*$C$12)))</f>
        <v>105.35738411884535</v>
      </c>
      <c r="G28">
        <f>IF((SUM(ReDiarioFert!E91:E97)*$C$12)&lt;=0,"0",((SUM(ReDiarioFert!E91:E97)*$C$12)))</f>
        <v>49.662790429808446</v>
      </c>
      <c r="I28">
        <f>IF((SUM(ReDiarioFert!G91:G97)*$C$12)&lt;=0,"0",((SUM(ReDiarioFert!G91:G97)*$C$12)))</f>
        <v>145.82154303689845</v>
      </c>
      <c r="K28">
        <f>IF((SUM(ReDiarioFert!I91:I97)*$C$12)&lt;=0,"0",((SUM(ReDiarioFert!I91:I97)*$C$12)))</f>
        <v>0.0013477043431437076</v>
      </c>
      <c r="M28">
        <f>IF((SUM(ReDiarioFert!K91:K97)*$C$12)&lt;=0,"0",((SUM(ReDiarioFert!K91:K97)*$C$12)))</f>
        <v>0.004687821094582494</v>
      </c>
      <c r="O28">
        <f>IF((SUM(ReDiarioFert!M91:M97)*$C$12)&lt;=0,"0",((SUM(ReDiarioFert!M91:M97)*$C$12)))</f>
        <v>1218.4762834146343</v>
      </c>
      <c r="Q28">
        <f>$C$12*Main!$D$63</f>
        <v>20.019999999999996</v>
      </c>
      <c r="S28">
        <f>((E28/100)*$G$33+(G28/100)*$G$34+(I28/100)*$G$35+(K28/100)*$G$36+(M28/100)*$G$37+(O28)*$G$38+(Q28*$G$39))</f>
        <v>1532.8789368878524</v>
      </c>
    </row>
    <row r="29">
      <c r="C29" t="str">
        <v>Total</v>
      </c>
      <c r="E29">
        <f>SUM(E16:E28)</f>
        <v>1109.4602741521728</v>
      </c>
      <c r="G29">
        <f>SUM(G16:G28)</f>
        <v>374.0672322016643</v>
      </c>
      <c r="I29">
        <f>SUM(I16:I28)</f>
        <v>1118.3878344221257</v>
      </c>
      <c r="K29">
        <f>SUM(K16:K28)</f>
        <v>0.010336306353502175</v>
      </c>
      <c r="M29">
        <f>SUM(M16:M28)</f>
        <v>0.03595354961236313</v>
      </c>
      <c r="O29">
        <f>SUM(O16:O28)</f>
        <v>8952.06653804878</v>
      </c>
      <c r="Q29">
        <f>SUM(Q16:Q28)</f>
        <v>260.2599999999999</v>
      </c>
      <c r="S29">
        <f>SUM(S16:S28)</f>
        <v>13222.104930901314</v>
      </c>
    </row>
    <row r="30">
      <c r="D30" t="str">
        <v>OJO cualquier cultivo que no se termine la cosecha en el ultimo dia del calendario solo seguir repitiendo la ultima aplicacion de fertilizante.</v>
      </c>
    </row>
    <row r="31" ht="39.75" customHeight="1">
      <c r="B31" t="str">
        <v>Producto</v>
      </c>
      <c r="F31" t="str">
        <v>Lbs/Ha</v>
      </c>
      <c r="G31" t="str">
        <v>Costo por qq</v>
      </c>
    </row>
    <row r="32" ht="24" customHeight="1">
      <c r="G32" t="str">
        <f>Main!$E$25</f>
        <v>Lempiras</v>
      </c>
    </row>
    <row r="33">
      <c r="B33" t="str">
        <f>Main!D42</f>
        <v>Nitrato de Amonio</v>
      </c>
      <c r="F33">
        <f>E29/C12</f>
        <v>1108.351922229943</v>
      </c>
      <c r="G33">
        <f>Main!D43</f>
        <v>405</v>
      </c>
    </row>
    <row r="34">
      <c r="B34" t="str">
        <f>Main!D32</f>
        <v>DAP 18-46-0</v>
      </c>
      <c r="F34">
        <f>G29/C12</f>
        <v>373.69353866300133</v>
      </c>
      <c r="G34">
        <f>Main!D33</f>
        <v>560</v>
      </c>
    </row>
    <row r="35">
      <c r="B35" t="str">
        <f>Main!D37</f>
        <v>Kcl Soluble</v>
      </c>
      <c r="F35">
        <f>I29/C12</f>
        <v>1117.2705638582675</v>
      </c>
      <c r="G35">
        <f>Main!D38</f>
        <v>496</v>
      </c>
    </row>
    <row r="36">
      <c r="B36" t="str">
        <f>Main!D47</f>
        <v>Sin Magnecio</v>
      </c>
      <c r="F36">
        <f>K29/C12</f>
        <v>0.010325980373129047</v>
      </c>
      <c r="G36">
        <f>Main!D48</f>
        <v>0</v>
      </c>
    </row>
    <row r="37">
      <c r="B37" t="str">
        <f>Main!D52</f>
        <v>Sin Calcio</v>
      </c>
      <c r="F37">
        <f>M29/C12</f>
        <v>0.035917631980382746</v>
      </c>
      <c r="G37">
        <f>Main!D53</f>
        <v>0</v>
      </c>
    </row>
    <row r="38">
      <c r="B38" t="str">
        <f>Main!D57</f>
        <v>Solubor</v>
      </c>
      <c r="F38">
        <f>O29/C12</f>
        <v>8943.123414634149</v>
      </c>
      <c r="G38">
        <f>Main!D58</f>
        <v>0.04</v>
      </c>
      <c r="I38" t="str">
        <v xml:space="preserve">Preparado y Autorizado Por </v>
      </c>
    </row>
    <row r="39" ht="18" customHeight="1">
      <c r="B39" t="str">
        <f>Main!D61</f>
        <v>Melaza</v>
      </c>
      <c r="F39">
        <f>Q29/C12</f>
        <v>259.9999999999999</v>
      </c>
      <c r="G39">
        <f>Main!D62</f>
        <v>2.8</v>
      </c>
      <c r="I39" t="str">
        <v>MSc Ricardo D. Lardizábal</v>
      </c>
    </row>
    <row r="40" ht="17.4" customHeight="1">
      <c r="B40" t="str">
        <v>NOTA: El Nitrato de Calcio se debe de diluir en un barril aparte para inyectarse al sistema</v>
      </c>
    </row>
    <row r="42">
      <c r="B42" t="str">
        <v>Abreviaciones usadas</v>
      </c>
    </row>
    <row r="43">
      <c r="B43" t="str">
        <v>Mz-Manzanas, Ha-Hectáreas, Lbs-Libras, Lts-Litros y DDT-Días después de Transplante</v>
      </c>
    </row>
  </sheetData>
  <sheetProtection sheet="1"/>
  <mergeCells count="55">
    <mergeCell ref="I38:Q38"/>
    <mergeCell ref="I39:Q39"/>
    <mergeCell ref="G12:I12"/>
    <mergeCell ref="J12:M12"/>
    <mergeCell ref="I36:Q36"/>
    <mergeCell ref="I35:Q35"/>
    <mergeCell ref="G35:H35"/>
    <mergeCell ref="G36:H36"/>
    <mergeCell ref="G34:H34"/>
    <mergeCell ref="G14:H14"/>
    <mergeCell ref="B36:E36"/>
    <mergeCell ref="B31:E31"/>
    <mergeCell ref="B33:E33"/>
    <mergeCell ref="G31:H31"/>
    <mergeCell ref="G32:H32"/>
    <mergeCell ref="B38:E38"/>
    <mergeCell ref="G37:H37"/>
    <mergeCell ref="G38:H38"/>
    <mergeCell ref="G33:H33"/>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42:C42"/>
    <mergeCell ref="B34:E34"/>
    <mergeCell ref="B35:E35"/>
    <mergeCell ref="P9:S12"/>
    <mergeCell ref="G11:I11"/>
    <mergeCell ref="J10:M10"/>
    <mergeCell ref="B39:E39"/>
    <mergeCell ref="B37:E37"/>
    <mergeCell ref="B40:I41"/>
    <mergeCell ref="G39:H39"/>
    <mergeCell ref="B43:S43"/>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51"/>
  </ignoredErrors>
  <legacyDrawing r:id="rId1"/>
</worksheet>
</file>

<file path=xl/worksheets/sheet8.xml><?xml version="1.0" encoding="utf-8"?>
<worksheet xmlns="http://schemas.openxmlformats.org/spreadsheetml/2006/main" xmlns:r="http://schemas.openxmlformats.org/officeDocument/2006/relationships">
  <dimension ref="A1:T38"/>
  <sheetViews>
    <sheetView workbookViewId="0" rightToLeft="0"/>
  </sheetViews>
  <sheetData>
    <row r="1" ht="32.7" customHeight="1"/>
    <row r="2" ht="32.7" customHeight="1">
      <c r="P2" t="str">
        <v>Calendario de Fertilización Cada 14 Días o a Mano</v>
      </c>
    </row>
    <row r="3" ht="32.4" customHeight="1"/>
    <row r="5">
      <c r="P5" t="str">
        <f>Main!$E$21</f>
        <v>Repollo</v>
      </c>
    </row>
    <row r="6" ht="31.2" customHeight="1"/>
    <row r="7" ht="27" customHeight="1"/>
    <row r="8" ht="28.95" customHeight="1">
      <c r="A8" t="str">
        <f>Main!$C$13</f>
        <v>"Sin Fertilización Base"</v>
      </c>
    </row>
    <row r="9" ht="19.95" customHeight="1">
      <c r="A9" t="str">
        <v>Productor</v>
      </c>
      <c r="C9" t="str">
        <f>'1 Por Sem'!C9</f>
        <v>Pancho Pérez</v>
      </c>
      <c r="F9" t="str">
        <v>Parcela</v>
      </c>
      <c r="I9" t="str">
        <f>'1 Por Sem'!J9</f>
        <v>La Frondosa</v>
      </c>
      <c r="P9" t="str">
        <f>Main!$G$21</f>
        <v>Izalco</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39479</v>
      </c>
    </row>
    <row r="12" ht="19.95" customHeight="1">
      <c r="A12" t="str">
        <v>Área Ha.</v>
      </c>
      <c r="C12">
        <f>Main!I22</f>
        <v>1.001</v>
      </c>
      <c r="F12" t="str">
        <v>Fecha  de Cosecha</v>
      </c>
      <c r="I12">
        <f>'1 Por Sem'!J12</f>
        <v>39569</v>
      </c>
    </row>
    <row r="14" ht="28.95" customHeight="1">
      <c r="A14" t="str">
        <v>Semana</v>
      </c>
      <c r="B14" t="str">
        <v>DDT</v>
      </c>
      <c r="C14" t="str">
        <v>FECHA</v>
      </c>
      <c r="E14" t="str">
        <f>Main!$D$42</f>
        <v>Nitrato de Amonio</v>
      </c>
      <c r="G14" t="str">
        <f>Main!$D$32</f>
        <v>DAP 18-46-0</v>
      </c>
      <c r="I14" t="str">
        <f>Main!$D$37</f>
        <v>Kcl Soluble</v>
      </c>
      <c r="K14" t="str">
        <f>Main!$D$47</f>
        <v>Sin Magnecio</v>
      </c>
      <c r="M14" t="str">
        <f>Main!$D$52</f>
        <v>Sin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f>Main!E47</f>
        <v>0</v>
      </c>
      <c r="L15" t="str">
        <v>Cambios</v>
      </c>
      <c r="M15">
        <f>Main!E52</f>
        <v>0</v>
      </c>
      <c r="N15" t="str">
        <v>Cambios</v>
      </c>
      <c r="O15" t="str">
        <f>Main!E57</f>
        <v>Gramos</v>
      </c>
      <c r="P15" t="str">
        <v>Cambios</v>
      </c>
      <c r="Q15" t="str">
        <f>Main!$E$61</f>
        <v>Lts</v>
      </c>
      <c r="R15" t="str">
        <v>Cambios</v>
      </c>
    </row>
    <row r="16">
      <c r="A16">
        <v>2</v>
      </c>
      <c r="B16">
        <v>1</v>
      </c>
      <c r="C16">
        <f>$I$11+B16</f>
        <v>39480</v>
      </c>
      <c r="E16">
        <f>IF((SUM(ReDiarioFert!C7:C20)*$C$12)&lt;=0,"0",((SUM(ReDiarioFert!C7:C20)*$C$12)))</f>
        <v>68.65780248191783</v>
      </c>
      <c r="G16">
        <f>IF((SUM(ReDiarioFert!E7:E20)*$C$12)&lt;=0,"0",((SUM(ReDiarioFert!E7:E20)*$C$12)))</f>
        <v>17.027242433077173</v>
      </c>
      <c r="I16">
        <f>IF((SUM(ReDiarioFert!G7:G20)*$C$12)&lt;=0,"0",((SUM(ReDiarioFert!G7:G20)*$C$12)))</f>
        <v>52.16969490015748</v>
      </c>
      <c r="K16">
        <f>IF((SUM(ReDiarioFert!I7:I20)*$C$12)&lt;=0,"0",((SUM(ReDiarioFert!I7:I20)*$C$12)))</f>
        <v>0.0004821600631371278</v>
      </c>
      <c r="M16">
        <f>IF((SUM(ReDiarioFert!K7:K20)*$C$12)&lt;=0,"0",((SUM(ReDiarioFert!K7:K20)*$C$12)))</f>
        <v>0.0016771335096146063</v>
      </c>
      <c r="O16">
        <f>IF((SUM(ReDiarioFert!M7:M20)*$C$12)&lt;=0,"0",((SUM(ReDiarioFert!M7:M20)*$C$12)))</f>
        <v>427.70923317073175</v>
      </c>
      <c r="Q16">
        <f>$C$12*Main!$D$63</f>
        <v>20.019999999999996</v>
      </c>
      <c r="S16">
        <f>((E16/100)*$F$27+(G16/100)*$F$28+(I16/100)*$F$29+(K16/100)*$F$30+(M16/100)*$F$31+(O16)*$F$32+(Q16*$F$33))</f>
        <v>705.3427137086096</v>
      </c>
    </row>
    <row r="17">
      <c r="A17">
        <v>4</v>
      </c>
      <c r="B17">
        <v>15</v>
      </c>
      <c r="C17">
        <f>$I$11+B17</f>
        <v>39494</v>
      </c>
      <c r="E17">
        <f>IF((SUM(ReDiarioFert!C21:C34)*$C$12)&lt;=0,"0",((SUM(ReDiarioFert!C21:C34)*$C$12)))</f>
        <v>104.50966675807774</v>
      </c>
      <c r="G17">
        <f>IF((SUM(ReDiarioFert!E21:E34)*$C$12)&lt;=0,"0",((SUM(ReDiarioFert!E21:E34)*$C$12)))</f>
        <v>28.201370279784065</v>
      </c>
      <c r="I17">
        <f>IF((SUM(ReDiarioFert!G21:G34)*$C$12)&lt;=0,"0",((SUM(ReDiarioFert!G21:G34)*$C$12)))</f>
        <v>86.40605717838581</v>
      </c>
      <c r="K17">
        <f>IF((SUM(ReDiarioFert!I21:I34)*$C$12)&lt;=0,"0",((SUM(ReDiarioFert!I21:I34)*$C$12)))</f>
        <v>0.0007985776045708675</v>
      </c>
      <c r="M17">
        <f>IF((SUM(ReDiarioFert!K21:K34)*$C$12)&lt;=0,"0",((SUM(ReDiarioFert!K21:K34)*$C$12)))</f>
        <v>0.0027777523752991915</v>
      </c>
      <c r="O17">
        <f>IF((SUM(ReDiarioFert!M21:M34)*$C$12)&lt;=0,"0",((SUM(ReDiarioFert!M21:M34)*$C$12)))</f>
        <v>790.7621673170731</v>
      </c>
      <c r="Q17">
        <f>$C$12*Main!$D$63</f>
        <v>20.019999999999996</v>
      </c>
      <c r="S17">
        <f>((E17/100)*$F$27+(G17/100)*$F$28+(I17/100)*$F$29+(K17/100)*$F$30+(M17/100)*$F$31+(O17)*$F$32+(Q17*$F$33))</f>
        <v>1097.4523542344823</v>
      </c>
    </row>
    <row r="18">
      <c r="A18">
        <v>6</v>
      </c>
      <c r="B18">
        <v>29</v>
      </c>
      <c r="C18">
        <f>$I$11+B18</f>
        <v>39508</v>
      </c>
      <c r="E18">
        <f>IF((SUM(ReDiarioFert!C35:C48)*$C$12)&lt;=0,"0",((SUM(ReDiarioFert!C35:C48)*$C$12)))</f>
        <v>142.568533817071</v>
      </c>
      <c r="G18">
        <f>IF((SUM(ReDiarioFert!E35:E48)*$C$12)&lt;=0,"0",((SUM(ReDiarioFert!E35:E48)*$C$12)))</f>
        <v>40.43970077855829</v>
      </c>
      <c r="I18">
        <f>IF((SUM(ReDiarioFert!G35:G48)*$C$12)&lt;=0,"0",((SUM(ReDiarioFert!G35:G48)*$C$12)))</f>
        <v>123.90302538787402</v>
      </c>
      <c r="K18">
        <f>IF((SUM(ReDiarioFert!I35:I48)*$C$12)&lt;=0,"0",((SUM(ReDiarioFert!I35:I48)*$C$12)))</f>
        <v>0.0011451301499506785</v>
      </c>
      <c r="M18">
        <f>IF((SUM(ReDiarioFert!K35:K48)*$C$12)&lt;=0,"0",((SUM(ReDiarioFert!K35:K48)*$C$12)))</f>
        <v>0.003983192085334691</v>
      </c>
      <c r="O18">
        <f>IF((SUM(ReDiarioFert!M35:M48)*$C$12)&lt;=0,"0",((SUM(ReDiarioFert!M35:M48)*$C$12)))</f>
        <v>1084.1943307317076</v>
      </c>
      <c r="Q18">
        <f>$C$12*Main!$D$63</f>
        <v>20.019999999999996</v>
      </c>
      <c r="S18">
        <f>((E18/100)*$F$27+(G18/100)*$F$28+(I18/100)*$F$29+(K18/100)*$F$30+(M18/100)*$F$31+(O18)*$F$32+(Q18*$F$33))</f>
        <v>1517.8476654721876</v>
      </c>
    </row>
    <row r="19">
      <c r="A19">
        <v>8</v>
      </c>
      <c r="B19">
        <v>43</v>
      </c>
      <c r="C19">
        <f>$I$11+B19</f>
        <v>39522</v>
      </c>
      <c r="E19">
        <f>IF((SUM(ReDiarioFert!C49:C62)*$C$12)&lt;=0,"0",((SUM(ReDiarioFert!C49:C62)*$C$12)))</f>
        <v>183.41687758224273</v>
      </c>
      <c r="G19">
        <f>IF((SUM(ReDiarioFert!E49:E62)*$C$12)&lt;=0,"0",((SUM(ReDiarioFert!E49:E62)*$C$12)))</f>
        <v>54.274335255433485</v>
      </c>
      <c r="I19">
        <f>IF((SUM(ReDiarioFert!G49:G62)*$C$12)&lt;=0,"0",((SUM(ReDiarioFert!G49:G62)*$C$12)))</f>
        <v>166.29090249425192</v>
      </c>
      <c r="K19">
        <f>IF((SUM(ReDiarioFert!I49:I62)*$C$12)&lt;=0,"0",((SUM(ReDiarioFert!I49:I62)*$C$12)))</f>
        <v>0.0015368852012495945</v>
      </c>
      <c r="M19">
        <f>IF((SUM(ReDiarioFert!K49:K62)*$C$12)&lt;=0,"0",((SUM(ReDiarioFert!K49:K62)*$C$12)))</f>
        <v>0.0053458630618965575</v>
      </c>
      <c r="O19">
        <f>IF((SUM(ReDiarioFert!M49:M62)*$C$12)&lt;=0,"0",((SUM(ReDiarioFert!M49:M62)*$C$12)))</f>
        <v>1452.2239439024388</v>
      </c>
      <c r="Q19">
        <f>$C$12*Main!$D$63</f>
        <v>20.019999999999996</v>
      </c>
      <c r="S19">
        <f>((E19/100)*$F$27+(G19/100)*$F$28+(I19/100)*$F$29+(K19/100)*$F$30+(M19/100)*$F$31+(O19)*$F$32+(Q19*$F$33))</f>
        <v>1985.7224657660977</v>
      </c>
    </row>
    <row r="20">
      <c r="A20">
        <v>10</v>
      </c>
      <c r="B20">
        <v>57</v>
      </c>
      <c r="C20">
        <f>$I$11+B20</f>
        <v>39536</v>
      </c>
      <c r="E20">
        <f>IF((SUM(ReDiarioFert!C63:C76)*$C$12)&lt;=0,"0",((SUM(ReDiarioFert!C63:C76)*$C$12)))</f>
        <v>263.16656620835295</v>
      </c>
      <c r="G20">
        <f>IF((SUM(ReDiarioFert!E63:E76)*$C$12)&lt;=0,"0",((SUM(ReDiarioFert!E63:E76)*$C$12)))</f>
        <v>85.13621216538588</v>
      </c>
      <c r="I20">
        <f>IF((SUM(ReDiarioFert!G63:G76)*$C$12)&lt;=0,"0",((SUM(ReDiarioFert!G63:G76)*$C$12)))</f>
        <v>252.15352535076102</v>
      </c>
      <c r="K20">
        <f>IF((SUM(ReDiarioFert!I63:I76)*$C$12)&lt;=0,"0",((SUM(ReDiarioFert!I63:I76)*$C$12)))</f>
        <v>0.002330440305162784</v>
      </c>
      <c r="M20">
        <f>IF((SUM(ReDiarioFert!K63:K76)*$C$12)&lt;=0,"0",((SUM(ReDiarioFert!K63:K76)*$C$12)))</f>
        <v>0.008106145296470597</v>
      </c>
      <c r="O20">
        <f>IF((SUM(ReDiarioFert!M63:M76)*$C$12)&lt;=0,"0",((SUM(ReDiarioFert!M63:M76)*$C$12)))</f>
        <v>1840.148554146341</v>
      </c>
      <c r="Q20">
        <f>$C$12*Main!$D$63</f>
        <v>20.019999999999996</v>
      </c>
      <c r="S20">
        <f>((E20/100)*$F$27+(G20/100)*$F$28+(I20/100)*$F$29+(K20/100)*$F$30+(M20/100)*$F$31+(O20)*$F$32+(Q20*$F$33))</f>
        <v>2922.930809175619</v>
      </c>
    </row>
    <row r="21">
      <c r="A21">
        <v>12</v>
      </c>
      <c r="B21">
        <v>71</v>
      </c>
      <c r="C21">
        <f>$I$11+B21</f>
        <v>39550</v>
      </c>
      <c r="E21">
        <f>IF((SUM(ReDiarioFert!C77:C90)*$C$12)&lt;=0,"0",((SUM(ReDiarioFert!C77:C90)*$C$12)))</f>
        <v>241.78344318566516</v>
      </c>
      <c r="G21">
        <f>IF((SUM(ReDiarioFert!E77:E90)*$C$12)&lt;=0,"0",((SUM(ReDiarioFert!E77:E90)*$C$12)))</f>
        <v>99.32558085961688</v>
      </c>
      <c r="I21">
        <f>IF((SUM(ReDiarioFert!G77:G90)*$C$12)&lt;=0,"0",((SUM(ReDiarioFert!G77:G90)*$C$12)))</f>
        <v>291.64308607379684</v>
      </c>
      <c r="K21">
        <f>IF((SUM(ReDiarioFert!I77:I90)*$C$12)&lt;=0,"0",((SUM(ReDiarioFert!I77:I90)*$C$12)))</f>
        <v>0.002695408686287415</v>
      </c>
      <c r="M21">
        <f>IF((SUM(ReDiarioFert!K77:K90)*$C$12)&lt;=0,"0",((SUM(ReDiarioFert!K77:K90)*$C$12)))</f>
        <v>0.009375642189164987</v>
      </c>
      <c r="O21">
        <f>IF((SUM(ReDiarioFert!M77:M90)*$C$12)&lt;=0,"0",((SUM(ReDiarioFert!M77:M90)*$C$12)))</f>
        <v>2138.5520253658533</v>
      </c>
      <c r="Q21">
        <f>$C$12*Main!$D$63</f>
        <v>20.019999999999996</v>
      </c>
      <c r="S21">
        <f>((E21/100)*$F$27+(G21/100)*$F$28+(I21/100)*$F$29+(K21/100)*$F$30+(M21/100)*$F$31+(O21)*$F$32+(Q21*$F$33))</f>
        <v>3123.593985656465</v>
      </c>
    </row>
    <row r="22">
      <c r="A22">
        <v>14</v>
      </c>
      <c r="B22">
        <v>85</v>
      </c>
      <c r="C22">
        <f>$I$11+B22</f>
        <v>39564</v>
      </c>
      <c r="E22">
        <f>IF((SUM(ReDiarioFert!C91:C97)*$C$12)&lt;=0,"0",((SUM(ReDiarioFert!C91:C97)*$C$12)))</f>
        <v>105.35738411884535</v>
      </c>
      <c r="G22">
        <f>IF((SUM(ReDiarioFert!E91:E97)*$C$12)&lt;=0,"0",((SUM(ReDiarioFert!E91:E97)*$C$12)))</f>
        <v>49.662790429808446</v>
      </c>
      <c r="I22">
        <f>IF((SUM(ReDiarioFert!G91:G97)*$C$12)&lt;=0,"0",((SUM(ReDiarioFert!G91:G97)*$C$12)))</f>
        <v>145.82154303689845</v>
      </c>
      <c r="K22">
        <f>IF((SUM(ReDiarioFert!I91:I97)*$C$12)&lt;=0,"0",((SUM(ReDiarioFert!I91:I97)*$C$12)))</f>
        <v>0.0013477043431437076</v>
      </c>
      <c r="M22">
        <f>IF((SUM(ReDiarioFert!K91:K97)*$C$12)&lt;=0,"0",((SUM(ReDiarioFert!K91:K97)*$C$12)))</f>
        <v>0.004687821094582494</v>
      </c>
      <c r="O22">
        <f>IF((SUM(ReDiarioFert!M91:M97)*$C$12)&lt;=0,"0",((SUM(ReDiarioFert!M91:M97)*$C$12)))</f>
        <v>1218.4762834146343</v>
      </c>
      <c r="Q22">
        <f>$C$12*Main!$D$63</f>
        <v>20.019999999999996</v>
      </c>
      <c r="S22">
        <f>((E22/100)*$F$27+(G22/100)*$F$28+(I22/100)*$F$29+(K22/100)*$F$30+(M22/100)*$F$31+(O22)*$F$32+(Q22*$F$33))</f>
        <v>1532.8789368878524</v>
      </c>
    </row>
    <row r="23">
      <c r="C23" t="str">
        <v>Total</v>
      </c>
      <c r="E23">
        <f>SUM(E16:E22)</f>
        <v>1109.4602741521728</v>
      </c>
      <c r="G23">
        <f>SUM(G16:G22)</f>
        <v>374.06723220166424</v>
      </c>
      <c r="I23">
        <f>SUM(I16:I22)</f>
        <v>1118.3878344221255</v>
      </c>
      <c r="K23">
        <f>SUM(K16:K22)</f>
        <v>0.010336306353502175</v>
      </c>
      <c r="M23">
        <f>SUM(M16:M22)</f>
        <v>0.03595354961236313</v>
      </c>
      <c r="O23">
        <f>SUM(O16:O22)</f>
        <v>8952.06653804878</v>
      </c>
      <c r="Q23">
        <f>SUM(Q16:Q22)</f>
        <v>140.14</v>
      </c>
      <c r="S23">
        <f>SUM(S16:S22)</f>
        <v>12885.768930901315</v>
      </c>
    </row>
    <row r="24">
      <c r="D24" t="str">
        <v>OJO cualquier cultivo que no se termine la cosecha en el ultimo dia del calendario solo seguir repitiendo la ultima aplicacion de fertilizante.</v>
      </c>
    </row>
    <row r="25" ht="33.75" customHeight="1">
      <c r="B25" t="str">
        <v>Producto</v>
      </c>
      <c r="E25" t="str">
        <v>Lbs/Ha</v>
      </c>
      <c r="F25" t="str">
        <v>Costo por qq</v>
      </c>
    </row>
    <row r="26" ht="24" customHeight="1">
      <c r="F26" t="str">
        <f>Main!$E$25</f>
        <v>Lempiras</v>
      </c>
    </row>
    <row r="27">
      <c r="B27" t="str">
        <f>Main!D42</f>
        <v>Nitrato de Amonio</v>
      </c>
      <c r="E27">
        <f>E23/$C$12</f>
        <v>1108.351922229943</v>
      </c>
      <c r="F27">
        <f>Main!D43</f>
        <v>405</v>
      </c>
    </row>
    <row r="28">
      <c r="B28" t="str">
        <f>Main!D32</f>
        <v>DAP 18-46-0</v>
      </c>
      <c r="E28">
        <f>G23/$C$12</f>
        <v>373.6935386630013</v>
      </c>
      <c r="F28">
        <f>Main!D33</f>
        <v>560</v>
      </c>
    </row>
    <row r="29">
      <c r="B29" t="str">
        <f>Main!D37</f>
        <v>Kcl Soluble</v>
      </c>
      <c r="E29">
        <f>I23/$C$12</f>
        <v>1117.2705638582672</v>
      </c>
      <c r="F29">
        <f>Main!D38</f>
        <v>496</v>
      </c>
    </row>
    <row r="30">
      <c r="B30" t="str">
        <f>Main!D47</f>
        <v>Sin Magnecio</v>
      </c>
      <c r="E30">
        <f>K23/$C$12</f>
        <v>0.010325980373129047</v>
      </c>
      <c r="F30">
        <f>Main!D48</f>
        <v>0</v>
      </c>
    </row>
    <row r="31">
      <c r="B31" t="str">
        <f>Main!D52</f>
        <v>Sin Calcio</v>
      </c>
      <c r="E31">
        <f>M23/$C$12</f>
        <v>0.035917631980382746</v>
      </c>
      <c r="F31">
        <f>Main!D53</f>
        <v>0</v>
      </c>
    </row>
    <row r="32">
      <c r="B32" t="str">
        <f>Main!D57</f>
        <v>Solubor</v>
      </c>
      <c r="E32">
        <f>O23/$C$12</f>
        <v>8943.123414634149</v>
      </c>
      <c r="F32">
        <f>Main!D58</f>
        <v>0.04</v>
      </c>
      <c r="I32" t="str">
        <v xml:space="preserve">Preparado y Autorizado Por </v>
      </c>
    </row>
    <row r="33">
      <c r="B33" t="str">
        <f>Main!D61</f>
        <v>Melaza</v>
      </c>
      <c r="E33">
        <f>Q23/$C$12</f>
        <v>140</v>
      </c>
      <c r="F33">
        <f>Main!D62</f>
        <v>2.8</v>
      </c>
      <c r="I33" t="str">
        <v>MSc Ricardo D. Lardizábal</v>
      </c>
    </row>
    <row r="34">
      <c r="B34" t="str">
        <v>NOTA: El Nitrato de Calcio se debe de diluir en un barril aparte para inyectarse al sistema</v>
      </c>
    </row>
    <row r="35" ht="18.6" customHeight="1"/>
    <row r="37">
      <c r="B37" t="str">
        <v>Abreviaciones usadas</v>
      </c>
    </row>
    <row r="38">
      <c r="B38" t="str">
        <v>Mz-Manzanas, Ha-Hectáreas, Lbs-Libras, Lts-Litros y DDT-Días después de Transplante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9:G29"/>
    <mergeCell ref="C12:E12"/>
    <mergeCell ref="B25:D25"/>
    <mergeCell ref="B28:D28"/>
    <mergeCell ref="B29:D29"/>
    <mergeCell ref="B30:D30"/>
    <mergeCell ref="I11:M11"/>
    <mergeCell ref="I12:M12"/>
    <mergeCell ref="I14:J14"/>
    <mergeCell ref="K14:L14"/>
    <mergeCell ref="M14:N14"/>
    <mergeCell ref="F11:H11"/>
    <mergeCell ref="B33:D33"/>
    <mergeCell ref="F30:G30"/>
    <mergeCell ref="S14:S15"/>
    <mergeCell ref="Q14:R14"/>
    <mergeCell ref="O14:P14"/>
    <mergeCell ref="G14:H14"/>
    <mergeCell ref="F31:G31"/>
    <mergeCell ref="F32:G32"/>
    <mergeCell ref="F33:G33"/>
    <mergeCell ref="F28:G28"/>
    <mergeCell ref="C9:E9"/>
    <mergeCell ref="F9:H9"/>
    <mergeCell ref="B38:Q38"/>
    <mergeCell ref="B37:C37"/>
    <mergeCell ref="B34:I35"/>
    <mergeCell ref="F26:G26"/>
    <mergeCell ref="F27:G27"/>
    <mergeCell ref="B27:D27"/>
    <mergeCell ref="B31:D31"/>
    <mergeCell ref="B32:D32"/>
    <mergeCell ref="I9:M9"/>
    <mergeCell ref="I10:M10"/>
    <mergeCell ref="B14:B15"/>
    <mergeCell ref="F25:G25"/>
    <mergeCell ref="P5:S7"/>
    <mergeCell ref="P2:S3"/>
    <mergeCell ref="A8:M8"/>
    <mergeCell ref="P9:S12"/>
    <mergeCell ref="A7:K7"/>
    <mergeCell ref="A9:B9"/>
  </mergeCells>
  <pageMargins left="0.81" right="0.47" top="0.26" bottom="0.37" header="0.18" footer="0.16"/>
  <ignoredErrors>
    <ignoredError numberStoredAsText="1" sqref="A1:T38"/>
  </ignoredErrors>
  <legacyDrawing r:id="rId1"/>
</worksheet>
</file>

<file path=xl/worksheets/sheet9.xml><?xml version="1.0" encoding="utf-8"?>
<worksheet xmlns="http://schemas.openxmlformats.org/spreadsheetml/2006/main" xmlns:r="http://schemas.openxmlformats.org/officeDocument/2006/relationships">
  <dimension ref="A1:Q99"/>
  <sheetViews>
    <sheetView workbookViewId="0" rightToLeft="0"/>
  </sheetViews>
  <sheetData>
    <row r="1">
      <c r="A1" t="str">
        <v>Requerimientos Diario para:</v>
      </c>
      <c r="E1" t="str">
        <f>Main!E21</f>
        <v>Repollo</v>
      </c>
    </row>
    <row r="4" ht="30" customHeight="1">
      <c r="A4" t="str">
        <v>Semana</v>
      </c>
      <c r="B4" t="str">
        <v>N</v>
      </c>
      <c r="C4" t="str">
        <f>Main!D42</f>
        <v>Nitrato de Amonio</v>
      </c>
      <c r="D4" t="str">
        <v>P2O5</v>
      </c>
      <c r="E4" t="str">
        <f>Main!D32</f>
        <v>DAP 18-46-0</v>
      </c>
      <c r="F4" t="str">
        <v>K2O</v>
      </c>
      <c r="G4" t="str">
        <f>Main!D37</f>
        <v>Kcl Soluble</v>
      </c>
      <c r="H4" t="str">
        <v>MgO</v>
      </c>
      <c r="I4" t="str">
        <f>Main!D47</f>
        <v>Sin Magnecio</v>
      </c>
      <c r="J4" t="str">
        <v>Ca</v>
      </c>
      <c r="K4" t="str">
        <f>Main!D52</f>
        <v>Sin Calcio</v>
      </c>
      <c r="L4" t="str">
        <v>B</v>
      </c>
      <c r="M4" t="str">
        <f>Main!D57</f>
        <v>Solubor</v>
      </c>
    </row>
    <row r="5" ht="17.25" customHeight="1">
      <c r="A5" t="str">
        <v>Porcentaje de Elemento</v>
      </c>
      <c r="C5">
        <f>Main!E41</f>
        <v>33.5</v>
      </c>
      <c r="E5">
        <f>Main!F31</f>
        <v>46</v>
      </c>
      <c r="G5">
        <f>Main!G36</f>
        <v>60</v>
      </c>
      <c r="I5">
        <f>Main!I46</f>
        <v>1000000</v>
      </c>
      <c r="K5">
        <f>Main!H51</f>
        <v>1000000</v>
      </c>
      <c r="M5">
        <f>Main!K56</f>
        <v>20.5</v>
      </c>
    </row>
    <row r="6">
      <c r="C6">
        <f>Main!E41/100</f>
        <v>0.335</v>
      </c>
      <c r="E6">
        <f>(Main!F31/100)/Main!F72</f>
        <v>0.46</v>
      </c>
      <c r="G6">
        <f>(Main!G36/100)/Main!F73</f>
        <v>0.6</v>
      </c>
      <c r="I6">
        <f>(I5/100)/Main!F74</f>
        <v>10000</v>
      </c>
      <c r="K6">
        <f>(K5/100)/Main!F75</f>
        <v>10000</v>
      </c>
      <c r="M6">
        <f>M5/100</f>
        <v>0.205</v>
      </c>
    </row>
    <row r="7">
      <c r="A7">
        <v>1</v>
      </c>
      <c r="B7">
        <f>'Req. Diario'!D6</f>
        <v>1.6274517650722007</v>
      </c>
      <c r="C7">
        <f>(B7-((E7*(Main!$E$31/100))+(G7*(Main!$E$36/100))+(I7*(Main!$E$46/100))+(K7*(Main!$E$51/100))))/$C$6</f>
        <v>4.286825829290574</v>
      </c>
      <c r="D7">
        <f>'Req. Diario'!E6</f>
        <v>0.48904417577519366</v>
      </c>
      <c r="E7">
        <f>(D7-((C7*(Main!$F$41/100))+(G7*(Main!$F$36/100))+(I7*(Main!$F$46/100))+(K7*(Main!$F$51/100))))/$E$6</f>
        <v>1.0631395125547687</v>
      </c>
      <c r="F7">
        <f>'Req. Diario'!F6</f>
        <v>1.954409149606299</v>
      </c>
      <c r="G7">
        <f>(F7-((C7*(Main!$G$41/100))+(E7*(Main!$G$31/100))+(I7*(Main!$G$46/100))+(K7*(Main!$G$51/100))))/$G$6</f>
        <v>3.257348582677165</v>
      </c>
      <c r="H7">
        <f>'Req. Diario'!G6</f>
        <v>0.3010489904702346</v>
      </c>
      <c r="I7">
        <f>H7/$I$6</f>
        <v>0.00003010489904702346</v>
      </c>
      <c r="J7">
        <f>'Req. Diario'!H6</f>
        <v>1.0471612822269023</v>
      </c>
      <c r="K7">
        <f>J7/$K$6</f>
        <v>0.00010471612822269023</v>
      </c>
      <c r="L7">
        <f>'Req. Diario'!I6</f>
        <v>5.0926</v>
      </c>
      <c r="M7">
        <f>L7/$M$6</f>
        <v>24.841951219512197</v>
      </c>
    </row>
    <row r="8">
      <c r="B8">
        <f>'Req. Diario'!D7</f>
        <v>1.6274517650722007</v>
      </c>
      <c r="C8">
        <f>(B8-((E8*(Main!$E$31/100))+(G8*(Main!$E$36/100))+(I8*(Main!$E$46/100))+(K8*(Main!$E$51/100))))/$C$6</f>
        <v>4.286825829290574</v>
      </c>
      <c r="D8">
        <f>'Req. Diario'!E7</f>
        <v>0.48904417577519366</v>
      </c>
      <c r="E8">
        <f>(D8-((C8*(Main!$F$41/100))+(G8*(Main!$F$36/100))+(I8*(Main!$F$46/100))+(K8*(Main!$F$51/100))))/$E$6</f>
        <v>1.0631395125547687</v>
      </c>
      <c r="F8">
        <f>'Req. Diario'!F7</f>
        <v>1.954409149606299</v>
      </c>
      <c r="G8">
        <f>(F8-((C8*(Main!$G$41/100))+(E8*(Main!$G$31/100))+(I8*(Main!$G$46/100))+(K8*(Main!$G$51/100))))/$G$6</f>
        <v>3.257348582677165</v>
      </c>
      <c r="H8">
        <f>'Req. Diario'!G7</f>
        <v>0.3010489904702346</v>
      </c>
      <c r="I8">
        <f>H8/$I$6</f>
        <v>0.00003010489904702346</v>
      </c>
      <c r="J8">
        <f>'Req. Diario'!H7</f>
        <v>1.0471612822269023</v>
      </c>
      <c r="K8">
        <f>J8/$K$6</f>
        <v>0.00010471612822269023</v>
      </c>
      <c r="L8">
        <f>'Req. Diario'!I7</f>
        <v>5.0926</v>
      </c>
      <c r="M8">
        <f>L8/$M$6</f>
        <v>24.841951219512197</v>
      </c>
    </row>
    <row r="9">
      <c r="B9">
        <f>'Req. Diario'!D8</f>
        <v>1.6274517650722007</v>
      </c>
      <c r="C9">
        <f>(B9-((E9*(Main!$E$31/100))+(G9*(Main!$E$36/100))+(I9*(Main!$E$46/100))+(K9*(Main!$E$51/100))))/$C$6</f>
        <v>4.286825829290574</v>
      </c>
      <c r="D9">
        <f>'Req. Diario'!E8</f>
        <v>0.48904417577519366</v>
      </c>
      <c r="E9">
        <f>(D9-((C9*(Main!$F$41/100))+(G9*(Main!$F$36/100))+(I9*(Main!$F$46/100))+(K9*(Main!$F$51/100))))/$E$6</f>
        <v>1.0631395125547687</v>
      </c>
      <c r="F9">
        <f>'Req. Diario'!F8</f>
        <v>1.954409149606299</v>
      </c>
      <c r="G9">
        <f>(F9-((C9*(Main!$G$41/100))+(E9*(Main!$G$31/100))+(I9*(Main!$G$46/100))+(K9*(Main!$G$51/100))))/$G$6</f>
        <v>3.257348582677165</v>
      </c>
      <c r="H9">
        <f>'Req. Diario'!G8</f>
        <v>0.3010489904702346</v>
      </c>
      <c r="I9">
        <f>H9/$I$6</f>
        <v>0.00003010489904702346</v>
      </c>
      <c r="J9">
        <f>'Req. Diario'!H8</f>
        <v>1.0471612822269023</v>
      </c>
      <c r="K9">
        <f>J9/$K$6</f>
        <v>0.00010471612822269023</v>
      </c>
      <c r="L9">
        <f>'Req. Diario'!I8</f>
        <v>5.0926</v>
      </c>
      <c r="M9">
        <f>L9/$M$6</f>
        <v>24.841951219512197</v>
      </c>
    </row>
    <row r="10">
      <c r="B10">
        <f>'Req. Diario'!D9</f>
        <v>1.6274517650722007</v>
      </c>
      <c r="C10">
        <f>(B10-((E10*(Main!$E$31/100))+(G10*(Main!$E$36/100))+(I10*(Main!$E$46/100))+(K10*(Main!$E$51/100))))/$C$6</f>
        <v>4.286825829290574</v>
      </c>
      <c r="D10">
        <f>'Req. Diario'!E9</f>
        <v>0.48904417577519366</v>
      </c>
      <c r="E10">
        <f>(D10-((C10*(Main!$F$41/100))+(G10*(Main!$F$36/100))+(I10*(Main!$F$46/100))+(K10*(Main!$F$51/100))))/$E$6</f>
        <v>1.0631395125547687</v>
      </c>
      <c r="F10">
        <f>'Req. Diario'!F9</f>
        <v>1.954409149606299</v>
      </c>
      <c r="G10">
        <f>(F10-((C10*(Main!$G$41/100))+(E10*(Main!$G$31/100))+(I10*(Main!$G$46/100))+(K10*(Main!$G$51/100))))/$G$6</f>
        <v>3.257348582677165</v>
      </c>
      <c r="H10">
        <f>'Req. Diario'!G9</f>
        <v>0.3010489904702346</v>
      </c>
      <c r="I10">
        <f>H10/$I$6</f>
        <v>0.00003010489904702346</v>
      </c>
      <c r="J10">
        <f>'Req. Diario'!H9</f>
        <v>1.0471612822269023</v>
      </c>
      <c r="K10">
        <f>J10/$K$6</f>
        <v>0.00010471612822269023</v>
      </c>
      <c r="L10">
        <f>'Req. Diario'!I9</f>
        <v>5.0926</v>
      </c>
      <c r="M10">
        <f>L10/$M$6</f>
        <v>24.841951219512197</v>
      </c>
    </row>
    <row r="11">
      <c r="B11">
        <f>'Req. Diario'!D10</f>
        <v>1.6274517650722007</v>
      </c>
      <c r="C11">
        <f>(B11-((E11*(Main!$E$31/100))+(G11*(Main!$E$36/100))+(I11*(Main!$E$46/100))+(K11*(Main!$E$51/100))))/$C$6</f>
        <v>4.286825829290574</v>
      </c>
      <c r="D11">
        <f>'Req. Diario'!E10</f>
        <v>0.48904417577519366</v>
      </c>
      <c r="E11">
        <f>(D11-((C11*(Main!$F$41/100))+(G11*(Main!$F$36/100))+(I11*(Main!$F$46/100))+(K11*(Main!$F$51/100))))/$E$6</f>
        <v>1.0631395125547687</v>
      </c>
      <c r="F11">
        <f>'Req. Diario'!F10</f>
        <v>1.954409149606299</v>
      </c>
      <c r="G11">
        <f>(F11-((C11*(Main!$G$41/100))+(E11*(Main!$G$31/100))+(I11*(Main!$G$46/100))+(K11*(Main!$G$51/100))))/$G$6</f>
        <v>3.257348582677165</v>
      </c>
      <c r="H11">
        <f>'Req. Diario'!G10</f>
        <v>0.3010489904702346</v>
      </c>
      <c r="I11">
        <f>H11/$I$6</f>
        <v>0.00003010489904702346</v>
      </c>
      <c r="J11">
        <f>'Req. Diario'!H10</f>
        <v>1.0471612822269023</v>
      </c>
      <c r="K11">
        <f>J11/$K$6</f>
        <v>0.00010471612822269023</v>
      </c>
      <c r="L11">
        <f>'Req. Diario'!I10</f>
        <v>5.0926</v>
      </c>
      <c r="M11">
        <f>L11/$M$6</f>
        <v>24.841951219512197</v>
      </c>
    </row>
    <row r="12">
      <c r="B12">
        <f>'Req. Diario'!D11</f>
        <v>1.6274517650722007</v>
      </c>
      <c r="C12">
        <f>(B12-((E12*(Main!$E$31/100))+(G12*(Main!$E$36/100))+(I12*(Main!$E$46/100))+(K12*(Main!$E$51/100))))/$C$6</f>
        <v>4.286825829290574</v>
      </c>
      <c r="D12">
        <f>'Req. Diario'!E11</f>
        <v>0.48904417577519366</v>
      </c>
      <c r="E12">
        <f>(D12-((C12*(Main!$F$41/100))+(G12*(Main!$F$36/100))+(I12*(Main!$F$46/100))+(K12*(Main!$F$51/100))))/$E$6</f>
        <v>1.0631395125547687</v>
      </c>
      <c r="F12">
        <f>'Req. Diario'!F11</f>
        <v>1.954409149606299</v>
      </c>
      <c r="G12">
        <f>(F12-((C12*(Main!$G$41/100))+(E12*(Main!$G$31/100))+(I12*(Main!$G$46/100))+(K12*(Main!$G$51/100))))/$G$6</f>
        <v>3.257348582677165</v>
      </c>
      <c r="H12">
        <f>'Req. Diario'!G11</f>
        <v>0.3010489904702346</v>
      </c>
      <c r="I12">
        <f>H12/$I$6</f>
        <v>0.00003010489904702346</v>
      </c>
      <c r="J12">
        <f>'Req. Diario'!H11</f>
        <v>1.0471612822269023</v>
      </c>
      <c r="K12">
        <f>J12/$K$6</f>
        <v>0.00010471612822269023</v>
      </c>
      <c r="L12">
        <f>'Req. Diario'!I11</f>
        <v>5.0926</v>
      </c>
      <c r="M12">
        <f>L12/$M$6</f>
        <v>24.841951219512197</v>
      </c>
    </row>
    <row r="13">
      <c r="B13">
        <f>'Req. Diario'!D12</f>
        <v>1.6274517650722007</v>
      </c>
      <c r="C13">
        <f>(B13-((E13*(Main!$E$31/100))+(G13*(Main!$E$36/100))+(I13*(Main!$E$46/100))+(K13*(Main!$E$51/100))))/$C$6</f>
        <v>4.286825829290574</v>
      </c>
      <c r="D13">
        <f>'Req. Diario'!E12</f>
        <v>0.48904417577519366</v>
      </c>
      <c r="E13">
        <f>(D13-((C13*(Main!$F$41/100))+(G13*(Main!$F$36/100))+(I13*(Main!$F$46/100))+(K13*(Main!$F$51/100))))/$E$6</f>
        <v>1.0631395125547687</v>
      </c>
      <c r="F13">
        <f>'Req. Diario'!F12</f>
        <v>1.954409149606299</v>
      </c>
      <c r="G13">
        <f>(F13-((C13*(Main!$G$41/100))+(E13*(Main!$G$31/100))+(I13*(Main!$G$46/100))+(K13*(Main!$G$51/100))))/$G$6</f>
        <v>3.257348582677165</v>
      </c>
      <c r="H13">
        <f>'Req. Diario'!G12</f>
        <v>0.3010489904702346</v>
      </c>
      <c r="I13">
        <f>H13/$I$6</f>
        <v>0.00003010489904702346</v>
      </c>
      <c r="J13">
        <f>'Req. Diario'!H12</f>
        <v>1.0471612822269023</v>
      </c>
      <c r="K13">
        <f>J13/$K$6</f>
        <v>0.00010471612822269023</v>
      </c>
      <c r="L13">
        <f>'Req. Diario'!I12</f>
        <v>5.0926</v>
      </c>
      <c r="M13">
        <f>L13/$M$6</f>
        <v>24.841951219512197</v>
      </c>
    </row>
    <row r="14">
      <c r="A14">
        <v>2</v>
      </c>
      <c r="B14">
        <f>'Req. Diario'!D13</f>
        <v>1.6274517650722007</v>
      </c>
      <c r="C14">
        <f>(B14-((E14*(Main!$E$31/100))+(G14*(Main!$E$36/100))+(I14*(Main!$E$46/100))+(K14*(Main!$E$51/100))))/$C$6</f>
        <v>4.286825829290574</v>
      </c>
      <c r="D14">
        <f>'Req. Diario'!E13</f>
        <v>0.48904417577519366</v>
      </c>
      <c r="E14">
        <f>(D14-((C14*(Main!$F$41/100))+(G14*(Main!$F$36/100))+(I14*(Main!$F$46/100))+(K14*(Main!$F$51/100))))/$E$6</f>
        <v>1.0631395125547687</v>
      </c>
      <c r="F14">
        <f>'Req. Diario'!F13</f>
        <v>1.954409149606299</v>
      </c>
      <c r="G14">
        <f>(F14-((C14*(Main!$G$41/100))+(E14*(Main!$G$31/100))+(I14*(Main!$G$46/100))+(K14*(Main!$G$51/100))))/$G$6</f>
        <v>3.257348582677165</v>
      </c>
      <c r="H14">
        <f>'Req. Diario'!G13</f>
        <v>0.3010489904702346</v>
      </c>
      <c r="I14">
        <f>H14/$I$6</f>
        <v>0.00003010489904702346</v>
      </c>
      <c r="J14">
        <f>'Req. Diario'!H13</f>
        <v>1.0471612822269023</v>
      </c>
      <c r="K14">
        <f>J14/$K$6</f>
        <v>0.00010471612822269023</v>
      </c>
      <c r="L14">
        <f>'Req. Diario'!I13</f>
        <v>5.0926</v>
      </c>
      <c r="M14">
        <f>L14/$M$6</f>
        <v>24.841951219512197</v>
      </c>
    </row>
    <row r="15">
      <c r="B15">
        <f>'Req. Diario'!D14</f>
        <v>1.6274517650722007</v>
      </c>
      <c r="C15">
        <f>(B15-((E15*(Main!$E$31/100))+(G15*(Main!$E$36/100))+(I15*(Main!$E$46/100))+(K15*(Main!$E$51/100))))/$C$6</f>
        <v>4.286825829290574</v>
      </c>
      <c r="D15">
        <f>'Req. Diario'!E14</f>
        <v>0.48904417577519366</v>
      </c>
      <c r="E15">
        <f>(D15-((C15*(Main!$F$41/100))+(G15*(Main!$F$36/100))+(I15*(Main!$F$46/100))+(K15*(Main!$F$51/100))))/$E$6</f>
        <v>1.0631395125547687</v>
      </c>
      <c r="F15">
        <f>'Req. Diario'!F14</f>
        <v>1.954409149606299</v>
      </c>
      <c r="G15">
        <f>(F15-((C15*(Main!$G$41/100))+(E15*(Main!$G$31/100))+(I15*(Main!$G$46/100))+(K15*(Main!$G$51/100))))/$G$6</f>
        <v>3.257348582677165</v>
      </c>
      <c r="H15">
        <f>'Req. Diario'!G14</f>
        <v>0.3010489904702346</v>
      </c>
      <c r="I15">
        <f>H15/$I$6</f>
        <v>0.00003010489904702346</v>
      </c>
      <c r="J15">
        <f>'Req. Diario'!H14</f>
        <v>1.0471612822269023</v>
      </c>
      <c r="K15">
        <f>J15/$K$6</f>
        <v>0.00010471612822269023</v>
      </c>
      <c r="L15">
        <f>'Req. Diario'!I14</f>
        <v>5.0926</v>
      </c>
      <c r="M15">
        <f>L15/$M$6</f>
        <v>24.841951219512197</v>
      </c>
    </row>
    <row r="16">
      <c r="B16">
        <f>'Req. Diario'!D15</f>
        <v>1.6274517650722007</v>
      </c>
      <c r="C16">
        <f>(B16-((E16*(Main!$E$31/100))+(G16*(Main!$E$36/100))+(I16*(Main!$E$46/100))+(K16*(Main!$E$51/100))))/$C$6</f>
        <v>4.286825829290574</v>
      </c>
      <c r="D16">
        <f>'Req. Diario'!E15</f>
        <v>0.48904417577519366</v>
      </c>
      <c r="E16">
        <f>(D16-((C16*(Main!$F$41/100))+(G16*(Main!$F$36/100))+(I16*(Main!$F$46/100))+(K16*(Main!$F$51/100))))/$E$6</f>
        <v>1.0631395125547687</v>
      </c>
      <c r="F16">
        <f>'Req. Diario'!F15</f>
        <v>1.954409149606299</v>
      </c>
      <c r="G16">
        <f>(F16-((C16*(Main!$G$41/100))+(E16*(Main!$G$31/100))+(I16*(Main!$G$46/100))+(K16*(Main!$G$51/100))))/$G$6</f>
        <v>3.257348582677165</v>
      </c>
      <c r="H16">
        <f>'Req. Diario'!G15</f>
        <v>0.3010489904702346</v>
      </c>
      <c r="I16">
        <f>H16/$I$6</f>
        <v>0.00003010489904702346</v>
      </c>
      <c r="J16">
        <f>'Req. Diario'!H15</f>
        <v>1.0471612822269023</v>
      </c>
      <c r="K16">
        <f>J16/$K$6</f>
        <v>0.00010471612822269023</v>
      </c>
      <c r="L16">
        <f>'Req. Diario'!I15</f>
        <v>5.0926</v>
      </c>
      <c r="M16">
        <f>L16/$M$6</f>
        <v>24.841951219512197</v>
      </c>
    </row>
    <row r="17">
      <c r="B17">
        <f>'Req. Diario'!D16</f>
        <v>2.441177647608301</v>
      </c>
      <c r="C17">
        <f>(B17-((E17*(Main!$E$31/100))+(G17*(Main!$E$36/100))+(I17*(Main!$E$46/100))+(K17*(Main!$E$51/100))))/$C$6</f>
        <v>6.430238743935861</v>
      </c>
      <c r="D17">
        <f>'Req. Diario'!E16</f>
        <v>0.7335662636627905</v>
      </c>
      <c r="E17">
        <f>(D17-((C17*(Main!$F$41/100))+(G17*(Main!$F$36/100))+(I17*(Main!$F$46/100))+(K17*(Main!$F$51/100))))/$E$6</f>
        <v>1.5947092688321534</v>
      </c>
      <c r="F17">
        <f>'Req. Diario'!F16</f>
        <v>2.9316137244094485</v>
      </c>
      <c r="G17">
        <f>(F17-((C17*(Main!$G$41/100))+(E17*(Main!$G$31/100))+(I17*(Main!$G$46/100))+(K17*(Main!$G$51/100))))/$G$6</f>
        <v>4.886022874015747</v>
      </c>
      <c r="H17">
        <f>'Req. Diario'!G16</f>
        <v>0.45157348570535194</v>
      </c>
      <c r="I17">
        <f>H17/$I$6</f>
        <v>0.000045157348570535196</v>
      </c>
      <c r="J17">
        <f>'Req. Diario'!H16</f>
        <v>1.5707419233403535</v>
      </c>
      <c r="K17">
        <f>J17/$K$6</f>
        <v>0.00015707419233403536</v>
      </c>
      <c r="L17">
        <f>'Req. Diario'!I16</f>
        <v>9.1667</v>
      </c>
      <c r="M17">
        <f>L17/$M$6</f>
        <v>44.715609756097564</v>
      </c>
    </row>
    <row r="18">
      <c r="B18">
        <f>'Req. Diario'!D17</f>
        <v>2.441177647608301</v>
      </c>
      <c r="C18">
        <f>(B18-((E18*(Main!$E$31/100))+(G18*(Main!$E$36/100))+(I18*(Main!$E$46/100))+(K18*(Main!$E$51/100))))/$C$6</f>
        <v>6.430238743935861</v>
      </c>
      <c r="D18">
        <f>'Req. Diario'!E17</f>
        <v>0.7335662636627905</v>
      </c>
      <c r="E18">
        <f>(D18-((C18*(Main!$F$41/100))+(G18*(Main!$F$36/100))+(I18*(Main!$F$46/100))+(K18*(Main!$F$51/100))))/$E$6</f>
        <v>1.5947092688321534</v>
      </c>
      <c r="F18">
        <f>'Req. Diario'!F17</f>
        <v>2.9316137244094485</v>
      </c>
      <c r="G18">
        <f>(F18-((C18*(Main!$G$41/100))+(E18*(Main!$G$31/100))+(I18*(Main!$G$46/100))+(K18*(Main!$G$51/100))))/$G$6</f>
        <v>4.886022874015747</v>
      </c>
      <c r="H18">
        <f>'Req. Diario'!G17</f>
        <v>0.45157348570535194</v>
      </c>
      <c r="I18">
        <f>H18/$I$6</f>
        <v>0.000045157348570535196</v>
      </c>
      <c r="J18">
        <f>'Req. Diario'!H17</f>
        <v>1.5707419233403535</v>
      </c>
      <c r="K18">
        <f>J18/$K$6</f>
        <v>0.00015707419233403536</v>
      </c>
      <c r="L18">
        <f>'Req. Diario'!I17</f>
        <v>9.1667</v>
      </c>
      <c r="M18">
        <f>L18/$M$6</f>
        <v>44.715609756097564</v>
      </c>
    </row>
    <row r="19">
      <c r="B19">
        <f>'Req. Diario'!D18</f>
        <v>2.441177647608301</v>
      </c>
      <c r="C19">
        <f>(B19-((E19*(Main!$E$31/100))+(G19*(Main!$E$36/100))+(I19*(Main!$E$46/100))+(K19*(Main!$E$51/100))))/$C$6</f>
        <v>6.430238743935861</v>
      </c>
      <c r="D19">
        <f>'Req. Diario'!E18</f>
        <v>0.7335662636627905</v>
      </c>
      <c r="E19">
        <f>(D19-((C19*(Main!$F$41/100))+(G19*(Main!$F$36/100))+(I19*(Main!$F$46/100))+(K19*(Main!$F$51/100))))/$E$6</f>
        <v>1.5947092688321534</v>
      </c>
      <c r="F19">
        <f>'Req. Diario'!F18</f>
        <v>2.9316137244094485</v>
      </c>
      <c r="G19">
        <f>(F19-((C19*(Main!$G$41/100))+(E19*(Main!$G$31/100))+(I19*(Main!$G$46/100))+(K19*(Main!$G$51/100))))/$G$6</f>
        <v>4.886022874015747</v>
      </c>
      <c r="H19">
        <f>'Req. Diario'!G18</f>
        <v>0.45157348570535194</v>
      </c>
      <c r="I19">
        <f>H19/$I$6</f>
        <v>0.000045157348570535196</v>
      </c>
      <c r="J19">
        <f>'Req. Diario'!H18</f>
        <v>1.5707419233403535</v>
      </c>
      <c r="K19">
        <f>J19/$K$6</f>
        <v>0.00015707419233403536</v>
      </c>
      <c r="L19">
        <f>'Req. Diario'!I18</f>
        <v>9.1667</v>
      </c>
      <c r="M19">
        <f>L19/$M$6</f>
        <v>44.715609756097564</v>
      </c>
    </row>
    <row r="20">
      <c r="B20">
        <f>'Req. Diario'!D19</f>
        <v>2.441177647608301</v>
      </c>
      <c r="C20">
        <f>(B20-((E20*(Main!$E$31/100))+(G20*(Main!$E$36/100))+(I20*(Main!$E$46/100))+(K20*(Main!$E$51/100))))/$C$6</f>
        <v>6.430238743935861</v>
      </c>
      <c r="D20">
        <f>'Req. Diario'!E19</f>
        <v>0.7335662636627905</v>
      </c>
      <c r="E20">
        <f>(D20-((C20*(Main!$F$41/100))+(G20*(Main!$F$36/100))+(I20*(Main!$F$46/100))+(K20*(Main!$F$51/100))))/$E$6</f>
        <v>1.5947092688321534</v>
      </c>
      <c r="F20">
        <f>'Req. Diario'!F19</f>
        <v>2.9316137244094485</v>
      </c>
      <c r="G20">
        <f>(F20-((C20*(Main!$G$41/100))+(E20*(Main!$G$31/100))+(I20*(Main!$G$46/100))+(K20*(Main!$G$51/100))))/$G$6</f>
        <v>4.886022874015747</v>
      </c>
      <c r="H20">
        <f>'Req. Diario'!G19</f>
        <v>0.45157348570535194</v>
      </c>
      <c r="I20">
        <f>H20/$I$6</f>
        <v>0.000045157348570535196</v>
      </c>
      <c r="J20">
        <f>'Req. Diario'!H19</f>
        <v>1.5707419233403535</v>
      </c>
      <c r="K20">
        <f>J20/$K$6</f>
        <v>0.00015707419233403536</v>
      </c>
      <c r="L20">
        <f>'Req. Diario'!I19</f>
        <v>9.1667</v>
      </c>
      <c r="M20">
        <f>L20/$M$6</f>
        <v>44.715609756097564</v>
      </c>
    </row>
    <row r="21">
      <c r="A21">
        <v>3</v>
      </c>
      <c r="B21">
        <f>'Req. Diario'!D20</f>
        <v>2.26680781563628</v>
      </c>
      <c r="C21">
        <f>(B21-((E21*(Main!$E$31/100))+(G21*(Main!$E$36/100))+(I21*(Main!$E$46/100))+(K21*(Main!$E$51/100))))/$C$6</f>
        <v>5.90973178282535</v>
      </c>
      <c r="D21">
        <f>'Req. Diario'!E20</f>
        <v>0.7335662636627905</v>
      </c>
      <c r="E21">
        <f>(D21-((C21*(Main!$F$41/100))+(G21*(Main!$F$36/100))+(I21*(Main!$F$46/100))+(K21*(Main!$F$51/100))))/$E$6</f>
        <v>1.5947092688321534</v>
      </c>
      <c r="F21">
        <f>'Req. Diario'!F20</f>
        <v>2.9316137244094485</v>
      </c>
      <c r="G21">
        <f>(F21-((C21*(Main!$G$41/100))+(E21*(Main!$G$31/100))+(I21*(Main!$G$46/100))+(K21*(Main!$G$51/100))))/$G$6</f>
        <v>4.886022874015747</v>
      </c>
      <c r="H21">
        <f>'Req. Diario'!G20</f>
        <v>0.45157348570535194</v>
      </c>
      <c r="I21">
        <f>H21/$I$6</f>
        <v>0.000045157348570535196</v>
      </c>
      <c r="J21">
        <f>'Req. Diario'!H20</f>
        <v>1.5707419233403535</v>
      </c>
      <c r="K21">
        <f>J21/$K$6</f>
        <v>0.00015707419233403536</v>
      </c>
      <c r="L21">
        <f>'Req. Diario'!I20</f>
        <v>9.1667</v>
      </c>
      <c r="M21">
        <f>L21/$M$6</f>
        <v>44.715609756097564</v>
      </c>
    </row>
    <row r="22">
      <c r="B22">
        <f>'Req. Diario'!D21</f>
        <v>2.26680781563628</v>
      </c>
      <c r="C22">
        <f>(B22-((E22*(Main!$E$31/100))+(G22*(Main!$E$36/100))+(I22*(Main!$E$46/100))+(K22*(Main!$E$51/100))))/$C$6</f>
        <v>5.90973178282535</v>
      </c>
      <c r="D22">
        <f>'Req. Diario'!E21</f>
        <v>0.7335662636627905</v>
      </c>
      <c r="E22">
        <f>(D22-((C22*(Main!$F$41/100))+(G22*(Main!$F$36/100))+(I22*(Main!$F$46/100))+(K22*(Main!$F$51/100))))/$E$6</f>
        <v>1.5947092688321534</v>
      </c>
      <c r="F22">
        <f>'Req. Diario'!F21</f>
        <v>2.9316137244094485</v>
      </c>
      <c r="G22">
        <f>(F22-((C22*(Main!$G$41/100))+(E22*(Main!$G$31/100))+(I22*(Main!$G$46/100))+(K22*(Main!$G$51/100))))/$G$6</f>
        <v>4.886022874015747</v>
      </c>
      <c r="H22">
        <f>'Req. Diario'!G21</f>
        <v>0.45157348570535194</v>
      </c>
      <c r="I22">
        <f>H22/$I$6</f>
        <v>0.000045157348570535196</v>
      </c>
      <c r="J22">
        <f>'Req. Diario'!H21</f>
        <v>1.5707419233403535</v>
      </c>
      <c r="K22">
        <f>J22/$K$6</f>
        <v>0.00015707419233403536</v>
      </c>
      <c r="L22">
        <f>'Req. Diario'!I21</f>
        <v>9.1667</v>
      </c>
      <c r="M22">
        <f>L22/$M$6</f>
        <v>44.715609756097564</v>
      </c>
    </row>
    <row r="23">
      <c r="B23">
        <f>'Req. Diario'!D22</f>
        <v>2.26680781563628</v>
      </c>
      <c r="C23">
        <f>(B23-((E23*(Main!$E$31/100))+(G23*(Main!$E$36/100))+(I23*(Main!$E$46/100))+(K23*(Main!$E$51/100))))/$C$6</f>
        <v>5.90973178282535</v>
      </c>
      <c r="D23">
        <f>'Req. Diario'!E22</f>
        <v>0.7335662636627905</v>
      </c>
      <c r="E23">
        <f>(D23-((C23*(Main!$F$41/100))+(G23*(Main!$F$36/100))+(I23*(Main!$F$46/100))+(K23*(Main!$F$51/100))))/$E$6</f>
        <v>1.5947092688321534</v>
      </c>
      <c r="F23">
        <f>'Req. Diario'!F22</f>
        <v>2.9316137244094485</v>
      </c>
      <c r="G23">
        <f>(F23-((C23*(Main!$G$41/100))+(E23*(Main!$G$31/100))+(I23*(Main!$G$46/100))+(K23*(Main!$G$51/100))))/$G$6</f>
        <v>4.886022874015747</v>
      </c>
      <c r="H23">
        <f>'Req. Diario'!G22</f>
        <v>0.45157348570535194</v>
      </c>
      <c r="I23">
        <f>H23/$I$6</f>
        <v>0.000045157348570535196</v>
      </c>
      <c r="J23">
        <f>'Req. Diario'!H22</f>
        <v>1.5707419233403535</v>
      </c>
      <c r="K23">
        <f>J23/$K$6</f>
        <v>0.00015707419233403536</v>
      </c>
      <c r="L23">
        <f>'Req. Diario'!I22</f>
        <v>9.1667</v>
      </c>
      <c r="M23">
        <f>L23/$M$6</f>
        <v>44.715609756097564</v>
      </c>
    </row>
    <row r="24">
      <c r="B24">
        <f>'Req. Diario'!D23</f>
        <v>3.022410420848373</v>
      </c>
      <c r="C24">
        <f>(B24-((E24*(Main!$E$31/100))+(G24*(Main!$E$36/100))+(I24*(Main!$E$46/100))+(K24*(Main!$E$51/100))))/$C$6</f>
        <v>7.879642377100466</v>
      </c>
      <c r="D24">
        <f>'Req. Diario'!E23</f>
        <v>0.9780883515503873</v>
      </c>
      <c r="E24">
        <f>(D24-((C24*(Main!$F$41/100))+(G24*(Main!$F$36/100))+(I24*(Main!$F$46/100))+(K24*(Main!$F$51/100))))/$E$6</f>
        <v>2.1262790251095374</v>
      </c>
      <c r="F24">
        <f>'Req. Diario'!F23</f>
        <v>3.908818299212598</v>
      </c>
      <c r="G24">
        <f>(F24-((C24*(Main!$G$41/100))+(E24*(Main!$G$31/100))+(I24*(Main!$G$46/100))+(K24*(Main!$G$51/100))))/$G$6</f>
        <v>6.51469716535433</v>
      </c>
      <c r="H24">
        <f>'Req. Diario'!G23</f>
        <v>0.6020979809404692</v>
      </c>
      <c r="I24">
        <f>H24/$I$6</f>
        <v>0.00006020979809404692</v>
      </c>
      <c r="J24">
        <f>'Req. Diario'!H23</f>
        <v>2.0943225644538046</v>
      </c>
      <c r="K24">
        <f>J24/$K$6</f>
        <v>0.00020943225644538046</v>
      </c>
      <c r="L24">
        <f>'Req. Diario'!I23</f>
        <v>12.2222</v>
      </c>
      <c r="M24">
        <f>L24/$M$6</f>
        <v>59.62048780487805</v>
      </c>
    </row>
    <row r="25">
      <c r="B25">
        <f>'Req. Diario'!D24</f>
        <v>3.022410420848373</v>
      </c>
      <c r="C25">
        <f>(B25-((E25*(Main!$E$31/100))+(G25*(Main!$E$36/100))+(I25*(Main!$E$46/100))+(K25*(Main!$E$51/100))))/$C$6</f>
        <v>7.879642377100466</v>
      </c>
      <c r="D25">
        <f>'Req. Diario'!E24</f>
        <v>0.9780883515503873</v>
      </c>
      <c r="E25">
        <f>(D25-((C25*(Main!$F$41/100))+(G25*(Main!$F$36/100))+(I25*(Main!$F$46/100))+(K25*(Main!$F$51/100))))/$E$6</f>
        <v>2.1262790251095374</v>
      </c>
      <c r="F25">
        <f>'Req. Diario'!F24</f>
        <v>3.908818299212598</v>
      </c>
      <c r="G25">
        <f>(F25-((C25*(Main!$G$41/100))+(E25*(Main!$G$31/100))+(I25*(Main!$G$46/100))+(K25*(Main!$G$51/100))))/$G$6</f>
        <v>6.51469716535433</v>
      </c>
      <c r="H25">
        <f>'Req. Diario'!G24</f>
        <v>0.6020979809404692</v>
      </c>
      <c r="I25">
        <f>H25/$I$6</f>
        <v>0.00006020979809404692</v>
      </c>
      <c r="J25">
        <f>'Req. Diario'!H24</f>
        <v>2.0943225644538046</v>
      </c>
      <c r="K25">
        <f>J25/$K$6</f>
        <v>0.00020943225644538046</v>
      </c>
      <c r="L25">
        <f>'Req. Diario'!I24</f>
        <v>12.2222</v>
      </c>
      <c r="M25">
        <f>L25/$M$6</f>
        <v>59.62048780487805</v>
      </c>
    </row>
    <row r="26">
      <c r="B26">
        <f>'Req. Diario'!D25</f>
        <v>3.022410420848373</v>
      </c>
      <c r="C26">
        <f>(B26-((E26*(Main!$E$31/100))+(G26*(Main!$E$36/100))+(I26*(Main!$E$46/100))+(K26*(Main!$E$51/100))))/$C$6</f>
        <v>7.879642377100466</v>
      </c>
      <c r="D26">
        <f>'Req. Diario'!E25</f>
        <v>0.9780883515503873</v>
      </c>
      <c r="E26">
        <f>(D26-((C26*(Main!$F$41/100))+(G26*(Main!$F$36/100))+(I26*(Main!$F$46/100))+(K26*(Main!$F$51/100))))/$E$6</f>
        <v>2.1262790251095374</v>
      </c>
      <c r="F26">
        <f>'Req. Diario'!F25</f>
        <v>3.908818299212598</v>
      </c>
      <c r="G26">
        <f>(F26-((C26*(Main!$G$41/100))+(E26*(Main!$G$31/100))+(I26*(Main!$G$46/100))+(K26*(Main!$G$51/100))))/$G$6</f>
        <v>6.51469716535433</v>
      </c>
      <c r="H26">
        <f>'Req. Diario'!G25</f>
        <v>0.6020979809404692</v>
      </c>
      <c r="I26">
        <f>H26/$I$6</f>
        <v>0.00006020979809404692</v>
      </c>
      <c r="J26">
        <f>'Req. Diario'!H25</f>
        <v>2.0943225644538046</v>
      </c>
      <c r="K26">
        <f>J26/$K$6</f>
        <v>0.00020943225644538046</v>
      </c>
      <c r="L26">
        <f>'Req. Diario'!I25</f>
        <v>12.2222</v>
      </c>
      <c r="M26">
        <f>L26/$M$6</f>
        <v>59.62048780487805</v>
      </c>
    </row>
    <row r="27">
      <c r="B27">
        <f>'Req. Diario'!D26</f>
        <v>3.022410420848373</v>
      </c>
      <c r="C27">
        <f>(B27-((E27*(Main!$E$31/100))+(G27*(Main!$E$36/100))+(I27*(Main!$E$46/100))+(K27*(Main!$E$51/100))))/$C$6</f>
        <v>7.879642377100466</v>
      </c>
      <c r="D27">
        <f>'Req. Diario'!E26</f>
        <v>0.9780883515503873</v>
      </c>
      <c r="E27">
        <f>(D27-((C27*(Main!$F$41/100))+(G27*(Main!$F$36/100))+(I27*(Main!$F$46/100))+(K27*(Main!$F$51/100))))/$E$6</f>
        <v>2.1262790251095374</v>
      </c>
      <c r="F27">
        <f>'Req. Diario'!F26</f>
        <v>3.908818299212598</v>
      </c>
      <c r="G27">
        <f>(F27-((C27*(Main!$G$41/100))+(E27*(Main!$G$31/100))+(I27*(Main!$G$46/100))+(K27*(Main!$G$51/100))))/$G$6</f>
        <v>6.51469716535433</v>
      </c>
      <c r="H27">
        <f>'Req. Diario'!G26</f>
        <v>0.6020979809404692</v>
      </c>
      <c r="I27">
        <f>H27/$I$6</f>
        <v>0.00006020979809404692</v>
      </c>
      <c r="J27">
        <f>'Req. Diario'!H26</f>
        <v>2.0943225644538046</v>
      </c>
      <c r="K27">
        <f>J27/$K$6</f>
        <v>0.00020943225644538046</v>
      </c>
      <c r="L27">
        <f>'Req. Diario'!I26</f>
        <v>12.2222</v>
      </c>
      <c r="M27">
        <f>L27/$M$6</f>
        <v>59.62048780487805</v>
      </c>
    </row>
    <row r="28">
      <c r="A28">
        <v>4</v>
      </c>
      <c r="B28">
        <f>'Req. Diario'!D27</f>
        <v>3.022410420848373</v>
      </c>
      <c r="C28">
        <f>(B28-((E28*(Main!$E$31/100))+(G28*(Main!$E$36/100))+(I28*(Main!$E$46/100))+(K28*(Main!$E$51/100))))/$C$6</f>
        <v>7.879642377100466</v>
      </c>
      <c r="D28">
        <f>'Req. Diario'!E27</f>
        <v>0.9780883515503873</v>
      </c>
      <c r="E28">
        <f>(D28-((C28*(Main!$F$41/100))+(G28*(Main!$F$36/100))+(I28*(Main!$F$46/100))+(K28*(Main!$F$51/100))))/$E$6</f>
        <v>2.1262790251095374</v>
      </c>
      <c r="F28">
        <f>'Req. Diario'!F27</f>
        <v>3.908818299212598</v>
      </c>
      <c r="G28">
        <f>(F28-((C28*(Main!$G$41/100))+(E28*(Main!$G$31/100))+(I28*(Main!$G$46/100))+(K28*(Main!$G$51/100))))/$G$6</f>
        <v>6.51469716535433</v>
      </c>
      <c r="H28">
        <f>'Req. Diario'!G27</f>
        <v>0.6020979809404692</v>
      </c>
      <c r="I28">
        <f>H28/$I$6</f>
        <v>0.00006020979809404692</v>
      </c>
      <c r="J28">
        <f>'Req. Diario'!H27</f>
        <v>2.0943225644538046</v>
      </c>
      <c r="K28">
        <f>J28/$K$6</f>
        <v>0.00020943225644538046</v>
      </c>
      <c r="L28">
        <f>'Req. Diario'!I27</f>
        <v>12.2222</v>
      </c>
      <c r="M28">
        <f>L28/$M$6</f>
        <v>59.62048780487805</v>
      </c>
    </row>
    <row r="29">
      <c r="B29">
        <f>'Req. Diario'!D28</f>
        <v>3.022410420848373</v>
      </c>
      <c r="C29">
        <f>(B29-((E29*(Main!$E$31/100))+(G29*(Main!$E$36/100))+(I29*(Main!$E$46/100))+(K29*(Main!$E$51/100))))/$C$6</f>
        <v>7.879642377100466</v>
      </c>
      <c r="D29">
        <f>'Req. Diario'!E28</f>
        <v>0.9780883515503873</v>
      </c>
      <c r="E29">
        <f>(D29-((C29*(Main!$F$41/100))+(G29*(Main!$F$36/100))+(I29*(Main!$F$46/100))+(K29*(Main!$F$51/100))))/$E$6</f>
        <v>2.1262790251095374</v>
      </c>
      <c r="F29">
        <f>'Req. Diario'!F28</f>
        <v>3.908818299212598</v>
      </c>
      <c r="G29">
        <f>(F29-((C29*(Main!$G$41/100))+(E29*(Main!$G$31/100))+(I29*(Main!$G$46/100))+(K29*(Main!$G$51/100))))/$G$6</f>
        <v>6.51469716535433</v>
      </c>
      <c r="H29">
        <f>'Req. Diario'!G28</f>
        <v>0.6020979809404692</v>
      </c>
      <c r="I29">
        <f>H29/$I$6</f>
        <v>0.00006020979809404692</v>
      </c>
      <c r="J29">
        <f>'Req. Diario'!H28</f>
        <v>2.0943225644538046</v>
      </c>
      <c r="K29">
        <f>J29/$K$6</f>
        <v>0.00020943225644538046</v>
      </c>
      <c r="L29">
        <f>'Req. Diario'!I28</f>
        <v>12.2222</v>
      </c>
      <c r="M29">
        <f>L29/$M$6</f>
        <v>59.62048780487805</v>
      </c>
    </row>
    <row r="30">
      <c r="B30">
        <f>'Req. Diario'!D29</f>
        <v>3.022410420848373</v>
      </c>
      <c r="C30">
        <f>(B30-((E30*(Main!$E$31/100))+(G30*(Main!$E$36/100))+(I30*(Main!$E$46/100))+(K30*(Main!$E$51/100))))/$C$6</f>
        <v>7.879642377100466</v>
      </c>
      <c r="D30">
        <f>'Req. Diario'!E29</f>
        <v>0.9780883515503873</v>
      </c>
      <c r="E30">
        <f>(D30-((C30*(Main!$F$41/100))+(G30*(Main!$F$36/100))+(I30*(Main!$F$46/100))+(K30*(Main!$F$51/100))))/$E$6</f>
        <v>2.1262790251095374</v>
      </c>
      <c r="F30">
        <f>'Req. Diario'!F29</f>
        <v>3.908818299212598</v>
      </c>
      <c r="G30">
        <f>(F30-((C30*(Main!$G$41/100))+(E30*(Main!$G$31/100))+(I30*(Main!$G$46/100))+(K30*(Main!$G$51/100))))/$G$6</f>
        <v>6.51469716535433</v>
      </c>
      <c r="H30">
        <f>'Req. Diario'!G29</f>
        <v>0.6020979809404692</v>
      </c>
      <c r="I30">
        <f>H30/$I$6</f>
        <v>0.00006020979809404692</v>
      </c>
      <c r="J30">
        <f>'Req. Diario'!H29</f>
        <v>2.0943225644538046</v>
      </c>
      <c r="K30">
        <f>J30/$K$6</f>
        <v>0.00020943225644538046</v>
      </c>
      <c r="L30">
        <f>'Req. Diario'!I29</f>
        <v>12.2222</v>
      </c>
      <c r="M30">
        <f>L30/$M$6</f>
        <v>59.62048780487805</v>
      </c>
    </row>
    <row r="31">
      <c r="B31">
        <f>'Req. Diario'!D30</f>
        <v>3.022410420848373</v>
      </c>
      <c r="C31">
        <f>(B31-((E31*(Main!$E$31/100))+(G31*(Main!$E$36/100))+(I31*(Main!$E$46/100))+(K31*(Main!$E$51/100))))/$C$6</f>
        <v>7.879642377100466</v>
      </c>
      <c r="D31">
        <f>'Req. Diario'!E30</f>
        <v>0.9780883515503873</v>
      </c>
      <c r="E31">
        <f>(D31-((C31*(Main!$F$41/100))+(G31*(Main!$F$36/100))+(I31*(Main!$F$46/100))+(K31*(Main!$F$51/100))))/$E$6</f>
        <v>2.1262790251095374</v>
      </c>
      <c r="F31">
        <f>'Req. Diario'!F30</f>
        <v>3.908818299212598</v>
      </c>
      <c r="G31">
        <f>(F31-((C31*(Main!$G$41/100))+(E31*(Main!$G$31/100))+(I31*(Main!$G$46/100))+(K31*(Main!$G$51/100))))/$G$6</f>
        <v>6.51469716535433</v>
      </c>
      <c r="H31">
        <f>'Req. Diario'!G30</f>
        <v>0.6020979809404692</v>
      </c>
      <c r="I31">
        <f>H31/$I$6</f>
        <v>0.00006020979809404692</v>
      </c>
      <c r="J31">
        <f>'Req. Diario'!H30</f>
        <v>2.0943225644538046</v>
      </c>
      <c r="K31">
        <f>J31/$K$6</f>
        <v>0.00020943225644538046</v>
      </c>
      <c r="L31">
        <f>'Req. Diario'!I30</f>
        <v>12.2222</v>
      </c>
      <c r="M31">
        <f>L31/$M$6</f>
        <v>59.62048780487805</v>
      </c>
    </row>
    <row r="32">
      <c r="B32">
        <f>'Req. Diario'!D31</f>
        <v>3.022410420848373</v>
      </c>
      <c r="C32">
        <f>(B32-((E32*(Main!$E$31/100))+(G32*(Main!$E$36/100))+(I32*(Main!$E$46/100))+(K32*(Main!$E$51/100))))/$C$6</f>
        <v>7.879642377100466</v>
      </c>
      <c r="D32">
        <f>'Req. Diario'!E31</f>
        <v>0.9780883515503873</v>
      </c>
      <c r="E32">
        <f>(D32-((C32*(Main!$F$41/100))+(G32*(Main!$F$36/100))+(I32*(Main!$F$46/100))+(K32*(Main!$F$51/100))))/$E$6</f>
        <v>2.1262790251095374</v>
      </c>
      <c r="F32">
        <f>'Req. Diario'!F31</f>
        <v>3.908818299212598</v>
      </c>
      <c r="G32">
        <f>(F32-((C32*(Main!$G$41/100))+(E32*(Main!$G$31/100))+(I32*(Main!$G$46/100))+(K32*(Main!$G$51/100))))/$G$6</f>
        <v>6.51469716535433</v>
      </c>
      <c r="H32">
        <f>'Req. Diario'!G31</f>
        <v>0.6020979809404692</v>
      </c>
      <c r="I32">
        <f>H32/$I$6</f>
        <v>0.00006020979809404692</v>
      </c>
      <c r="J32">
        <f>'Req. Diario'!H31</f>
        <v>2.0943225644538046</v>
      </c>
      <c r="K32">
        <f>J32/$K$6</f>
        <v>0.00020943225644538046</v>
      </c>
      <c r="L32">
        <f>'Req. Diario'!I31</f>
        <v>12.2222</v>
      </c>
      <c r="M32">
        <f>L32/$M$6</f>
        <v>59.62048780487805</v>
      </c>
    </row>
    <row r="33">
      <c r="B33">
        <f>'Req. Diario'!D32</f>
        <v>3.022410420848373</v>
      </c>
      <c r="C33">
        <f>(B33-((E33*(Main!$E$31/100))+(G33*(Main!$E$36/100))+(I33*(Main!$E$46/100))+(K33*(Main!$E$51/100))))/$C$6</f>
        <v>7.879642377100466</v>
      </c>
      <c r="D33">
        <f>'Req. Diario'!E32</f>
        <v>0.9780883515503873</v>
      </c>
      <c r="E33">
        <f>(D33-((C33*(Main!$F$41/100))+(G33*(Main!$F$36/100))+(I33*(Main!$F$46/100))+(K33*(Main!$F$51/100))))/$E$6</f>
        <v>2.1262790251095374</v>
      </c>
      <c r="F33">
        <f>'Req. Diario'!F32</f>
        <v>3.908818299212598</v>
      </c>
      <c r="G33">
        <f>(F33-((C33*(Main!$G$41/100))+(E33*(Main!$G$31/100))+(I33*(Main!$G$46/100))+(K33*(Main!$G$51/100))))/$G$6</f>
        <v>6.51469716535433</v>
      </c>
      <c r="H33">
        <f>'Req. Diario'!G32</f>
        <v>0.6020979809404692</v>
      </c>
      <c r="I33">
        <f>H33/$I$6</f>
        <v>0.00006020979809404692</v>
      </c>
      <c r="J33">
        <f>'Req. Diario'!H32</f>
        <v>2.0943225644538046</v>
      </c>
      <c r="K33">
        <f>J33/$K$6</f>
        <v>0.00020943225644538046</v>
      </c>
      <c r="L33">
        <f>'Req. Diario'!I32</f>
        <v>12.2222</v>
      </c>
      <c r="M33">
        <f>L33/$M$6</f>
        <v>59.62048780487805</v>
      </c>
    </row>
    <row r="34">
      <c r="B34">
        <f>'Req. Diario'!D33</f>
        <v>3.022410420848373</v>
      </c>
      <c r="C34">
        <f>(B34-((E34*(Main!$E$31/100))+(G34*(Main!$E$36/100))+(I34*(Main!$E$46/100))+(K34*(Main!$E$51/100))))/$C$6</f>
        <v>7.879642377100466</v>
      </c>
      <c r="D34">
        <f>'Req. Diario'!E33</f>
        <v>0.9780883515503873</v>
      </c>
      <c r="E34">
        <f>(D34-((C34*(Main!$F$41/100))+(G34*(Main!$F$36/100))+(I34*(Main!$F$46/100))+(K34*(Main!$F$51/100))))/$E$6</f>
        <v>2.1262790251095374</v>
      </c>
      <c r="F34">
        <f>'Req. Diario'!F33</f>
        <v>3.908818299212598</v>
      </c>
      <c r="G34">
        <f>(F34-((C34*(Main!$G$41/100))+(E34*(Main!$G$31/100))+(I34*(Main!$G$46/100))+(K34*(Main!$G$51/100))))/$G$6</f>
        <v>6.51469716535433</v>
      </c>
      <c r="H34">
        <f>'Req. Diario'!G33</f>
        <v>0.6020979809404692</v>
      </c>
      <c r="I34">
        <f>H34/$I$6</f>
        <v>0.00006020979809404692</v>
      </c>
      <c r="J34">
        <f>'Req. Diario'!H33</f>
        <v>2.0943225644538046</v>
      </c>
      <c r="K34">
        <f>J34/$K$6</f>
        <v>0.00020943225644538046</v>
      </c>
      <c r="L34">
        <f>'Req. Diario'!I33</f>
        <v>12.2222</v>
      </c>
      <c r="M34">
        <f>L34/$M$6</f>
        <v>59.62048780487805</v>
      </c>
    </row>
    <row r="35">
      <c r="A35">
        <v>5</v>
      </c>
      <c r="B35">
        <f>'Req. Diario'!D34</f>
        <v>3.022410420848373</v>
      </c>
      <c r="C35">
        <f>(B35-((E35*(Main!$E$31/100))+(G35*(Main!$E$36/100))+(I35*(Main!$E$46/100))+(K35*(Main!$E$51/100))))/$C$6</f>
        <v>7.879642377100466</v>
      </c>
      <c r="D35">
        <f>'Req. Diario'!E34</f>
        <v>0.9780883515503873</v>
      </c>
      <c r="E35">
        <f>(D35-((C35*(Main!$F$41/100))+(G35*(Main!$F$36/100))+(I35*(Main!$F$46/100))+(K35*(Main!$F$51/100))))/$E$6</f>
        <v>2.1262790251095374</v>
      </c>
      <c r="F35">
        <f>'Req. Diario'!F34</f>
        <v>3.908818299212598</v>
      </c>
      <c r="G35">
        <f>(F35-((C35*(Main!$G$41/100))+(E35*(Main!$G$31/100))+(I35*(Main!$G$46/100))+(K35*(Main!$G$51/100))))/$G$6</f>
        <v>6.51469716535433</v>
      </c>
      <c r="H35">
        <f>'Req. Diario'!G34</f>
        <v>0.6020979809404692</v>
      </c>
      <c r="I35">
        <f>H35/$I$6</f>
        <v>0.00006020979809404692</v>
      </c>
      <c r="J35">
        <f>'Req. Diario'!H34</f>
        <v>2.0943225644538046</v>
      </c>
      <c r="K35">
        <f>J35/$K$6</f>
        <v>0.00020943225644538046</v>
      </c>
      <c r="L35">
        <f>'Req. Diario'!I34</f>
        <v>12.2222</v>
      </c>
      <c r="M35">
        <f>L35/$M$6</f>
        <v>59.62048780487805</v>
      </c>
    </row>
    <row r="36">
      <c r="B36">
        <f>'Req. Diario'!D35</f>
        <v>3.022410420848373</v>
      </c>
      <c r="C36">
        <f>(B36-((E36*(Main!$E$31/100))+(G36*(Main!$E$36/100))+(I36*(Main!$E$46/100))+(K36*(Main!$E$51/100))))/$C$6</f>
        <v>7.879642377100466</v>
      </c>
      <c r="D36">
        <f>'Req. Diario'!E35</f>
        <v>0.9780883515503873</v>
      </c>
      <c r="E36">
        <f>(D36-((C36*(Main!$F$41/100))+(G36*(Main!$F$36/100))+(I36*(Main!$F$46/100))+(K36*(Main!$F$51/100))))/$E$6</f>
        <v>2.1262790251095374</v>
      </c>
      <c r="F36">
        <f>'Req. Diario'!F35</f>
        <v>3.908818299212598</v>
      </c>
      <c r="G36">
        <f>(F36-((C36*(Main!$G$41/100))+(E36*(Main!$G$31/100))+(I36*(Main!$G$46/100))+(K36*(Main!$G$51/100))))/$G$6</f>
        <v>6.51469716535433</v>
      </c>
      <c r="H36">
        <f>'Req. Diario'!G35</f>
        <v>0.6020979809404692</v>
      </c>
      <c r="I36">
        <f>H36/$I$6</f>
        <v>0.00006020979809404692</v>
      </c>
      <c r="J36">
        <f>'Req. Diario'!H35</f>
        <v>2.0943225644538046</v>
      </c>
      <c r="K36">
        <f>J36/$K$6</f>
        <v>0.00020943225644538046</v>
      </c>
      <c r="L36">
        <f>'Req. Diario'!I35</f>
        <v>12.2222</v>
      </c>
      <c r="M36">
        <f>L36/$M$6</f>
        <v>59.62048780487805</v>
      </c>
    </row>
    <row r="37">
      <c r="B37">
        <f>'Req. Diario'!D36</f>
        <v>3.022410420848373</v>
      </c>
      <c r="C37">
        <f>(B37-((E37*(Main!$E$31/100))+(G37*(Main!$E$36/100))+(I37*(Main!$E$46/100))+(K37*(Main!$E$51/100))))/$C$6</f>
        <v>7.879642377100466</v>
      </c>
      <c r="D37">
        <f>'Req. Diario'!E36</f>
        <v>0.9780883515503873</v>
      </c>
      <c r="E37">
        <f>(D37-((C37*(Main!$F$41/100))+(G37*(Main!$F$36/100))+(I37*(Main!$F$46/100))+(K37*(Main!$F$51/100))))/$E$6</f>
        <v>2.1262790251095374</v>
      </c>
      <c r="F37">
        <f>'Req. Diario'!F36</f>
        <v>3.908818299212598</v>
      </c>
      <c r="G37">
        <f>(F37-((C37*(Main!$G$41/100))+(E37*(Main!$G$31/100))+(I37*(Main!$G$46/100))+(K37*(Main!$G$51/100))))/$G$6</f>
        <v>6.51469716535433</v>
      </c>
      <c r="H37">
        <f>'Req. Diario'!G36</f>
        <v>0.6020979809404692</v>
      </c>
      <c r="I37">
        <f>H37/$I$6</f>
        <v>0.00006020979809404692</v>
      </c>
      <c r="J37">
        <f>'Req. Diario'!H36</f>
        <v>2.0943225644538046</v>
      </c>
      <c r="K37">
        <f>J37/$K$6</f>
        <v>0.00020943225644538046</v>
      </c>
      <c r="L37">
        <f>'Req. Diario'!I36</f>
        <v>12.2222</v>
      </c>
      <c r="M37">
        <f>L37/$M$6</f>
        <v>59.62048780487805</v>
      </c>
    </row>
    <row r="38">
      <c r="B38">
        <f>'Req. Diario'!D37</f>
        <v>3.022410420848373</v>
      </c>
      <c r="C38">
        <f>(B38-((E38*(Main!$E$31/100))+(G38*(Main!$E$36/100))+(I38*(Main!$E$46/100))+(K38*(Main!$E$51/100))))/$C$6</f>
        <v>7.879642377100466</v>
      </c>
      <c r="D38">
        <f>'Req. Diario'!E37</f>
        <v>0.9780883515503873</v>
      </c>
      <c r="E38">
        <f>(D38-((C38*(Main!$F$41/100))+(G38*(Main!$F$36/100))+(I38*(Main!$F$46/100))+(K38*(Main!$F$51/100))))/$E$6</f>
        <v>2.1262790251095374</v>
      </c>
      <c r="F38">
        <f>'Req. Diario'!F37</f>
        <v>3.908818299212598</v>
      </c>
      <c r="G38">
        <f>(F38-((C38*(Main!$G$41/100))+(E38*(Main!$G$31/100))+(I38*(Main!$G$46/100))+(K38*(Main!$G$51/100))))/$G$6</f>
        <v>6.51469716535433</v>
      </c>
      <c r="H38">
        <f>'Req. Diario'!G37</f>
        <v>0.6020979809404692</v>
      </c>
      <c r="I38">
        <f>H38/$I$6</f>
        <v>0.00006020979809404692</v>
      </c>
      <c r="J38">
        <f>'Req. Diario'!H37</f>
        <v>2.0943225644538046</v>
      </c>
      <c r="K38">
        <f>J38/$K$6</f>
        <v>0.00020943225644538046</v>
      </c>
      <c r="L38">
        <f>'Req. Diario'!I37</f>
        <v>12.2222</v>
      </c>
      <c r="M38">
        <f>L38/$M$6</f>
        <v>59.62048780487805</v>
      </c>
    </row>
    <row r="39">
      <c r="B39">
        <f>'Req. Diario'!D38</f>
        <v>4.53361563127256</v>
      </c>
      <c r="C39">
        <f>(B39-((E39*(Main!$E$31/100))+(G39*(Main!$E$36/100))+(I39*(Main!$E$46/100))+(K39*(Main!$E$51/100))))/$C$6</f>
        <v>11.8194635656507</v>
      </c>
      <c r="D39">
        <f>'Req. Diario'!E38</f>
        <v>1.467132527325581</v>
      </c>
      <c r="E39">
        <f>(D39-((C39*(Main!$F$41/100))+(G39*(Main!$F$36/100))+(I39*(Main!$F$46/100))+(K39*(Main!$F$51/100))))/$E$6</f>
        <v>3.1894185376643067</v>
      </c>
      <c r="F39">
        <f>'Req. Diario'!F38</f>
        <v>5.863227448818897</v>
      </c>
      <c r="G39">
        <f>(F39-((C39*(Main!$G$41/100))+(E39*(Main!$G$31/100))+(I39*(Main!$G$46/100))+(K39*(Main!$G$51/100))))/$G$6</f>
        <v>9.772045748031495</v>
      </c>
      <c r="H39">
        <f>'Req. Diario'!G38</f>
        <v>0.9031469714107039</v>
      </c>
      <c r="I39">
        <f>H39/$I$6</f>
        <v>0.00009031469714107039</v>
      </c>
      <c r="J39">
        <f>'Req. Diario'!H38</f>
        <v>3.141483846680707</v>
      </c>
      <c r="K39">
        <f>J39/$K$6</f>
        <v>0.0003141483846680707</v>
      </c>
      <c r="L39">
        <f>'Req. Diario'!I38</f>
        <v>17.3149</v>
      </c>
      <c r="M39">
        <f>L39/$M$6</f>
        <v>84.46292682926831</v>
      </c>
    </row>
    <row r="40">
      <c r="B40">
        <f>'Req. Diario'!D39</f>
        <v>4.53361563127256</v>
      </c>
      <c r="C40">
        <f>(B40-((E40*(Main!$E$31/100))+(G40*(Main!$E$36/100))+(I40*(Main!$E$46/100))+(K40*(Main!$E$51/100))))/$C$6</f>
        <v>11.8194635656507</v>
      </c>
      <c r="D40">
        <f>'Req. Diario'!E39</f>
        <v>1.467132527325581</v>
      </c>
      <c r="E40">
        <f>(D40-((C40*(Main!$F$41/100))+(G40*(Main!$F$36/100))+(I40*(Main!$F$46/100))+(K40*(Main!$F$51/100))))/$E$6</f>
        <v>3.1894185376643067</v>
      </c>
      <c r="F40">
        <f>'Req. Diario'!F39</f>
        <v>5.863227448818897</v>
      </c>
      <c r="G40">
        <f>(F40-((C40*(Main!$G$41/100))+(E40*(Main!$G$31/100))+(I40*(Main!$G$46/100))+(K40*(Main!$G$51/100))))/$G$6</f>
        <v>9.772045748031495</v>
      </c>
      <c r="H40">
        <f>'Req. Diario'!G39</f>
        <v>0.9031469714107039</v>
      </c>
      <c r="I40">
        <f>H40/$I$6</f>
        <v>0.00009031469714107039</v>
      </c>
      <c r="J40">
        <f>'Req. Diario'!H39</f>
        <v>3.141483846680707</v>
      </c>
      <c r="K40">
        <f>J40/$K$6</f>
        <v>0.0003141483846680707</v>
      </c>
      <c r="L40">
        <f>'Req. Diario'!I39</f>
        <v>17.3149</v>
      </c>
      <c r="M40">
        <f>L40/$M$6</f>
        <v>84.46292682926831</v>
      </c>
    </row>
    <row r="41">
      <c r="B41">
        <f>'Req. Diario'!D40</f>
        <v>4.53361563127256</v>
      </c>
      <c r="C41">
        <f>(B41-((E41*(Main!$E$31/100))+(G41*(Main!$E$36/100))+(I41*(Main!$E$46/100))+(K41*(Main!$E$51/100))))/$C$6</f>
        <v>11.8194635656507</v>
      </c>
      <c r="D41">
        <f>'Req. Diario'!E40</f>
        <v>1.467132527325581</v>
      </c>
      <c r="E41">
        <f>(D41-((C41*(Main!$F$41/100))+(G41*(Main!$F$36/100))+(I41*(Main!$F$46/100))+(K41*(Main!$F$51/100))))/$E$6</f>
        <v>3.1894185376643067</v>
      </c>
      <c r="F41">
        <f>'Req. Diario'!F40</f>
        <v>5.863227448818897</v>
      </c>
      <c r="G41">
        <f>(F41-((C41*(Main!$G$41/100))+(E41*(Main!$G$31/100))+(I41*(Main!$G$46/100))+(K41*(Main!$G$51/100))))/$G$6</f>
        <v>9.772045748031495</v>
      </c>
      <c r="H41">
        <f>'Req. Diario'!G40</f>
        <v>0.9031469714107039</v>
      </c>
      <c r="I41">
        <f>H41/$I$6</f>
        <v>0.00009031469714107039</v>
      </c>
      <c r="J41">
        <f>'Req. Diario'!H40</f>
        <v>3.141483846680707</v>
      </c>
      <c r="K41">
        <f>J41/$K$6</f>
        <v>0.0003141483846680707</v>
      </c>
      <c r="L41">
        <f>'Req. Diario'!I40</f>
        <v>17.3149</v>
      </c>
      <c r="M41">
        <f>L41/$M$6</f>
        <v>84.46292682926831</v>
      </c>
    </row>
    <row r="42">
      <c r="A42">
        <v>6</v>
      </c>
      <c r="B42">
        <f>'Req. Diario'!D41</f>
        <v>4.184875967328516</v>
      </c>
      <c r="C42">
        <f>(B42-((E42*(Main!$E$31/100))+(G42*(Main!$E$36/100))+(I42*(Main!$E$46/100))+(K42*(Main!$E$51/100))))/$C$6</f>
        <v>10.778449643429672</v>
      </c>
      <c r="D42">
        <f>'Req. Diario'!E41</f>
        <v>1.467132527325581</v>
      </c>
      <c r="E42">
        <f>(D42-((C42*(Main!$F$41/100))+(G42*(Main!$F$36/100))+(I42*(Main!$F$46/100))+(K42*(Main!$F$51/100))))/$E$6</f>
        <v>3.1894185376643067</v>
      </c>
      <c r="F42">
        <f>'Req. Diario'!F41</f>
        <v>5.863227448818897</v>
      </c>
      <c r="G42">
        <f>(F42-((C42*(Main!$G$41/100))+(E42*(Main!$G$31/100))+(I42*(Main!$G$46/100))+(K42*(Main!$G$51/100))))/$G$6</f>
        <v>9.772045748031495</v>
      </c>
      <c r="H42">
        <f>'Req. Diario'!G41</f>
        <v>0.9031469714107039</v>
      </c>
      <c r="I42">
        <f>H42/$I$6</f>
        <v>0.00009031469714107039</v>
      </c>
      <c r="J42">
        <f>'Req. Diario'!H41</f>
        <v>3.141483846680707</v>
      </c>
      <c r="K42">
        <f>J42/$K$6</f>
        <v>0.0003141483846680707</v>
      </c>
      <c r="L42">
        <f>'Req. Diario'!I41</f>
        <v>17.3149</v>
      </c>
      <c r="M42">
        <f>L42/$M$6</f>
        <v>84.46292682926831</v>
      </c>
    </row>
    <row r="43">
      <c r="B43">
        <f>'Req. Diario'!D42</f>
        <v>4.184875967328516</v>
      </c>
      <c r="C43">
        <f>(B43-((E43*(Main!$E$31/100))+(G43*(Main!$E$36/100))+(I43*(Main!$E$46/100))+(K43*(Main!$E$51/100))))/$C$6</f>
        <v>10.778449643429672</v>
      </c>
      <c r="D43">
        <f>'Req. Diario'!E42</f>
        <v>1.467132527325581</v>
      </c>
      <c r="E43">
        <f>(D43-((C43*(Main!$F$41/100))+(G43*(Main!$F$36/100))+(I43*(Main!$F$46/100))+(K43*(Main!$F$51/100))))/$E$6</f>
        <v>3.1894185376643067</v>
      </c>
      <c r="F43">
        <f>'Req. Diario'!F42</f>
        <v>5.863227448818897</v>
      </c>
      <c r="G43">
        <f>(F43-((C43*(Main!$G$41/100))+(E43*(Main!$G$31/100))+(I43*(Main!$G$46/100))+(K43*(Main!$G$51/100))))/$G$6</f>
        <v>9.772045748031495</v>
      </c>
      <c r="H43">
        <f>'Req. Diario'!G42</f>
        <v>0.9031469714107039</v>
      </c>
      <c r="I43">
        <f>H43/$I$6</f>
        <v>0.00009031469714107039</v>
      </c>
      <c r="J43">
        <f>'Req. Diario'!H42</f>
        <v>3.141483846680707</v>
      </c>
      <c r="K43">
        <f>J43/$K$6</f>
        <v>0.0003141483846680707</v>
      </c>
      <c r="L43">
        <f>'Req. Diario'!I42</f>
        <v>17.3149</v>
      </c>
      <c r="M43">
        <f>L43/$M$6</f>
        <v>84.46292682926831</v>
      </c>
    </row>
    <row r="44">
      <c r="B44">
        <f>'Req. Diario'!D43</f>
        <v>4.184875967328516</v>
      </c>
      <c r="C44">
        <f>(B44-((E44*(Main!$E$31/100))+(G44*(Main!$E$36/100))+(I44*(Main!$E$46/100))+(K44*(Main!$E$51/100))))/$C$6</f>
        <v>10.778449643429672</v>
      </c>
      <c r="D44">
        <f>'Req. Diario'!E43</f>
        <v>1.467132527325581</v>
      </c>
      <c r="E44">
        <f>(D44-((C44*(Main!$F$41/100))+(G44*(Main!$F$36/100))+(I44*(Main!$F$46/100))+(K44*(Main!$F$51/100))))/$E$6</f>
        <v>3.1894185376643067</v>
      </c>
      <c r="F44">
        <f>'Req. Diario'!F43</f>
        <v>5.863227448818897</v>
      </c>
      <c r="G44">
        <f>(F44-((C44*(Main!$G$41/100))+(E44*(Main!$G$31/100))+(I44*(Main!$G$46/100))+(K44*(Main!$G$51/100))))/$G$6</f>
        <v>9.772045748031495</v>
      </c>
      <c r="H44">
        <f>'Req. Diario'!G43</f>
        <v>0.9031469714107039</v>
      </c>
      <c r="I44">
        <f>H44/$I$6</f>
        <v>0.00009031469714107039</v>
      </c>
      <c r="J44">
        <f>'Req. Diario'!H43</f>
        <v>3.141483846680707</v>
      </c>
      <c r="K44">
        <f>J44/$K$6</f>
        <v>0.0003141483846680707</v>
      </c>
      <c r="L44">
        <f>'Req. Diario'!I43</f>
        <v>17.3149</v>
      </c>
      <c r="M44">
        <f>L44/$M$6</f>
        <v>84.46292682926831</v>
      </c>
    </row>
    <row r="45">
      <c r="B45">
        <f>'Req. Diario'!D44</f>
        <v>4.184875967328516</v>
      </c>
      <c r="C45">
        <f>(B45-((E45*(Main!$E$31/100))+(G45*(Main!$E$36/100))+(I45*(Main!$E$46/100))+(K45*(Main!$E$51/100))))/$C$6</f>
        <v>10.778449643429672</v>
      </c>
      <c r="D45">
        <f>'Req. Diario'!E44</f>
        <v>1.467132527325581</v>
      </c>
      <c r="E45">
        <f>(D45-((C45*(Main!$F$41/100))+(G45*(Main!$F$36/100))+(I45*(Main!$F$46/100))+(K45*(Main!$F$51/100))))/$E$6</f>
        <v>3.1894185376643067</v>
      </c>
      <c r="F45">
        <f>'Req. Diario'!F44</f>
        <v>5.863227448818897</v>
      </c>
      <c r="G45">
        <f>(F45-((C45*(Main!$G$41/100))+(E45*(Main!$G$31/100))+(I45*(Main!$G$46/100))+(K45*(Main!$G$51/100))))/$G$6</f>
        <v>9.772045748031495</v>
      </c>
      <c r="H45">
        <f>'Req. Diario'!G44</f>
        <v>0.9031469714107039</v>
      </c>
      <c r="I45">
        <f>H45/$I$6</f>
        <v>0.00009031469714107039</v>
      </c>
      <c r="J45">
        <f>'Req. Diario'!H44</f>
        <v>3.141483846680707</v>
      </c>
      <c r="K45">
        <f>J45/$K$6</f>
        <v>0.0003141483846680707</v>
      </c>
      <c r="L45">
        <f>'Req. Diario'!I44</f>
        <v>17.3149</v>
      </c>
      <c r="M45">
        <f>L45/$M$6</f>
        <v>84.46292682926831</v>
      </c>
    </row>
    <row r="46">
      <c r="B46">
        <f>'Req. Diario'!D45</f>
        <v>4.184875967328516</v>
      </c>
      <c r="C46">
        <f>(B46-((E46*(Main!$E$31/100))+(G46*(Main!$E$36/100))+(I46*(Main!$E$46/100))+(K46*(Main!$E$51/100))))/$C$6</f>
        <v>10.778449643429672</v>
      </c>
      <c r="D46">
        <f>'Req. Diario'!E45</f>
        <v>1.467132527325581</v>
      </c>
      <c r="E46">
        <f>(D46-((C46*(Main!$F$41/100))+(G46*(Main!$F$36/100))+(I46*(Main!$F$46/100))+(K46*(Main!$F$51/100))))/$E$6</f>
        <v>3.1894185376643067</v>
      </c>
      <c r="F46">
        <f>'Req. Diario'!F45</f>
        <v>5.863227448818897</v>
      </c>
      <c r="G46">
        <f>(F46-((C46*(Main!$G$41/100))+(E46*(Main!$G$31/100))+(I46*(Main!$G$46/100))+(K46*(Main!$G$51/100))))/$G$6</f>
        <v>9.772045748031495</v>
      </c>
      <c r="H46">
        <f>'Req. Diario'!G45</f>
        <v>0.9031469714107039</v>
      </c>
      <c r="I46">
        <f>H46/$I$6</f>
        <v>0.00009031469714107039</v>
      </c>
      <c r="J46">
        <f>'Req. Diario'!H45</f>
        <v>3.141483846680707</v>
      </c>
      <c r="K46">
        <f>J46/$K$6</f>
        <v>0.0003141483846680707</v>
      </c>
      <c r="L46">
        <f>'Req. Diario'!I45</f>
        <v>17.3149</v>
      </c>
      <c r="M46">
        <f>L46/$M$6</f>
        <v>84.46292682926831</v>
      </c>
    </row>
    <row r="47">
      <c r="B47">
        <f>'Req. Diario'!D46</f>
        <v>4.184875967328516</v>
      </c>
      <c r="C47">
        <f>(B47-((E47*(Main!$E$31/100))+(G47*(Main!$E$36/100))+(I47*(Main!$E$46/100))+(K47*(Main!$E$51/100))))/$C$6</f>
        <v>10.778449643429672</v>
      </c>
      <c r="D47">
        <f>'Req. Diario'!E46</f>
        <v>1.467132527325581</v>
      </c>
      <c r="E47">
        <f>(D47-((C47*(Main!$F$41/100))+(G47*(Main!$F$36/100))+(I47*(Main!$F$46/100))+(K47*(Main!$F$51/100))))/$E$6</f>
        <v>3.1894185376643067</v>
      </c>
      <c r="F47">
        <f>'Req. Diario'!F46</f>
        <v>5.863227448818897</v>
      </c>
      <c r="G47">
        <f>(F47-((C47*(Main!$G$41/100))+(E47*(Main!$G$31/100))+(I47*(Main!$G$46/100))+(K47*(Main!$G$51/100))))/$G$6</f>
        <v>9.772045748031495</v>
      </c>
      <c r="H47">
        <f>'Req. Diario'!G46</f>
        <v>0.9031469714107039</v>
      </c>
      <c r="I47">
        <f>H47/$I$6</f>
        <v>0.00009031469714107039</v>
      </c>
      <c r="J47">
        <f>'Req. Diario'!H46</f>
        <v>3.141483846680707</v>
      </c>
      <c r="K47">
        <f>J47/$K$6</f>
        <v>0.0003141483846680707</v>
      </c>
      <c r="L47">
        <f>'Req. Diario'!I46</f>
        <v>17.3149</v>
      </c>
      <c r="M47">
        <f>L47/$M$6</f>
        <v>84.46292682926831</v>
      </c>
    </row>
    <row r="48">
      <c r="B48">
        <f>'Req. Diario'!D47</f>
        <v>4.184875967328516</v>
      </c>
      <c r="C48">
        <f>(B48-((E48*(Main!$E$31/100))+(G48*(Main!$E$36/100))+(I48*(Main!$E$46/100))+(K48*(Main!$E$51/100))))/$C$6</f>
        <v>10.778449643429672</v>
      </c>
      <c r="D48">
        <f>'Req. Diario'!E47</f>
        <v>1.467132527325581</v>
      </c>
      <c r="E48">
        <f>(D48-((C48*(Main!$F$41/100))+(G48*(Main!$F$36/100))+(I48*(Main!$F$46/100))+(K48*(Main!$F$51/100))))/$E$6</f>
        <v>3.1894185376643067</v>
      </c>
      <c r="F48">
        <f>'Req. Diario'!F47</f>
        <v>5.863227448818897</v>
      </c>
      <c r="G48">
        <f>(F48-((C48*(Main!$G$41/100))+(E48*(Main!$G$31/100))+(I48*(Main!$G$46/100))+(K48*(Main!$G$51/100))))/$G$6</f>
        <v>9.772045748031495</v>
      </c>
      <c r="H48">
        <f>'Req. Diario'!G47</f>
        <v>0.9031469714107039</v>
      </c>
      <c r="I48">
        <f>H48/$I$6</f>
        <v>0.00009031469714107039</v>
      </c>
      <c r="J48">
        <f>'Req. Diario'!H47</f>
        <v>3.141483846680707</v>
      </c>
      <c r="K48">
        <f>J48/$K$6</f>
        <v>0.0003141483846680707</v>
      </c>
      <c r="L48">
        <f>'Req. Diario'!I47</f>
        <v>17.3149</v>
      </c>
      <c r="M48">
        <f>L48/$M$6</f>
        <v>84.46292682926831</v>
      </c>
    </row>
    <row r="49">
      <c r="A49">
        <v>7</v>
      </c>
      <c r="B49">
        <f>'Req. Diario'!D48</f>
        <v>4.184875967328516</v>
      </c>
      <c r="C49">
        <f>(B49-((E49*(Main!$E$31/100))+(G49*(Main!$E$36/100))+(I49*(Main!$E$46/100))+(K49*(Main!$E$51/100))))/$C$6</f>
        <v>10.778449643429672</v>
      </c>
      <c r="D49">
        <f>'Req. Diario'!E48</f>
        <v>1.467132527325581</v>
      </c>
      <c r="E49">
        <f>(D49-((C49*(Main!$F$41/100))+(G49*(Main!$F$36/100))+(I49*(Main!$F$46/100))+(K49*(Main!$F$51/100))))/$E$6</f>
        <v>3.1894185376643067</v>
      </c>
      <c r="F49">
        <f>'Req. Diario'!F48</f>
        <v>5.863227448818897</v>
      </c>
      <c r="G49">
        <f>(F49-((C49*(Main!$G$41/100))+(E49*(Main!$G$31/100))+(I49*(Main!$G$46/100))+(K49*(Main!$G$51/100))))/$G$6</f>
        <v>9.772045748031495</v>
      </c>
      <c r="H49">
        <f>'Req. Diario'!G48</f>
        <v>0.9031469714107039</v>
      </c>
      <c r="I49">
        <f>H49/$I$6</f>
        <v>0.00009031469714107039</v>
      </c>
      <c r="J49">
        <f>'Req. Diario'!H48</f>
        <v>3.141483846680707</v>
      </c>
      <c r="K49">
        <f>J49/$K$6</f>
        <v>0.0003141483846680707</v>
      </c>
      <c r="L49">
        <f>'Req. Diario'!I48</f>
        <v>17.3149</v>
      </c>
      <c r="M49">
        <f>L49/$M$6</f>
        <v>84.46292682926831</v>
      </c>
    </row>
    <row r="50">
      <c r="B50">
        <f>'Req. Diario'!D49</f>
        <v>4.184875967328516</v>
      </c>
      <c r="C50">
        <f>(B50-((E50*(Main!$E$31/100))+(G50*(Main!$E$36/100))+(I50*(Main!$E$46/100))+(K50*(Main!$E$51/100))))/$C$6</f>
        <v>10.778449643429672</v>
      </c>
      <c r="D50">
        <f>'Req. Diario'!E49</f>
        <v>1.467132527325581</v>
      </c>
      <c r="E50">
        <f>(D50-((C50*(Main!$F$41/100))+(G50*(Main!$F$36/100))+(I50*(Main!$F$46/100))+(K50*(Main!$F$51/100))))/$E$6</f>
        <v>3.1894185376643067</v>
      </c>
      <c r="F50">
        <f>'Req. Diario'!F49</f>
        <v>5.863227448818897</v>
      </c>
      <c r="G50">
        <f>(F50-((C50*(Main!$G$41/100))+(E50*(Main!$G$31/100))+(I50*(Main!$G$46/100))+(K50*(Main!$G$51/100))))/$G$6</f>
        <v>9.772045748031495</v>
      </c>
      <c r="H50">
        <f>'Req. Diario'!G49</f>
        <v>0.9031469714107039</v>
      </c>
      <c r="I50">
        <f>H50/$I$6</f>
        <v>0.00009031469714107039</v>
      </c>
      <c r="J50">
        <f>'Req. Diario'!H49</f>
        <v>3.141483846680707</v>
      </c>
      <c r="K50">
        <f>J50/$K$6</f>
        <v>0.0003141483846680707</v>
      </c>
      <c r="L50">
        <f>'Req. Diario'!I49</f>
        <v>17.3149</v>
      </c>
      <c r="M50">
        <f>L50/$M$6</f>
        <v>84.46292682926831</v>
      </c>
    </row>
    <row r="51">
      <c r="B51">
        <f>'Req. Diario'!D50</f>
        <v>4.184875967328516</v>
      </c>
      <c r="C51">
        <f>(B51-((E51*(Main!$E$31/100))+(G51*(Main!$E$36/100))+(I51*(Main!$E$46/100))+(K51*(Main!$E$51/100))))/$C$6</f>
        <v>10.778449643429672</v>
      </c>
      <c r="D51">
        <f>'Req. Diario'!E50</f>
        <v>1.467132527325581</v>
      </c>
      <c r="E51">
        <f>(D51-((C51*(Main!$F$41/100))+(G51*(Main!$F$36/100))+(I51*(Main!$F$46/100))+(K51*(Main!$F$51/100))))/$E$6</f>
        <v>3.1894185376643067</v>
      </c>
      <c r="F51">
        <f>'Req. Diario'!F50</f>
        <v>5.863227448818897</v>
      </c>
      <c r="G51">
        <f>(F51-((C51*(Main!$G$41/100))+(E51*(Main!$G$31/100))+(I51*(Main!$G$46/100))+(K51*(Main!$G$51/100))))/$G$6</f>
        <v>9.772045748031495</v>
      </c>
      <c r="H51">
        <f>'Req. Diario'!G50</f>
        <v>0.9031469714107039</v>
      </c>
      <c r="I51">
        <f>H51/$I$6</f>
        <v>0.00009031469714107039</v>
      </c>
      <c r="J51">
        <f>'Req. Diario'!H50</f>
        <v>3.141483846680707</v>
      </c>
      <c r="K51">
        <f>J51/$K$6</f>
        <v>0.0003141483846680707</v>
      </c>
      <c r="L51">
        <f>'Req. Diario'!I50</f>
        <v>17.3149</v>
      </c>
      <c r="M51">
        <f>L51/$M$6</f>
        <v>84.46292682926831</v>
      </c>
    </row>
    <row r="52">
      <c r="B52">
        <f>'Req. Diario'!D51</f>
        <v>4.184875967328516</v>
      </c>
      <c r="C52">
        <f>(B52-((E52*(Main!$E$31/100))+(G52*(Main!$E$36/100))+(I52*(Main!$E$46/100))+(K52*(Main!$E$51/100))))/$C$6</f>
        <v>10.778449643429672</v>
      </c>
      <c r="D52">
        <f>'Req. Diario'!E51</f>
        <v>1.467132527325581</v>
      </c>
      <c r="E52">
        <f>(D52-((C52*(Main!$F$41/100))+(G52*(Main!$F$36/100))+(I52*(Main!$F$46/100))+(K52*(Main!$F$51/100))))/$E$6</f>
        <v>3.1894185376643067</v>
      </c>
      <c r="F52">
        <f>'Req. Diario'!F51</f>
        <v>5.863227448818897</v>
      </c>
      <c r="G52">
        <f>(F52-((C52*(Main!$G$41/100))+(E52*(Main!$G$31/100))+(I52*(Main!$G$46/100))+(K52*(Main!$G$51/100))))/$G$6</f>
        <v>9.772045748031495</v>
      </c>
      <c r="H52">
        <f>'Req. Diario'!G51</f>
        <v>0.9031469714107039</v>
      </c>
      <c r="I52">
        <f>H52/$I$6</f>
        <v>0.00009031469714107039</v>
      </c>
      <c r="J52">
        <f>'Req. Diario'!H51</f>
        <v>3.141483846680707</v>
      </c>
      <c r="K52">
        <f>J52/$K$6</f>
        <v>0.0003141483846680707</v>
      </c>
      <c r="L52">
        <f>'Req. Diario'!I51</f>
        <v>17.3149</v>
      </c>
      <c r="M52">
        <f>L52/$M$6</f>
        <v>84.46292682926831</v>
      </c>
    </row>
    <row r="53">
      <c r="B53">
        <f>'Req. Diario'!D52</f>
        <v>4.184875967328516</v>
      </c>
      <c r="C53">
        <f>(B53-((E53*(Main!$E$31/100))+(G53*(Main!$E$36/100))+(I53*(Main!$E$46/100))+(K53*(Main!$E$51/100))))/$C$6</f>
        <v>10.778449643429672</v>
      </c>
      <c r="D53">
        <f>'Req. Diario'!E52</f>
        <v>1.467132527325581</v>
      </c>
      <c r="E53">
        <f>(D53-((C53*(Main!$F$41/100))+(G53*(Main!$F$36/100))+(I53*(Main!$F$46/100))+(K53*(Main!$F$51/100))))/$E$6</f>
        <v>3.1894185376643067</v>
      </c>
      <c r="F53">
        <f>'Req. Diario'!F52</f>
        <v>5.863227448818897</v>
      </c>
      <c r="G53">
        <f>(F53-((C53*(Main!$G$41/100))+(E53*(Main!$G$31/100))+(I53*(Main!$G$46/100))+(K53*(Main!$G$51/100))))/$G$6</f>
        <v>9.772045748031495</v>
      </c>
      <c r="H53">
        <f>'Req. Diario'!G52</f>
        <v>0.9031469714107039</v>
      </c>
      <c r="I53">
        <f>H53/$I$6</f>
        <v>0.00009031469714107039</v>
      </c>
      <c r="J53">
        <f>'Req. Diario'!H52</f>
        <v>3.141483846680707</v>
      </c>
      <c r="K53">
        <f>J53/$K$6</f>
        <v>0.0003141483846680707</v>
      </c>
      <c r="L53">
        <f>'Req. Diario'!I52</f>
        <v>17.3149</v>
      </c>
      <c r="M53">
        <f>L53/$M$6</f>
        <v>84.46292682926831</v>
      </c>
    </row>
    <row r="54">
      <c r="B54">
        <f>'Req. Diario'!D53</f>
        <v>5.579834623104689</v>
      </c>
      <c r="C54">
        <f>(B54-((E54*(Main!$E$31/100))+(G54*(Main!$E$36/100))+(I54*(Main!$E$46/100))+(K54*(Main!$E$51/100))))/$C$6</f>
        <v>14.371266191239568</v>
      </c>
      <c r="D54">
        <f>'Req. Diario'!E53</f>
        <v>1.9561767031007746</v>
      </c>
      <c r="E54">
        <f>(D54-((C54*(Main!$F$41/100))+(G54*(Main!$F$36/100))+(I54*(Main!$F$46/100))+(K54*(Main!$F$51/100))))/$E$6</f>
        <v>4.252558050219075</v>
      </c>
      <c r="F54">
        <f>'Req. Diario'!F53</f>
        <v>7.817636598425196</v>
      </c>
      <c r="G54">
        <f>(F54-((C54*(Main!$G$41/100))+(E54*(Main!$G$31/100))+(I54*(Main!$G$46/100))+(K54*(Main!$G$51/100))))/$G$6</f>
        <v>13.02939433070866</v>
      </c>
      <c r="H54">
        <f>'Req. Diario'!G53</f>
        <v>1.2041959618809384</v>
      </c>
      <c r="I54">
        <f>H54/$I$6</f>
        <v>0.00012041959618809383</v>
      </c>
      <c r="J54">
        <f>'Req. Diario'!H53</f>
        <v>4.188645128907609</v>
      </c>
      <c r="K54">
        <f>J54/$K$6</f>
        <v>0.0004188645128907609</v>
      </c>
      <c r="L54">
        <f>'Req. Diario'!I53</f>
        <v>23.426</v>
      </c>
      <c r="M54">
        <f>L54/$M$6</f>
        <v>114.27317073170731</v>
      </c>
    </row>
    <row r="55">
      <c r="B55">
        <f>'Req. Diario'!D54</f>
        <v>5.579834623104689</v>
      </c>
      <c r="C55">
        <f>(B55-((E55*(Main!$E$31/100))+(G55*(Main!$E$36/100))+(I55*(Main!$E$46/100))+(K55*(Main!$E$51/100))))/$C$6</f>
        <v>14.371266191239568</v>
      </c>
      <c r="D55">
        <f>'Req. Diario'!E54</f>
        <v>1.9561767031007746</v>
      </c>
      <c r="E55">
        <f>(D55-((C55*(Main!$F$41/100))+(G55*(Main!$F$36/100))+(I55*(Main!$F$46/100))+(K55*(Main!$F$51/100))))/$E$6</f>
        <v>4.252558050219075</v>
      </c>
      <c r="F55">
        <f>'Req. Diario'!F54</f>
        <v>7.817636598425196</v>
      </c>
      <c r="G55">
        <f>(F55-((C55*(Main!$G$41/100))+(E55*(Main!$G$31/100))+(I55*(Main!$G$46/100))+(K55*(Main!$G$51/100))))/$G$6</f>
        <v>13.02939433070866</v>
      </c>
      <c r="H55">
        <f>'Req. Diario'!G54</f>
        <v>1.2041959618809384</v>
      </c>
      <c r="I55">
        <f>H55/$I$6</f>
        <v>0.00012041959618809383</v>
      </c>
      <c r="J55">
        <f>'Req. Diario'!H54</f>
        <v>4.188645128907609</v>
      </c>
      <c r="K55">
        <f>J55/$K$6</f>
        <v>0.0004188645128907609</v>
      </c>
      <c r="L55">
        <f>'Req. Diario'!I54</f>
        <v>23.426</v>
      </c>
      <c r="M55">
        <f>L55/$M$6</f>
        <v>114.27317073170731</v>
      </c>
    </row>
    <row r="56">
      <c r="A56">
        <v>8</v>
      </c>
      <c r="B56">
        <f>'Req. Diario'!D55</f>
        <v>5.579834623104689</v>
      </c>
      <c r="C56">
        <f>(B56-((E56*(Main!$E$31/100))+(G56*(Main!$E$36/100))+(I56*(Main!$E$46/100))+(K56*(Main!$E$51/100))))/$C$6</f>
        <v>14.371266191239568</v>
      </c>
      <c r="D56">
        <f>'Req. Diario'!E55</f>
        <v>1.9561767031007746</v>
      </c>
      <c r="E56">
        <f>(D56-((C56*(Main!$F$41/100))+(G56*(Main!$F$36/100))+(I56*(Main!$F$46/100))+(K56*(Main!$F$51/100))))/$E$6</f>
        <v>4.252558050219075</v>
      </c>
      <c r="F56">
        <f>'Req. Diario'!F55</f>
        <v>7.817636598425196</v>
      </c>
      <c r="G56">
        <f>(F56-((C56*(Main!$G$41/100))+(E56*(Main!$G$31/100))+(I56*(Main!$G$46/100))+(K56*(Main!$G$51/100))))/$G$6</f>
        <v>13.02939433070866</v>
      </c>
      <c r="H56">
        <f>'Req. Diario'!G55</f>
        <v>1.2041959618809384</v>
      </c>
      <c r="I56">
        <f>H56/$I$6</f>
        <v>0.00012041959618809383</v>
      </c>
      <c r="J56">
        <f>'Req. Diario'!H55</f>
        <v>4.188645128907609</v>
      </c>
      <c r="K56">
        <f>J56/$K$6</f>
        <v>0.0004188645128907609</v>
      </c>
      <c r="L56">
        <f>'Req. Diario'!I55</f>
        <v>23.426</v>
      </c>
      <c r="M56">
        <f>L56/$M$6</f>
        <v>114.27317073170731</v>
      </c>
    </row>
    <row r="57">
      <c r="B57">
        <f>'Req. Diario'!D56</f>
        <v>5.579834623104689</v>
      </c>
      <c r="C57">
        <f>(B57-((E57*(Main!$E$31/100))+(G57*(Main!$E$36/100))+(I57*(Main!$E$46/100))+(K57*(Main!$E$51/100))))/$C$6</f>
        <v>14.371266191239568</v>
      </c>
      <c r="D57">
        <f>'Req. Diario'!E56</f>
        <v>1.9561767031007746</v>
      </c>
      <c r="E57">
        <f>(D57-((C57*(Main!$F$41/100))+(G57*(Main!$F$36/100))+(I57*(Main!$F$46/100))+(K57*(Main!$F$51/100))))/$E$6</f>
        <v>4.252558050219075</v>
      </c>
      <c r="F57">
        <f>'Req. Diario'!F56</f>
        <v>7.817636598425196</v>
      </c>
      <c r="G57">
        <f>(F57-((C57*(Main!$G$41/100))+(E57*(Main!$G$31/100))+(I57*(Main!$G$46/100))+(K57*(Main!$G$51/100))))/$G$6</f>
        <v>13.02939433070866</v>
      </c>
      <c r="H57">
        <f>'Req. Diario'!G56</f>
        <v>1.2041959618809384</v>
      </c>
      <c r="I57">
        <f>H57/$I$6</f>
        <v>0.00012041959618809383</v>
      </c>
      <c r="J57">
        <f>'Req. Diario'!H56</f>
        <v>4.188645128907609</v>
      </c>
      <c r="K57">
        <f>J57/$K$6</f>
        <v>0.0004188645128907609</v>
      </c>
      <c r="L57">
        <f>'Req. Diario'!I56</f>
        <v>23.426</v>
      </c>
      <c r="M57">
        <f>L57/$M$6</f>
        <v>114.27317073170731</v>
      </c>
    </row>
    <row r="58">
      <c r="B58">
        <f>'Req. Diario'!D57</f>
        <v>5.579834623104689</v>
      </c>
      <c r="C58">
        <f>(B58-((E58*(Main!$E$31/100))+(G58*(Main!$E$36/100))+(I58*(Main!$E$46/100))+(K58*(Main!$E$51/100))))/$C$6</f>
        <v>14.371266191239568</v>
      </c>
      <c r="D58">
        <f>'Req. Diario'!E57</f>
        <v>1.9561767031007746</v>
      </c>
      <c r="E58">
        <f>(D58-((C58*(Main!$F$41/100))+(G58*(Main!$F$36/100))+(I58*(Main!$F$46/100))+(K58*(Main!$F$51/100))))/$E$6</f>
        <v>4.252558050219075</v>
      </c>
      <c r="F58">
        <f>'Req. Diario'!F57</f>
        <v>7.817636598425196</v>
      </c>
      <c r="G58">
        <f>(F58-((C58*(Main!$G$41/100))+(E58*(Main!$G$31/100))+(I58*(Main!$G$46/100))+(K58*(Main!$G$51/100))))/$G$6</f>
        <v>13.02939433070866</v>
      </c>
      <c r="H58">
        <f>'Req. Diario'!G57</f>
        <v>1.2041959618809384</v>
      </c>
      <c r="I58">
        <f>H58/$I$6</f>
        <v>0.00012041959618809383</v>
      </c>
      <c r="J58">
        <f>'Req. Diario'!H57</f>
        <v>4.188645128907609</v>
      </c>
      <c r="K58">
        <f>J58/$K$6</f>
        <v>0.0004188645128907609</v>
      </c>
      <c r="L58">
        <f>'Req. Diario'!I57</f>
        <v>23.426</v>
      </c>
      <c r="M58">
        <f>L58/$M$6</f>
        <v>114.27317073170731</v>
      </c>
    </row>
    <row r="59">
      <c r="B59">
        <f>'Req. Diario'!D58</f>
        <v>5.579834623104689</v>
      </c>
      <c r="C59">
        <f>(B59-((E59*(Main!$E$31/100))+(G59*(Main!$E$36/100))+(I59*(Main!$E$46/100))+(K59*(Main!$E$51/100))))/$C$6</f>
        <v>14.371266191239568</v>
      </c>
      <c r="D59">
        <f>'Req. Diario'!E58</f>
        <v>1.9561767031007746</v>
      </c>
      <c r="E59">
        <f>(D59-((C59*(Main!$F$41/100))+(G59*(Main!$F$36/100))+(I59*(Main!$F$46/100))+(K59*(Main!$F$51/100))))/$E$6</f>
        <v>4.252558050219075</v>
      </c>
      <c r="F59">
        <f>'Req. Diario'!F58</f>
        <v>7.817636598425196</v>
      </c>
      <c r="G59">
        <f>(F59-((C59*(Main!$G$41/100))+(E59*(Main!$G$31/100))+(I59*(Main!$G$46/100))+(K59*(Main!$G$51/100))))/$G$6</f>
        <v>13.02939433070866</v>
      </c>
      <c r="H59">
        <f>'Req. Diario'!G58</f>
        <v>1.2041959618809384</v>
      </c>
      <c r="I59">
        <f>H59/$I$6</f>
        <v>0.00012041959618809383</v>
      </c>
      <c r="J59">
        <f>'Req. Diario'!H58</f>
        <v>4.188645128907609</v>
      </c>
      <c r="K59">
        <f>J59/$K$6</f>
        <v>0.0004188645128907609</v>
      </c>
      <c r="L59">
        <f>'Req. Diario'!I58</f>
        <v>23.426</v>
      </c>
      <c r="M59">
        <f>L59/$M$6</f>
        <v>114.27317073170731</v>
      </c>
    </row>
    <row r="60">
      <c r="B60">
        <f>'Req. Diario'!D59</f>
        <v>5.579834623104689</v>
      </c>
      <c r="C60">
        <f>(B60-((E60*(Main!$E$31/100))+(G60*(Main!$E$36/100))+(I60*(Main!$E$46/100))+(K60*(Main!$E$51/100))))/$C$6</f>
        <v>14.371266191239568</v>
      </c>
      <c r="D60">
        <f>'Req. Diario'!E59</f>
        <v>1.9561767031007746</v>
      </c>
      <c r="E60">
        <f>(D60-((C60*(Main!$F$41/100))+(G60*(Main!$F$36/100))+(I60*(Main!$F$46/100))+(K60*(Main!$F$51/100))))/$E$6</f>
        <v>4.252558050219075</v>
      </c>
      <c r="F60">
        <f>'Req. Diario'!F59</f>
        <v>7.817636598425196</v>
      </c>
      <c r="G60">
        <f>(F60-((C60*(Main!$G$41/100))+(E60*(Main!$G$31/100))+(I60*(Main!$G$46/100))+(K60*(Main!$G$51/100))))/$G$6</f>
        <v>13.02939433070866</v>
      </c>
      <c r="H60">
        <f>'Req. Diario'!G59</f>
        <v>1.2041959618809384</v>
      </c>
      <c r="I60">
        <f>H60/$I$6</f>
        <v>0.00012041959618809383</v>
      </c>
      <c r="J60">
        <f>'Req. Diario'!H59</f>
        <v>4.188645128907609</v>
      </c>
      <c r="K60">
        <f>J60/$K$6</f>
        <v>0.0004188645128907609</v>
      </c>
      <c r="L60">
        <f>'Req. Diario'!I59</f>
        <v>23.426</v>
      </c>
      <c r="M60">
        <f>L60/$M$6</f>
        <v>114.27317073170731</v>
      </c>
    </row>
    <row r="61">
      <c r="B61">
        <f>'Req. Diario'!D60</f>
        <v>5.579834623104689</v>
      </c>
      <c r="C61">
        <f>(B61-((E61*(Main!$E$31/100))+(G61*(Main!$E$36/100))+(I61*(Main!$E$46/100))+(K61*(Main!$E$51/100))))/$C$6</f>
        <v>14.371266191239568</v>
      </c>
      <c r="D61">
        <f>'Req. Diario'!E60</f>
        <v>1.9561767031007746</v>
      </c>
      <c r="E61">
        <f>(D61-((C61*(Main!$F$41/100))+(G61*(Main!$F$36/100))+(I61*(Main!$F$46/100))+(K61*(Main!$F$51/100))))/$E$6</f>
        <v>4.252558050219075</v>
      </c>
      <c r="F61">
        <f>'Req. Diario'!F60</f>
        <v>7.817636598425196</v>
      </c>
      <c r="G61">
        <f>(F61-((C61*(Main!$G$41/100))+(E61*(Main!$G$31/100))+(I61*(Main!$G$46/100))+(K61*(Main!$G$51/100))))/$G$6</f>
        <v>13.02939433070866</v>
      </c>
      <c r="H61">
        <f>'Req. Diario'!G60</f>
        <v>1.2041959618809384</v>
      </c>
      <c r="I61">
        <f>H61/$I$6</f>
        <v>0.00012041959618809383</v>
      </c>
      <c r="J61">
        <f>'Req. Diario'!H60</f>
        <v>4.188645128907609</v>
      </c>
      <c r="K61">
        <f>J61/$K$6</f>
        <v>0.0004188645128907609</v>
      </c>
      <c r="L61">
        <f>'Req. Diario'!I60</f>
        <v>23.426</v>
      </c>
      <c r="M61">
        <f>L61/$M$6</f>
        <v>114.27317073170731</v>
      </c>
    </row>
    <row r="62">
      <c r="B62">
        <f>'Req. Diario'!D61</f>
        <v>5.579834623104689</v>
      </c>
      <c r="C62">
        <f>(B62-((E62*(Main!$E$31/100))+(G62*(Main!$E$36/100))+(I62*(Main!$E$46/100))+(K62*(Main!$E$51/100))))/$C$6</f>
        <v>14.371266191239568</v>
      </c>
      <c r="D62">
        <f>'Req. Diario'!E61</f>
        <v>1.9561767031007746</v>
      </c>
      <c r="E62">
        <f>(D62-((C62*(Main!$F$41/100))+(G62*(Main!$F$36/100))+(I62*(Main!$F$46/100))+(K62*(Main!$F$51/100))))/$E$6</f>
        <v>4.252558050219075</v>
      </c>
      <c r="F62">
        <f>'Req. Diario'!F61</f>
        <v>7.817636598425196</v>
      </c>
      <c r="G62">
        <f>(F62-((C62*(Main!$G$41/100))+(E62*(Main!$G$31/100))+(I62*(Main!$G$46/100))+(K62*(Main!$G$51/100))))/$G$6</f>
        <v>13.02939433070866</v>
      </c>
      <c r="H62">
        <f>'Req. Diario'!G61</f>
        <v>1.2041959618809384</v>
      </c>
      <c r="I62">
        <f>H62/$I$6</f>
        <v>0.00012041959618809383</v>
      </c>
      <c r="J62">
        <f>'Req. Diario'!H61</f>
        <v>4.188645128907609</v>
      </c>
      <c r="K62">
        <f>J62/$K$6</f>
        <v>0.0004188645128907609</v>
      </c>
      <c r="L62">
        <f>'Req. Diario'!I61</f>
        <v>23.426</v>
      </c>
      <c r="M62">
        <f>L62/$M$6</f>
        <v>114.27317073170731</v>
      </c>
    </row>
    <row r="63">
      <c r="A63">
        <v>9</v>
      </c>
      <c r="B63">
        <f>'Req. Diario'!D62</f>
        <v>5.34734151380866</v>
      </c>
      <c r="C63">
        <f>(B63-((E63*(Main!$E$31/100))+(G63*(Main!$E$36/100))+(I63*(Main!$E$46/100))+(K63*(Main!$E$51/100))))/$C$6</f>
        <v>13.677256909758885</v>
      </c>
      <c r="D63">
        <f>'Req. Diario'!E62</f>
        <v>1.9561767031007746</v>
      </c>
      <c r="E63">
        <f>(D63-((C63*(Main!$F$41/100))+(G63*(Main!$F$36/100))+(I63*(Main!$F$46/100))+(K63*(Main!$F$51/100))))/$E$6</f>
        <v>4.252558050219075</v>
      </c>
      <c r="F63">
        <f>'Req. Diario'!F62</f>
        <v>7.817636598425196</v>
      </c>
      <c r="G63">
        <f>(F63-((C63*(Main!$G$41/100))+(E63*(Main!$G$31/100))+(I63*(Main!$G$46/100))+(K63*(Main!$G$51/100))))/$G$6</f>
        <v>13.02939433070866</v>
      </c>
      <c r="H63">
        <f>'Req. Diario'!G62</f>
        <v>1.2041959618809384</v>
      </c>
      <c r="I63">
        <f>H63/$I$6</f>
        <v>0.00012041959618809383</v>
      </c>
      <c r="J63">
        <f>'Req. Diario'!H62</f>
        <v>4.188645128907609</v>
      </c>
      <c r="K63">
        <f>J63/$K$6</f>
        <v>0.0004188645128907609</v>
      </c>
      <c r="L63">
        <f>'Req. Diario'!I62</f>
        <v>23.426</v>
      </c>
      <c r="M63">
        <f>L63/$M$6</f>
        <v>114.27317073170731</v>
      </c>
    </row>
    <row r="64">
      <c r="B64">
        <f>'Req. Diario'!D63</f>
        <v>5.34734151380866</v>
      </c>
      <c r="C64">
        <f>(B64-((E64*(Main!$E$31/100))+(G64*(Main!$E$36/100))+(I64*(Main!$E$46/100))+(K64*(Main!$E$51/100))))/$C$6</f>
        <v>13.677256909758885</v>
      </c>
      <c r="D64">
        <f>'Req. Diario'!E63</f>
        <v>1.9561767031007746</v>
      </c>
      <c r="E64">
        <f>(D64-((C64*(Main!$F$41/100))+(G64*(Main!$F$36/100))+(I64*(Main!$F$46/100))+(K64*(Main!$F$51/100))))/$E$6</f>
        <v>4.252558050219075</v>
      </c>
      <c r="F64">
        <f>'Req. Diario'!F63</f>
        <v>7.817636598425196</v>
      </c>
      <c r="G64">
        <f>(F64-((C64*(Main!$G$41/100))+(E64*(Main!$G$31/100))+(I64*(Main!$G$46/100))+(K64*(Main!$G$51/100))))/$G$6</f>
        <v>13.02939433070866</v>
      </c>
      <c r="H64">
        <f>'Req. Diario'!G63</f>
        <v>1.2041959618809384</v>
      </c>
      <c r="I64">
        <f>H64/$I$6</f>
        <v>0.00012041959618809383</v>
      </c>
      <c r="J64">
        <f>'Req. Diario'!H63</f>
        <v>4.188645128907609</v>
      </c>
      <c r="K64">
        <f>J64/$K$6</f>
        <v>0.0004188645128907609</v>
      </c>
      <c r="L64">
        <f>'Req. Diario'!I63</f>
        <v>23.426</v>
      </c>
      <c r="M64">
        <f>L64/$M$6</f>
        <v>114.27317073170731</v>
      </c>
    </row>
    <row r="65">
      <c r="B65">
        <f>'Req. Diario'!D64</f>
        <v>5.34734151380866</v>
      </c>
      <c r="C65">
        <f>(B65-((E65*(Main!$E$31/100))+(G65*(Main!$E$36/100))+(I65*(Main!$E$46/100))+(K65*(Main!$E$51/100))))/$C$6</f>
        <v>13.677256909758885</v>
      </c>
      <c r="D65">
        <f>'Req. Diario'!E64</f>
        <v>1.9561767031007746</v>
      </c>
      <c r="E65">
        <f>(D65-((C65*(Main!$F$41/100))+(G65*(Main!$F$36/100))+(I65*(Main!$F$46/100))+(K65*(Main!$F$51/100))))/$E$6</f>
        <v>4.252558050219075</v>
      </c>
      <c r="F65">
        <f>'Req. Diario'!F64</f>
        <v>7.817636598425196</v>
      </c>
      <c r="G65">
        <f>(F65-((C65*(Main!$G$41/100))+(E65*(Main!$G$31/100))+(I65*(Main!$G$46/100))+(K65*(Main!$G$51/100))))/$G$6</f>
        <v>13.02939433070866</v>
      </c>
      <c r="H65">
        <f>'Req. Diario'!G64</f>
        <v>1.2041959618809384</v>
      </c>
      <c r="I65">
        <f>H65/$I$6</f>
        <v>0.00012041959618809383</v>
      </c>
      <c r="J65">
        <f>'Req. Diario'!H64</f>
        <v>4.188645128907609</v>
      </c>
      <c r="K65">
        <f>J65/$K$6</f>
        <v>0.0004188645128907609</v>
      </c>
      <c r="L65">
        <f>'Req. Diario'!I64</f>
        <v>23.426</v>
      </c>
      <c r="M65">
        <f>L65/$M$6</f>
        <v>114.27317073170731</v>
      </c>
    </row>
    <row r="66">
      <c r="B66">
        <f>'Req. Diario'!D65</f>
        <v>5.34734151380866</v>
      </c>
      <c r="C66">
        <f>(B66-((E66*(Main!$E$31/100))+(G66*(Main!$E$36/100))+(I66*(Main!$E$46/100))+(K66*(Main!$E$51/100))))/$C$6</f>
        <v>13.677256909758885</v>
      </c>
      <c r="D66">
        <f>'Req. Diario'!E65</f>
        <v>1.9561767031007746</v>
      </c>
      <c r="E66">
        <f>(D66-((C66*(Main!$F$41/100))+(G66*(Main!$F$36/100))+(I66*(Main!$F$46/100))+(K66*(Main!$F$51/100))))/$E$6</f>
        <v>4.252558050219075</v>
      </c>
      <c r="F66">
        <f>'Req. Diario'!F65</f>
        <v>7.817636598425196</v>
      </c>
      <c r="G66">
        <f>(F66-((C66*(Main!$G$41/100))+(E66*(Main!$G$31/100))+(I66*(Main!$G$46/100))+(K66*(Main!$G$51/100))))/$G$6</f>
        <v>13.02939433070866</v>
      </c>
      <c r="H66">
        <f>'Req. Diario'!G65</f>
        <v>1.2041959618809384</v>
      </c>
      <c r="I66">
        <f>H66/$I$6</f>
        <v>0.00012041959618809383</v>
      </c>
      <c r="J66">
        <f>'Req. Diario'!H65</f>
        <v>4.188645128907609</v>
      </c>
      <c r="K66">
        <f>J66/$K$6</f>
        <v>0.0004188645128907609</v>
      </c>
      <c r="L66">
        <f>'Req. Diario'!I65</f>
        <v>23.426</v>
      </c>
      <c r="M66">
        <f>L66/$M$6</f>
        <v>114.27317073170731</v>
      </c>
    </row>
    <row r="67">
      <c r="B67">
        <f>'Req. Diario'!D66</f>
        <v>6.832714156533286</v>
      </c>
      <c r="C67">
        <f>(B67-((E67*(Main!$E$31/100))+(G67*(Main!$E$36/100))+(I67*(Main!$E$46/100))+(K67*(Main!$E$51/100))))/$C$6</f>
        <v>17.349552908897635</v>
      </c>
      <c r="D67">
        <f>'Req. Diario'!E66</f>
        <v>2.6082356041343666</v>
      </c>
      <c r="E67">
        <f>(D67-((C67*(Main!$F$41/100))+(G67*(Main!$F$36/100))+(I67*(Main!$F$46/100))+(K67*(Main!$F$51/100))))/$E$6</f>
        <v>5.670077400292101</v>
      </c>
      <c r="F67">
        <f>'Req. Diario'!F66</f>
        <v>9.989202320209971</v>
      </c>
      <c r="G67">
        <f>(F67-((C67*(Main!$G$41/100))+(E67*(Main!$G$31/100))+(I67*(Main!$G$46/100))+(K67*(Main!$G$51/100))))/$G$6</f>
        <v>16.648670533683287</v>
      </c>
      <c r="H67">
        <f>'Req. Diario'!G66</f>
        <v>1.5386948401811988</v>
      </c>
      <c r="I67">
        <f>H67/$I$6</f>
        <v>0.00015386948401811988</v>
      </c>
      <c r="J67">
        <f>'Req. Diario'!H66</f>
        <v>5.3521576647152775</v>
      </c>
      <c r="K67">
        <f>J67/$K$6</f>
        <v>0.0005352157664715278</v>
      </c>
      <c r="L67">
        <f>'Req. Diario'!I66</f>
        <v>23.426</v>
      </c>
      <c r="M67">
        <f>L67/$M$6</f>
        <v>114.27317073170731</v>
      </c>
    </row>
    <row r="68">
      <c r="B68">
        <f>'Req. Diario'!D67</f>
        <v>6.832714156533286</v>
      </c>
      <c r="C68">
        <f>(B68-((E68*(Main!$E$31/100))+(G68*(Main!$E$36/100))+(I68*(Main!$E$46/100))+(K68*(Main!$E$51/100))))/$C$6</f>
        <v>17.349552908897635</v>
      </c>
      <c r="D68">
        <f>'Req. Diario'!E67</f>
        <v>2.6082356041343666</v>
      </c>
      <c r="E68">
        <f>(D68-((C68*(Main!$F$41/100))+(G68*(Main!$F$36/100))+(I68*(Main!$F$46/100))+(K68*(Main!$F$51/100))))/$E$6</f>
        <v>5.670077400292101</v>
      </c>
      <c r="F68">
        <f>'Req. Diario'!F67</f>
        <v>9.989202320209971</v>
      </c>
      <c r="G68">
        <f>(F68-((C68*(Main!$G$41/100))+(E68*(Main!$G$31/100))+(I68*(Main!$G$46/100))+(K68*(Main!$G$51/100))))/$G$6</f>
        <v>16.648670533683287</v>
      </c>
      <c r="H68">
        <f>'Req. Diario'!G67</f>
        <v>1.5386948401811988</v>
      </c>
      <c r="I68">
        <f>H68/$I$6</f>
        <v>0.00015386948401811988</v>
      </c>
      <c r="J68">
        <f>'Req. Diario'!H67</f>
        <v>5.3521576647152775</v>
      </c>
      <c r="K68">
        <f>J68/$K$6</f>
        <v>0.0005352157664715278</v>
      </c>
      <c r="L68">
        <f>'Req. Diario'!I67</f>
        <v>23.426</v>
      </c>
      <c r="M68">
        <f>L68/$M$6</f>
        <v>114.27317073170731</v>
      </c>
    </row>
    <row r="69">
      <c r="B69">
        <f>'Req. Diario'!D68</f>
        <v>8.540892695666606</v>
      </c>
      <c r="C69">
        <f>(B69-((E69*(Main!$E$31/100))+(G69*(Main!$E$36/100))+(I69*(Main!$E$46/100))+(K69*(Main!$E$51/100))))/$C$6</f>
        <v>21.68694113612204</v>
      </c>
      <c r="D69">
        <f>'Req. Diario'!E68</f>
        <v>3.2602945051679586</v>
      </c>
      <c r="E69">
        <f>(D69-((C69*(Main!$F$41/100))+(G69*(Main!$F$36/100))+(I69*(Main!$F$46/100))+(K69*(Main!$F$51/100))))/$E$6</f>
        <v>7.087596750365127</v>
      </c>
      <c r="F69">
        <f>'Req. Diario'!F68</f>
        <v>12.486502900262463</v>
      </c>
      <c r="G69">
        <f>(F69-((C69*(Main!$G$41/100))+(E69*(Main!$G$31/100))+(I69*(Main!$G$46/100))+(K69*(Main!$G$51/100))))/$G$6</f>
        <v>20.810838167104105</v>
      </c>
      <c r="H69">
        <f>'Req. Diario'!G68</f>
        <v>1.9233685502264988</v>
      </c>
      <c r="I69">
        <f>H69/$I$6</f>
        <v>0.0001923368550226499</v>
      </c>
      <c r="J69">
        <f>'Req. Diario'!H68</f>
        <v>6.690197080894097</v>
      </c>
      <c r="K69">
        <f>J69/$K$6</f>
        <v>0.0006690197080894097</v>
      </c>
      <c r="L69">
        <f>'Req. Diario'!I68</f>
        <v>29.5372</v>
      </c>
      <c r="M69">
        <f>L69/$M$6</f>
        <v>144.0839024390244</v>
      </c>
    </row>
    <row r="70">
      <c r="A70">
        <v>10</v>
      </c>
      <c r="B70">
        <f>'Req. Diario'!D69</f>
        <v>8.540892695666606</v>
      </c>
      <c r="C70">
        <f>(B70-((E70*(Main!$E$31/100))+(G70*(Main!$E$36/100))+(I70*(Main!$E$46/100))+(K70*(Main!$E$51/100))))/$C$6</f>
        <v>21.68694113612204</v>
      </c>
      <c r="D70">
        <f>'Req. Diario'!E69</f>
        <v>3.2602945051679586</v>
      </c>
      <c r="E70">
        <f>(D70-((C70*(Main!$F$41/100))+(G70*(Main!$F$36/100))+(I70*(Main!$F$46/100))+(K70*(Main!$F$51/100))))/$E$6</f>
        <v>7.087596750365127</v>
      </c>
      <c r="F70">
        <f>'Req. Diario'!F69</f>
        <v>12.486502900262463</v>
      </c>
      <c r="G70">
        <f>(F70-((C70*(Main!$G$41/100))+(E70*(Main!$G$31/100))+(I70*(Main!$G$46/100))+(K70*(Main!$G$51/100))))/$G$6</f>
        <v>20.810838167104105</v>
      </c>
      <c r="H70">
        <f>'Req. Diario'!G69</f>
        <v>1.9233685502264988</v>
      </c>
      <c r="I70">
        <f>H70/$I$6</f>
        <v>0.0001923368550226499</v>
      </c>
      <c r="J70">
        <f>'Req. Diario'!H69</f>
        <v>6.690197080894097</v>
      </c>
      <c r="K70">
        <f>J70/$K$6</f>
        <v>0.0006690197080894097</v>
      </c>
      <c r="L70">
        <f>'Req. Diario'!I69</f>
        <v>29.5372</v>
      </c>
      <c r="M70">
        <f>L70/$M$6</f>
        <v>144.0839024390244</v>
      </c>
    </row>
    <row r="71">
      <c r="B71">
        <f>'Req. Diario'!D70</f>
        <v>8.540892695666606</v>
      </c>
      <c r="C71">
        <f>(B71-((E71*(Main!$E$31/100))+(G71*(Main!$E$36/100))+(I71*(Main!$E$46/100))+(K71*(Main!$E$51/100))))/$C$6</f>
        <v>21.68694113612204</v>
      </c>
      <c r="D71">
        <f>'Req. Diario'!E70</f>
        <v>3.2602945051679586</v>
      </c>
      <c r="E71">
        <f>(D71-((C71*(Main!$F$41/100))+(G71*(Main!$F$36/100))+(I71*(Main!$F$46/100))+(K71*(Main!$F$51/100))))/$E$6</f>
        <v>7.087596750365127</v>
      </c>
      <c r="F71">
        <f>'Req. Diario'!F70</f>
        <v>12.486502900262463</v>
      </c>
      <c r="G71">
        <f>(F71-((C71*(Main!$G$41/100))+(E71*(Main!$G$31/100))+(I71*(Main!$G$46/100))+(K71*(Main!$G$51/100))))/$G$6</f>
        <v>20.810838167104105</v>
      </c>
      <c r="H71">
        <f>'Req. Diario'!G70</f>
        <v>1.9233685502264988</v>
      </c>
      <c r="I71">
        <f>H71/$I$6</f>
        <v>0.0001923368550226499</v>
      </c>
      <c r="J71">
        <f>'Req. Diario'!H70</f>
        <v>6.690197080894097</v>
      </c>
      <c r="K71">
        <f>J71/$K$6</f>
        <v>0.0006690197080894097</v>
      </c>
      <c r="L71">
        <f>'Req. Diario'!I70</f>
        <v>29.5372</v>
      </c>
      <c r="M71">
        <f>L71/$M$6</f>
        <v>144.0839024390244</v>
      </c>
    </row>
    <row r="72">
      <c r="B72">
        <f>'Req. Diario'!D71</f>
        <v>8.540892695666606</v>
      </c>
      <c r="C72">
        <f>(B72-((E72*(Main!$E$31/100))+(G72*(Main!$E$36/100))+(I72*(Main!$E$46/100))+(K72*(Main!$E$51/100))))/$C$6</f>
        <v>21.68694113612204</v>
      </c>
      <c r="D72">
        <f>'Req. Diario'!E71</f>
        <v>3.2602945051679586</v>
      </c>
      <c r="E72">
        <f>(D72-((C72*(Main!$F$41/100))+(G72*(Main!$F$36/100))+(I72*(Main!$F$46/100))+(K72*(Main!$F$51/100))))/$E$6</f>
        <v>7.087596750365127</v>
      </c>
      <c r="F72">
        <f>'Req. Diario'!F71</f>
        <v>12.486502900262463</v>
      </c>
      <c r="G72">
        <f>(F72-((C72*(Main!$G$41/100))+(E72*(Main!$G$31/100))+(I72*(Main!$G$46/100))+(K72*(Main!$G$51/100))))/$G$6</f>
        <v>20.810838167104105</v>
      </c>
      <c r="H72">
        <f>'Req. Diario'!G71</f>
        <v>1.9233685502264988</v>
      </c>
      <c r="I72">
        <f>H72/$I$6</f>
        <v>0.0001923368550226499</v>
      </c>
      <c r="J72">
        <f>'Req. Diario'!H71</f>
        <v>6.690197080894097</v>
      </c>
      <c r="K72">
        <f>J72/$K$6</f>
        <v>0.0006690197080894097</v>
      </c>
      <c r="L72">
        <f>'Req. Diario'!I71</f>
        <v>29.5372</v>
      </c>
      <c r="M72">
        <f>L72/$M$6</f>
        <v>144.0839024390244</v>
      </c>
    </row>
    <row r="73">
      <c r="B73">
        <f>'Req. Diario'!D72</f>
        <v>8.540892695666606</v>
      </c>
      <c r="C73">
        <f>(B73-((E73*(Main!$E$31/100))+(G73*(Main!$E$36/100))+(I73*(Main!$E$46/100))+(K73*(Main!$E$51/100))))/$C$6</f>
        <v>21.68694113612204</v>
      </c>
      <c r="D73">
        <f>'Req. Diario'!E72</f>
        <v>3.2602945051679586</v>
      </c>
      <c r="E73">
        <f>(D73-((C73*(Main!$F$41/100))+(G73*(Main!$F$36/100))+(I73*(Main!$F$46/100))+(K73*(Main!$F$51/100))))/$E$6</f>
        <v>7.087596750365127</v>
      </c>
      <c r="F73">
        <f>'Req. Diario'!F72</f>
        <v>12.486502900262463</v>
      </c>
      <c r="G73">
        <f>(F73-((C73*(Main!$G$41/100))+(E73*(Main!$G$31/100))+(I73*(Main!$G$46/100))+(K73*(Main!$G$51/100))))/$G$6</f>
        <v>20.810838167104105</v>
      </c>
      <c r="H73">
        <f>'Req. Diario'!G72</f>
        <v>1.9233685502264988</v>
      </c>
      <c r="I73">
        <f>H73/$I$6</f>
        <v>0.0001923368550226499</v>
      </c>
      <c r="J73">
        <f>'Req. Diario'!H72</f>
        <v>6.690197080894097</v>
      </c>
      <c r="K73">
        <f>J73/$K$6</f>
        <v>0.0006690197080894097</v>
      </c>
      <c r="L73">
        <f>'Req. Diario'!I72</f>
        <v>29.5372</v>
      </c>
      <c r="M73">
        <f>L73/$M$6</f>
        <v>144.0839024390244</v>
      </c>
    </row>
    <row r="74">
      <c r="B74">
        <f>'Req. Diario'!D73</f>
        <v>8.540892695666606</v>
      </c>
      <c r="C74">
        <f>(B74-((E74*(Main!$E$31/100))+(G74*(Main!$E$36/100))+(I74*(Main!$E$46/100))+(K74*(Main!$E$51/100))))/$C$6</f>
        <v>21.68694113612204</v>
      </c>
      <c r="D74">
        <f>'Req. Diario'!E73</f>
        <v>3.2602945051679586</v>
      </c>
      <c r="E74">
        <f>(D74-((C74*(Main!$F$41/100))+(G74*(Main!$F$36/100))+(I74*(Main!$F$46/100))+(K74*(Main!$F$51/100))))/$E$6</f>
        <v>7.087596750365127</v>
      </c>
      <c r="F74">
        <f>'Req. Diario'!F73</f>
        <v>12.486502900262463</v>
      </c>
      <c r="G74">
        <f>(F74-((C74*(Main!$G$41/100))+(E74*(Main!$G$31/100))+(I74*(Main!$G$46/100))+(K74*(Main!$G$51/100))))/$G$6</f>
        <v>20.810838167104105</v>
      </c>
      <c r="H74">
        <f>'Req. Diario'!G73</f>
        <v>1.9233685502264988</v>
      </c>
      <c r="I74">
        <f>H74/$I$6</f>
        <v>0.0001923368550226499</v>
      </c>
      <c r="J74">
        <f>'Req. Diario'!H73</f>
        <v>6.690197080894097</v>
      </c>
      <c r="K74">
        <f>J74/$K$6</f>
        <v>0.0006690197080894097</v>
      </c>
      <c r="L74">
        <f>'Req. Diario'!I73</f>
        <v>29.5372</v>
      </c>
      <c r="M74">
        <f>L74/$M$6</f>
        <v>144.0839024390244</v>
      </c>
    </row>
    <row r="75">
      <c r="B75">
        <f>'Req. Diario'!D74</f>
        <v>8.540892695666606</v>
      </c>
      <c r="C75">
        <f>(B75-((E75*(Main!$E$31/100))+(G75*(Main!$E$36/100))+(I75*(Main!$E$46/100))+(K75*(Main!$E$51/100))))/$C$6</f>
        <v>21.68694113612204</v>
      </c>
      <c r="D75">
        <f>'Req. Diario'!E74</f>
        <v>3.2602945051679586</v>
      </c>
      <c r="E75">
        <f>(D75-((C75*(Main!$F$41/100))+(G75*(Main!$F$36/100))+(I75*(Main!$F$46/100))+(K75*(Main!$F$51/100))))/$E$6</f>
        <v>7.087596750365127</v>
      </c>
      <c r="F75">
        <f>'Req. Diario'!F74</f>
        <v>12.486502900262463</v>
      </c>
      <c r="G75">
        <f>(F75-((C75*(Main!$G$41/100))+(E75*(Main!$G$31/100))+(I75*(Main!$G$46/100))+(K75*(Main!$G$51/100))))/$G$6</f>
        <v>20.810838167104105</v>
      </c>
      <c r="H75">
        <f>'Req. Diario'!G74</f>
        <v>1.9233685502264988</v>
      </c>
      <c r="I75">
        <f>H75/$I$6</f>
        <v>0.0001923368550226499</v>
      </c>
      <c r="J75">
        <f>'Req. Diario'!H74</f>
        <v>6.690197080894097</v>
      </c>
      <c r="K75">
        <f>J75/$K$6</f>
        <v>0.0006690197080894097</v>
      </c>
      <c r="L75">
        <f>'Req. Diario'!I74</f>
        <v>29.5372</v>
      </c>
      <c r="M75">
        <f>L75/$M$6</f>
        <v>144.0839024390244</v>
      </c>
    </row>
    <row r="76">
      <c r="B76">
        <f>'Req. Diario'!D75</f>
        <v>8.540892695666606</v>
      </c>
      <c r="C76">
        <f>(B76-((E76*(Main!$E$31/100))+(G76*(Main!$E$36/100))+(I76*(Main!$E$46/100))+(K76*(Main!$E$51/100))))/$C$6</f>
        <v>21.68694113612204</v>
      </c>
      <c r="D76">
        <f>'Req. Diario'!E75</f>
        <v>3.2602945051679586</v>
      </c>
      <c r="E76">
        <f>(D76-((C76*(Main!$F$41/100))+(G76*(Main!$F$36/100))+(I76*(Main!$F$46/100))+(K76*(Main!$F$51/100))))/$E$6</f>
        <v>7.087596750365127</v>
      </c>
      <c r="F76">
        <f>'Req. Diario'!F75</f>
        <v>12.486502900262463</v>
      </c>
      <c r="G76">
        <f>(F76-((C76*(Main!$G$41/100))+(E76*(Main!$G$31/100))+(I76*(Main!$G$46/100))+(K76*(Main!$G$51/100))))/$G$6</f>
        <v>20.810838167104105</v>
      </c>
      <c r="H76">
        <f>'Req. Diario'!G75</f>
        <v>1.9233685502264988</v>
      </c>
      <c r="I76">
        <f>H76/$I$6</f>
        <v>0.0001923368550226499</v>
      </c>
      <c r="J76">
        <f>'Req. Diario'!H75</f>
        <v>6.690197080894097</v>
      </c>
      <c r="K76">
        <f>J76/$K$6</f>
        <v>0.0006690197080894097</v>
      </c>
      <c r="L76">
        <f>'Req. Diario'!I75</f>
        <v>29.5372</v>
      </c>
      <c r="M76">
        <f>L76/$M$6</f>
        <v>144.0839024390244</v>
      </c>
    </row>
    <row r="77">
      <c r="A77">
        <v>11</v>
      </c>
      <c r="B77">
        <f>'Req. Diario'!D76</f>
        <v>7.426863213623137</v>
      </c>
      <c r="C77">
        <f>(B77-((E77*(Main!$E$31/100))+(G77*(Main!$E$36/100))+(I77*(Main!$E$46/100))+(K77*(Main!$E$51/100))))/$C$6</f>
        <v>18.36147999569377</v>
      </c>
      <c r="D77">
        <f>'Req. Diario'!E76</f>
        <v>3.2602945051679586</v>
      </c>
      <c r="E77">
        <f>(D77-((C77*(Main!$F$41/100))+(G77*(Main!$F$36/100))+(I77*(Main!$F$46/100))+(K77*(Main!$F$51/100))))/$E$6</f>
        <v>7.087596750365127</v>
      </c>
      <c r="F77">
        <f>'Req. Diario'!F76</f>
        <v>12.486502900262463</v>
      </c>
      <c r="G77">
        <f>(F77-((C77*(Main!$G$41/100))+(E77*(Main!$G$31/100))+(I77*(Main!$G$46/100))+(K77*(Main!$G$51/100))))/$G$6</f>
        <v>20.810838167104105</v>
      </c>
      <c r="H77">
        <f>'Req. Diario'!G76</f>
        <v>1.9233685502264988</v>
      </c>
      <c r="I77">
        <f>H77/$I$6</f>
        <v>0.0001923368550226499</v>
      </c>
      <c r="J77">
        <f>'Req. Diario'!H76</f>
        <v>6.690197080894097</v>
      </c>
      <c r="K77">
        <f>J77/$K$6</f>
        <v>0.0006690197080894097</v>
      </c>
      <c r="L77">
        <f>'Req. Diario'!I76</f>
        <v>29.5372</v>
      </c>
      <c r="M77">
        <f>L77/$M$6</f>
        <v>144.0839024390244</v>
      </c>
    </row>
    <row r="78">
      <c r="B78">
        <f>'Req. Diario'!D77</f>
        <v>7.426863213623137</v>
      </c>
      <c r="C78">
        <f>(B78-((E78*(Main!$E$31/100))+(G78*(Main!$E$36/100))+(I78*(Main!$E$46/100))+(K78*(Main!$E$51/100))))/$C$6</f>
        <v>18.36147999569377</v>
      </c>
      <c r="D78">
        <f>'Req. Diario'!E77</f>
        <v>3.2602945051679586</v>
      </c>
      <c r="E78">
        <f>(D78-((C78*(Main!$F$41/100))+(G78*(Main!$F$36/100))+(I78*(Main!$F$46/100))+(K78*(Main!$F$51/100))))/$E$6</f>
        <v>7.087596750365127</v>
      </c>
      <c r="F78">
        <f>'Req. Diario'!F77</f>
        <v>12.486502900262463</v>
      </c>
      <c r="G78">
        <f>(F78-((C78*(Main!$G$41/100))+(E78*(Main!$G$31/100))+(I78*(Main!$G$46/100))+(K78*(Main!$G$51/100))))/$G$6</f>
        <v>20.810838167104105</v>
      </c>
      <c r="H78">
        <f>'Req. Diario'!G77</f>
        <v>1.9233685502264988</v>
      </c>
      <c r="I78">
        <f>H78/$I$6</f>
        <v>0.0001923368550226499</v>
      </c>
      <c r="J78">
        <f>'Req. Diario'!H77</f>
        <v>6.690197080894097</v>
      </c>
      <c r="K78">
        <f>J78/$K$6</f>
        <v>0.0006690197080894097</v>
      </c>
      <c r="L78">
        <f>'Req. Diario'!I77</f>
        <v>29.5372</v>
      </c>
      <c r="M78">
        <f>L78/$M$6</f>
        <v>144.0839024390244</v>
      </c>
    </row>
    <row r="79">
      <c r="B79">
        <f>'Req. Diario'!D78</f>
        <v>7.426863213623137</v>
      </c>
      <c r="C79">
        <f>(B79-((E79*(Main!$E$31/100))+(G79*(Main!$E$36/100))+(I79*(Main!$E$46/100))+(K79*(Main!$E$51/100))))/$C$6</f>
        <v>18.36147999569377</v>
      </c>
      <c r="D79">
        <f>'Req. Diario'!E78</f>
        <v>3.2602945051679586</v>
      </c>
      <c r="E79">
        <f>(D79-((C79*(Main!$F$41/100))+(G79*(Main!$F$36/100))+(I79*(Main!$F$46/100))+(K79*(Main!$F$51/100))))/$E$6</f>
        <v>7.087596750365127</v>
      </c>
      <c r="F79">
        <f>'Req. Diario'!F78</f>
        <v>12.486502900262463</v>
      </c>
      <c r="G79">
        <f>(F79-((C79*(Main!$G$41/100))+(E79*(Main!$G$31/100))+(I79*(Main!$G$46/100))+(K79*(Main!$G$51/100))))/$G$6</f>
        <v>20.810838167104105</v>
      </c>
      <c r="H79">
        <f>'Req. Diario'!G78</f>
        <v>1.9233685502264988</v>
      </c>
      <c r="I79">
        <f>H79/$I$6</f>
        <v>0.0001923368550226499</v>
      </c>
      <c r="J79">
        <f>'Req. Diario'!H78</f>
        <v>6.690197080894097</v>
      </c>
      <c r="K79">
        <f>J79/$K$6</f>
        <v>0.0006690197080894097</v>
      </c>
      <c r="L79">
        <f>'Req. Diario'!I78</f>
        <v>29.5372</v>
      </c>
      <c r="M79">
        <f>L79/$M$6</f>
        <v>144.0839024390244</v>
      </c>
    </row>
    <row r="80">
      <c r="B80">
        <f>'Req. Diario'!D79</f>
        <v>7.426863213623137</v>
      </c>
      <c r="C80">
        <f>(B80-((E80*(Main!$E$31/100))+(G80*(Main!$E$36/100))+(I80*(Main!$E$46/100))+(K80*(Main!$E$51/100))))/$C$6</f>
        <v>18.36147999569377</v>
      </c>
      <c r="D80">
        <f>'Req. Diario'!E79</f>
        <v>3.2602945051679586</v>
      </c>
      <c r="E80">
        <f>(D80-((C80*(Main!$F$41/100))+(G80*(Main!$F$36/100))+(I80*(Main!$F$46/100))+(K80*(Main!$F$51/100))))/$E$6</f>
        <v>7.087596750365127</v>
      </c>
      <c r="F80">
        <f>'Req. Diario'!F79</f>
        <v>12.486502900262463</v>
      </c>
      <c r="G80">
        <f>(F80-((C80*(Main!$G$41/100))+(E80*(Main!$G$31/100))+(I80*(Main!$G$46/100))+(K80*(Main!$G$51/100))))/$G$6</f>
        <v>20.810838167104105</v>
      </c>
      <c r="H80">
        <f>'Req. Diario'!G79</f>
        <v>1.9233685502264988</v>
      </c>
      <c r="I80">
        <f>H80/$I$6</f>
        <v>0.0001923368550226499</v>
      </c>
      <c r="J80">
        <f>'Req. Diario'!H79</f>
        <v>6.690197080894097</v>
      </c>
      <c r="K80">
        <f>J80/$K$6</f>
        <v>0.0006690197080894097</v>
      </c>
      <c r="L80">
        <f>'Req. Diario'!I79</f>
        <v>29.5372</v>
      </c>
      <c r="M80">
        <f>L80/$M$6</f>
        <v>144.0839024390244</v>
      </c>
    </row>
    <row r="81">
      <c r="B81">
        <f>'Req. Diario'!D80</f>
        <v>7.426863213623137</v>
      </c>
      <c r="C81">
        <f>(B81-((E81*(Main!$E$31/100))+(G81*(Main!$E$36/100))+(I81*(Main!$E$46/100))+(K81*(Main!$E$51/100))))/$C$6</f>
        <v>18.36147999569377</v>
      </c>
      <c r="D81">
        <f>'Req. Diario'!E80</f>
        <v>3.2602945051679586</v>
      </c>
      <c r="E81">
        <f>(D81-((C81*(Main!$F$41/100))+(G81*(Main!$F$36/100))+(I81*(Main!$F$46/100))+(K81*(Main!$F$51/100))))/$E$6</f>
        <v>7.087596750365127</v>
      </c>
      <c r="F81">
        <f>'Req. Diario'!F80</f>
        <v>12.486502900262463</v>
      </c>
      <c r="G81">
        <f>(F81-((C81*(Main!$G$41/100))+(E81*(Main!$G$31/100))+(I81*(Main!$G$46/100))+(K81*(Main!$G$51/100))))/$G$6</f>
        <v>20.810838167104105</v>
      </c>
      <c r="H81">
        <f>'Req. Diario'!G80</f>
        <v>1.9233685502264988</v>
      </c>
      <c r="I81">
        <f>H81/$I$6</f>
        <v>0.0001923368550226499</v>
      </c>
      <c r="J81">
        <f>'Req. Diario'!H80</f>
        <v>6.690197080894097</v>
      </c>
      <c r="K81">
        <f>J81/$K$6</f>
        <v>0.0006690197080894097</v>
      </c>
      <c r="L81">
        <f>'Req. Diario'!I80</f>
        <v>29.5372</v>
      </c>
      <c r="M81">
        <f>L81/$M$6</f>
        <v>144.0839024390244</v>
      </c>
    </row>
    <row r="82">
      <c r="B82">
        <f>'Req. Diario'!D81</f>
        <v>7.426863213623137</v>
      </c>
      <c r="C82">
        <f>(B82-((E82*(Main!$E$31/100))+(G82*(Main!$E$36/100))+(I82*(Main!$E$46/100))+(K82*(Main!$E$51/100))))/$C$6</f>
        <v>18.36147999569377</v>
      </c>
      <c r="D82">
        <f>'Req. Diario'!E81</f>
        <v>3.2602945051679586</v>
      </c>
      <c r="E82">
        <f>(D82-((C82*(Main!$F$41/100))+(G82*(Main!$F$36/100))+(I82*(Main!$F$46/100))+(K82*(Main!$F$51/100))))/$E$6</f>
        <v>7.087596750365127</v>
      </c>
      <c r="F82">
        <f>'Req. Diario'!F81</f>
        <v>12.486502900262463</v>
      </c>
      <c r="G82">
        <f>(F82-((C82*(Main!$G$41/100))+(E82*(Main!$G$31/100))+(I82*(Main!$G$46/100))+(K82*(Main!$G$51/100))))/$G$6</f>
        <v>20.810838167104105</v>
      </c>
      <c r="H82">
        <f>'Req. Diario'!G81</f>
        <v>1.9233685502264988</v>
      </c>
      <c r="I82">
        <f>H82/$I$6</f>
        <v>0.0001923368550226499</v>
      </c>
      <c r="J82">
        <f>'Req. Diario'!H81</f>
        <v>6.690197080894097</v>
      </c>
      <c r="K82">
        <f>J82/$K$6</f>
        <v>0.0006690197080894097</v>
      </c>
      <c r="L82">
        <f>'Req. Diario'!I81</f>
        <v>29.5372</v>
      </c>
      <c r="M82">
        <f>L82/$M$6</f>
        <v>144.0839024390244</v>
      </c>
    </row>
    <row r="83">
      <c r="B83">
        <f>'Req. Diario'!D82</f>
        <v>7.426863213623137</v>
      </c>
      <c r="C83">
        <f>(B83-((E83*(Main!$E$31/100))+(G83*(Main!$E$36/100))+(I83*(Main!$E$46/100))+(K83*(Main!$E$51/100))))/$C$6</f>
        <v>18.36147999569377</v>
      </c>
      <c r="D83">
        <f>'Req. Diario'!E82</f>
        <v>3.2602945051679586</v>
      </c>
      <c r="E83">
        <f>(D83-((C83*(Main!$F$41/100))+(G83*(Main!$F$36/100))+(I83*(Main!$F$46/100))+(K83*(Main!$F$51/100))))/$E$6</f>
        <v>7.087596750365127</v>
      </c>
      <c r="F83">
        <f>'Req. Diario'!F82</f>
        <v>12.486502900262463</v>
      </c>
      <c r="G83">
        <f>(F83-((C83*(Main!$G$41/100))+(E83*(Main!$G$31/100))+(I83*(Main!$G$46/100))+(K83*(Main!$G$51/100))))/$G$6</f>
        <v>20.810838167104105</v>
      </c>
      <c r="H83">
        <f>'Req. Diario'!G82</f>
        <v>1.9233685502264988</v>
      </c>
      <c r="I83">
        <f>H83/$I$6</f>
        <v>0.0001923368550226499</v>
      </c>
      <c r="J83">
        <f>'Req. Diario'!H82</f>
        <v>6.690197080894097</v>
      </c>
      <c r="K83">
        <f>J83/$K$6</f>
        <v>0.0006690197080894097</v>
      </c>
      <c r="L83">
        <f>'Req. Diario'!I82</f>
        <v>29.5372</v>
      </c>
      <c r="M83">
        <f>L83/$M$6</f>
        <v>144.0839024390244</v>
      </c>
    </row>
    <row r="84">
      <c r="A84">
        <v>12</v>
      </c>
      <c r="B84">
        <f>'Req. Diario'!D83</f>
        <v>6.684176892260823</v>
      </c>
      <c r="C84">
        <f>(B84-((E84*(Main!$E$31/100))+(G84*(Main!$E$36/100))+(I84*(Main!$E$46/100))+(K84*(Main!$E$51/100))))/$C$6</f>
        <v>16.144505902074926</v>
      </c>
      <c r="D84">
        <f>'Req. Diario'!E83</f>
        <v>3.2602945051679586</v>
      </c>
      <c r="E84">
        <f>(D84-((C84*(Main!$F$41/100))+(G84*(Main!$F$36/100))+(I84*(Main!$F$46/100))+(K84*(Main!$F$51/100))))/$E$6</f>
        <v>7.087596750365127</v>
      </c>
      <c r="F84">
        <f>'Req. Diario'!F83</f>
        <v>12.486502900262463</v>
      </c>
      <c r="G84">
        <f>(F84-((C84*(Main!$G$41/100))+(E84*(Main!$G$31/100))+(I84*(Main!$G$46/100))+(K84*(Main!$G$51/100))))/$G$6</f>
        <v>20.810838167104105</v>
      </c>
      <c r="H84">
        <f>'Req. Diario'!G83</f>
        <v>1.9233685502264988</v>
      </c>
      <c r="I84">
        <f>H84/$I$6</f>
        <v>0.0001923368550226499</v>
      </c>
      <c r="J84">
        <f>'Req. Diario'!H83</f>
        <v>6.690197080894097</v>
      </c>
      <c r="K84">
        <f>J84/$K$6</f>
        <v>0.0006690197080894097</v>
      </c>
      <c r="L84">
        <f>'Req. Diario'!I83</f>
        <v>29.5372</v>
      </c>
      <c r="M84">
        <f>L84/$M$6</f>
        <v>144.0839024390244</v>
      </c>
    </row>
    <row r="85">
      <c r="B85">
        <f>'Req. Diario'!D84</f>
        <v>6.684176892260823</v>
      </c>
      <c r="C85">
        <f>(B85-((E85*(Main!$E$31/100))+(G85*(Main!$E$36/100))+(I85*(Main!$E$46/100))+(K85*(Main!$E$51/100))))/$C$6</f>
        <v>16.144505902074926</v>
      </c>
      <c r="D85">
        <f>'Req. Diario'!E84</f>
        <v>3.2602945051679586</v>
      </c>
      <c r="E85">
        <f>(D85-((C85*(Main!$F$41/100))+(G85*(Main!$F$36/100))+(I85*(Main!$F$46/100))+(K85*(Main!$F$51/100))))/$E$6</f>
        <v>7.087596750365127</v>
      </c>
      <c r="F85">
        <f>'Req. Diario'!F84</f>
        <v>12.486502900262463</v>
      </c>
      <c r="G85">
        <f>(F85-((C85*(Main!$G$41/100))+(E85*(Main!$G$31/100))+(I85*(Main!$G$46/100))+(K85*(Main!$G$51/100))))/$G$6</f>
        <v>20.810838167104105</v>
      </c>
      <c r="H85">
        <f>'Req. Diario'!G84</f>
        <v>1.9233685502264988</v>
      </c>
      <c r="I85">
        <f>H85/$I$6</f>
        <v>0.0001923368550226499</v>
      </c>
      <c r="J85">
        <f>'Req. Diario'!H84</f>
        <v>6.690197080894097</v>
      </c>
      <c r="K85">
        <f>J85/$K$6</f>
        <v>0.0006690197080894097</v>
      </c>
      <c r="L85">
        <f>'Req. Diario'!I84</f>
        <v>29.5372</v>
      </c>
      <c r="M85">
        <f>L85/$M$6</f>
        <v>144.0839024390244</v>
      </c>
    </row>
    <row r="86">
      <c r="B86">
        <f>'Req. Diario'!D85</f>
        <v>6.684176892260823</v>
      </c>
      <c r="C86">
        <f>(B86-((E86*(Main!$E$31/100))+(G86*(Main!$E$36/100))+(I86*(Main!$E$46/100))+(K86*(Main!$E$51/100))))/$C$6</f>
        <v>16.144505902074926</v>
      </c>
      <c r="D86">
        <f>'Req. Diario'!E85</f>
        <v>3.2602945051679586</v>
      </c>
      <c r="E86">
        <f>(D86-((C86*(Main!$F$41/100))+(G86*(Main!$F$36/100))+(I86*(Main!$F$46/100))+(K86*(Main!$F$51/100))))/$E$6</f>
        <v>7.087596750365127</v>
      </c>
      <c r="F86">
        <f>'Req. Diario'!F85</f>
        <v>12.486502900262463</v>
      </c>
      <c r="G86">
        <f>(F86-((C86*(Main!$G$41/100))+(E86*(Main!$G$31/100))+(I86*(Main!$G$46/100))+(K86*(Main!$G$51/100))))/$G$6</f>
        <v>20.810838167104105</v>
      </c>
      <c r="H86">
        <f>'Req. Diario'!G85</f>
        <v>1.9233685502264988</v>
      </c>
      <c r="I86">
        <f>H86/$I$6</f>
        <v>0.0001923368550226499</v>
      </c>
      <c r="J86">
        <f>'Req. Diario'!H85</f>
        <v>6.690197080894097</v>
      </c>
      <c r="K86">
        <f>J86/$K$6</f>
        <v>0.0006690197080894097</v>
      </c>
      <c r="L86">
        <f>'Req. Diario'!I85</f>
        <v>29.5372</v>
      </c>
      <c r="M86">
        <f>L86/$M$6</f>
        <v>144.0839024390244</v>
      </c>
    </row>
    <row r="87">
      <c r="B87">
        <f>'Req. Diario'!D86</f>
        <v>6.684176892260823</v>
      </c>
      <c r="C87">
        <f>(B87-((E87*(Main!$E$31/100))+(G87*(Main!$E$36/100))+(I87*(Main!$E$46/100))+(K87*(Main!$E$51/100))))/$C$6</f>
        <v>16.144505902074926</v>
      </c>
      <c r="D87">
        <f>'Req. Diario'!E86</f>
        <v>3.2602945051679586</v>
      </c>
      <c r="E87">
        <f>(D87-((C87*(Main!$F$41/100))+(G87*(Main!$F$36/100))+(I87*(Main!$F$46/100))+(K87*(Main!$F$51/100))))/$E$6</f>
        <v>7.087596750365127</v>
      </c>
      <c r="F87">
        <f>'Req. Diario'!F86</f>
        <v>12.486502900262463</v>
      </c>
      <c r="G87">
        <f>(F87-((C87*(Main!$G$41/100))+(E87*(Main!$G$31/100))+(I87*(Main!$G$46/100))+(K87*(Main!$G$51/100))))/$G$6</f>
        <v>20.810838167104105</v>
      </c>
      <c r="H87">
        <f>'Req. Diario'!G86</f>
        <v>1.9233685502264988</v>
      </c>
      <c r="I87">
        <f>H87/$I$6</f>
        <v>0.0001923368550226499</v>
      </c>
      <c r="J87">
        <f>'Req. Diario'!H86</f>
        <v>6.690197080894097</v>
      </c>
      <c r="K87">
        <f>J87/$K$6</f>
        <v>0.0006690197080894097</v>
      </c>
      <c r="L87">
        <f>'Req. Diario'!I86</f>
        <v>35.6483</v>
      </c>
      <c r="M87">
        <f>L87/$M$6</f>
        <v>173.89414634146343</v>
      </c>
    </row>
    <row r="88">
      <c r="B88">
        <f>'Req. Diario'!D87</f>
        <v>6.684176892260823</v>
      </c>
      <c r="C88">
        <f>(B88-((E88*(Main!$E$31/100))+(G88*(Main!$E$36/100))+(I88*(Main!$E$46/100))+(K88*(Main!$E$51/100))))/$C$6</f>
        <v>16.144505902074926</v>
      </c>
      <c r="D88">
        <f>'Req. Diario'!E87</f>
        <v>3.2602945051679586</v>
      </c>
      <c r="E88">
        <f>(D88-((C88*(Main!$F$41/100))+(G88*(Main!$F$36/100))+(I88*(Main!$F$46/100))+(K88*(Main!$F$51/100))))/$E$6</f>
        <v>7.087596750365127</v>
      </c>
      <c r="F88">
        <f>'Req. Diario'!F87</f>
        <v>12.486502900262463</v>
      </c>
      <c r="G88">
        <f>(F88-((C88*(Main!$G$41/100))+(E88*(Main!$G$31/100))+(I88*(Main!$G$46/100))+(K88*(Main!$G$51/100))))/$G$6</f>
        <v>20.810838167104105</v>
      </c>
      <c r="H88">
        <f>'Req. Diario'!G87</f>
        <v>1.9233685502264988</v>
      </c>
      <c r="I88">
        <f>H88/$I$6</f>
        <v>0.0001923368550226499</v>
      </c>
      <c r="J88">
        <f>'Req. Diario'!H87</f>
        <v>6.690197080894097</v>
      </c>
      <c r="K88">
        <f>J88/$K$6</f>
        <v>0.0006690197080894097</v>
      </c>
      <c r="L88">
        <f>'Req. Diario'!I87</f>
        <v>35.6483</v>
      </c>
      <c r="M88">
        <f>L88/$M$6</f>
        <v>173.89414634146343</v>
      </c>
    </row>
    <row r="89">
      <c r="B89">
        <f>'Req. Diario'!D88</f>
        <v>6.684176892260823</v>
      </c>
      <c r="C89">
        <f>(B89-((E89*(Main!$E$31/100))+(G89*(Main!$E$36/100))+(I89*(Main!$E$46/100))+(K89*(Main!$E$51/100))))/$C$6</f>
        <v>16.144505902074926</v>
      </c>
      <c r="D89">
        <f>'Req. Diario'!E88</f>
        <v>3.2602945051679586</v>
      </c>
      <c r="E89">
        <f>(D89-((C89*(Main!$F$41/100))+(G89*(Main!$F$36/100))+(I89*(Main!$F$46/100))+(K89*(Main!$F$51/100))))/$E$6</f>
        <v>7.087596750365127</v>
      </c>
      <c r="F89">
        <f>'Req. Diario'!F88</f>
        <v>12.486502900262463</v>
      </c>
      <c r="G89">
        <f>(F89-((C89*(Main!$G$41/100))+(E89*(Main!$G$31/100))+(I89*(Main!$G$46/100))+(K89*(Main!$G$51/100))))/$G$6</f>
        <v>20.810838167104105</v>
      </c>
      <c r="H89">
        <f>'Req. Diario'!G88</f>
        <v>1.9233685502264988</v>
      </c>
      <c r="I89">
        <f>H89/$I$6</f>
        <v>0.0001923368550226499</v>
      </c>
      <c r="J89">
        <f>'Req. Diario'!H88</f>
        <v>6.690197080894097</v>
      </c>
      <c r="K89">
        <f>J89/$K$6</f>
        <v>0.0006690197080894097</v>
      </c>
      <c r="L89">
        <f>'Req. Diario'!I88</f>
        <v>35.6483</v>
      </c>
      <c r="M89">
        <f>L89/$M$6</f>
        <v>173.89414634146343</v>
      </c>
    </row>
    <row r="90">
      <c r="B90">
        <f>'Req. Diario'!D89</f>
        <v>6.684176892260823</v>
      </c>
      <c r="C90">
        <f>(B90-((E90*(Main!$E$31/100))+(G90*(Main!$E$36/100))+(I90*(Main!$E$46/100))+(K90*(Main!$E$51/100))))/$C$6</f>
        <v>16.144505902074926</v>
      </c>
      <c r="D90">
        <f>'Req. Diario'!E89</f>
        <v>3.2602945051679586</v>
      </c>
      <c r="E90">
        <f>(D90-((C90*(Main!$F$41/100))+(G90*(Main!$F$36/100))+(I90*(Main!$F$46/100))+(K90*(Main!$F$51/100))))/$E$6</f>
        <v>7.087596750365127</v>
      </c>
      <c r="F90">
        <f>'Req. Diario'!F89</f>
        <v>12.486502900262463</v>
      </c>
      <c r="G90">
        <f>(F90-((C90*(Main!$G$41/100))+(E90*(Main!$G$31/100))+(I90*(Main!$G$46/100))+(K90*(Main!$G$51/100))))/$G$6</f>
        <v>20.810838167104105</v>
      </c>
      <c r="H90">
        <f>'Req. Diario'!G89</f>
        <v>1.9233685502264988</v>
      </c>
      <c r="I90">
        <f>H90/$I$6</f>
        <v>0.0001923368550226499</v>
      </c>
      <c r="J90">
        <f>'Req. Diario'!H89</f>
        <v>6.690197080894097</v>
      </c>
      <c r="K90">
        <f>J90/$K$6</f>
        <v>0.0006690197080894097</v>
      </c>
      <c r="L90">
        <f>'Req. Diario'!I89</f>
        <v>35.6483</v>
      </c>
      <c r="M90">
        <f>L90/$M$6</f>
        <v>173.89414634146343</v>
      </c>
    </row>
    <row r="91">
      <c r="A91">
        <v>13</v>
      </c>
      <c r="B91">
        <f>'Req. Diario'!D90</f>
        <v>6.3128337315796665</v>
      </c>
      <c r="C91">
        <f>(B91-((E91*(Main!$E$31/100))+(G91*(Main!$E$36/100))+(I91*(Main!$E$46/100))+(K91*(Main!$E$51/100))))/$C$6</f>
        <v>15.036018855265501</v>
      </c>
      <c r="D91">
        <f>'Req. Diario'!E90</f>
        <v>3.2602945051679586</v>
      </c>
      <c r="E91">
        <f>(D91-((C91*(Main!$F$41/100))+(G91*(Main!$F$36/100))+(I91*(Main!$F$46/100))+(K91*(Main!$F$51/100))))/$E$6</f>
        <v>7.087596750365127</v>
      </c>
      <c r="F91">
        <f>'Req. Diario'!F90</f>
        <v>12.486502900262463</v>
      </c>
      <c r="G91">
        <f>(F91-((C91*(Main!$G$41/100))+(E91*(Main!$G$31/100))+(I91*(Main!$G$46/100))+(K91*(Main!$G$51/100))))/$G$6</f>
        <v>20.810838167104105</v>
      </c>
      <c r="H91">
        <f>'Req. Diario'!G90</f>
        <v>1.9233685502264988</v>
      </c>
      <c r="I91">
        <f>H91/$I$6</f>
        <v>0.0001923368550226499</v>
      </c>
      <c r="J91">
        <f>'Req. Diario'!H90</f>
        <v>6.690197080894097</v>
      </c>
      <c r="K91">
        <f>J91/$K$6</f>
        <v>0.0006690197080894097</v>
      </c>
      <c r="L91">
        <f>'Req. Diario'!I90</f>
        <v>35.6483</v>
      </c>
      <c r="M91">
        <f>L91/$M$6</f>
        <v>173.89414634146343</v>
      </c>
    </row>
    <row r="92">
      <c r="B92">
        <f>'Req. Diario'!D91</f>
        <v>6.3128337315796665</v>
      </c>
      <c r="C92">
        <f>(B92-((E92*(Main!$E$31/100))+(G92*(Main!$E$36/100))+(I92*(Main!$E$46/100))+(K92*(Main!$E$51/100))))/$C$6</f>
        <v>15.036018855265501</v>
      </c>
      <c r="D92">
        <f>'Req. Diario'!E91</f>
        <v>3.2602945051679586</v>
      </c>
      <c r="E92">
        <f>(D92-((C92*(Main!$F$41/100))+(G92*(Main!$F$36/100))+(I92*(Main!$F$46/100))+(K92*(Main!$F$51/100))))/$E$6</f>
        <v>7.087596750365127</v>
      </c>
      <c r="F92">
        <f>'Req. Diario'!F91</f>
        <v>12.486502900262463</v>
      </c>
      <c r="G92">
        <f>(F92-((C92*(Main!$G$41/100))+(E92*(Main!$G$31/100))+(I92*(Main!$G$46/100))+(K92*(Main!$G$51/100))))/$G$6</f>
        <v>20.810838167104105</v>
      </c>
      <c r="H92">
        <f>'Req. Diario'!G91</f>
        <v>1.9233685502264988</v>
      </c>
      <c r="I92">
        <f>H92/$I$6</f>
        <v>0.0001923368550226499</v>
      </c>
      <c r="J92">
        <f>'Req. Diario'!H91</f>
        <v>6.690197080894097</v>
      </c>
      <c r="K92">
        <f>J92/$K$6</f>
        <v>0.0006690197080894097</v>
      </c>
      <c r="L92">
        <f>'Req. Diario'!I91</f>
        <v>35.6483</v>
      </c>
      <c r="M92">
        <f>L92/$M$6</f>
        <v>173.89414634146343</v>
      </c>
    </row>
    <row r="93">
      <c r="B93">
        <f>'Req. Diario'!D92</f>
        <v>6.3128337315796665</v>
      </c>
      <c r="C93">
        <f>(B93-((E93*(Main!$E$31/100))+(G93*(Main!$E$36/100))+(I93*(Main!$E$46/100))+(K93*(Main!$E$51/100))))/$C$6</f>
        <v>15.036018855265501</v>
      </c>
      <c r="D93">
        <f>'Req. Diario'!E92</f>
        <v>3.2602945051679586</v>
      </c>
      <c r="E93">
        <f>(D93-((C93*(Main!$F$41/100))+(G93*(Main!$F$36/100))+(I93*(Main!$F$46/100))+(K93*(Main!$F$51/100))))/$E$6</f>
        <v>7.087596750365127</v>
      </c>
      <c r="F93">
        <f>'Req. Diario'!F92</f>
        <v>12.486502900262463</v>
      </c>
      <c r="G93">
        <f>(F93-((C93*(Main!$G$41/100))+(E93*(Main!$G$31/100))+(I93*(Main!$G$46/100))+(K93*(Main!$G$51/100))))/$G$6</f>
        <v>20.810838167104105</v>
      </c>
      <c r="H93">
        <f>'Req. Diario'!G92</f>
        <v>1.9233685502264988</v>
      </c>
      <c r="I93">
        <f>H93/$I$6</f>
        <v>0.0001923368550226499</v>
      </c>
      <c r="J93">
        <f>'Req. Diario'!H92</f>
        <v>6.690197080894097</v>
      </c>
      <c r="K93">
        <f>J93/$K$6</f>
        <v>0.0006690197080894097</v>
      </c>
      <c r="L93">
        <f>'Req. Diario'!I92</f>
        <v>35.6483</v>
      </c>
      <c r="M93">
        <f>L93/$M$6</f>
        <v>173.89414634146343</v>
      </c>
    </row>
    <row r="94">
      <c r="B94">
        <f>'Req. Diario'!D93</f>
        <v>6.3128337315796665</v>
      </c>
      <c r="C94">
        <f>(B94-((E94*(Main!$E$31/100))+(G94*(Main!$E$36/100))+(I94*(Main!$E$46/100))+(K94*(Main!$E$51/100))))/$C$6</f>
        <v>15.036018855265501</v>
      </c>
      <c r="D94">
        <f>'Req. Diario'!E93</f>
        <v>3.2602945051679586</v>
      </c>
      <c r="E94">
        <f>(D94-((C94*(Main!$F$41/100))+(G94*(Main!$F$36/100))+(I94*(Main!$F$46/100))+(K94*(Main!$F$51/100))))/$E$6</f>
        <v>7.087596750365127</v>
      </c>
      <c r="F94">
        <f>'Req. Diario'!F93</f>
        <v>12.486502900262463</v>
      </c>
      <c r="G94">
        <f>(F94-((C94*(Main!$G$41/100))+(E94*(Main!$G$31/100))+(I94*(Main!$G$46/100))+(K94*(Main!$G$51/100))))/$G$6</f>
        <v>20.810838167104105</v>
      </c>
      <c r="H94">
        <f>'Req. Diario'!G93</f>
        <v>1.9233685502264988</v>
      </c>
      <c r="I94">
        <f>H94/$I$6</f>
        <v>0.0001923368550226499</v>
      </c>
      <c r="J94">
        <f>'Req. Diario'!H93</f>
        <v>6.690197080894097</v>
      </c>
      <c r="K94">
        <f>J94/$K$6</f>
        <v>0.0006690197080894097</v>
      </c>
      <c r="L94">
        <f>'Req. Diario'!I93</f>
        <v>35.6483</v>
      </c>
      <c r="M94">
        <f>L94/$M$6</f>
        <v>173.89414634146343</v>
      </c>
    </row>
    <row r="95">
      <c r="B95">
        <f>'Req. Diario'!D94</f>
        <v>6.3128337315796665</v>
      </c>
      <c r="C95">
        <f>(B95-((E95*(Main!$E$31/100))+(G95*(Main!$E$36/100))+(I95*(Main!$E$46/100))+(K95*(Main!$E$51/100))))/$C$6</f>
        <v>15.036018855265501</v>
      </c>
      <c r="D95">
        <f>'Req. Diario'!E94</f>
        <v>3.2602945051679586</v>
      </c>
      <c r="E95">
        <f>(D95-((C95*(Main!$F$41/100))+(G95*(Main!$F$36/100))+(I95*(Main!$F$46/100))+(K95*(Main!$F$51/100))))/$E$6</f>
        <v>7.087596750365127</v>
      </c>
      <c r="F95">
        <f>'Req. Diario'!F94</f>
        <v>12.486502900262463</v>
      </c>
      <c r="G95">
        <f>(F95-((C95*(Main!$G$41/100))+(E95*(Main!$G$31/100))+(I95*(Main!$G$46/100))+(K95*(Main!$G$51/100))))/$G$6</f>
        <v>20.810838167104105</v>
      </c>
      <c r="H95">
        <f>'Req. Diario'!G94</f>
        <v>1.9233685502264988</v>
      </c>
      <c r="I95">
        <f>H95/$I$6</f>
        <v>0.0001923368550226499</v>
      </c>
      <c r="J95">
        <f>'Req. Diario'!H94</f>
        <v>6.690197080894097</v>
      </c>
      <c r="K95">
        <f>J95/$K$6</f>
        <v>0.0006690197080894097</v>
      </c>
      <c r="L95">
        <f>'Req. Diario'!I94</f>
        <v>35.6483</v>
      </c>
      <c r="M95">
        <f>L95/$M$6</f>
        <v>173.89414634146343</v>
      </c>
    </row>
    <row r="96">
      <c r="B96">
        <f>'Req. Diario'!D95</f>
        <v>6.3128337315796665</v>
      </c>
      <c r="C96">
        <f>(B96-((E96*(Main!$E$31/100))+(G96*(Main!$E$36/100))+(I96*(Main!$E$46/100))+(K96*(Main!$E$51/100))))/$C$6</f>
        <v>15.036018855265501</v>
      </c>
      <c r="D96">
        <f>'Req. Diario'!E95</f>
        <v>3.2602945051679586</v>
      </c>
      <c r="E96">
        <f>(D96-((C96*(Main!$F$41/100))+(G96*(Main!$F$36/100))+(I96*(Main!$F$46/100))+(K96*(Main!$F$51/100))))/$E$6</f>
        <v>7.087596750365127</v>
      </c>
      <c r="F96">
        <f>'Req. Diario'!F95</f>
        <v>12.486502900262463</v>
      </c>
      <c r="G96">
        <f>(F96-((C96*(Main!$G$41/100))+(E96*(Main!$G$31/100))+(I96*(Main!$G$46/100))+(K96*(Main!$G$51/100))))/$G$6</f>
        <v>20.810838167104105</v>
      </c>
      <c r="H96">
        <f>'Req. Diario'!G95</f>
        <v>1.9233685502264988</v>
      </c>
      <c r="I96">
        <f>H96/$I$6</f>
        <v>0.0001923368550226499</v>
      </c>
      <c r="J96">
        <f>'Req. Diario'!H95</f>
        <v>6.690197080894097</v>
      </c>
      <c r="K96">
        <f>J96/$K$6</f>
        <v>0.0006690197080894097</v>
      </c>
      <c r="L96">
        <f>'Req. Diario'!I95</f>
        <v>35.6483</v>
      </c>
      <c r="M96">
        <f>L96/$M$6</f>
        <v>173.89414634146343</v>
      </c>
    </row>
    <row r="97">
      <c r="B97">
        <f>'Req. Diario'!D96</f>
        <v>6.3128337315796665</v>
      </c>
      <c r="C97">
        <f>(B97-((E97*(Main!$E$31/100))+(G97*(Main!$E$36/100))+(I97*(Main!$E$46/100))+(K97*(Main!$E$51/100))))/$C$6</f>
        <v>15.036018855265501</v>
      </c>
      <c r="D97">
        <f>'Req. Diario'!E96</f>
        <v>3.2602945051679586</v>
      </c>
      <c r="E97">
        <f>(D97-((C97*(Main!$F$41/100))+(G97*(Main!$F$36/100))+(I97*(Main!$F$46/100))+(K97*(Main!$F$51/100))))/$E$6</f>
        <v>7.087596750365127</v>
      </c>
      <c r="F97">
        <f>'Req. Diario'!F96</f>
        <v>12.486502900262463</v>
      </c>
      <c r="G97">
        <f>(F97-((C97*(Main!$G$41/100))+(E97*(Main!$G$31/100))+(I97*(Main!$G$46/100))+(K97*(Main!$G$51/100))))/$G$6</f>
        <v>20.810838167104105</v>
      </c>
      <c r="H97">
        <f>'Req. Diario'!G96</f>
        <v>1.9233685502264988</v>
      </c>
      <c r="I97">
        <f>H97/$I$6</f>
        <v>0.0001923368550226499</v>
      </c>
      <c r="J97">
        <f>'Req. Diario'!H96</f>
        <v>6.690197080894097</v>
      </c>
      <c r="K97">
        <f>J97/$K$6</f>
        <v>0.0006690197080894097</v>
      </c>
      <c r="L97">
        <f>'Req. Diario'!I96</f>
        <v>35.6483</v>
      </c>
      <c r="M97">
        <f>L97/$M$6</f>
        <v>173.89414634146343</v>
      </c>
    </row>
    <row r="99">
      <c r="B99">
        <f>SUM(B6:B97)</f>
        <v>438.56273090637126</v>
      </c>
      <c r="C99">
        <f>SUM(C6:C97)</f>
        <v>1108.6869222299424</v>
      </c>
      <c r="D99">
        <f>SUM(D6:D97)</f>
        <v>171.89902778498072</v>
      </c>
      <c r="E99">
        <f>SUM(E6:E97)</f>
        <v>374.1535386630017</v>
      </c>
      <c r="F99">
        <f>SUM(F6:F97)</f>
        <v>670.3623383149609</v>
      </c>
      <c r="G99">
        <f>SUM(G6:G97)</f>
        <v>1117.8705638582665</v>
      </c>
      <c r="H99">
        <f>SUM(H6:H97)</f>
        <v>103.25980373129049</v>
      </c>
      <c r="I99">
        <f>SUM(I6:I97)</f>
        <v>10000.010325980367</v>
      </c>
      <c r="J99">
        <f>SUM(J6:J97)</f>
        <v>359.1763198038277</v>
      </c>
      <c r="K99">
        <f>SUM(K6:K97)</f>
        <v>10000.03591763197</v>
      </c>
      <c r="L99">
        <f>SUM(L6:L97)</f>
        <v>1833.3403000000012</v>
      </c>
      <c r="M99">
        <f>SUM(M6:M97)</f>
        <v>8943.328414634143</v>
      </c>
    </row>
  </sheetData>
  <sheetProtection sheet="1"/>
  <mergeCells count="1">
    <mergeCell ref="E1:J1"/>
  </mergeCells>
  <pageMargins left="0.42" right="0.75" top="0.44" bottom="0.39" header="0.25" footer="0.25"/>
  <ignoredErrors>
    <ignoredError numberStoredAsText="1" sqref="A1:Q99"/>
  </ignoredErrors>
</worksheet>
</file>

<file path=xl/worksheets/sheet10.xml><?xml version="1.0" encoding="utf-8"?>
<worksheet xmlns="http://schemas.openxmlformats.org/spreadsheetml/2006/main" xmlns:r="http://schemas.openxmlformats.org/officeDocument/2006/relationships">
  <dimension ref="A1:T97"/>
  <sheetViews>
    <sheetView workbookViewId="0" rightToLeft="0"/>
  </sheetViews>
  <sheetData>
    <row r="1">
      <c r="A1" t="str">
        <v>Requerimientos Diarios para:</v>
      </c>
      <c r="H1" t="str">
        <f>Main!E21</f>
        <v>Repollo</v>
      </c>
    </row>
    <row r="2">
      <c r="A2" t="str">
        <v>Esta tabla es de libras por hectárea por Día</v>
      </c>
    </row>
    <row r="3" ht="15.6" customHeight="1">
      <c r="A3" t="str">
        <f>Main!C13</f>
        <v>"Sin Fertilización Base"</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relacion depende del cultivo y estado</v>
      </c>
      <c r="K5">
        <v>0.4</v>
      </c>
      <c r="L5">
        <v>0.45</v>
      </c>
    </row>
    <row r="6">
      <c r="B6">
        <v>1</v>
      </c>
      <c r="C6">
        <v>1</v>
      </c>
      <c r="D6">
        <v>1.6274517650722007</v>
      </c>
      <c r="E6">
        <v>0.48904417577519366</v>
      </c>
      <c r="F6">
        <v>1.954409149606299</v>
      </c>
      <c r="G6">
        <f>(H6/1.39135)*$K$5</f>
        <v>0.3010489904702346</v>
      </c>
      <c r="H6">
        <f>(F6*1.190654)*$L$5</f>
        <v>1.0471612822269023</v>
      </c>
      <c r="I6">
        <v>5.0926</v>
      </c>
      <c r="J6">
        <f>D6/(F6/3.362524)</f>
        <v>2.8</v>
      </c>
      <c r="K6">
        <f>G6/(H6/1.39135)</f>
        <v>0.4</v>
      </c>
      <c r="L6">
        <f>(H6/1.190654)/F6</f>
        <v>0.44999999999999996</v>
      </c>
    </row>
    <row r="7">
      <c r="B7">
        <v>2</v>
      </c>
      <c r="C7">
        <v>1</v>
      </c>
      <c r="D7">
        <v>1.6274517650722007</v>
      </c>
      <c r="E7">
        <v>0.48904417577519366</v>
      </c>
      <c r="F7">
        <v>1.954409149606299</v>
      </c>
      <c r="G7">
        <f>(H7/1.39135)*$K$5</f>
        <v>0.3010489904702346</v>
      </c>
      <c r="H7">
        <f>(F7*1.190654)*$L$5</f>
        <v>1.0471612822269023</v>
      </c>
      <c r="I7">
        <v>5.0926</v>
      </c>
      <c r="J7">
        <f>D7/(F7/3.362524)</f>
        <v>2.8</v>
      </c>
      <c r="K7">
        <f>G7/(H7/1.39135)</f>
        <v>0.4</v>
      </c>
      <c r="L7">
        <f>(H7/1.190654)/F7</f>
        <v>0.44999999999999996</v>
      </c>
    </row>
    <row r="8">
      <c r="B8">
        <v>3</v>
      </c>
      <c r="C8">
        <v>1</v>
      </c>
      <c r="D8">
        <v>1.6274517650722007</v>
      </c>
      <c r="E8">
        <v>0.48904417577519366</v>
      </c>
      <c r="F8">
        <v>1.954409149606299</v>
      </c>
      <c r="G8">
        <f>(H8/1.39135)*$K$5</f>
        <v>0.3010489904702346</v>
      </c>
      <c r="H8">
        <f>(F8*1.190654)*$L$5</f>
        <v>1.0471612822269023</v>
      </c>
      <c r="I8">
        <v>5.0926</v>
      </c>
      <c r="J8">
        <f>D8/(F8/3.362524)</f>
        <v>2.8</v>
      </c>
      <c r="K8">
        <f>G8/(H8/1.39135)</f>
        <v>0.4</v>
      </c>
      <c r="L8">
        <f>(H8/1.190654)/F8</f>
        <v>0.44999999999999996</v>
      </c>
    </row>
    <row r="9">
      <c r="B9">
        <v>4</v>
      </c>
      <c r="C9">
        <v>1</v>
      </c>
      <c r="D9">
        <v>1.6274517650722007</v>
      </c>
      <c r="E9">
        <v>0.48904417577519366</v>
      </c>
      <c r="F9">
        <v>1.954409149606299</v>
      </c>
      <c r="G9">
        <f>(H9/1.39135)*$K$5</f>
        <v>0.3010489904702346</v>
      </c>
      <c r="H9">
        <f>(F9*1.190654)*$L$5</f>
        <v>1.0471612822269023</v>
      </c>
      <c r="I9">
        <v>5.0926</v>
      </c>
      <c r="J9">
        <f>D9/(F9/3.362524)</f>
        <v>2.8</v>
      </c>
      <c r="K9">
        <f>G9/(H9/1.39135)</f>
        <v>0.4</v>
      </c>
      <c r="L9">
        <f>(H9/1.190654)/F9</f>
        <v>0.44999999999999996</v>
      </c>
    </row>
    <row r="10">
      <c r="B10">
        <v>5</v>
      </c>
      <c r="C10">
        <v>1</v>
      </c>
      <c r="D10">
        <v>1.6274517650722007</v>
      </c>
      <c r="E10">
        <v>0.48904417577519366</v>
      </c>
      <c r="F10">
        <v>1.954409149606299</v>
      </c>
      <c r="G10">
        <f>(H10/1.39135)*$K$5</f>
        <v>0.3010489904702346</v>
      </c>
      <c r="H10">
        <f>(F10*1.190654)*$L$5</f>
        <v>1.0471612822269023</v>
      </c>
      <c r="I10">
        <v>5.0926</v>
      </c>
      <c r="J10">
        <f>D10/(F10/3.362524)</f>
        <v>2.8</v>
      </c>
      <c r="K10">
        <f>G10/(H10/1.39135)</f>
        <v>0.4</v>
      </c>
      <c r="L10">
        <f>(H10/1.190654)/F10</f>
        <v>0.44999999999999996</v>
      </c>
    </row>
    <row r="11">
      <c r="B11">
        <v>6</v>
      </c>
      <c r="C11">
        <v>1</v>
      </c>
      <c r="D11">
        <v>1.6274517650722007</v>
      </c>
      <c r="E11">
        <v>0.48904417577519366</v>
      </c>
      <c r="F11">
        <v>1.954409149606299</v>
      </c>
      <c r="G11">
        <f>(H11/1.39135)*$K$5</f>
        <v>0.3010489904702346</v>
      </c>
      <c r="H11">
        <f>(F11*1.190654)*$L$5</f>
        <v>1.0471612822269023</v>
      </c>
      <c r="I11">
        <v>5.0926</v>
      </c>
      <c r="J11">
        <f>D11/(F11/3.362524)</f>
        <v>2.8</v>
      </c>
      <c r="K11">
        <f>G11/(H11/1.39135)</f>
        <v>0.4</v>
      </c>
      <c r="L11">
        <f>(H11/1.190654)/F11</f>
        <v>0.44999999999999996</v>
      </c>
    </row>
    <row r="12">
      <c r="B12">
        <v>7</v>
      </c>
      <c r="C12">
        <v>1</v>
      </c>
      <c r="D12">
        <v>1.6274517650722007</v>
      </c>
      <c r="E12">
        <v>0.48904417577519366</v>
      </c>
      <c r="F12">
        <v>1.954409149606299</v>
      </c>
      <c r="G12">
        <f>(H12/1.39135)*$K$5</f>
        <v>0.3010489904702346</v>
      </c>
      <c r="H12">
        <f>(F12*1.190654)*$L$5</f>
        <v>1.0471612822269023</v>
      </c>
      <c r="I12">
        <v>5.0926</v>
      </c>
      <c r="J12">
        <f>D12/(F12/3.362524)</f>
        <v>2.8</v>
      </c>
      <c r="K12">
        <f>G12/(H12/1.39135)</f>
        <v>0.4</v>
      </c>
      <c r="L12">
        <f>(H12/1.190654)/F12</f>
        <v>0.44999999999999996</v>
      </c>
    </row>
    <row r="13">
      <c r="B13">
        <v>8</v>
      </c>
      <c r="C13">
        <v>2</v>
      </c>
      <c r="D13">
        <v>1.6274517650722007</v>
      </c>
      <c r="E13">
        <v>0.48904417577519366</v>
      </c>
      <c r="F13">
        <v>1.954409149606299</v>
      </c>
      <c r="G13">
        <f>(H13/1.39135)*$K$5</f>
        <v>0.3010489904702346</v>
      </c>
      <c r="H13">
        <f>(F13*1.190654)*$L$5</f>
        <v>1.0471612822269023</v>
      </c>
      <c r="I13">
        <v>5.0926</v>
      </c>
      <c r="J13">
        <f>D13/(F13/3.362524)</f>
        <v>2.8</v>
      </c>
      <c r="K13">
        <f>G13/(H13/1.39135)</f>
        <v>0.4</v>
      </c>
      <c r="L13">
        <f>(H13/1.190654)/F13</f>
        <v>0.44999999999999996</v>
      </c>
    </row>
    <row r="14">
      <c r="B14">
        <v>9</v>
      </c>
      <c r="C14">
        <v>2</v>
      </c>
      <c r="D14">
        <v>1.6274517650722007</v>
      </c>
      <c r="E14">
        <v>0.48904417577519366</v>
      </c>
      <c r="F14">
        <v>1.954409149606299</v>
      </c>
      <c r="G14">
        <f>(H14/1.39135)*$K$5</f>
        <v>0.3010489904702346</v>
      </c>
      <c r="H14">
        <f>(F14*1.190654)*$L$5</f>
        <v>1.0471612822269023</v>
      </c>
      <c r="I14">
        <v>5.0926</v>
      </c>
      <c r="J14">
        <f>D14/(F14/3.362524)</f>
        <v>2.8</v>
      </c>
      <c r="K14">
        <f>G14/(H14/1.39135)</f>
        <v>0.4</v>
      </c>
      <c r="L14">
        <f>(H14/1.190654)/F14</f>
        <v>0.44999999999999996</v>
      </c>
    </row>
    <row r="15">
      <c r="B15">
        <v>10</v>
      </c>
      <c r="C15">
        <v>2</v>
      </c>
      <c r="D15">
        <v>1.6274517650722007</v>
      </c>
      <c r="E15">
        <v>0.48904417577519366</v>
      </c>
      <c r="F15">
        <v>1.954409149606299</v>
      </c>
      <c r="G15">
        <f>(H15/1.39135)*$K$5</f>
        <v>0.3010489904702346</v>
      </c>
      <c r="H15">
        <f>(F15*1.190654)*$L$5</f>
        <v>1.0471612822269023</v>
      </c>
      <c r="I15">
        <v>5.0926</v>
      </c>
      <c r="J15">
        <f>D15/(F15/3.362524)</f>
        <v>2.8</v>
      </c>
      <c r="K15">
        <f>G15/(H15/1.39135)</f>
        <v>0.4</v>
      </c>
      <c r="L15">
        <f>(H15/1.190654)/F15</f>
        <v>0.44999999999999996</v>
      </c>
    </row>
    <row r="16">
      <c r="B16">
        <v>11</v>
      </c>
      <c r="C16">
        <v>2</v>
      </c>
      <c r="D16">
        <v>2.441177647608301</v>
      </c>
      <c r="E16">
        <v>0.7335662636627905</v>
      </c>
      <c r="F16">
        <v>2.9316137244094485</v>
      </c>
      <c r="G16">
        <f>(H16/1.39135)*$K$5</f>
        <v>0.45157348570535194</v>
      </c>
      <c r="H16">
        <f>(F16*1.190654)*$L$5</f>
        <v>1.5707419233403535</v>
      </c>
      <c r="I16">
        <v>9.1667</v>
      </c>
      <c r="J16">
        <f>D16/(F16/3.362524)</f>
        <v>2.8</v>
      </c>
      <c r="K16">
        <f>G16/(H16/1.39135)</f>
        <v>0.4</v>
      </c>
      <c r="L16">
        <f>(H16/1.190654)/F16</f>
        <v>0.45</v>
      </c>
    </row>
    <row r="17">
      <c r="B17">
        <v>12</v>
      </c>
      <c r="C17">
        <v>2</v>
      </c>
      <c r="D17">
        <v>2.441177647608301</v>
      </c>
      <c r="E17">
        <v>0.7335662636627905</v>
      </c>
      <c r="F17">
        <v>2.9316137244094485</v>
      </c>
      <c r="G17">
        <f>(H17/1.39135)*$K$5</f>
        <v>0.45157348570535194</v>
      </c>
      <c r="H17">
        <f>(F17*1.190654)*$L$5</f>
        <v>1.5707419233403535</v>
      </c>
      <c r="I17">
        <v>9.1667</v>
      </c>
      <c r="J17">
        <f>D17/(F17/3.362524)</f>
        <v>2.8</v>
      </c>
      <c r="K17">
        <f>G17/(H17/1.39135)</f>
        <v>0.4</v>
      </c>
      <c r="L17">
        <f>(H17/1.190654)/F17</f>
        <v>0.45</v>
      </c>
    </row>
    <row r="18">
      <c r="B18">
        <v>13</v>
      </c>
      <c r="C18">
        <v>2</v>
      </c>
      <c r="D18">
        <v>2.441177647608301</v>
      </c>
      <c r="E18">
        <v>0.7335662636627905</v>
      </c>
      <c r="F18">
        <v>2.9316137244094485</v>
      </c>
      <c r="G18">
        <f>(H18/1.39135)*$K$5</f>
        <v>0.45157348570535194</v>
      </c>
      <c r="H18">
        <f>(F18*1.190654)*$L$5</f>
        <v>1.5707419233403535</v>
      </c>
      <c r="I18">
        <v>9.1667</v>
      </c>
      <c r="J18">
        <f>D18/(F18/3.362524)</f>
        <v>2.8</v>
      </c>
      <c r="K18">
        <f>G18/(H18/1.39135)</f>
        <v>0.4</v>
      </c>
      <c r="L18">
        <f>(H18/1.190654)/F18</f>
        <v>0.45</v>
      </c>
    </row>
    <row r="19">
      <c r="B19">
        <v>14</v>
      </c>
      <c r="C19">
        <v>2</v>
      </c>
      <c r="D19">
        <v>2.441177647608301</v>
      </c>
      <c r="E19">
        <v>0.7335662636627905</v>
      </c>
      <c r="F19">
        <v>2.9316137244094485</v>
      </c>
      <c r="G19">
        <f>(H19/1.39135)*$K$5</f>
        <v>0.45157348570535194</v>
      </c>
      <c r="H19">
        <f>(F19*1.190654)*$L$5</f>
        <v>1.5707419233403535</v>
      </c>
      <c r="I19">
        <v>9.1667</v>
      </c>
      <c r="J19">
        <f>D19/(F19/3.362524)</f>
        <v>2.8</v>
      </c>
      <c r="K19">
        <f>G19/(H19/1.39135)</f>
        <v>0.4</v>
      </c>
      <c r="L19">
        <f>(H19/1.190654)/F19</f>
        <v>0.45</v>
      </c>
    </row>
    <row r="20">
      <c r="B20">
        <v>15</v>
      </c>
      <c r="C20">
        <v>3</v>
      </c>
      <c r="D20">
        <v>2.26680781563628</v>
      </c>
      <c r="E20">
        <v>0.7335662636627905</v>
      </c>
      <c r="F20">
        <v>2.9316137244094485</v>
      </c>
      <c r="G20">
        <f>(H20/1.39135)*$K$5</f>
        <v>0.45157348570535194</v>
      </c>
      <c r="H20">
        <f>(F20*1.190654)*$L$5</f>
        <v>1.5707419233403535</v>
      </c>
      <c r="I20">
        <v>9.1667</v>
      </c>
      <c r="J20">
        <f>D20/(F20/3.362524)</f>
        <v>2.6</v>
      </c>
      <c r="K20">
        <f>G20/(H20/1.39135)</f>
        <v>0.4</v>
      </c>
      <c r="L20">
        <f>(H20/1.190654)/F20</f>
        <v>0.45</v>
      </c>
    </row>
    <row r="21">
      <c r="B21">
        <v>16</v>
      </c>
      <c r="C21">
        <v>3</v>
      </c>
      <c r="D21">
        <v>2.26680781563628</v>
      </c>
      <c r="E21">
        <v>0.7335662636627905</v>
      </c>
      <c r="F21">
        <v>2.9316137244094485</v>
      </c>
      <c r="G21">
        <f>(H21/1.39135)*$K$5</f>
        <v>0.45157348570535194</v>
      </c>
      <c r="H21">
        <f>(F21*1.190654)*$L$5</f>
        <v>1.5707419233403535</v>
      </c>
      <c r="I21">
        <v>9.1667</v>
      </c>
      <c r="J21">
        <f>D21/(F21/3.362524)</f>
        <v>2.6</v>
      </c>
      <c r="K21">
        <f>G21/(H21/1.39135)</f>
        <v>0.4</v>
      </c>
      <c r="L21">
        <f>(H21/1.190654)/F21</f>
        <v>0.45</v>
      </c>
    </row>
    <row r="22">
      <c r="B22">
        <v>17</v>
      </c>
      <c r="C22">
        <v>3</v>
      </c>
      <c r="D22">
        <v>2.26680781563628</v>
      </c>
      <c r="E22">
        <v>0.7335662636627905</v>
      </c>
      <c r="F22">
        <v>2.9316137244094485</v>
      </c>
      <c r="G22">
        <f>(H22/1.39135)*$K$5</f>
        <v>0.45157348570535194</v>
      </c>
      <c r="H22">
        <f>(F22*1.190654)*$L$5</f>
        <v>1.5707419233403535</v>
      </c>
      <c r="I22">
        <v>9.1667</v>
      </c>
      <c r="J22">
        <f>D22/(F22/3.362524)</f>
        <v>2.6</v>
      </c>
      <c r="K22">
        <f>G22/(H22/1.39135)</f>
        <v>0.4</v>
      </c>
      <c r="L22">
        <f>(H22/1.190654)/F22</f>
        <v>0.45</v>
      </c>
    </row>
    <row r="23">
      <c r="B23">
        <v>18</v>
      </c>
      <c r="C23">
        <v>3</v>
      </c>
      <c r="D23">
        <v>3.022410420848373</v>
      </c>
      <c r="E23">
        <v>0.9780883515503873</v>
      </c>
      <c r="F23">
        <v>3.908818299212598</v>
      </c>
      <c r="G23">
        <f>(H23/1.39135)*$K$5</f>
        <v>0.6020979809404692</v>
      </c>
      <c r="H23">
        <f>(F23*1.190654)*$L$5</f>
        <v>2.0943225644538046</v>
      </c>
      <c r="I23">
        <v>12.2222</v>
      </c>
      <c r="J23">
        <f>D23/(F23/3.362524)</f>
        <v>2.6</v>
      </c>
      <c r="K23">
        <f>G23/(H23/1.39135)</f>
        <v>0.4</v>
      </c>
      <c r="L23">
        <f>(H23/1.190654)/F23</f>
        <v>0.44999999999999996</v>
      </c>
    </row>
    <row r="24">
      <c r="B24">
        <v>19</v>
      </c>
      <c r="C24">
        <v>3</v>
      </c>
      <c r="D24">
        <v>3.022410420848373</v>
      </c>
      <c r="E24">
        <v>0.9780883515503873</v>
      </c>
      <c r="F24">
        <v>3.908818299212598</v>
      </c>
      <c r="G24">
        <f>(H24/1.39135)*$K$5</f>
        <v>0.6020979809404692</v>
      </c>
      <c r="H24">
        <f>(F24*1.190654)*$L$5</f>
        <v>2.0943225644538046</v>
      </c>
      <c r="I24">
        <v>12.2222</v>
      </c>
      <c r="J24">
        <f>D24/(F24/3.362524)</f>
        <v>2.6</v>
      </c>
      <c r="K24">
        <f>G24/(H24/1.39135)</f>
        <v>0.4</v>
      </c>
      <c r="L24">
        <f>(H24/1.190654)/F24</f>
        <v>0.44999999999999996</v>
      </c>
    </row>
    <row r="25">
      <c r="B25">
        <v>20</v>
      </c>
      <c r="C25">
        <v>3</v>
      </c>
      <c r="D25">
        <v>3.022410420848373</v>
      </c>
      <c r="E25">
        <v>0.9780883515503873</v>
      </c>
      <c r="F25">
        <v>3.908818299212598</v>
      </c>
      <c r="G25">
        <f>(H25/1.39135)*$K$5</f>
        <v>0.6020979809404692</v>
      </c>
      <c r="H25">
        <f>(F25*1.190654)*$L$5</f>
        <v>2.0943225644538046</v>
      </c>
      <c r="I25">
        <v>12.2222</v>
      </c>
      <c r="J25">
        <f>D25/(F25/3.362524)</f>
        <v>2.6</v>
      </c>
      <c r="K25">
        <f>G25/(H25/1.39135)</f>
        <v>0.4</v>
      </c>
      <c r="L25">
        <f>(H25/1.190654)/F25</f>
        <v>0.44999999999999996</v>
      </c>
    </row>
    <row r="26">
      <c r="B26">
        <v>21</v>
      </c>
      <c r="C26">
        <v>3</v>
      </c>
      <c r="D26">
        <v>3.022410420848373</v>
      </c>
      <c r="E26">
        <v>0.9780883515503873</v>
      </c>
      <c r="F26">
        <v>3.908818299212598</v>
      </c>
      <c r="G26">
        <f>(H26/1.39135)*$K$5</f>
        <v>0.6020979809404692</v>
      </c>
      <c r="H26">
        <f>(F26*1.190654)*$L$5</f>
        <v>2.0943225644538046</v>
      </c>
      <c r="I26">
        <v>12.2222</v>
      </c>
      <c r="J26">
        <f>D26/(F26/3.362524)</f>
        <v>2.6</v>
      </c>
      <c r="K26">
        <f>G26/(H26/1.39135)</f>
        <v>0.4</v>
      </c>
      <c r="L26">
        <f>(H26/1.190654)/F26</f>
        <v>0.44999999999999996</v>
      </c>
    </row>
    <row r="27">
      <c r="B27">
        <v>22</v>
      </c>
      <c r="C27">
        <v>4</v>
      </c>
      <c r="D27">
        <v>3.022410420848373</v>
      </c>
      <c r="E27">
        <v>0.9780883515503873</v>
      </c>
      <c r="F27">
        <v>3.908818299212598</v>
      </c>
      <c r="G27">
        <f>(H27/1.39135)*$K$5</f>
        <v>0.6020979809404692</v>
      </c>
      <c r="H27">
        <f>(F27*1.190654)*$L$5</f>
        <v>2.0943225644538046</v>
      </c>
      <c r="I27">
        <v>12.2222</v>
      </c>
      <c r="J27">
        <f>D27/(F27/3.362524)</f>
        <v>2.6</v>
      </c>
      <c r="K27">
        <f>G27/(H27/1.39135)</f>
        <v>0.4</v>
      </c>
      <c r="L27">
        <f>(H27/1.190654)/F27</f>
        <v>0.44999999999999996</v>
      </c>
    </row>
    <row r="28">
      <c r="B28">
        <v>23</v>
      </c>
      <c r="C28">
        <v>4</v>
      </c>
      <c r="D28">
        <v>3.022410420848373</v>
      </c>
      <c r="E28">
        <v>0.9780883515503873</v>
      </c>
      <c r="F28">
        <v>3.908818299212598</v>
      </c>
      <c r="G28">
        <f>(H28/1.39135)*$K$5</f>
        <v>0.6020979809404692</v>
      </c>
      <c r="H28">
        <f>(F28*1.190654)*$L$5</f>
        <v>2.0943225644538046</v>
      </c>
      <c r="I28">
        <v>12.2222</v>
      </c>
      <c r="J28">
        <f>D28/(F28/3.362524)</f>
        <v>2.6</v>
      </c>
      <c r="K28">
        <f>G28/(H28/1.39135)</f>
        <v>0.4</v>
      </c>
      <c r="L28">
        <f>(H28/1.190654)/F28</f>
        <v>0.44999999999999996</v>
      </c>
    </row>
    <row r="29">
      <c r="B29">
        <v>24</v>
      </c>
      <c r="C29">
        <v>4</v>
      </c>
      <c r="D29">
        <v>3.022410420848373</v>
      </c>
      <c r="E29">
        <v>0.9780883515503873</v>
      </c>
      <c r="F29">
        <v>3.908818299212598</v>
      </c>
      <c r="G29">
        <f>(H29/1.39135)*$K$5</f>
        <v>0.6020979809404692</v>
      </c>
      <c r="H29">
        <f>(F29*1.190654)*$L$5</f>
        <v>2.0943225644538046</v>
      </c>
      <c r="I29">
        <v>12.2222</v>
      </c>
      <c r="J29">
        <f>D29/(F29/3.362524)</f>
        <v>2.6</v>
      </c>
      <c r="K29">
        <f>G29/(H29/1.39135)</f>
        <v>0.4</v>
      </c>
      <c r="L29">
        <f>(H29/1.190654)/F29</f>
        <v>0.44999999999999996</v>
      </c>
    </row>
    <row r="30">
      <c r="B30">
        <v>25</v>
      </c>
      <c r="C30">
        <v>4</v>
      </c>
      <c r="D30">
        <v>3.022410420848373</v>
      </c>
      <c r="E30">
        <v>0.9780883515503873</v>
      </c>
      <c r="F30">
        <v>3.908818299212598</v>
      </c>
      <c r="G30">
        <f>(H30/1.39135)*$K$5</f>
        <v>0.6020979809404692</v>
      </c>
      <c r="H30">
        <f>(F30*1.190654)*$L$5</f>
        <v>2.0943225644538046</v>
      </c>
      <c r="I30">
        <v>12.2222</v>
      </c>
      <c r="J30">
        <f>D30/(F30/3.362524)</f>
        <v>2.6</v>
      </c>
      <c r="K30">
        <f>G30/(H30/1.39135)</f>
        <v>0.4</v>
      </c>
      <c r="L30">
        <f>(H30/1.190654)/F30</f>
        <v>0.44999999999999996</v>
      </c>
    </row>
    <row r="31">
      <c r="B31">
        <v>26</v>
      </c>
      <c r="C31">
        <v>4</v>
      </c>
      <c r="D31">
        <v>3.022410420848373</v>
      </c>
      <c r="E31">
        <v>0.9780883515503873</v>
      </c>
      <c r="F31">
        <v>3.908818299212598</v>
      </c>
      <c r="G31">
        <f>(H31/1.39135)*$K$5</f>
        <v>0.6020979809404692</v>
      </c>
      <c r="H31">
        <f>(F31*1.190654)*$L$5</f>
        <v>2.0943225644538046</v>
      </c>
      <c r="I31">
        <v>12.2222</v>
      </c>
      <c r="J31">
        <f>D31/(F31/3.362524)</f>
        <v>2.6</v>
      </c>
      <c r="K31">
        <f>G31/(H31/1.39135)</f>
        <v>0.4</v>
      </c>
      <c r="L31">
        <f>(H31/1.190654)/F31</f>
        <v>0.44999999999999996</v>
      </c>
    </row>
    <row r="32">
      <c r="B32">
        <v>27</v>
      </c>
      <c r="C32">
        <v>4</v>
      </c>
      <c r="D32">
        <v>3.022410420848373</v>
      </c>
      <c r="E32">
        <v>0.9780883515503873</v>
      </c>
      <c r="F32">
        <v>3.908818299212598</v>
      </c>
      <c r="G32">
        <f>(H32/1.39135)*$K$5</f>
        <v>0.6020979809404692</v>
      </c>
      <c r="H32">
        <f>(F32*1.190654)*$L$5</f>
        <v>2.0943225644538046</v>
      </c>
      <c r="I32">
        <v>12.2222</v>
      </c>
      <c r="J32">
        <f>D32/(F32/3.362524)</f>
        <v>2.6</v>
      </c>
      <c r="K32">
        <f>G32/(H32/1.39135)</f>
        <v>0.4</v>
      </c>
      <c r="L32">
        <f>(H32/1.190654)/F32</f>
        <v>0.44999999999999996</v>
      </c>
    </row>
    <row r="33">
      <c r="B33">
        <v>28</v>
      </c>
      <c r="C33">
        <v>4</v>
      </c>
      <c r="D33">
        <v>3.022410420848373</v>
      </c>
      <c r="E33">
        <v>0.9780883515503873</v>
      </c>
      <c r="F33">
        <v>3.908818299212598</v>
      </c>
      <c r="G33">
        <f>(H33/1.39135)*$K$5</f>
        <v>0.6020979809404692</v>
      </c>
      <c r="H33">
        <f>(F33*1.190654)*$L$5</f>
        <v>2.0943225644538046</v>
      </c>
      <c r="I33">
        <v>12.2222</v>
      </c>
      <c r="J33">
        <f>D33/(F33/3.362524)</f>
        <v>2.6</v>
      </c>
      <c r="K33">
        <f>G33/(H33/1.39135)</f>
        <v>0.4</v>
      </c>
      <c r="L33">
        <f>(H33/1.190654)/F33</f>
        <v>0.44999999999999996</v>
      </c>
    </row>
    <row r="34">
      <c r="B34">
        <v>29</v>
      </c>
      <c r="C34">
        <v>5</v>
      </c>
      <c r="D34">
        <v>3.022410420848373</v>
      </c>
      <c r="E34">
        <v>0.9780883515503873</v>
      </c>
      <c r="F34">
        <v>3.908818299212598</v>
      </c>
      <c r="G34">
        <f>(H34/1.39135)*$K$5</f>
        <v>0.6020979809404692</v>
      </c>
      <c r="H34">
        <f>(F34*1.190654)*$L$5</f>
        <v>2.0943225644538046</v>
      </c>
      <c r="I34">
        <v>12.2222</v>
      </c>
      <c r="J34">
        <f>D34/(F34/3.362524)</f>
        <v>2.6</v>
      </c>
      <c r="K34">
        <f>G34/(H34/1.39135)</f>
        <v>0.4</v>
      </c>
      <c r="L34">
        <f>(H34/1.190654)/F34</f>
        <v>0.44999999999999996</v>
      </c>
    </row>
    <row r="35">
      <c r="B35">
        <v>30</v>
      </c>
      <c r="C35">
        <v>5</v>
      </c>
      <c r="D35">
        <v>3.022410420848373</v>
      </c>
      <c r="E35">
        <v>0.9780883515503873</v>
      </c>
      <c r="F35">
        <v>3.908818299212598</v>
      </c>
      <c r="G35">
        <f>(H35/1.39135)*$K$5</f>
        <v>0.6020979809404692</v>
      </c>
      <c r="H35">
        <f>(F35*1.190654)*$L$5</f>
        <v>2.0943225644538046</v>
      </c>
      <c r="I35">
        <v>12.2222</v>
      </c>
      <c r="J35">
        <f>D35/(F35/3.362524)</f>
        <v>2.6</v>
      </c>
      <c r="K35">
        <f>G35/(H35/1.39135)</f>
        <v>0.4</v>
      </c>
      <c r="L35">
        <f>(H35/1.190654)/F35</f>
        <v>0.44999999999999996</v>
      </c>
    </row>
    <row r="36">
      <c r="B36">
        <v>31</v>
      </c>
      <c r="C36">
        <v>5</v>
      </c>
      <c r="D36">
        <v>3.022410420848373</v>
      </c>
      <c r="E36">
        <v>0.9780883515503873</v>
      </c>
      <c r="F36">
        <v>3.908818299212598</v>
      </c>
      <c r="G36">
        <f>(H36/1.39135)*$K$5</f>
        <v>0.6020979809404692</v>
      </c>
      <c r="H36">
        <f>(F36*1.190654)*$L$5</f>
        <v>2.0943225644538046</v>
      </c>
      <c r="I36">
        <v>12.2222</v>
      </c>
      <c r="J36">
        <f>D36/(F36/3.362524)</f>
        <v>2.6</v>
      </c>
      <c r="K36">
        <f>G36/(H36/1.39135)</f>
        <v>0.4</v>
      </c>
      <c r="L36">
        <f>(H36/1.190654)/F36</f>
        <v>0.44999999999999996</v>
      </c>
    </row>
    <row r="37">
      <c r="B37">
        <v>32</v>
      </c>
      <c r="C37">
        <v>5</v>
      </c>
      <c r="D37">
        <v>3.022410420848373</v>
      </c>
      <c r="E37">
        <v>0.9780883515503873</v>
      </c>
      <c r="F37">
        <v>3.908818299212598</v>
      </c>
      <c r="G37">
        <f>(H37/1.39135)*$K$5</f>
        <v>0.6020979809404692</v>
      </c>
      <c r="H37">
        <f>(F37*1.190654)*$L$5</f>
        <v>2.0943225644538046</v>
      </c>
      <c r="I37">
        <v>12.2222</v>
      </c>
      <c r="J37">
        <f>D37/(F37/3.362524)</f>
        <v>2.6</v>
      </c>
      <c r="K37">
        <f>G37/(H37/1.39135)</f>
        <v>0.4</v>
      </c>
      <c r="L37">
        <f>(H37/1.190654)/F37</f>
        <v>0.44999999999999996</v>
      </c>
    </row>
    <row r="38">
      <c r="B38">
        <v>33</v>
      </c>
      <c r="C38">
        <v>5</v>
      </c>
      <c r="D38">
        <v>4.53361563127256</v>
      </c>
      <c r="E38">
        <v>1.467132527325581</v>
      </c>
      <c r="F38">
        <v>5.863227448818897</v>
      </c>
      <c r="G38">
        <f>(H38/1.39135)*$K$5</f>
        <v>0.9031469714107039</v>
      </c>
      <c r="H38">
        <f>(F38*1.190654)*$L$5</f>
        <v>3.141483846680707</v>
      </c>
      <c r="I38">
        <v>17.3149</v>
      </c>
      <c r="J38">
        <f>D38/(F38/3.362524)</f>
        <v>2.6</v>
      </c>
      <c r="K38">
        <f>G38/(H38/1.39135)</f>
        <v>0.4</v>
      </c>
      <c r="L38">
        <f>(H38/1.190654)/F38</f>
        <v>0.45</v>
      </c>
    </row>
    <row r="39">
      <c r="B39">
        <v>34</v>
      </c>
      <c r="C39">
        <v>5</v>
      </c>
      <c r="D39">
        <v>4.53361563127256</v>
      </c>
      <c r="E39">
        <v>1.467132527325581</v>
      </c>
      <c r="F39">
        <v>5.863227448818897</v>
      </c>
      <c r="G39">
        <f>(H39/1.39135)*$K$5</f>
        <v>0.9031469714107039</v>
      </c>
      <c r="H39">
        <f>(F39*1.190654)*$L$5</f>
        <v>3.141483846680707</v>
      </c>
      <c r="I39">
        <v>17.3149</v>
      </c>
      <c r="J39">
        <f>D39/(F39/3.362524)</f>
        <v>2.6</v>
      </c>
      <c r="K39">
        <f>G39/(H39/1.39135)</f>
        <v>0.4</v>
      </c>
      <c r="L39">
        <f>(H39/1.190654)/F39</f>
        <v>0.45</v>
      </c>
    </row>
    <row r="40">
      <c r="B40">
        <v>35</v>
      </c>
      <c r="C40">
        <v>5</v>
      </c>
      <c r="D40">
        <v>4.53361563127256</v>
      </c>
      <c r="E40">
        <v>1.467132527325581</v>
      </c>
      <c r="F40">
        <v>5.863227448818897</v>
      </c>
      <c r="G40">
        <f>(H40/1.39135)*$K$5</f>
        <v>0.9031469714107039</v>
      </c>
      <c r="H40">
        <f>(F40*1.190654)*$L$5</f>
        <v>3.141483846680707</v>
      </c>
      <c r="I40">
        <v>17.3149</v>
      </c>
      <c r="J40">
        <f>D40/(F40/3.362524)</f>
        <v>2.6</v>
      </c>
      <c r="K40">
        <f>G40/(H40/1.39135)</f>
        <v>0.4</v>
      </c>
      <c r="L40">
        <f>(H40/1.190654)/F40</f>
        <v>0.45</v>
      </c>
    </row>
    <row r="41">
      <c r="B41">
        <v>36</v>
      </c>
      <c r="C41">
        <v>6</v>
      </c>
      <c r="D41">
        <v>4.184875967328516</v>
      </c>
      <c r="E41">
        <v>1.467132527325581</v>
      </c>
      <c r="F41">
        <v>5.863227448818897</v>
      </c>
      <c r="G41">
        <f>(H41/1.39135)*$K$5</f>
        <v>0.9031469714107039</v>
      </c>
      <c r="H41">
        <f>(F41*1.190654)*$L$5</f>
        <v>3.141483846680707</v>
      </c>
      <c r="I41">
        <v>17.3149</v>
      </c>
      <c r="J41">
        <f>D41/(F41/3.362524)</f>
        <v>2.4</v>
      </c>
      <c r="K41">
        <f>G41/(H41/1.39135)</f>
        <v>0.4</v>
      </c>
      <c r="L41">
        <f>(H41/1.190654)/F41</f>
        <v>0.45</v>
      </c>
    </row>
    <row r="42">
      <c r="B42">
        <v>37</v>
      </c>
      <c r="C42">
        <v>6</v>
      </c>
      <c r="D42">
        <v>4.184875967328516</v>
      </c>
      <c r="E42">
        <v>1.467132527325581</v>
      </c>
      <c r="F42">
        <v>5.863227448818897</v>
      </c>
      <c r="G42">
        <f>(H42/1.39135)*$K$5</f>
        <v>0.9031469714107039</v>
      </c>
      <c r="H42">
        <f>(F42*1.190654)*$L$5</f>
        <v>3.141483846680707</v>
      </c>
      <c r="I42">
        <v>17.3149</v>
      </c>
      <c r="J42">
        <f>D42/(F42/3.362524)</f>
        <v>2.4</v>
      </c>
      <c r="K42">
        <f>G42/(H42/1.39135)</f>
        <v>0.4</v>
      </c>
      <c r="L42">
        <f>(H42/1.190654)/F42</f>
        <v>0.45</v>
      </c>
    </row>
    <row r="43">
      <c r="B43">
        <v>38</v>
      </c>
      <c r="C43">
        <v>6</v>
      </c>
      <c r="D43">
        <v>4.184875967328516</v>
      </c>
      <c r="E43">
        <v>1.467132527325581</v>
      </c>
      <c r="F43">
        <v>5.863227448818897</v>
      </c>
      <c r="G43">
        <f>(H43/1.39135)*$K$5</f>
        <v>0.9031469714107039</v>
      </c>
      <c r="H43">
        <f>(F43*1.190654)*$L$5</f>
        <v>3.141483846680707</v>
      </c>
      <c r="I43">
        <v>17.3149</v>
      </c>
      <c r="J43">
        <f>D43/(F43/3.362524)</f>
        <v>2.4</v>
      </c>
      <c r="K43">
        <f>G43/(H43/1.39135)</f>
        <v>0.4</v>
      </c>
      <c r="L43">
        <f>(H43/1.190654)/F43</f>
        <v>0.45</v>
      </c>
    </row>
    <row r="44">
      <c r="B44">
        <v>39</v>
      </c>
      <c r="C44">
        <v>6</v>
      </c>
      <c r="D44">
        <v>4.184875967328516</v>
      </c>
      <c r="E44">
        <v>1.467132527325581</v>
      </c>
      <c r="F44">
        <v>5.863227448818897</v>
      </c>
      <c r="G44">
        <f>(H44/1.39135)*$K$5</f>
        <v>0.9031469714107039</v>
      </c>
      <c r="H44">
        <f>(F44*1.190654)*$L$5</f>
        <v>3.141483846680707</v>
      </c>
      <c r="I44">
        <v>17.3149</v>
      </c>
      <c r="J44">
        <f>D44/(F44/3.362524)</f>
        <v>2.4</v>
      </c>
      <c r="K44">
        <f>G44/(H44/1.39135)</f>
        <v>0.4</v>
      </c>
      <c r="L44">
        <f>(H44/1.190654)/F44</f>
        <v>0.45</v>
      </c>
    </row>
    <row r="45">
      <c r="B45">
        <v>40</v>
      </c>
      <c r="C45">
        <v>6</v>
      </c>
      <c r="D45">
        <v>4.184875967328516</v>
      </c>
      <c r="E45">
        <v>1.467132527325581</v>
      </c>
      <c r="F45">
        <v>5.863227448818897</v>
      </c>
      <c r="G45">
        <f>(H45/1.39135)*$K$5</f>
        <v>0.9031469714107039</v>
      </c>
      <c r="H45">
        <f>(F45*1.190654)*$L$5</f>
        <v>3.141483846680707</v>
      </c>
      <c r="I45">
        <v>17.3149</v>
      </c>
      <c r="J45">
        <f>D45/(F45/3.362524)</f>
        <v>2.4</v>
      </c>
      <c r="K45">
        <f>G45/(H45/1.39135)</f>
        <v>0.4</v>
      </c>
      <c r="L45">
        <f>(H45/1.190654)/F45</f>
        <v>0.45</v>
      </c>
    </row>
    <row r="46">
      <c r="B46">
        <v>41</v>
      </c>
      <c r="C46">
        <v>6</v>
      </c>
      <c r="D46">
        <v>4.184875967328516</v>
      </c>
      <c r="E46">
        <v>1.467132527325581</v>
      </c>
      <c r="F46">
        <v>5.863227448818897</v>
      </c>
      <c r="G46">
        <f>(H46/1.39135)*$K$5</f>
        <v>0.9031469714107039</v>
      </c>
      <c r="H46">
        <f>(F46*1.190654)*$L$5</f>
        <v>3.141483846680707</v>
      </c>
      <c r="I46">
        <v>17.3149</v>
      </c>
      <c r="J46">
        <f>D46/(F46/3.362524)</f>
        <v>2.4</v>
      </c>
      <c r="K46">
        <f>G46/(H46/1.39135)</f>
        <v>0.4</v>
      </c>
      <c r="L46">
        <f>(H46/1.190654)/F46</f>
        <v>0.45</v>
      </c>
    </row>
    <row r="47">
      <c r="B47">
        <v>42</v>
      </c>
      <c r="C47">
        <v>6</v>
      </c>
      <c r="D47">
        <v>4.184875967328516</v>
      </c>
      <c r="E47">
        <v>1.467132527325581</v>
      </c>
      <c r="F47">
        <v>5.863227448818897</v>
      </c>
      <c r="G47">
        <f>(H47/1.39135)*$K$5</f>
        <v>0.9031469714107039</v>
      </c>
      <c r="H47">
        <f>(F47*1.190654)*$L$5</f>
        <v>3.141483846680707</v>
      </c>
      <c r="I47">
        <v>17.3149</v>
      </c>
      <c r="J47">
        <f>D47/(F47/3.362524)</f>
        <v>2.4</v>
      </c>
      <c r="K47">
        <f>G47/(H47/1.39135)</f>
        <v>0.4</v>
      </c>
      <c r="L47">
        <f>(H47/1.190654)/F47</f>
        <v>0.45</v>
      </c>
    </row>
    <row r="48">
      <c r="B48">
        <v>43</v>
      </c>
      <c r="C48">
        <v>7</v>
      </c>
      <c r="D48">
        <v>4.184875967328516</v>
      </c>
      <c r="E48">
        <v>1.467132527325581</v>
      </c>
      <c r="F48">
        <v>5.863227448818897</v>
      </c>
      <c r="G48">
        <f>(H48/1.39135)*$K$5</f>
        <v>0.9031469714107039</v>
      </c>
      <c r="H48">
        <f>(F48*1.190654)*$L$5</f>
        <v>3.141483846680707</v>
      </c>
      <c r="I48">
        <v>17.3149</v>
      </c>
      <c r="J48">
        <f>D48/(F48/3.362524)</f>
        <v>2.4</v>
      </c>
      <c r="K48">
        <f>G48/(H48/1.39135)</f>
        <v>0.4</v>
      </c>
      <c r="L48">
        <f>(H48/1.190654)/F48</f>
        <v>0.45</v>
      </c>
    </row>
    <row r="49">
      <c r="B49">
        <v>44</v>
      </c>
      <c r="C49">
        <v>7</v>
      </c>
      <c r="D49">
        <v>4.184875967328516</v>
      </c>
      <c r="E49">
        <v>1.467132527325581</v>
      </c>
      <c r="F49">
        <v>5.863227448818897</v>
      </c>
      <c r="G49">
        <f>(H49/1.39135)*$K$5</f>
        <v>0.9031469714107039</v>
      </c>
      <c r="H49">
        <f>(F49*1.190654)*$L$5</f>
        <v>3.141483846680707</v>
      </c>
      <c r="I49">
        <v>17.3149</v>
      </c>
      <c r="J49">
        <f>D49/(F49/3.362524)</f>
        <v>2.4</v>
      </c>
      <c r="K49">
        <f>G49/(H49/1.39135)</f>
        <v>0.4</v>
      </c>
      <c r="L49">
        <f>(H49/1.190654)/F49</f>
        <v>0.45</v>
      </c>
    </row>
    <row r="50">
      <c r="B50">
        <v>45</v>
      </c>
      <c r="C50">
        <v>7</v>
      </c>
      <c r="D50">
        <v>4.184875967328516</v>
      </c>
      <c r="E50">
        <v>1.467132527325581</v>
      </c>
      <c r="F50">
        <v>5.863227448818897</v>
      </c>
      <c r="G50">
        <f>(H50/1.39135)*$K$5</f>
        <v>0.9031469714107039</v>
      </c>
      <c r="H50">
        <f>(F50*1.190654)*$L$5</f>
        <v>3.141483846680707</v>
      </c>
      <c r="I50">
        <v>17.3149</v>
      </c>
      <c r="J50">
        <f>D50/(F50/3.362524)</f>
        <v>2.4</v>
      </c>
      <c r="K50">
        <f>G50/(H50/1.39135)</f>
        <v>0.4</v>
      </c>
      <c r="L50">
        <f>(H50/1.190654)/F50</f>
        <v>0.45</v>
      </c>
    </row>
    <row r="51">
      <c r="B51">
        <v>46</v>
      </c>
      <c r="C51">
        <v>7</v>
      </c>
      <c r="D51">
        <v>4.184875967328516</v>
      </c>
      <c r="E51">
        <v>1.467132527325581</v>
      </c>
      <c r="F51">
        <v>5.863227448818897</v>
      </c>
      <c r="G51">
        <f>(H51/1.39135)*$K$5</f>
        <v>0.9031469714107039</v>
      </c>
      <c r="H51">
        <f>(F51*1.190654)*$L$5</f>
        <v>3.141483846680707</v>
      </c>
      <c r="I51">
        <v>17.3149</v>
      </c>
      <c r="J51">
        <f>D51/(F51/3.362524)</f>
        <v>2.4</v>
      </c>
      <c r="K51">
        <f>G51/(H51/1.39135)</f>
        <v>0.4</v>
      </c>
      <c r="L51">
        <f>(H51/1.190654)/F51</f>
        <v>0.45</v>
      </c>
    </row>
    <row r="52">
      <c r="B52">
        <v>47</v>
      </c>
      <c r="C52">
        <v>7</v>
      </c>
      <c r="D52">
        <v>4.184875967328516</v>
      </c>
      <c r="E52">
        <v>1.467132527325581</v>
      </c>
      <c r="F52">
        <v>5.863227448818897</v>
      </c>
      <c r="G52">
        <f>(H52/1.39135)*$K$5</f>
        <v>0.9031469714107039</v>
      </c>
      <c r="H52">
        <f>(F52*1.190654)*$L$5</f>
        <v>3.141483846680707</v>
      </c>
      <c r="I52">
        <v>17.3149</v>
      </c>
      <c r="J52">
        <f>D52/(F52/3.362524)</f>
        <v>2.4</v>
      </c>
      <c r="K52">
        <f>G52/(H52/1.39135)</f>
        <v>0.4</v>
      </c>
      <c r="L52">
        <f>(H52/1.190654)/F52</f>
        <v>0.45</v>
      </c>
    </row>
    <row r="53">
      <c r="B53">
        <v>48</v>
      </c>
      <c r="C53">
        <v>7</v>
      </c>
      <c r="D53">
        <v>5.579834623104689</v>
      </c>
      <c r="E53">
        <v>1.9561767031007746</v>
      </c>
      <c r="F53">
        <v>7.817636598425196</v>
      </c>
      <c r="G53">
        <f>(H53/1.39135)*$K$5</f>
        <v>1.2041959618809384</v>
      </c>
      <c r="H53">
        <f>(F53*1.190654)*$L$5</f>
        <v>4.188645128907609</v>
      </c>
      <c r="I53">
        <v>23.426</v>
      </c>
      <c r="J53">
        <f>D53/(F53/3.362524)</f>
        <v>2.4</v>
      </c>
      <c r="K53">
        <f>G53/(H53/1.39135)</f>
        <v>0.4</v>
      </c>
      <c r="L53">
        <f>(H53/1.190654)/F53</f>
        <v>0.44999999999999996</v>
      </c>
    </row>
    <row r="54">
      <c r="B54">
        <v>49</v>
      </c>
      <c r="C54">
        <v>7</v>
      </c>
      <c r="D54">
        <v>5.579834623104689</v>
      </c>
      <c r="E54">
        <v>1.9561767031007746</v>
      </c>
      <c r="F54">
        <v>7.817636598425196</v>
      </c>
      <c r="G54">
        <f>(H54/1.39135)*$K$5</f>
        <v>1.2041959618809384</v>
      </c>
      <c r="H54">
        <f>(F54*1.190654)*$L$5</f>
        <v>4.188645128907609</v>
      </c>
      <c r="I54">
        <v>23.426</v>
      </c>
      <c r="J54">
        <f>D54/(F54/3.362524)</f>
        <v>2.4</v>
      </c>
      <c r="K54">
        <f>G54/(H54/1.39135)</f>
        <v>0.4</v>
      </c>
      <c r="L54">
        <f>(H54/1.190654)/F54</f>
        <v>0.44999999999999996</v>
      </c>
    </row>
    <row r="55">
      <c r="B55">
        <v>50</v>
      </c>
      <c r="C55">
        <v>8</v>
      </c>
      <c r="D55">
        <v>5.579834623104689</v>
      </c>
      <c r="E55">
        <v>1.9561767031007746</v>
      </c>
      <c r="F55">
        <v>7.817636598425196</v>
      </c>
      <c r="G55">
        <f>(H55/1.39135)*$K$5</f>
        <v>1.2041959618809384</v>
      </c>
      <c r="H55">
        <f>(F55*1.190654)*$L$5</f>
        <v>4.188645128907609</v>
      </c>
      <c r="I55">
        <v>23.426</v>
      </c>
      <c r="J55">
        <f>D55/(F55/3.362524)</f>
        <v>2.4</v>
      </c>
      <c r="K55">
        <f>G55/(H55/1.39135)</f>
        <v>0.4</v>
      </c>
      <c r="L55">
        <f>(H55/1.190654)/F55</f>
        <v>0.44999999999999996</v>
      </c>
    </row>
    <row r="56">
      <c r="B56">
        <v>51</v>
      </c>
      <c r="C56">
        <v>8</v>
      </c>
      <c r="D56">
        <v>5.579834623104689</v>
      </c>
      <c r="E56">
        <v>1.9561767031007746</v>
      </c>
      <c r="F56">
        <v>7.817636598425196</v>
      </c>
      <c r="G56">
        <f>(H56/1.39135)*$K$5</f>
        <v>1.2041959618809384</v>
      </c>
      <c r="H56">
        <f>(F56*1.190654)*$L$5</f>
        <v>4.188645128907609</v>
      </c>
      <c r="I56">
        <v>23.426</v>
      </c>
      <c r="J56">
        <f>D56/(F56/3.362524)</f>
        <v>2.4</v>
      </c>
      <c r="K56">
        <f>G56/(H56/1.39135)</f>
        <v>0.4</v>
      </c>
      <c r="L56">
        <f>(H56/1.190654)/F56</f>
        <v>0.44999999999999996</v>
      </c>
    </row>
    <row r="57">
      <c r="B57">
        <v>52</v>
      </c>
      <c r="C57">
        <v>8</v>
      </c>
      <c r="D57">
        <v>5.579834623104689</v>
      </c>
      <c r="E57">
        <v>1.9561767031007746</v>
      </c>
      <c r="F57">
        <v>7.817636598425196</v>
      </c>
      <c r="G57">
        <f>(H57/1.39135)*$K$5</f>
        <v>1.2041959618809384</v>
      </c>
      <c r="H57">
        <f>(F57*1.190654)*$L$5</f>
        <v>4.188645128907609</v>
      </c>
      <c r="I57">
        <v>23.426</v>
      </c>
      <c r="J57">
        <f>D57/(F57/3.362524)</f>
        <v>2.4</v>
      </c>
      <c r="K57">
        <f>G57/(H57/1.39135)</f>
        <v>0.4</v>
      </c>
      <c r="L57">
        <f>(H57/1.190654)/F57</f>
        <v>0.44999999999999996</v>
      </c>
    </row>
    <row r="58">
      <c r="B58">
        <v>53</v>
      </c>
      <c r="C58">
        <v>8</v>
      </c>
      <c r="D58">
        <v>5.579834623104689</v>
      </c>
      <c r="E58">
        <v>1.9561767031007746</v>
      </c>
      <c r="F58">
        <v>7.817636598425196</v>
      </c>
      <c r="G58">
        <f>(H58/1.39135)*$K$5</f>
        <v>1.2041959618809384</v>
      </c>
      <c r="H58">
        <f>(F58*1.190654)*$L$5</f>
        <v>4.188645128907609</v>
      </c>
      <c r="I58">
        <v>23.426</v>
      </c>
      <c r="J58">
        <f>D58/(F58/3.362524)</f>
        <v>2.4</v>
      </c>
      <c r="K58">
        <f>G58/(H58/1.39135)</f>
        <v>0.4</v>
      </c>
      <c r="L58">
        <f>(H58/1.190654)/F58</f>
        <v>0.44999999999999996</v>
      </c>
    </row>
    <row r="59">
      <c r="B59">
        <v>54</v>
      </c>
      <c r="C59">
        <v>8</v>
      </c>
      <c r="D59">
        <v>5.579834623104689</v>
      </c>
      <c r="E59">
        <v>1.9561767031007746</v>
      </c>
      <c r="F59">
        <v>7.817636598425196</v>
      </c>
      <c r="G59">
        <f>(H59/1.39135)*$K$5</f>
        <v>1.2041959618809384</v>
      </c>
      <c r="H59">
        <f>(F59*1.190654)*$L$5</f>
        <v>4.188645128907609</v>
      </c>
      <c r="I59">
        <v>23.426</v>
      </c>
      <c r="J59">
        <f>D59/(F59/3.362524)</f>
        <v>2.4</v>
      </c>
      <c r="K59">
        <f>G59/(H59/1.39135)</f>
        <v>0.4</v>
      </c>
      <c r="L59">
        <f>(H59/1.190654)/F59</f>
        <v>0.44999999999999996</v>
      </c>
    </row>
    <row r="60">
      <c r="B60">
        <v>55</v>
      </c>
      <c r="C60">
        <v>8</v>
      </c>
      <c r="D60">
        <v>5.579834623104689</v>
      </c>
      <c r="E60">
        <v>1.9561767031007746</v>
      </c>
      <c r="F60">
        <v>7.817636598425196</v>
      </c>
      <c r="G60">
        <f>(H60/1.39135)*$K$5</f>
        <v>1.2041959618809384</v>
      </c>
      <c r="H60">
        <f>(F60*1.190654)*$L$5</f>
        <v>4.188645128907609</v>
      </c>
      <c r="I60">
        <v>23.426</v>
      </c>
      <c r="J60">
        <f>D60/(F60/3.362524)</f>
        <v>2.4</v>
      </c>
      <c r="K60">
        <f>G60/(H60/1.39135)</f>
        <v>0.4</v>
      </c>
      <c r="L60">
        <f>(H60/1.190654)/F60</f>
        <v>0.44999999999999996</v>
      </c>
    </row>
    <row r="61">
      <c r="B61">
        <v>56</v>
      </c>
      <c r="C61">
        <v>8</v>
      </c>
      <c r="D61">
        <v>5.579834623104689</v>
      </c>
      <c r="E61">
        <v>1.9561767031007746</v>
      </c>
      <c r="F61">
        <v>7.817636598425196</v>
      </c>
      <c r="G61">
        <f>(H61/1.39135)*$K$5</f>
        <v>1.2041959618809384</v>
      </c>
      <c r="H61">
        <f>(F61*1.190654)*$L$5</f>
        <v>4.188645128907609</v>
      </c>
      <c r="I61">
        <v>23.426</v>
      </c>
      <c r="J61">
        <f>D61/(F61/3.362524)</f>
        <v>2.4</v>
      </c>
      <c r="K61">
        <f>G61/(H61/1.39135)</f>
        <v>0.4</v>
      </c>
      <c r="L61">
        <f>(H61/1.190654)/F61</f>
        <v>0.44999999999999996</v>
      </c>
    </row>
    <row r="62">
      <c r="B62">
        <v>57</v>
      </c>
      <c r="C62">
        <v>9</v>
      </c>
      <c r="D62">
        <v>5.34734151380866</v>
      </c>
      <c r="E62">
        <v>1.9561767031007746</v>
      </c>
      <c r="F62">
        <v>7.817636598425196</v>
      </c>
      <c r="G62">
        <f>(H62/1.39135)*$K$5</f>
        <v>1.2041959618809384</v>
      </c>
      <c r="H62">
        <f>(F62*1.190654)*$L$5</f>
        <v>4.188645128907609</v>
      </c>
      <c r="I62">
        <v>23.426</v>
      </c>
      <c r="J62">
        <f>D62/(F62/3.362524)</f>
        <v>2.3</v>
      </c>
      <c r="K62">
        <f>G62/(H62/1.39135)</f>
        <v>0.4</v>
      </c>
      <c r="L62">
        <f>(H62/1.190654)/F62</f>
        <v>0.44999999999999996</v>
      </c>
    </row>
    <row r="63">
      <c r="B63">
        <v>58</v>
      </c>
      <c r="C63">
        <v>9</v>
      </c>
      <c r="D63">
        <v>5.34734151380866</v>
      </c>
      <c r="E63">
        <v>1.9561767031007746</v>
      </c>
      <c r="F63">
        <v>7.817636598425196</v>
      </c>
      <c r="G63">
        <f>(H63/1.39135)*$K$5</f>
        <v>1.2041959618809384</v>
      </c>
      <c r="H63">
        <f>(F63*1.190654)*$L$5</f>
        <v>4.188645128907609</v>
      </c>
      <c r="I63">
        <v>23.426</v>
      </c>
      <c r="J63">
        <f>D63/(F63/3.362524)</f>
        <v>2.3</v>
      </c>
      <c r="K63">
        <f>G63/(H63/1.39135)</f>
        <v>0.4</v>
      </c>
      <c r="L63">
        <f>(H63/1.190654)/F63</f>
        <v>0.44999999999999996</v>
      </c>
    </row>
    <row r="64">
      <c r="B64">
        <v>59</v>
      </c>
      <c r="C64">
        <v>9</v>
      </c>
      <c r="D64">
        <v>5.34734151380866</v>
      </c>
      <c r="E64">
        <v>1.9561767031007746</v>
      </c>
      <c r="F64">
        <v>7.817636598425196</v>
      </c>
      <c r="G64">
        <f>(H64/1.39135)*$K$5</f>
        <v>1.2041959618809384</v>
      </c>
      <c r="H64">
        <f>(F64*1.190654)*$L$5</f>
        <v>4.188645128907609</v>
      </c>
      <c r="I64">
        <v>23.426</v>
      </c>
      <c r="J64">
        <f>D64/(F64/3.362524)</f>
        <v>2.3</v>
      </c>
      <c r="K64">
        <f>G64/(H64/1.39135)</f>
        <v>0.4</v>
      </c>
      <c r="L64">
        <f>(H64/1.190654)/F64</f>
        <v>0.44999999999999996</v>
      </c>
    </row>
    <row r="65">
      <c r="B65">
        <v>60</v>
      </c>
      <c r="C65">
        <v>9</v>
      </c>
      <c r="D65">
        <v>5.34734151380866</v>
      </c>
      <c r="E65">
        <v>1.9561767031007746</v>
      </c>
      <c r="F65">
        <v>7.817636598425196</v>
      </c>
      <c r="G65">
        <f>(H65/1.39135)*$K$5</f>
        <v>1.2041959618809384</v>
      </c>
      <c r="H65">
        <f>(F65*1.190654)*$L$5</f>
        <v>4.188645128907609</v>
      </c>
      <c r="I65">
        <v>23.426</v>
      </c>
      <c r="J65">
        <f>D65/(F65/3.362524)</f>
        <v>2.3</v>
      </c>
      <c r="K65">
        <f>G65/(H65/1.39135)</f>
        <v>0.4</v>
      </c>
      <c r="L65">
        <f>(H65/1.190654)/F65</f>
        <v>0.44999999999999996</v>
      </c>
    </row>
    <row r="66">
      <c r="B66">
        <v>61</v>
      </c>
      <c r="C66">
        <v>9</v>
      </c>
      <c r="D66">
        <v>6.832714156533286</v>
      </c>
      <c r="E66">
        <v>2.6082356041343666</v>
      </c>
      <c r="F66">
        <v>9.989202320209971</v>
      </c>
      <c r="G66">
        <f>(H66/1.39135)*$K$5</f>
        <v>1.5386948401811988</v>
      </c>
      <c r="H66">
        <f>(F66*1.190654)*$L$5</f>
        <v>5.3521576647152775</v>
      </c>
      <c r="I66">
        <v>23.426</v>
      </c>
      <c r="J66">
        <f>D66/(F66/3.362524)</f>
        <v>2.3</v>
      </c>
      <c r="K66">
        <f>G66/(H66/1.39135)</f>
        <v>0.4</v>
      </c>
      <c r="L66">
        <f>(H66/1.190654)/F66</f>
        <v>0.44999999999999996</v>
      </c>
    </row>
    <row r="67">
      <c r="B67">
        <v>62</v>
      </c>
      <c r="C67">
        <v>9</v>
      </c>
      <c r="D67">
        <v>6.832714156533286</v>
      </c>
      <c r="E67">
        <v>2.6082356041343666</v>
      </c>
      <c r="F67">
        <v>9.989202320209971</v>
      </c>
      <c r="G67">
        <f>(H67/1.39135)*$K$5</f>
        <v>1.5386948401811988</v>
      </c>
      <c r="H67">
        <f>(F67*1.190654)*$L$5</f>
        <v>5.3521576647152775</v>
      </c>
      <c r="I67">
        <v>23.426</v>
      </c>
      <c r="J67">
        <f>D67/(F67/3.362524)</f>
        <v>2.3</v>
      </c>
      <c r="K67">
        <f>G67/(H67/1.39135)</f>
        <v>0.4</v>
      </c>
      <c r="L67">
        <f>(H67/1.190654)/F67</f>
        <v>0.44999999999999996</v>
      </c>
    </row>
    <row r="68">
      <c r="B68">
        <v>63</v>
      </c>
      <c r="C68">
        <v>9</v>
      </c>
      <c r="D68">
        <v>8.540892695666606</v>
      </c>
      <c r="E68">
        <v>3.2602945051679586</v>
      </c>
      <c r="F68">
        <v>12.486502900262463</v>
      </c>
      <c r="G68">
        <f>(H68/1.39135)*$K$5</f>
        <v>1.9233685502264988</v>
      </c>
      <c r="H68">
        <f>(F68*1.190654)*$L$5</f>
        <v>6.690197080894097</v>
      </c>
      <c r="I68">
        <v>29.5372</v>
      </c>
      <c r="J68">
        <f>D68/(F68/3.362524)</f>
        <v>2.3</v>
      </c>
      <c r="K68">
        <f>G68/(H68/1.39135)</f>
        <v>0.4</v>
      </c>
      <c r="L68">
        <f>(H68/1.190654)/F68</f>
        <v>0.45</v>
      </c>
    </row>
    <row r="69">
      <c r="B69">
        <v>64</v>
      </c>
      <c r="C69">
        <v>10</v>
      </c>
      <c r="D69">
        <v>8.540892695666606</v>
      </c>
      <c r="E69">
        <v>3.2602945051679586</v>
      </c>
      <c r="F69">
        <v>12.486502900262463</v>
      </c>
      <c r="G69">
        <f>(H69/1.39135)*$K$5</f>
        <v>1.9233685502264988</v>
      </c>
      <c r="H69">
        <f>(F69*1.190654)*$L$5</f>
        <v>6.690197080894097</v>
      </c>
      <c r="I69">
        <v>29.5372</v>
      </c>
      <c r="J69">
        <f>D69/(F69/3.362524)</f>
        <v>2.3</v>
      </c>
      <c r="K69">
        <f>G69/(H69/1.39135)</f>
        <v>0.4</v>
      </c>
      <c r="L69">
        <f>(H69/1.190654)/F69</f>
        <v>0.45</v>
      </c>
    </row>
    <row r="70">
      <c r="B70">
        <v>65</v>
      </c>
      <c r="C70">
        <v>10</v>
      </c>
      <c r="D70">
        <v>8.540892695666606</v>
      </c>
      <c r="E70">
        <v>3.2602945051679586</v>
      </c>
      <c r="F70">
        <v>12.486502900262463</v>
      </c>
      <c r="G70">
        <f>(H70/1.39135)*$K$5</f>
        <v>1.9233685502264988</v>
      </c>
      <c r="H70">
        <f>(F70*1.190654)*$L$5</f>
        <v>6.690197080894097</v>
      </c>
      <c r="I70">
        <v>29.5372</v>
      </c>
      <c r="J70">
        <f>D70/(F70/3.362524)</f>
        <v>2.3</v>
      </c>
      <c r="K70">
        <f>G70/(H70/1.39135)</f>
        <v>0.4</v>
      </c>
      <c r="L70">
        <f>(H70/1.190654)/F70</f>
        <v>0.45</v>
      </c>
    </row>
    <row r="71">
      <c r="B71">
        <v>66</v>
      </c>
      <c r="C71">
        <v>10</v>
      </c>
      <c r="D71">
        <v>8.540892695666606</v>
      </c>
      <c r="E71">
        <v>3.2602945051679586</v>
      </c>
      <c r="F71">
        <v>12.486502900262463</v>
      </c>
      <c r="G71">
        <f>(H71/1.39135)*$K$5</f>
        <v>1.9233685502264988</v>
      </c>
      <c r="H71">
        <f>(F71*1.190654)*$L$5</f>
        <v>6.690197080894097</v>
      </c>
      <c r="I71">
        <v>29.5372</v>
      </c>
      <c r="J71">
        <f>D71/(F71/3.362524)</f>
        <v>2.3</v>
      </c>
      <c r="K71">
        <f>G71/(H71/1.39135)</f>
        <v>0.4</v>
      </c>
      <c r="L71">
        <f>(H71/1.190654)/F71</f>
        <v>0.45</v>
      </c>
    </row>
    <row r="72">
      <c r="B72">
        <v>67</v>
      </c>
      <c r="C72">
        <v>10</v>
      </c>
      <c r="D72">
        <v>8.540892695666606</v>
      </c>
      <c r="E72">
        <v>3.2602945051679586</v>
      </c>
      <c r="F72">
        <v>12.486502900262463</v>
      </c>
      <c r="G72">
        <f>(H72/1.39135)*$K$5</f>
        <v>1.9233685502264988</v>
      </c>
      <c r="H72">
        <f>(F72*1.190654)*$L$5</f>
        <v>6.690197080894097</v>
      </c>
      <c r="I72">
        <v>29.5372</v>
      </c>
      <c r="J72">
        <f>D72/(F72/3.362524)</f>
        <v>2.3</v>
      </c>
      <c r="K72">
        <f>G72/(H72/1.39135)</f>
        <v>0.4</v>
      </c>
      <c r="L72">
        <f>(H72/1.190654)/F72</f>
        <v>0.45</v>
      </c>
    </row>
    <row r="73">
      <c r="B73">
        <v>68</v>
      </c>
      <c r="C73">
        <v>10</v>
      </c>
      <c r="D73">
        <v>8.540892695666606</v>
      </c>
      <c r="E73">
        <v>3.2602945051679586</v>
      </c>
      <c r="F73">
        <v>12.486502900262463</v>
      </c>
      <c r="G73">
        <f>(H73/1.39135)*$K$5</f>
        <v>1.9233685502264988</v>
      </c>
      <c r="H73">
        <f>(F73*1.190654)*$L$5</f>
        <v>6.690197080894097</v>
      </c>
      <c r="I73">
        <v>29.5372</v>
      </c>
      <c r="J73">
        <f>D73/(F73/3.362524)</f>
        <v>2.3</v>
      </c>
      <c r="K73">
        <f>G73/(H73/1.39135)</f>
        <v>0.4</v>
      </c>
      <c r="L73">
        <f>(H73/1.190654)/F73</f>
        <v>0.45</v>
      </c>
    </row>
    <row r="74">
      <c r="B74">
        <v>69</v>
      </c>
      <c r="C74">
        <v>10</v>
      </c>
      <c r="D74">
        <v>8.540892695666606</v>
      </c>
      <c r="E74">
        <v>3.2602945051679586</v>
      </c>
      <c r="F74">
        <v>12.486502900262463</v>
      </c>
      <c r="G74">
        <f>(H74/1.39135)*$K$5</f>
        <v>1.9233685502264988</v>
      </c>
      <c r="H74">
        <f>(F74*1.190654)*$L$5</f>
        <v>6.690197080894097</v>
      </c>
      <c r="I74">
        <v>29.5372</v>
      </c>
      <c r="J74">
        <f>D74/(F74/3.362524)</f>
        <v>2.3</v>
      </c>
      <c r="K74">
        <f>G74/(H74/1.39135)</f>
        <v>0.4</v>
      </c>
      <c r="L74">
        <f>(H74/1.190654)/F74</f>
        <v>0.45</v>
      </c>
    </row>
    <row r="75">
      <c r="B75">
        <v>70</v>
      </c>
      <c r="C75">
        <v>10</v>
      </c>
      <c r="D75">
        <v>8.540892695666606</v>
      </c>
      <c r="E75">
        <v>3.2602945051679586</v>
      </c>
      <c r="F75">
        <v>12.486502900262463</v>
      </c>
      <c r="G75">
        <f>(H75/1.39135)*$K$5</f>
        <v>1.9233685502264988</v>
      </c>
      <c r="H75">
        <f>(F75*1.190654)*$L$5</f>
        <v>6.690197080894097</v>
      </c>
      <c r="I75">
        <v>29.5372</v>
      </c>
      <c r="J75">
        <f>D75/(F75/3.362524)</f>
        <v>2.3</v>
      </c>
      <c r="K75">
        <f>G75/(H75/1.39135)</f>
        <v>0.4</v>
      </c>
      <c r="L75">
        <f>(H75/1.190654)/F75</f>
        <v>0.45</v>
      </c>
    </row>
    <row r="76">
      <c r="B76">
        <v>71</v>
      </c>
      <c r="C76">
        <v>11</v>
      </c>
      <c r="D76">
        <v>7.426863213623137</v>
      </c>
      <c r="E76">
        <v>3.2602945051679586</v>
      </c>
      <c r="F76">
        <v>12.486502900262463</v>
      </c>
      <c r="G76">
        <f>(H76/1.39135)*$K$5</f>
        <v>1.9233685502264988</v>
      </c>
      <c r="H76">
        <f>(F76*1.190654)*$L$5</f>
        <v>6.690197080894097</v>
      </c>
      <c r="I76">
        <v>29.5372</v>
      </c>
      <c r="J76">
        <f>D76/(F76/3.362524)</f>
        <v>2</v>
      </c>
      <c r="K76">
        <f>G76/(H76/1.39135)</f>
        <v>0.4</v>
      </c>
      <c r="L76">
        <f>(H76/1.190654)/F76</f>
        <v>0.45</v>
      </c>
    </row>
    <row r="77">
      <c r="B77">
        <v>72</v>
      </c>
      <c r="C77">
        <v>11</v>
      </c>
      <c r="D77">
        <v>7.426863213623137</v>
      </c>
      <c r="E77">
        <v>3.2602945051679586</v>
      </c>
      <c r="F77">
        <v>12.486502900262463</v>
      </c>
      <c r="G77">
        <f>(H77/1.39135)*$K$5</f>
        <v>1.9233685502264988</v>
      </c>
      <c r="H77">
        <f>(F77*1.190654)*$L$5</f>
        <v>6.690197080894097</v>
      </c>
      <c r="I77">
        <v>29.5372</v>
      </c>
      <c r="J77">
        <f>D77/(F77/3.362524)</f>
        <v>2</v>
      </c>
      <c r="K77">
        <f>G77/(H77/1.39135)</f>
        <v>0.4</v>
      </c>
      <c r="L77">
        <f>(H77/1.190654)/F77</f>
        <v>0.45</v>
      </c>
    </row>
    <row r="78">
      <c r="B78">
        <v>73</v>
      </c>
      <c r="C78">
        <v>11</v>
      </c>
      <c r="D78">
        <v>7.426863213623137</v>
      </c>
      <c r="E78">
        <v>3.2602945051679586</v>
      </c>
      <c r="F78">
        <v>12.486502900262463</v>
      </c>
      <c r="G78">
        <f>(H78/1.39135)*$K$5</f>
        <v>1.9233685502264988</v>
      </c>
      <c r="H78">
        <f>(F78*1.190654)*$L$5</f>
        <v>6.690197080894097</v>
      </c>
      <c r="I78">
        <v>29.5372</v>
      </c>
      <c r="J78">
        <f>D78/(F78/3.362524)</f>
        <v>2</v>
      </c>
      <c r="K78">
        <f>G78/(H78/1.39135)</f>
        <v>0.4</v>
      </c>
      <c r="L78">
        <f>(H78/1.190654)/F78</f>
        <v>0.45</v>
      </c>
    </row>
    <row r="79">
      <c r="B79">
        <v>74</v>
      </c>
      <c r="C79">
        <v>11</v>
      </c>
      <c r="D79">
        <v>7.426863213623137</v>
      </c>
      <c r="E79">
        <v>3.2602945051679586</v>
      </c>
      <c r="F79">
        <v>12.486502900262463</v>
      </c>
      <c r="G79">
        <f>(H79/1.39135)*$K$5</f>
        <v>1.9233685502264988</v>
      </c>
      <c r="H79">
        <f>(F79*1.190654)*$L$5</f>
        <v>6.690197080894097</v>
      </c>
      <c r="I79">
        <v>29.5372</v>
      </c>
      <c r="J79">
        <f>D79/(F79/3.362524)</f>
        <v>2</v>
      </c>
      <c r="K79">
        <f>G79/(H79/1.39135)</f>
        <v>0.4</v>
      </c>
      <c r="L79">
        <f>(H79/1.190654)/F79</f>
        <v>0.45</v>
      </c>
    </row>
    <row r="80">
      <c r="B80">
        <v>75</v>
      </c>
      <c r="C80">
        <v>11</v>
      </c>
      <c r="D80">
        <v>7.426863213623137</v>
      </c>
      <c r="E80">
        <v>3.2602945051679586</v>
      </c>
      <c r="F80">
        <v>12.486502900262463</v>
      </c>
      <c r="G80">
        <f>(H80/1.39135)*$K$5</f>
        <v>1.9233685502264988</v>
      </c>
      <c r="H80">
        <f>(F80*1.190654)*$L$5</f>
        <v>6.690197080894097</v>
      </c>
      <c r="I80">
        <v>29.5372</v>
      </c>
      <c r="J80">
        <f>D80/(F80/3.362524)</f>
        <v>2</v>
      </c>
      <c r="K80">
        <f>G80/(H80/1.39135)</f>
        <v>0.4</v>
      </c>
      <c r="L80">
        <f>(H80/1.190654)/F80</f>
        <v>0.45</v>
      </c>
    </row>
    <row r="81">
      <c r="B81">
        <v>76</v>
      </c>
      <c r="C81">
        <v>11</v>
      </c>
      <c r="D81">
        <v>7.426863213623137</v>
      </c>
      <c r="E81">
        <v>3.2602945051679586</v>
      </c>
      <c r="F81">
        <v>12.486502900262463</v>
      </c>
      <c r="G81">
        <f>(H81/1.39135)*$K$5</f>
        <v>1.9233685502264988</v>
      </c>
      <c r="H81">
        <f>(F81*1.190654)*$L$5</f>
        <v>6.690197080894097</v>
      </c>
      <c r="I81">
        <v>29.5372</v>
      </c>
      <c r="J81">
        <f>D81/(F81/3.362524)</f>
        <v>2</v>
      </c>
      <c r="K81">
        <f>G81/(H81/1.39135)</f>
        <v>0.4</v>
      </c>
      <c r="L81">
        <f>(H81/1.190654)/F81</f>
        <v>0.45</v>
      </c>
    </row>
    <row r="82">
      <c r="B82">
        <v>77</v>
      </c>
      <c r="C82">
        <v>11</v>
      </c>
      <c r="D82">
        <v>7.426863213623137</v>
      </c>
      <c r="E82">
        <v>3.2602945051679586</v>
      </c>
      <c r="F82">
        <v>12.486502900262463</v>
      </c>
      <c r="G82">
        <f>(H82/1.39135)*$K$5</f>
        <v>1.9233685502264988</v>
      </c>
      <c r="H82">
        <f>(F82*1.190654)*$L$5</f>
        <v>6.690197080894097</v>
      </c>
      <c r="I82">
        <v>29.5372</v>
      </c>
      <c r="J82">
        <f>D82/(F82/3.362524)</f>
        <v>2</v>
      </c>
      <c r="K82">
        <f>G82/(H82/1.39135)</f>
        <v>0.4</v>
      </c>
      <c r="L82">
        <f>(H82/1.190654)/F82</f>
        <v>0.45</v>
      </c>
    </row>
    <row r="83">
      <c r="B83">
        <v>78</v>
      </c>
      <c r="C83">
        <v>12</v>
      </c>
      <c r="D83">
        <v>6.684176892260823</v>
      </c>
      <c r="E83">
        <v>3.2602945051679586</v>
      </c>
      <c r="F83">
        <v>12.486502900262463</v>
      </c>
      <c r="G83">
        <f>(H83/1.39135)*$K$5</f>
        <v>1.9233685502264988</v>
      </c>
      <c r="H83">
        <f>(F83*1.190654)*$L$5</f>
        <v>6.690197080894097</v>
      </c>
      <c r="I83">
        <v>29.5372</v>
      </c>
      <c r="J83">
        <f>D83/(F83/3.362524)</f>
        <v>1.8</v>
      </c>
      <c r="K83">
        <f>G83/(H83/1.39135)</f>
        <v>0.4</v>
      </c>
      <c r="L83">
        <f>(H83/1.190654)/F83</f>
        <v>0.45</v>
      </c>
    </row>
    <row r="84">
      <c r="B84">
        <v>79</v>
      </c>
      <c r="C84">
        <v>12</v>
      </c>
      <c r="D84">
        <v>6.684176892260823</v>
      </c>
      <c r="E84">
        <v>3.2602945051679586</v>
      </c>
      <c r="F84">
        <v>12.486502900262463</v>
      </c>
      <c r="G84">
        <f>(H84/1.39135)*$K$5</f>
        <v>1.9233685502264988</v>
      </c>
      <c r="H84">
        <f>(F84*1.190654)*$L$5</f>
        <v>6.690197080894097</v>
      </c>
      <c r="I84">
        <v>29.5372</v>
      </c>
      <c r="J84">
        <f>D84/(F84/3.362524)</f>
        <v>1.8</v>
      </c>
      <c r="K84">
        <f>G84/(H84/1.39135)</f>
        <v>0.4</v>
      </c>
      <c r="L84">
        <f>(H84/1.190654)/F84</f>
        <v>0.45</v>
      </c>
    </row>
    <row r="85">
      <c r="B85">
        <v>80</v>
      </c>
      <c r="C85">
        <v>12</v>
      </c>
      <c r="D85">
        <v>6.684176892260823</v>
      </c>
      <c r="E85">
        <v>3.2602945051679586</v>
      </c>
      <c r="F85">
        <v>12.486502900262463</v>
      </c>
      <c r="G85">
        <f>(H85/1.39135)*$K$5</f>
        <v>1.9233685502264988</v>
      </c>
      <c r="H85">
        <f>(F85*1.190654)*$L$5</f>
        <v>6.690197080894097</v>
      </c>
      <c r="I85">
        <v>29.5372</v>
      </c>
      <c r="J85">
        <f>D85/(F85/3.362524)</f>
        <v>1.8</v>
      </c>
      <c r="K85">
        <f>G85/(H85/1.39135)</f>
        <v>0.4</v>
      </c>
      <c r="L85">
        <f>(H85/1.190654)/F85</f>
        <v>0.45</v>
      </c>
    </row>
    <row r="86">
      <c r="B86">
        <v>81</v>
      </c>
      <c r="C86">
        <v>12</v>
      </c>
      <c r="D86">
        <v>6.684176892260823</v>
      </c>
      <c r="E86">
        <v>3.2602945051679586</v>
      </c>
      <c r="F86">
        <v>12.486502900262463</v>
      </c>
      <c r="G86">
        <f>(H86/1.39135)*$K$5</f>
        <v>1.9233685502264988</v>
      </c>
      <c r="H86">
        <f>(F86*1.190654)*$L$5</f>
        <v>6.690197080894097</v>
      </c>
      <c r="I86">
        <v>35.6483</v>
      </c>
      <c r="J86">
        <f>D86/(F86/3.362524)</f>
        <v>1.8</v>
      </c>
      <c r="K86">
        <f>G86/(H86/1.39135)</f>
        <v>0.4</v>
      </c>
      <c r="L86">
        <f>(H86/1.190654)/F86</f>
        <v>0.45</v>
      </c>
    </row>
    <row r="87">
      <c r="B87">
        <v>82</v>
      </c>
      <c r="C87">
        <v>12</v>
      </c>
      <c r="D87">
        <v>6.684176892260823</v>
      </c>
      <c r="E87">
        <v>3.2602945051679586</v>
      </c>
      <c r="F87">
        <v>12.486502900262463</v>
      </c>
      <c r="G87">
        <f>(H87/1.39135)*$K$5</f>
        <v>1.9233685502264988</v>
      </c>
      <c r="H87">
        <f>(F87*1.190654)*$L$5</f>
        <v>6.690197080894097</v>
      </c>
      <c r="I87">
        <v>35.6483</v>
      </c>
      <c r="J87">
        <f>D87/(F87/3.362524)</f>
        <v>1.8</v>
      </c>
      <c r="K87">
        <f>G87/(H87/1.39135)</f>
        <v>0.4</v>
      </c>
      <c r="L87">
        <f>(H87/1.190654)/F87</f>
        <v>0.45</v>
      </c>
    </row>
    <row r="88">
      <c r="B88">
        <v>83</v>
      </c>
      <c r="C88">
        <v>12</v>
      </c>
      <c r="D88">
        <v>6.684176892260823</v>
      </c>
      <c r="E88">
        <v>3.2602945051679586</v>
      </c>
      <c r="F88">
        <v>12.486502900262463</v>
      </c>
      <c r="G88">
        <f>(H88/1.39135)*$K$5</f>
        <v>1.9233685502264988</v>
      </c>
      <c r="H88">
        <f>(F88*1.190654)*$L$5</f>
        <v>6.690197080894097</v>
      </c>
      <c r="I88">
        <v>35.6483</v>
      </c>
      <c r="J88">
        <f>D88/(F88/3.362524)</f>
        <v>1.8</v>
      </c>
      <c r="K88">
        <f>G88/(H88/1.39135)</f>
        <v>0.4</v>
      </c>
      <c r="L88">
        <f>(H88/1.190654)/F88</f>
        <v>0.45</v>
      </c>
    </row>
    <row r="89">
      <c r="B89">
        <v>84</v>
      </c>
      <c r="C89">
        <v>12</v>
      </c>
      <c r="D89">
        <v>6.684176892260823</v>
      </c>
      <c r="E89">
        <v>3.2602945051679586</v>
      </c>
      <c r="F89">
        <v>12.486502900262463</v>
      </c>
      <c r="G89">
        <f>(H89/1.39135)*$K$5</f>
        <v>1.9233685502264988</v>
      </c>
      <c r="H89">
        <f>(F89*1.190654)*$L$5</f>
        <v>6.690197080894097</v>
      </c>
      <c r="I89">
        <v>35.6483</v>
      </c>
      <c r="J89">
        <f>D89/(F89/3.362524)</f>
        <v>1.8</v>
      </c>
      <c r="K89">
        <f>G89/(H89/1.39135)</f>
        <v>0.4</v>
      </c>
      <c r="L89">
        <f>(H89/1.190654)/F89</f>
        <v>0.45</v>
      </c>
    </row>
    <row r="90">
      <c r="B90">
        <v>85</v>
      </c>
      <c r="C90">
        <v>13</v>
      </c>
      <c r="D90">
        <v>6.3128337315796665</v>
      </c>
      <c r="E90">
        <v>3.2602945051679586</v>
      </c>
      <c r="F90">
        <v>12.486502900262463</v>
      </c>
      <c r="G90">
        <f>(H90/1.39135)*$K$5</f>
        <v>1.9233685502264988</v>
      </c>
      <c r="H90">
        <f>(F90*1.190654)*$L$5</f>
        <v>6.690197080894097</v>
      </c>
      <c r="I90">
        <v>35.6483</v>
      </c>
      <c r="J90">
        <f>D90/(F90/3.362524)</f>
        <v>1.7</v>
      </c>
      <c r="K90">
        <f>G90/(H90/1.39135)</f>
        <v>0.4</v>
      </c>
      <c r="L90">
        <f>(H90/1.190654)/F90</f>
        <v>0.45</v>
      </c>
    </row>
    <row r="91">
      <c r="B91">
        <v>86</v>
      </c>
      <c r="C91">
        <v>13</v>
      </c>
      <c r="D91">
        <v>6.3128337315796665</v>
      </c>
      <c r="E91">
        <v>3.2602945051679586</v>
      </c>
      <c r="F91">
        <v>12.486502900262463</v>
      </c>
      <c r="G91">
        <f>(H91/1.39135)*$K$5</f>
        <v>1.9233685502264988</v>
      </c>
      <c r="H91">
        <f>(F91*1.190654)*$L$5</f>
        <v>6.690197080894097</v>
      </c>
      <c r="I91">
        <v>35.6483</v>
      </c>
      <c r="J91">
        <f>D91/(F91/3.362524)</f>
        <v>1.7</v>
      </c>
      <c r="K91">
        <f>G91/(H91/1.39135)</f>
        <v>0.4</v>
      </c>
      <c r="L91">
        <f>(H91/1.190654)/F91</f>
        <v>0.45</v>
      </c>
    </row>
    <row r="92">
      <c r="B92">
        <v>87</v>
      </c>
      <c r="C92">
        <v>13</v>
      </c>
      <c r="D92">
        <v>6.3128337315796665</v>
      </c>
      <c r="E92">
        <v>3.2602945051679586</v>
      </c>
      <c r="F92">
        <v>12.486502900262463</v>
      </c>
      <c r="G92">
        <f>(H92/1.39135)*$K$5</f>
        <v>1.9233685502264988</v>
      </c>
      <c r="H92">
        <f>(F92*1.190654)*$L$5</f>
        <v>6.690197080894097</v>
      </c>
      <c r="I92">
        <v>35.6483</v>
      </c>
      <c r="J92">
        <f>D92/(F92/3.362524)</f>
        <v>1.7</v>
      </c>
      <c r="K92">
        <f>G92/(H92/1.39135)</f>
        <v>0.4</v>
      </c>
      <c r="L92">
        <f>(H92/1.190654)/F92</f>
        <v>0.45</v>
      </c>
    </row>
    <row r="93">
      <c r="B93">
        <v>88</v>
      </c>
      <c r="C93">
        <v>13</v>
      </c>
      <c r="D93">
        <v>6.3128337315796665</v>
      </c>
      <c r="E93">
        <v>3.2602945051679586</v>
      </c>
      <c r="F93">
        <v>12.486502900262463</v>
      </c>
      <c r="G93">
        <f>(H93/1.39135)*$K$5</f>
        <v>1.9233685502264988</v>
      </c>
      <c r="H93">
        <f>(F93*1.190654)*$L$5</f>
        <v>6.690197080894097</v>
      </c>
      <c r="I93">
        <v>35.6483</v>
      </c>
      <c r="J93">
        <f>D93/(F93/3.362524)</f>
        <v>1.7</v>
      </c>
      <c r="K93">
        <f>G93/(H93/1.39135)</f>
        <v>0.4</v>
      </c>
      <c r="L93">
        <f>(H93/1.190654)/F93</f>
        <v>0.45</v>
      </c>
    </row>
    <row r="94">
      <c r="B94">
        <v>89</v>
      </c>
      <c r="C94">
        <v>13</v>
      </c>
      <c r="D94">
        <v>6.3128337315796665</v>
      </c>
      <c r="E94">
        <v>3.2602945051679586</v>
      </c>
      <c r="F94">
        <v>12.486502900262463</v>
      </c>
      <c r="G94">
        <f>(H94/1.39135)*$K$5</f>
        <v>1.9233685502264988</v>
      </c>
      <c r="H94">
        <f>(F94*1.190654)*$L$5</f>
        <v>6.690197080894097</v>
      </c>
      <c r="I94">
        <v>35.6483</v>
      </c>
      <c r="J94">
        <f>D94/(F94/3.362524)</f>
        <v>1.7</v>
      </c>
      <c r="K94">
        <f>G94/(H94/1.39135)</f>
        <v>0.4</v>
      </c>
      <c r="L94">
        <f>(H94/1.190654)/F94</f>
        <v>0.45</v>
      </c>
    </row>
    <row r="95">
      <c r="B95">
        <v>90</v>
      </c>
      <c r="C95">
        <v>13</v>
      </c>
      <c r="D95">
        <v>6.3128337315796665</v>
      </c>
      <c r="E95">
        <v>3.2602945051679586</v>
      </c>
      <c r="F95">
        <v>12.486502900262463</v>
      </c>
      <c r="G95">
        <f>(H95/1.39135)*$K$5</f>
        <v>1.9233685502264988</v>
      </c>
      <c r="H95">
        <f>(F95*1.190654)*$L$5</f>
        <v>6.690197080894097</v>
      </c>
      <c r="I95">
        <v>35.6483</v>
      </c>
      <c r="J95">
        <f>D95/(F95/3.362524)</f>
        <v>1.7</v>
      </c>
      <c r="K95">
        <f>G95/(H95/1.39135)</f>
        <v>0.4</v>
      </c>
      <c r="L95">
        <f>(H95/1.190654)/F95</f>
        <v>0.45</v>
      </c>
    </row>
    <row r="96">
      <c r="B96">
        <v>91</v>
      </c>
      <c r="C96">
        <v>13</v>
      </c>
      <c r="D96">
        <v>6.3128337315796665</v>
      </c>
      <c r="E96">
        <v>3.2602945051679586</v>
      </c>
      <c r="F96">
        <v>12.486502900262463</v>
      </c>
      <c r="G96">
        <f>(H96/1.39135)*$K$5</f>
        <v>1.9233685502264988</v>
      </c>
      <c r="H96">
        <f>(F96*1.190654)*$L$5</f>
        <v>6.690197080894097</v>
      </c>
      <c r="I96">
        <v>35.6483</v>
      </c>
      <c r="J96">
        <f>D96/(F96/3.362524)</f>
        <v>1.7</v>
      </c>
      <c r="K96">
        <f>G96/(H96/1.39135)</f>
        <v>0.4</v>
      </c>
      <c r="L96">
        <f>(H96/1.190654)/F96</f>
        <v>0.45</v>
      </c>
    </row>
    <row r="97">
      <c r="D97">
        <f>SUM(D6:D96)</f>
        <v>438.56273090637126</v>
      </c>
      <c r="E97">
        <f>SUM(E6:E96)</f>
        <v>171.89902778498072</v>
      </c>
      <c r="F97">
        <f>SUM(F6:F96)</f>
        <v>670.3623383149609</v>
      </c>
      <c r="G97">
        <f>SUM(G6:G96)</f>
        <v>103.25980373129049</v>
      </c>
      <c r="H97">
        <f>SUM(H6:H96)</f>
        <v>359.1763198038277</v>
      </c>
      <c r="I97">
        <f>SUM(I6:I96)</f>
        <v>1833.3403000000012</v>
      </c>
    </row>
  </sheetData>
  <sheetProtection sheet="1"/>
  <mergeCells count="4">
    <mergeCell ref="A2:M2"/>
    <mergeCell ref="A3:M3"/>
    <mergeCell ref="H1:M1"/>
    <mergeCell ref="A5:C5"/>
  </mergeCells>
  <pageMargins left="0.75" right="0.75" top="1" bottom="1" header="0.5" footer="0.5"/>
  <ignoredErrors>
    <ignoredError numberStoredAsText="1" sqref="A1:T97"/>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560</v>
      </c>
      <c r="D4">
        <v>18</v>
      </c>
      <c r="E4">
        <v>46</v>
      </c>
      <c r="F4">
        <v>0</v>
      </c>
      <c r="G4">
        <v>0</v>
      </c>
      <c r="H4">
        <v>0</v>
      </c>
      <c r="I4">
        <v>0</v>
      </c>
      <c r="J4">
        <v>0</v>
      </c>
      <c r="K4" t="str">
        <v>Lbs</v>
      </c>
    </row>
    <row r="5">
      <c r="A5" t="str">
        <v>DAP 21-53-0 Soluble</v>
      </c>
      <c r="B5" t="str">
        <v>21-53-0</v>
      </c>
      <c r="C5">
        <v>750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FofatoMonoPotasico</v>
      </c>
      <c r="B7" t="str">
        <v>0-52-34,</v>
      </c>
      <c r="C7">
        <v>1169</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405</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410</v>
      </c>
      <c r="D14">
        <v>46</v>
      </c>
      <c r="E14">
        <v>0</v>
      </c>
      <c r="F14">
        <v>0</v>
      </c>
      <c r="G14">
        <v>0</v>
      </c>
      <c r="H14">
        <v>0</v>
      </c>
      <c r="I14">
        <v>0</v>
      </c>
      <c r="J14">
        <v>0</v>
      </c>
      <c r="K14" t="str">
        <v>Lbs</v>
      </c>
    </row>
    <row r="15"/>
    <row r="16"/>
    <row r="17"/>
    <row r="19">
      <c r="A19" t="str">
        <v>Kcl</v>
      </c>
      <c r="B19" t="str">
        <v>0-0-60</v>
      </c>
      <c r="C19">
        <v>390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496</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780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2.8</v>
      </c>
      <c r="D50" t="str">
        <v>Lts</v>
      </c>
    </row>
    <row r="51">
      <c r="A51" t="str">
        <v>Azucar</v>
      </c>
      <c r="B51">
        <v>50</v>
      </c>
      <c r="C51">
        <v>5.5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2008-01-23T04:09:25Z</dcterms:modified>
  <cp:lastModifiedBy>Ricardo Lardizabal</cp:lastModifiedBy>
  <cp:lastPrinted>2007-12-18T18:13:51Z</cp:lastPrinted>
  <dc:creator>Ricardo Lardizabal</dc:creator>
  <dc:subject>Chile Jalapeno</dc:subject>
  <dc:title>Fertilization Programs</dc:title>
</cp:coreProperties>
</file>