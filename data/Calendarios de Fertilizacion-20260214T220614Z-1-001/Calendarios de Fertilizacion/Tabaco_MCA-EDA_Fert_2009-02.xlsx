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Preventivos'!E16:F45</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Sem'!$A$1:$S$45</definedName>
    <definedName name="_xlnm.Print_Area" localSheetId="7">'14 Dias'!$A$1:$T$39</definedName>
    <definedName name="_xlnm.Print_Area" localSheetId="5">'2 Por Sem'!$A$1:$S$61</definedName>
    <definedName name="_xlnm.Print_Area" localSheetId="4">'2 Por Sem con Preventivos'!$A$1:$S$61</definedName>
    <definedName name="_xlnm.Print_Area" localSheetId="3">'3 Por Sem'!$A$1:$S$76</definedName>
    <definedName name="_xlnm.Print_Area" localSheetId="2">'Cal-Diario'!$A$1:$S$137</definedName>
    <definedName name="_xlnm.Print_Area" localSheetId="1">'Cal-Diario con Preventivos'!$A$1:$S$137</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Tabaco</v>
      </c>
      <c r="G21" t="str">
        <v>Habano</v>
      </c>
    </row>
    <row r="22" ht="18" customHeight="1">
      <c r="C22" t="str">
        <v>Área en Manzanas</v>
      </c>
      <c r="E22">
        <v>1.43</v>
      </c>
      <c r="F22" t="str">
        <v>Área en Hectáreas</v>
      </c>
      <c r="I22">
        <f>E22*0.7</f>
        <v>1.001</v>
      </c>
    </row>
    <row r="23" ht="18" customHeight="1">
      <c r="C23" t="str">
        <v>Fecha de Siembra:</v>
      </c>
      <c r="E23">
        <v>39814</v>
      </c>
    </row>
    <row r="24">
      <c r="C24" t="str">
        <v>Cosecha - Días DDT:</v>
      </c>
      <c r="E24">
        <v>70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808</v>
      </c>
    </row>
    <row r="35">
      <c r="C35" t="str">
        <v>Potasio</v>
      </c>
      <c r="E35" t="str">
        <v>N</v>
      </c>
      <c r="F35" t="str">
        <v>P2O5</v>
      </c>
      <c r="G35" t="str">
        <v>K2O</v>
      </c>
      <c r="H35" t="str">
        <v>Este cuadro es para el fertilizante usado como fuente de potasio</v>
      </c>
    </row>
    <row r="36">
      <c r="C36" t="str">
        <v>Formula:</v>
      </c>
      <c r="D36" t="str">
        <f>IF(+$D$37&lt;&gt;0,VLOOKUP(+$D$37,Fertilizante1,2,FALSE),"")</f>
        <v>0-0-50</v>
      </c>
      <c r="E36">
        <f>IF(+$D$37&lt;&gt;0,VLOOKUP(+$D$37,Fertilizante1,4,FALSE),"")</f>
        <v>0</v>
      </c>
      <c r="F36">
        <f>IF(+$D$37&lt;&gt;0,VLOOKUP(+$D$37,Fertilizante1,5,FALSE),"")</f>
        <v>0</v>
      </c>
      <c r="G36">
        <f>IF(+$D$37&lt;&gt;0,VLOOKUP(+$D$37,Fertilizante1,6,FALSE),"")</f>
        <v>52</v>
      </c>
    </row>
    <row r="37">
      <c r="C37" t="str">
        <v>Nombre:</v>
      </c>
      <c r="D37" t="str">
        <v>Sulfato de Potasio</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505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477</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850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mergeCells count="60">
    <mergeCell ref="C106:I106"/>
    <mergeCell ref="C85:G85"/>
    <mergeCell ref="C86:G86"/>
    <mergeCell ref="C87:G87"/>
    <mergeCell ref="C100:I100"/>
    <mergeCell ref="C94:M94"/>
    <mergeCell ref="C97:I97"/>
    <mergeCell ref="K88:L88"/>
    <mergeCell ref="H88:I88"/>
    <mergeCell ref="C80:G80"/>
    <mergeCell ref="C82:G82"/>
    <mergeCell ref="C81:G81"/>
    <mergeCell ref="C84:G84"/>
    <mergeCell ref="I50:M51"/>
    <mergeCell ref="C60:D60"/>
    <mergeCell ref="C50:D50"/>
    <mergeCell ref="C55:D55"/>
    <mergeCell ref="C78:M78"/>
    <mergeCell ref="C68:M68"/>
    <mergeCell ref="F74:G74"/>
    <mergeCell ref="F75:G75"/>
    <mergeCell ref="F72:G72"/>
    <mergeCell ref="F73:G73"/>
    <mergeCell ref="F71:G71"/>
    <mergeCell ref="E24:I24"/>
    <mergeCell ref="H30:M31"/>
    <mergeCell ref="H35:M36"/>
    <mergeCell ref="C35:D35"/>
    <mergeCell ref="C30:D30"/>
    <mergeCell ref="C25:D25"/>
    <mergeCell ref="E25:I25"/>
    <mergeCell ref="C45:D45"/>
    <mergeCell ref="C21:D21"/>
    <mergeCell ref="G21:I21"/>
    <mergeCell ref="C23:D23"/>
    <mergeCell ref="C115:I115"/>
    <mergeCell ref="C24:D24"/>
    <mergeCell ref="C28:M28"/>
    <mergeCell ref="C40:D40"/>
    <mergeCell ref="H40:M41"/>
    <mergeCell ref="J45:M46"/>
    <mergeCell ref="C103:I103"/>
    <mergeCell ref="C109:I109"/>
    <mergeCell ref="C112:I112"/>
    <mergeCell ref="C83:G83"/>
    <mergeCell ref="E19:I19"/>
    <mergeCell ref="C18:D18"/>
    <mergeCell ref="E23:I23"/>
    <mergeCell ref="F22:H22"/>
    <mergeCell ref="C19:D19"/>
    <mergeCell ref="C22:D22"/>
    <mergeCell ref="E20:I20"/>
    <mergeCell ref="C20:D20"/>
    <mergeCell ref="E21:F21"/>
    <mergeCell ref="C13:J13"/>
    <mergeCell ref="C15:M15"/>
    <mergeCell ref="E17:I17"/>
    <mergeCell ref="E18:I18"/>
    <mergeCell ref="C17:D17"/>
    <mergeCell ref="C14:J14"/>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38"/>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Tabaco</v>
      </c>
    </row>
    <row r="6" ht="26.25" customHeight="1"/>
    <row r="7" ht="26.25" customHeight="1"/>
    <row r="8" ht="8.4" customHeight="1"/>
    <row r="9" ht="26.25" customHeight="1">
      <c r="A9" t="str">
        <f>Main!$C$13</f>
        <v>"Sin Fertilización Base"</v>
      </c>
      <c r="P9" t="str">
        <f>Main!$G$21</f>
        <v>Habano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39814</v>
      </c>
    </row>
    <row r="14" ht="20.1" customHeight="1">
      <c r="A14" t="str">
        <v>Área Ha.</v>
      </c>
      <c r="C14">
        <f>Main!I22</f>
        <v>1.001</v>
      </c>
      <c r="F14" t="str">
        <v>Fecha de Cosecha:</v>
      </c>
      <c r="I14">
        <f>I13+Main!E24</f>
        <v>39884</v>
      </c>
    </row>
    <row r="15" ht="19.5" customHeight="1"/>
    <row r="16" ht="28.5" customHeight="1">
      <c r="A16" t="str">
        <v>Semana</v>
      </c>
      <c r="B16" t="str">
        <v>DDT</v>
      </c>
      <c r="C16" t="str">
        <v>FECHA</v>
      </c>
      <c r="D16" t="str">
        <v>Seleccioné su opción</v>
      </c>
      <c r="E16" t="str">
        <v>Preventivos</v>
      </c>
      <c r="G16" t="str">
        <f>Main!$D$42</f>
        <v>Urea</v>
      </c>
      <c r="I16" t="str">
        <f>Main!$D$32</f>
        <v>DAP 18-46-0</v>
      </c>
      <c r="K16" t="str">
        <f>Main!$D$37</f>
        <v>Sulfato de Potasio</v>
      </c>
      <c r="M16" t="str">
        <f>Main!$D$47</f>
        <v>Sulfato de Magnesio</v>
      </c>
      <c r="O16" t="str">
        <f>Main!$D$52</f>
        <v>Nitrato de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t="str">
        <f>Main!E57</f>
        <v>Gramos</v>
      </c>
      <c r="R17" t="str">
        <v>Cambios</v>
      </c>
      <c r="S17" t="str">
        <f>Main!$E$61</f>
        <v>Lts</v>
      </c>
    </row>
    <row r="18" ht="18.75" customHeight="1">
      <c r="A18">
        <v>1</v>
      </c>
      <c r="B18">
        <v>1</v>
      </c>
      <c r="C18">
        <f>$I$13+B18</f>
        <v>39815</v>
      </c>
      <c r="E18">
        <f>VLOOKUP(D18,Fertilizantes!$A$49:$E$123,2,FALSE)*$C$14</f>
        <v>0</v>
      </c>
      <c r="F18">
        <f>VLOOKUP(D18,Fertilizantes!$A$49:$E$123,4,FALSE)</f>
        <v>0</v>
      </c>
      <c r="G18">
        <f>IF($C$14*ReDiarioFert!C7&lt;=0,"0",$C$14*ReDiarioFert!C7)</f>
        <v>0.9124565488783126</v>
      </c>
      <c r="I18">
        <f>$C$14*ReDiarioFert!E7</f>
        <v>1.1033095652173912</v>
      </c>
      <c r="K18">
        <f>$C$14*ReDiarioFert!G7</f>
        <v>2.165941555555556</v>
      </c>
      <c r="M18">
        <f>$C$14*ReDiarioFert!I7</f>
        <v>0.9638273820260834</v>
      </c>
      <c r="O18">
        <f>$C$14*ReDiarioFert!K7</f>
        <v>1.9866981155288757</v>
      </c>
      <c r="Q18">
        <f>$C$14*ReDiarioFert!M7</f>
        <v>24.866793170731707</v>
      </c>
      <c r="S18">
        <f>$C$14*Main!$D$63</f>
        <v>20.019999999999996</v>
      </c>
      <c r="T18">
        <f>((G18/100)*$G$127+(I18/100)*$G$128+(K18/100)*$G$129+(M18/100)*$G$130+(O18/100)*$G$131+(Q18)*$G$132+(S18*$G$133)+(E18*(VLOOKUP(D18,Fertilizantes!$A$49:$E$123,3,FALSE))))</f>
        <v>108.95205331321445</v>
      </c>
    </row>
    <row r="19" ht="18.75" customHeight="1">
      <c r="B19">
        <v>2</v>
      </c>
      <c r="C19">
        <f>$I$13+B19</f>
        <v>39816</v>
      </c>
      <c r="E19">
        <f>VLOOKUP(D19,Fertilizantes!$A$49:$E$123,2,FALSE)*$C$14</f>
        <v>0</v>
      </c>
      <c r="F19">
        <f>VLOOKUP(D19,Fertilizantes!$A$49:$E$123,4,FALSE)</f>
        <v>0</v>
      </c>
      <c r="G19">
        <f>IF($C$14*ReDiarioFert!C8&lt;=0,"0",$C$14*ReDiarioFert!C8)</f>
        <v>0.9124565488783126</v>
      </c>
      <c r="I19">
        <f>$C$14*ReDiarioFert!E8</f>
        <v>1.1033095652173912</v>
      </c>
      <c r="K19">
        <f>$C$14*ReDiarioFert!G8</f>
        <v>2.165941555555556</v>
      </c>
      <c r="M19">
        <f>$C$14*ReDiarioFert!I8</f>
        <v>0.9638273820260834</v>
      </c>
      <c r="O19">
        <f>$C$14*ReDiarioFert!K8</f>
        <v>1.9866981155288757</v>
      </c>
      <c r="Q19">
        <f>$C$14*ReDiarioFert!M8</f>
        <v>24.866793170731707</v>
      </c>
      <c r="S19">
        <f>Main!$H$81</f>
        <v>0</v>
      </c>
      <c r="T19">
        <f>((G19/100)*$G$127+(I19/100)*$G$128+(K19/100)*$G$129+(M19/100)*$G$130+(O19/100)*$G$131+(Q19)*$G$132+(S19*$G$133)+(E19*(VLOOKUP(D19,Fertilizantes!$A$49:$E$123,3,FALSE))))</f>
        <v>52.896053313214466</v>
      </c>
    </row>
    <row r="20" ht="18.75" customHeight="1">
      <c r="B20">
        <v>3</v>
      </c>
      <c r="C20">
        <f>$I$13+B20</f>
        <v>39817</v>
      </c>
      <c r="E20">
        <f>VLOOKUP(D20,Fertilizantes!$A$49:$E$123,2,FALSE)*$C$14</f>
        <v>0</v>
      </c>
      <c r="F20">
        <f>VLOOKUP(D20,Fertilizantes!$A$49:$E$123,4,FALSE)</f>
        <v>0</v>
      </c>
      <c r="G20">
        <f>IF($C$14*ReDiarioFert!C9&lt;=0,"0",$C$14*ReDiarioFert!C9)</f>
        <v>0.9124565488783126</v>
      </c>
      <c r="I20">
        <f>$C$14*ReDiarioFert!E9</f>
        <v>1.1033095652173912</v>
      </c>
      <c r="K20">
        <f>$C$14*ReDiarioFert!G9</f>
        <v>2.165941555555556</v>
      </c>
      <c r="M20">
        <f>$C$14*ReDiarioFert!I9</f>
        <v>0.9638273820260834</v>
      </c>
      <c r="O20">
        <f>$C$14*ReDiarioFert!K9</f>
        <v>1.9866981155288757</v>
      </c>
      <c r="Q20">
        <f>$C$14*ReDiarioFert!M9</f>
        <v>24.866793170731707</v>
      </c>
      <c r="T20">
        <f>((G20/100)*$G$127+(I20/100)*$G$128+(K20/100)*$G$129+(M20/100)*$G$130+(O20/100)*$G$131+(Q20)*$G$132+(S20*$G$133)+(E20*(VLOOKUP(D20,Fertilizantes!$A$49:$E$123,3,FALSE))))</f>
        <v>52.896053313214466</v>
      </c>
    </row>
    <row r="21" ht="18.75" customHeight="1">
      <c r="B21">
        <v>4</v>
      </c>
      <c r="C21">
        <f>$I$13+B21</f>
        <v>39818</v>
      </c>
      <c r="E21">
        <f>VLOOKUP(D21,Fertilizantes!$A$49:$E$123,2,FALSE)*$C$14</f>
        <v>0</v>
      </c>
      <c r="F21">
        <f>VLOOKUP(D21,Fertilizantes!$A$49:$E$123,4,FALSE)</f>
        <v>0</v>
      </c>
      <c r="G21">
        <f>IF($C$14*ReDiarioFert!C10&lt;=0,"0",$C$14*ReDiarioFert!C10)</f>
        <v>0.9124565488783126</v>
      </c>
      <c r="I21">
        <f>$C$14*ReDiarioFert!E10</f>
        <v>1.1033095652173912</v>
      </c>
      <c r="K21">
        <f>$C$14*ReDiarioFert!G10</f>
        <v>2.165941555555556</v>
      </c>
      <c r="M21">
        <f>$C$14*ReDiarioFert!I10</f>
        <v>0.9638273820260834</v>
      </c>
      <c r="O21">
        <f>$C$14*ReDiarioFert!K10</f>
        <v>1.9866981155288757</v>
      </c>
      <c r="Q21">
        <f>$C$14*ReDiarioFert!M10</f>
        <v>24.866793170731707</v>
      </c>
      <c r="T21">
        <f>((G21/100)*$G$127+(I21/100)*$G$128+(K21/100)*$G$129+(M21/100)*$G$130+(O21/100)*$G$131+(Q21)*$G$132+(S21*$G$133)+(E21*(VLOOKUP(D21,Fertilizantes!$A$49:$E$123,3,FALSE))))</f>
        <v>52.896053313214466</v>
      </c>
    </row>
    <row r="22" ht="18.75" customHeight="1">
      <c r="B22">
        <v>5</v>
      </c>
      <c r="C22">
        <f>$I$13+B22</f>
        <v>39819</v>
      </c>
      <c r="E22">
        <f>VLOOKUP(D22,Fertilizantes!$A$49:$E$123,2,FALSE)*$C$14</f>
        <v>0</v>
      </c>
      <c r="F22">
        <f>VLOOKUP(D22,Fertilizantes!$A$49:$E$123,4,FALSE)</f>
        <v>0</v>
      </c>
      <c r="G22">
        <f>IF($C$14*ReDiarioFert!C11&lt;=0,"0",$C$14*ReDiarioFert!C11)</f>
        <v>0.9124565488783126</v>
      </c>
      <c r="I22">
        <f>$C$14*ReDiarioFert!E11</f>
        <v>1.1033095652173912</v>
      </c>
      <c r="K22">
        <f>$C$14*ReDiarioFert!G11</f>
        <v>2.165941555555556</v>
      </c>
      <c r="M22">
        <f>$C$14*ReDiarioFert!I11</f>
        <v>0.9638273820260834</v>
      </c>
      <c r="O22">
        <f>$C$14*ReDiarioFert!K11</f>
        <v>1.9866981155288757</v>
      </c>
      <c r="Q22">
        <f>$C$14*ReDiarioFert!M11</f>
        <v>24.866793170731707</v>
      </c>
      <c r="T22">
        <f>((G22/100)*$G$127+(I22/100)*$G$128+(K22/100)*$G$129+(M22/100)*$G$130+(O22/100)*$G$131+(Q22)*$G$132+(S22*$G$133)+(E22*(VLOOKUP(D22,Fertilizantes!$A$49:$E$123,3,FALSE))))</f>
        <v>52.896053313214466</v>
      </c>
    </row>
    <row r="23" ht="18.75" customHeight="1">
      <c r="B23">
        <v>6</v>
      </c>
      <c r="C23">
        <f>$I$13+B23</f>
        <v>39820</v>
      </c>
      <c r="E23">
        <f>VLOOKUP(D23,Fertilizantes!$A$49:$E$123,2,FALSE)*$C$14</f>
        <v>0</v>
      </c>
      <c r="F23">
        <f>VLOOKUP(D23,Fertilizantes!$A$49:$E$123,4,FALSE)</f>
        <v>0</v>
      </c>
      <c r="G23">
        <f>IF($C$14*ReDiarioFert!C12&lt;=0,"0",$C$14*ReDiarioFert!C12)</f>
        <v>0.9124565488783126</v>
      </c>
      <c r="I23">
        <f>$C$14*ReDiarioFert!E12</f>
        <v>1.1033095652173912</v>
      </c>
      <c r="K23">
        <f>$C$14*ReDiarioFert!G12</f>
        <v>2.165941555555556</v>
      </c>
      <c r="M23">
        <f>$C$14*ReDiarioFert!I12</f>
        <v>0.9638273820260834</v>
      </c>
      <c r="O23">
        <f>$C$14*ReDiarioFert!K12</f>
        <v>1.9866981155288757</v>
      </c>
      <c r="Q23">
        <f>$C$14*ReDiarioFert!M12</f>
        <v>24.866793170731707</v>
      </c>
      <c r="T23">
        <f>((G23/100)*$G$127+(I23/100)*$G$128+(K23/100)*$G$129+(M23/100)*$G$130+(O23/100)*$G$131+(Q23)*$G$132+(S23*$G$133)+(E23*(VLOOKUP(D23,Fertilizantes!$A$49:$E$123,3,FALSE))))</f>
        <v>52.896053313214466</v>
      </c>
    </row>
    <row r="24" ht="18.75" customHeight="1">
      <c r="B24">
        <v>7</v>
      </c>
      <c r="C24">
        <f>$I$13+B24</f>
        <v>39821</v>
      </c>
      <c r="E24">
        <f>VLOOKUP(D24,Fertilizantes!$A$49:$E$123,2,FALSE)*$C$14</f>
        <v>0</v>
      </c>
      <c r="F24">
        <f>VLOOKUP(D24,Fertilizantes!$A$49:$E$123,4,FALSE)</f>
        <v>0</v>
      </c>
      <c r="G24">
        <f>IF($C$14*ReDiarioFert!C13&lt;=0,"0",$C$14*ReDiarioFert!C13)</f>
        <v>0.9124565488783126</v>
      </c>
      <c r="I24">
        <f>$C$14*ReDiarioFert!E13</f>
        <v>1.1033095652173912</v>
      </c>
      <c r="K24">
        <f>$C$14*ReDiarioFert!G13</f>
        <v>2.165941555555556</v>
      </c>
      <c r="M24">
        <f>$C$14*ReDiarioFert!I13</f>
        <v>0.9638273820260834</v>
      </c>
      <c r="O24">
        <f>$C$14*ReDiarioFert!K13</f>
        <v>1.9866981155288757</v>
      </c>
      <c r="Q24">
        <f>$C$14*ReDiarioFert!M13</f>
        <v>24.866793170731707</v>
      </c>
      <c r="T24">
        <f>((G24/100)*$G$127+(I24/100)*$G$128+(K24/100)*$G$129+(M24/100)*$G$130+(O24/100)*$G$131+(Q24)*$G$132+(S24*$G$133)+(E24*(VLOOKUP(D24,Fertilizantes!$A$49:$E$123,3,FALSE))))</f>
        <v>52.896053313214466</v>
      </c>
    </row>
    <row r="25">
      <c r="A25">
        <v>2</v>
      </c>
      <c r="B25">
        <v>8</v>
      </c>
      <c r="C25">
        <f>$I$13+B25</f>
        <v>39822</v>
      </c>
      <c r="E25">
        <f>VLOOKUP(D25,Fertilizantes!$A$49:$E$123,2,FALSE)*$C$14</f>
        <v>0</v>
      </c>
      <c r="F25">
        <f>VLOOKUP(D25,Fertilizantes!$A$49:$E$123,4,FALSE)</f>
        <v>0</v>
      </c>
      <c r="G25">
        <f>IF($C$14*ReDiarioFert!C14&lt;=0,"0",$C$14*ReDiarioFert!C14)</f>
        <v>0.9124565488783126</v>
      </c>
      <c r="I25">
        <f>$C$14*ReDiarioFert!E14</f>
        <v>1.1033095652173912</v>
      </c>
      <c r="K25">
        <f>$C$14*ReDiarioFert!G14</f>
        <v>2.165941555555556</v>
      </c>
      <c r="M25">
        <f>$C$14*ReDiarioFert!I14</f>
        <v>0.9638273820260834</v>
      </c>
      <c r="O25">
        <f>$C$14*ReDiarioFert!K14</f>
        <v>1.9866981155288757</v>
      </c>
      <c r="Q25">
        <f>$C$14*ReDiarioFert!M14</f>
        <v>24.866793170731707</v>
      </c>
      <c r="S25">
        <f>$C$14*Main!$D$63</f>
        <v>20.019999999999996</v>
      </c>
      <c r="T25">
        <f>((G25/100)*$G$127+(I25/100)*$G$128+(K25/100)*$G$129+(M25/100)*$G$130+(O25/100)*$G$131+(Q25)*$G$132+(S25*$G$133)+(E25*(VLOOKUP(D25,Fertilizantes!$A$49:$E$123,3,FALSE))))</f>
        <v>108.95205331321445</v>
      </c>
    </row>
    <row r="26">
      <c r="B26">
        <v>9</v>
      </c>
      <c r="C26">
        <f>$I$13+B26</f>
        <v>39823</v>
      </c>
      <c r="E26">
        <f>VLOOKUP(D26,Fertilizantes!$A$49:$E$123,2,FALSE)*$C$14</f>
        <v>0</v>
      </c>
      <c r="F26">
        <f>VLOOKUP(D26,Fertilizantes!$A$49:$E$123,4,FALSE)</f>
        <v>0</v>
      </c>
      <c r="G26">
        <f>IF($C$14*ReDiarioFert!C15&lt;=0,"0",$C$14*ReDiarioFert!C15)</f>
        <v>0.9124565488783126</v>
      </c>
      <c r="I26">
        <f>$C$14*ReDiarioFert!E15</f>
        <v>1.1033095652173912</v>
      </c>
      <c r="K26">
        <f>$C$14*ReDiarioFert!G15</f>
        <v>2.165941555555556</v>
      </c>
      <c r="M26">
        <f>$C$14*ReDiarioFert!I15</f>
        <v>0.9638273820260834</v>
      </c>
      <c r="O26">
        <f>$C$14*ReDiarioFert!K15</f>
        <v>1.9866981155288757</v>
      </c>
      <c r="Q26">
        <f>$C$14*ReDiarioFert!M15</f>
        <v>24.866793170731707</v>
      </c>
      <c r="T26">
        <f>((G26/100)*$G$127+(I26/100)*$G$128+(K26/100)*$G$129+(M26/100)*$G$130+(O26/100)*$G$131+(Q26)*$G$132+(S26*$G$133)+(E26*(VLOOKUP(D26,Fertilizantes!$A$49:$E$123,3,FALSE))))</f>
        <v>52.896053313214466</v>
      </c>
    </row>
    <row r="27">
      <c r="B27">
        <v>10</v>
      </c>
      <c r="C27">
        <f>$I$13+B27</f>
        <v>39824</v>
      </c>
      <c r="E27">
        <f>VLOOKUP(D27,Fertilizantes!$A$49:$E$123,2,FALSE)*$C$14</f>
        <v>0</v>
      </c>
      <c r="F27">
        <f>VLOOKUP(D27,Fertilizantes!$A$49:$E$123,4,FALSE)</f>
        <v>0</v>
      </c>
      <c r="G27">
        <f>IF($C$14*ReDiarioFert!C16&lt;=0,"0",$C$14*ReDiarioFert!C16)</f>
        <v>0.9124565488783126</v>
      </c>
      <c r="I27">
        <f>$C$14*ReDiarioFert!E16</f>
        <v>1.1033095652173912</v>
      </c>
      <c r="K27">
        <f>$C$14*ReDiarioFert!G16</f>
        <v>2.165941555555556</v>
      </c>
      <c r="M27">
        <f>$C$14*ReDiarioFert!I16</f>
        <v>0.9638273820260834</v>
      </c>
      <c r="O27">
        <f>$C$14*ReDiarioFert!K16</f>
        <v>1.9866981155288757</v>
      </c>
      <c r="Q27">
        <f>$C$14*ReDiarioFert!M16</f>
        <v>24.866793170731707</v>
      </c>
      <c r="S27">
        <f>Main!$H$82</f>
        <v>0</v>
      </c>
      <c r="T27">
        <f>((G27/100)*$G$127+(I27/100)*$G$128+(K27/100)*$G$129+(M27/100)*$G$130+(O27/100)*$G$131+(Q27)*$G$132+(S27*$G$133)+(E27*(VLOOKUP(D27,Fertilizantes!$A$49:$E$123,3,FALSE))))</f>
        <v>52.896053313214466</v>
      </c>
    </row>
    <row r="28">
      <c r="B28">
        <v>11</v>
      </c>
      <c r="C28">
        <f>$I$13+B28</f>
        <v>39825</v>
      </c>
      <c r="E28">
        <f>VLOOKUP(D28,Fertilizantes!$A$49:$E$123,2,FALSE)*$C$14</f>
        <v>0</v>
      </c>
      <c r="F28">
        <f>VLOOKUP(D28,Fertilizantes!$A$49:$E$123,4,FALSE)</f>
        <v>0</v>
      </c>
      <c r="G28">
        <f>IF($C$14*ReDiarioFert!C17&lt;=0,"0",$C$14*ReDiarioFert!C17)</f>
        <v>1.368684823317469</v>
      </c>
      <c r="I28">
        <f>$C$14*ReDiarioFert!E17</f>
        <v>1.6549643478260867</v>
      </c>
      <c r="K28">
        <f>$C$14*ReDiarioFert!G17</f>
        <v>3.248912333333333</v>
      </c>
      <c r="M28">
        <f>$C$14*ReDiarioFert!I17</f>
        <v>1.4457410730391254</v>
      </c>
      <c r="O28">
        <f>$C$14*ReDiarioFert!K17</f>
        <v>2.980047173293314</v>
      </c>
      <c r="Q28">
        <f>$C$14*ReDiarioFert!M17</f>
        <v>44.76032536585365</v>
      </c>
      <c r="T28">
        <f>((G28/100)*$G$127+(I28/100)*$G$128+(K28/100)*$G$129+(M28/100)*$G$130+(O28/100)*$G$131+(Q28)*$G$132+(S28*$G$133)+(E28*(VLOOKUP(D28,Fertilizantes!$A$49:$E$123,3,FALSE))))</f>
        <v>79.64248539421195</v>
      </c>
    </row>
    <row r="29">
      <c r="B29">
        <v>12</v>
      </c>
      <c r="C29">
        <f>$I$13+B29</f>
        <v>39826</v>
      </c>
      <c r="E29">
        <f>VLOOKUP(D29,Fertilizantes!$A$49:$E$123,2,FALSE)*$C$14</f>
        <v>0</v>
      </c>
      <c r="F29">
        <f>VLOOKUP(D29,Fertilizantes!$A$49:$E$123,4,FALSE)</f>
        <v>0</v>
      </c>
      <c r="G29">
        <f>IF($C$14*ReDiarioFert!C18&lt;=0,"0",$C$14*ReDiarioFert!C18)</f>
        <v>1.368684823317469</v>
      </c>
      <c r="I29">
        <f>$C$14*ReDiarioFert!E18</f>
        <v>1.6549643478260867</v>
      </c>
      <c r="K29">
        <f>$C$14*ReDiarioFert!G18</f>
        <v>3.248912333333333</v>
      </c>
      <c r="M29">
        <f>$C$14*ReDiarioFert!I18</f>
        <v>1.4457410730391254</v>
      </c>
      <c r="O29">
        <f>$C$14*ReDiarioFert!K18</f>
        <v>2.980047173293314</v>
      </c>
      <c r="Q29">
        <f>$C$14*ReDiarioFert!M18</f>
        <v>44.76032536585365</v>
      </c>
      <c r="T29">
        <f>((G29/100)*$G$127+(I29/100)*$G$128+(K29/100)*$G$129+(M29/100)*$G$130+(O29/100)*$G$131+(Q29)*$G$132+(S29*$G$133)+(E29*(VLOOKUP(D29,Fertilizantes!$A$49:$E$123,3,FALSE))))</f>
        <v>79.64248539421195</v>
      </c>
    </row>
    <row r="30">
      <c r="B30">
        <v>13</v>
      </c>
      <c r="C30">
        <f>$I$13+B30</f>
        <v>39827</v>
      </c>
      <c r="E30">
        <f>VLOOKUP(D30,Fertilizantes!$A$49:$E$123,2,FALSE)*$C$14</f>
        <v>0</v>
      </c>
      <c r="F30">
        <f>VLOOKUP(D30,Fertilizantes!$A$49:$E$123,4,FALSE)</f>
        <v>0</v>
      </c>
      <c r="G30">
        <f>IF($C$14*ReDiarioFert!C19&lt;=0,"0",$C$14*ReDiarioFert!C19)</f>
        <v>1.368684823317469</v>
      </c>
      <c r="I30">
        <f>$C$14*ReDiarioFert!E19</f>
        <v>1.6549643478260867</v>
      </c>
      <c r="K30">
        <f>$C$14*ReDiarioFert!G19</f>
        <v>3.248912333333333</v>
      </c>
      <c r="M30">
        <f>$C$14*ReDiarioFert!I19</f>
        <v>1.4457410730391254</v>
      </c>
      <c r="O30">
        <f>$C$14*ReDiarioFert!K19</f>
        <v>2.980047173293314</v>
      </c>
      <c r="Q30">
        <f>$C$14*ReDiarioFert!M19</f>
        <v>44.76032536585365</v>
      </c>
      <c r="T30">
        <f>((G30/100)*$G$127+(I30/100)*$G$128+(K30/100)*$G$129+(M30/100)*$G$130+(O30/100)*$G$131+(Q30)*$G$132+(S30*$G$133)+(E30*(VLOOKUP(D30,Fertilizantes!$A$49:$E$123,3,FALSE))))</f>
        <v>79.64248539421195</v>
      </c>
    </row>
    <row r="31">
      <c r="B31">
        <v>14</v>
      </c>
      <c r="C31">
        <f>$I$13+B31</f>
        <v>39828</v>
      </c>
      <c r="E31">
        <f>VLOOKUP(D31,Fertilizantes!$A$49:$E$123,2,FALSE)*$C$14</f>
        <v>0</v>
      </c>
      <c r="F31">
        <f>VLOOKUP(D31,Fertilizantes!$A$49:$E$123,4,FALSE)</f>
        <v>0</v>
      </c>
      <c r="G31">
        <f>IF($C$14*ReDiarioFert!C20&lt;=0,"0",$C$14*ReDiarioFert!C20)</f>
        <v>1.368684823317469</v>
      </c>
      <c r="I31">
        <f>$C$14*ReDiarioFert!E20</f>
        <v>1.6549643478260867</v>
      </c>
      <c r="K31">
        <f>$C$14*ReDiarioFert!G20</f>
        <v>3.248912333333333</v>
      </c>
      <c r="M31">
        <f>$C$14*ReDiarioFert!I20</f>
        <v>1.4457410730391254</v>
      </c>
      <c r="O31">
        <f>$C$14*ReDiarioFert!K20</f>
        <v>2.980047173293314</v>
      </c>
      <c r="Q31">
        <f>$C$14*ReDiarioFert!M20</f>
        <v>44.76032536585365</v>
      </c>
      <c r="T31">
        <f>((G31/100)*$G$127+(I31/100)*$G$128+(K31/100)*$G$129+(M31/100)*$G$130+(O31/100)*$G$131+(Q31)*$G$132+(S31*$G$133)+(E31*(VLOOKUP(D31,Fertilizantes!$A$49:$E$123,3,FALSE))))</f>
        <v>79.64248539421195</v>
      </c>
    </row>
    <row r="32">
      <c r="A32">
        <v>3</v>
      </c>
      <c r="B32">
        <v>15</v>
      </c>
      <c r="C32">
        <f>$I$13+B32</f>
        <v>39829</v>
      </c>
      <c r="E32">
        <f>VLOOKUP(D32,Fertilizantes!$A$49:$E$123,2,FALSE)*$C$14</f>
        <v>0</v>
      </c>
      <c r="F32">
        <f>VLOOKUP(D32,Fertilizantes!$A$49:$E$123,4,FALSE)</f>
        <v>0</v>
      </c>
      <c r="G32">
        <f>IF($C$14*ReDiarioFert!C21&lt;=0,"0",$C$14*ReDiarioFert!C21)</f>
        <v>1.368684823317469</v>
      </c>
      <c r="I32">
        <f>$C$14*ReDiarioFert!E21</f>
        <v>1.6549643478260867</v>
      </c>
      <c r="K32">
        <f>$C$14*ReDiarioFert!G21</f>
        <v>3.248912333333333</v>
      </c>
      <c r="M32">
        <f>$C$14*ReDiarioFert!I21</f>
        <v>1.4457410730391254</v>
      </c>
      <c r="O32">
        <f>$C$14*ReDiarioFert!K21</f>
        <v>2.980047173293314</v>
      </c>
      <c r="Q32">
        <f>$C$14*ReDiarioFert!M21</f>
        <v>44.76032536585365</v>
      </c>
      <c r="S32">
        <f>$C$14*Main!$D$63</f>
        <v>20.019999999999996</v>
      </c>
      <c r="T32">
        <f>((G32/100)*$G$127+(I32/100)*$G$128+(K32/100)*$G$129+(M32/100)*$G$130+(O32/100)*$G$131+(Q32)*$G$132+(S32*$G$133)+(E32*(VLOOKUP(D32,Fertilizantes!$A$49:$E$123,3,FALSE))))</f>
        <v>135.69848539421193</v>
      </c>
    </row>
    <row r="33">
      <c r="B33">
        <v>16</v>
      </c>
      <c r="C33">
        <f>$I$13+B33</f>
        <v>39830</v>
      </c>
      <c r="E33">
        <f>VLOOKUP(D33,Fertilizantes!$A$49:$E$123,2,FALSE)*$C$14</f>
        <v>0</v>
      </c>
      <c r="F33">
        <f>VLOOKUP(D33,Fertilizantes!$A$49:$E$123,4,FALSE)</f>
        <v>0</v>
      </c>
      <c r="G33">
        <f>IF($C$14*ReDiarioFert!C22&lt;=0,"0",$C$14*ReDiarioFert!C22)</f>
        <v>1.368684823317469</v>
      </c>
      <c r="I33">
        <f>$C$14*ReDiarioFert!E22</f>
        <v>1.6549643478260867</v>
      </c>
      <c r="K33">
        <f>$C$14*ReDiarioFert!G22</f>
        <v>3.248912333333333</v>
      </c>
      <c r="M33">
        <f>$C$14*ReDiarioFert!I22</f>
        <v>1.4457410730391254</v>
      </c>
      <c r="O33">
        <f>$C$14*ReDiarioFert!K22</f>
        <v>2.980047173293314</v>
      </c>
      <c r="Q33">
        <f>$C$14*ReDiarioFert!M22</f>
        <v>44.76032536585365</v>
      </c>
      <c r="T33">
        <f>((G33/100)*$G$127+(I33/100)*$G$128+(K33/100)*$G$129+(M33/100)*$G$130+(O33/100)*$G$131+(Q33)*$G$132+(S33*$G$133)+(E33*(VLOOKUP(D33,Fertilizantes!$A$49:$E$123,3,FALSE))))</f>
        <v>79.64248539421195</v>
      </c>
    </row>
    <row r="34">
      <c r="B34">
        <v>17</v>
      </c>
      <c r="C34">
        <f>$I$13+B34</f>
        <v>39831</v>
      </c>
      <c r="E34">
        <f>VLOOKUP(D34,Fertilizantes!$A$49:$E$123,2,FALSE)*$C$14</f>
        <v>0</v>
      </c>
      <c r="F34">
        <f>VLOOKUP(D34,Fertilizantes!$A$49:$E$123,4,FALSE)</f>
        <v>0</v>
      </c>
      <c r="G34">
        <f>IF($C$14*ReDiarioFert!C23&lt;=0,"0",$C$14*ReDiarioFert!C23)</f>
        <v>1.368684823317469</v>
      </c>
      <c r="I34">
        <f>$C$14*ReDiarioFert!E23</f>
        <v>1.6549643478260867</v>
      </c>
      <c r="K34">
        <f>$C$14*ReDiarioFert!G23</f>
        <v>3.248912333333333</v>
      </c>
      <c r="M34">
        <f>$C$14*ReDiarioFert!I23</f>
        <v>1.4457410730391254</v>
      </c>
      <c r="O34">
        <f>$C$14*ReDiarioFert!K23</f>
        <v>2.980047173293314</v>
      </c>
      <c r="Q34">
        <f>$C$14*ReDiarioFert!M23</f>
        <v>44.76032536585365</v>
      </c>
      <c r="T34">
        <f>((G34/100)*$G$127+(I34/100)*$G$128+(K34/100)*$G$129+(M34/100)*$G$130+(O34/100)*$G$131+(Q34)*$G$132+(S34*$G$133)+(E34*(VLOOKUP(D34,Fertilizantes!$A$49:$E$123,3,FALSE))))</f>
        <v>79.64248539421195</v>
      </c>
    </row>
    <row r="35">
      <c r="B35">
        <v>18</v>
      </c>
      <c r="C35">
        <f>$I$13+B35</f>
        <v>39832</v>
      </c>
      <c r="E35">
        <f>VLOOKUP(D35,Fertilizantes!$A$49:$E$123,2,FALSE)*$C$14</f>
        <v>0</v>
      </c>
      <c r="F35">
        <f>VLOOKUP(D35,Fertilizantes!$A$49:$E$123,4,FALSE)</f>
        <v>0</v>
      </c>
      <c r="G35">
        <f>IF($C$14*ReDiarioFert!C24&lt;=0,"0",$C$14*ReDiarioFert!C24)</f>
        <v>1.8249130977566252</v>
      </c>
      <c r="I35">
        <f>$C$14*ReDiarioFert!E24</f>
        <v>2.2066191304347824</v>
      </c>
      <c r="K35">
        <f>$C$14*ReDiarioFert!G24</f>
        <v>4.331883111111112</v>
      </c>
      <c r="M35">
        <f>$C$14*ReDiarioFert!I24</f>
        <v>1.9276547640521668</v>
      </c>
      <c r="O35">
        <f>$C$14*ReDiarioFert!K24</f>
        <v>3.9733962310577513</v>
      </c>
      <c r="Q35">
        <f>$C$14*ReDiarioFert!M24</f>
        <v>59.680108292682924</v>
      </c>
      <c r="T35">
        <f>((G35/100)*$G$127+(I35/100)*$G$128+(K35/100)*$G$129+(M35/100)*$G$130+(O35/100)*$G$131+(Q35)*$G$132+(S35*$G$133)+(E35*(VLOOKUP(D35,Fertilizantes!$A$49:$E$123,3,FALSE))))</f>
        <v>106.18996750447772</v>
      </c>
    </row>
    <row r="36">
      <c r="B36">
        <v>19</v>
      </c>
      <c r="C36">
        <f>$I$13+B36</f>
        <v>39833</v>
      </c>
      <c r="E36">
        <f>VLOOKUP(D36,Fertilizantes!$A$49:$E$123,2,FALSE)*$C$14</f>
        <v>0</v>
      </c>
      <c r="F36">
        <f>VLOOKUP(D36,Fertilizantes!$A$49:$E$123,4,FALSE)</f>
        <v>0</v>
      </c>
      <c r="G36">
        <f>IF($C$14*ReDiarioFert!C25&lt;=0,"0",$C$14*ReDiarioFert!C25)</f>
        <v>1.8249130977566252</v>
      </c>
      <c r="I36">
        <f>$C$14*ReDiarioFert!E25</f>
        <v>2.2066191304347824</v>
      </c>
      <c r="K36">
        <f>$C$14*ReDiarioFert!G25</f>
        <v>4.331883111111112</v>
      </c>
      <c r="M36">
        <f>$C$14*ReDiarioFert!I25</f>
        <v>1.9276547640521668</v>
      </c>
      <c r="O36">
        <f>$C$14*ReDiarioFert!K25</f>
        <v>3.9733962310577513</v>
      </c>
      <c r="Q36">
        <f>$C$14*ReDiarioFert!M25</f>
        <v>59.680108292682924</v>
      </c>
      <c r="T36">
        <f>((G36/100)*$G$127+(I36/100)*$G$128+(K36/100)*$G$129+(M36/100)*$G$130+(O36/100)*$G$131+(Q36)*$G$132+(S36*$G$133)+(E36*(VLOOKUP(D36,Fertilizantes!$A$49:$E$123,3,FALSE))))</f>
        <v>106.18996750447772</v>
      </c>
    </row>
    <row r="37">
      <c r="B37">
        <v>20</v>
      </c>
      <c r="C37">
        <f>$I$13+B37</f>
        <v>39834</v>
      </c>
      <c r="E37">
        <f>VLOOKUP(D37,Fertilizantes!$A$49:$E$123,2,FALSE)*$C$14</f>
        <v>0</v>
      </c>
      <c r="F37">
        <f>VLOOKUP(D37,Fertilizantes!$A$49:$E$123,4,FALSE)</f>
        <v>0</v>
      </c>
      <c r="G37">
        <f>IF($C$14*ReDiarioFert!C26&lt;=0,"0",$C$14*ReDiarioFert!C26)</f>
        <v>1.8249130977566252</v>
      </c>
      <c r="I37">
        <f>$C$14*ReDiarioFert!E26</f>
        <v>2.2066191304347824</v>
      </c>
      <c r="K37">
        <f>$C$14*ReDiarioFert!G26</f>
        <v>4.331883111111112</v>
      </c>
      <c r="M37">
        <f>$C$14*ReDiarioFert!I26</f>
        <v>1.9276547640521668</v>
      </c>
      <c r="O37">
        <f>$C$14*ReDiarioFert!K26</f>
        <v>3.9733962310577513</v>
      </c>
      <c r="Q37">
        <f>$C$14*ReDiarioFert!M26</f>
        <v>59.680108292682924</v>
      </c>
      <c r="T37">
        <f>((G37/100)*$G$127+(I37/100)*$G$128+(K37/100)*$G$129+(M37/100)*$G$130+(O37/100)*$G$131+(Q37)*$G$132+(S37*$G$133)+(E37*(VLOOKUP(D37,Fertilizantes!$A$49:$E$123,3,FALSE))))</f>
        <v>106.18996750447772</v>
      </c>
    </row>
    <row r="38">
      <c r="B38">
        <v>21</v>
      </c>
      <c r="C38">
        <f>$I$13+B38</f>
        <v>39835</v>
      </c>
      <c r="E38">
        <f>VLOOKUP(D38,Fertilizantes!$A$49:$E$123,2,FALSE)*$C$14</f>
        <v>0</v>
      </c>
      <c r="F38">
        <f>VLOOKUP(D38,Fertilizantes!$A$49:$E$123,4,FALSE)</f>
        <v>0</v>
      </c>
      <c r="G38">
        <f>IF($C$14*ReDiarioFert!C27&lt;=0,"0",$C$14*ReDiarioFert!C27)</f>
        <v>1.8249130977566252</v>
      </c>
      <c r="I38">
        <f>$C$14*ReDiarioFert!E27</f>
        <v>2.2066191304347824</v>
      </c>
      <c r="K38">
        <f>$C$14*ReDiarioFert!G27</f>
        <v>4.331883111111112</v>
      </c>
      <c r="M38">
        <f>$C$14*ReDiarioFert!I27</f>
        <v>1.9276547640521668</v>
      </c>
      <c r="O38">
        <f>$C$14*ReDiarioFert!K27</f>
        <v>3.9733962310577513</v>
      </c>
      <c r="Q38">
        <f>$C$14*ReDiarioFert!M27</f>
        <v>59.680108292682924</v>
      </c>
      <c r="T38">
        <f>((G38/100)*$G$127+(I38/100)*$G$128+(K38/100)*$G$129+(M38/100)*$G$130+(O38/100)*$G$131+(Q38)*$G$132+(S38*$G$133)+(E38*(VLOOKUP(D38,Fertilizantes!$A$49:$E$123,3,FALSE))))</f>
        <v>106.18996750447772</v>
      </c>
    </row>
    <row r="39">
      <c r="A39">
        <v>4</v>
      </c>
      <c r="B39">
        <v>22</v>
      </c>
      <c r="C39">
        <f>$I$13+B39</f>
        <v>39836</v>
      </c>
      <c r="E39">
        <f>VLOOKUP(D39,Fertilizantes!$A$49:$E$123,2,FALSE)*$C$14</f>
        <v>0</v>
      </c>
      <c r="F39">
        <f>VLOOKUP(D39,Fertilizantes!$A$49:$E$123,4,FALSE)</f>
        <v>0</v>
      </c>
      <c r="G39">
        <f>IF($C$14*ReDiarioFert!C28&lt;=0,"0",$C$14*ReDiarioFert!C28)</f>
        <v>1.8249130977566252</v>
      </c>
      <c r="I39">
        <f>$C$14*ReDiarioFert!E28</f>
        <v>2.2066191304347824</v>
      </c>
      <c r="K39">
        <f>$C$14*ReDiarioFert!G28</f>
        <v>4.331883111111112</v>
      </c>
      <c r="M39">
        <f>$C$14*ReDiarioFert!I28</f>
        <v>1.9276547640521668</v>
      </c>
      <c r="O39">
        <f>$C$14*ReDiarioFert!K28</f>
        <v>3.9733962310577513</v>
      </c>
      <c r="Q39">
        <f>$C$14*ReDiarioFert!M28</f>
        <v>59.680108292682924</v>
      </c>
      <c r="S39">
        <f>$C$14*Main!$D$63</f>
        <v>20.019999999999996</v>
      </c>
      <c r="T39">
        <f>((G39/100)*$G$127+(I39/100)*$G$128+(K39/100)*$G$129+(M39/100)*$G$130+(O39/100)*$G$131+(Q39)*$G$132+(S39*$G$133)+(E39*(VLOOKUP(D39,Fertilizantes!$A$49:$E$123,3,FALSE))))</f>
        <v>162.2459675044777</v>
      </c>
    </row>
    <row r="40">
      <c r="B40">
        <v>23</v>
      </c>
      <c r="C40">
        <f>$I$13+B40</f>
        <v>39837</v>
      </c>
      <c r="E40">
        <f>VLOOKUP(D40,Fertilizantes!$A$49:$E$123,2,FALSE)*$C$14</f>
        <v>0</v>
      </c>
      <c r="F40">
        <f>VLOOKUP(D40,Fertilizantes!$A$49:$E$123,4,FALSE)</f>
        <v>0</v>
      </c>
      <c r="G40">
        <f>IF($C$14*ReDiarioFert!C29&lt;=0,"0",$C$14*ReDiarioFert!C29)</f>
        <v>1.8249130977566252</v>
      </c>
      <c r="I40">
        <f>$C$14*ReDiarioFert!E29</f>
        <v>2.2066191304347824</v>
      </c>
      <c r="K40">
        <f>$C$14*ReDiarioFert!G29</f>
        <v>4.331883111111112</v>
      </c>
      <c r="M40">
        <f>$C$14*ReDiarioFert!I29</f>
        <v>1.9276547640521668</v>
      </c>
      <c r="O40">
        <f>$C$14*ReDiarioFert!K29</f>
        <v>3.9733962310577513</v>
      </c>
      <c r="Q40">
        <f>$C$14*ReDiarioFert!M29</f>
        <v>59.680108292682924</v>
      </c>
      <c r="T40">
        <f>((G40/100)*$G$127+(I40/100)*$G$128+(K40/100)*$G$129+(M40/100)*$G$130+(O40/100)*$G$131+(Q40)*$G$132+(S40*$G$133)+(E40*(VLOOKUP(D40,Fertilizantes!$A$49:$E$123,3,FALSE))))</f>
        <v>106.18996750447772</v>
      </c>
    </row>
    <row r="41">
      <c r="B41">
        <v>24</v>
      </c>
      <c r="C41">
        <f>$I$13+B41</f>
        <v>39838</v>
      </c>
      <c r="E41">
        <f>VLOOKUP(D41,Fertilizantes!$A$49:$E$123,2,FALSE)*$C$14</f>
        <v>0</v>
      </c>
      <c r="F41">
        <f>VLOOKUP(D41,Fertilizantes!$A$49:$E$123,4,FALSE)</f>
        <v>0</v>
      </c>
      <c r="G41">
        <f>IF($C$14*ReDiarioFert!C30&lt;=0,"0",$C$14*ReDiarioFert!C30)</f>
        <v>1.8249130977566252</v>
      </c>
      <c r="I41">
        <f>$C$14*ReDiarioFert!E30</f>
        <v>2.2066191304347824</v>
      </c>
      <c r="K41">
        <f>$C$14*ReDiarioFert!G30</f>
        <v>4.331883111111112</v>
      </c>
      <c r="M41">
        <f>$C$14*ReDiarioFert!I30</f>
        <v>1.9276547640521668</v>
      </c>
      <c r="O41">
        <f>$C$14*ReDiarioFert!K30</f>
        <v>3.9733962310577513</v>
      </c>
      <c r="Q41">
        <f>$C$14*ReDiarioFert!M30</f>
        <v>59.680108292682924</v>
      </c>
      <c r="S41">
        <f>Main!$H$82</f>
        <v>0</v>
      </c>
      <c r="T41">
        <f>((G41/100)*$G$127+(I41/100)*$G$128+(K41/100)*$G$129+(M41/100)*$G$130+(O41/100)*$G$131+(Q41)*$G$132+(S41*$G$133)+(E41*(VLOOKUP(D41,Fertilizantes!$A$49:$E$123,3,FALSE))))</f>
        <v>106.18996750447772</v>
      </c>
    </row>
    <row r="42">
      <c r="B42">
        <v>25</v>
      </c>
      <c r="C42">
        <f>$I$13+B42</f>
        <v>39839</v>
      </c>
      <c r="E42">
        <f>VLOOKUP(D42,Fertilizantes!$A$49:$E$123,2,FALSE)*$C$14</f>
        <v>0</v>
      </c>
      <c r="F42">
        <f>VLOOKUP(D42,Fertilizantes!$A$49:$E$123,4,FALSE)</f>
        <v>0</v>
      </c>
      <c r="G42">
        <f>IF($C$14*ReDiarioFert!C31&lt;=0,"0",$C$14*ReDiarioFert!C31)</f>
        <v>1.8249130977566252</v>
      </c>
      <c r="I42">
        <f>$C$14*ReDiarioFert!E31</f>
        <v>2.2066191304347824</v>
      </c>
      <c r="K42">
        <f>$C$14*ReDiarioFert!G31</f>
        <v>4.331883111111112</v>
      </c>
      <c r="M42">
        <f>$C$14*ReDiarioFert!I31</f>
        <v>1.9276547640521668</v>
      </c>
      <c r="O42">
        <f>$C$14*ReDiarioFert!K31</f>
        <v>3.9733962310577513</v>
      </c>
      <c r="Q42">
        <f>$C$14*ReDiarioFert!M31</f>
        <v>59.680108292682924</v>
      </c>
      <c r="T42">
        <f>((G42/100)*$G$127+(I42/100)*$G$128+(K42/100)*$G$129+(M42/100)*$G$130+(O42/100)*$G$131+(Q42)*$G$132+(S42*$G$133)+(E42*(VLOOKUP(D42,Fertilizantes!$A$49:$E$123,3,FALSE))))</f>
        <v>106.18996750447772</v>
      </c>
    </row>
    <row r="43">
      <c r="B43">
        <v>26</v>
      </c>
      <c r="C43">
        <f>$I$13+B43</f>
        <v>39840</v>
      </c>
      <c r="E43">
        <f>VLOOKUP(D43,Fertilizantes!$A$49:$E$123,2,FALSE)*$C$14</f>
        <v>0</v>
      </c>
      <c r="F43">
        <f>VLOOKUP(D43,Fertilizantes!$A$49:$E$123,4,FALSE)</f>
        <v>0</v>
      </c>
      <c r="G43">
        <f>IF($C$14*ReDiarioFert!C32&lt;=0,"0",$C$14*ReDiarioFert!C32)</f>
        <v>1.8249130977566252</v>
      </c>
      <c r="I43">
        <f>$C$14*ReDiarioFert!E32</f>
        <v>2.2066191304347824</v>
      </c>
      <c r="K43">
        <f>$C$14*ReDiarioFert!G32</f>
        <v>4.331883111111112</v>
      </c>
      <c r="M43">
        <f>$C$14*ReDiarioFert!I32</f>
        <v>1.9276547640521668</v>
      </c>
      <c r="O43">
        <f>$C$14*ReDiarioFert!K32</f>
        <v>3.9733962310577513</v>
      </c>
      <c r="Q43">
        <f>$C$14*ReDiarioFert!M32</f>
        <v>59.680108292682924</v>
      </c>
      <c r="T43">
        <f>((G43/100)*$G$127+(I43/100)*$G$128+(K43/100)*$G$129+(M43/100)*$G$130+(O43/100)*$G$131+(Q43)*$G$132+(S43*$G$133)+(E43*(VLOOKUP(D43,Fertilizantes!$A$49:$E$123,3,FALSE))))</f>
        <v>106.18996750447772</v>
      </c>
    </row>
    <row r="44">
      <c r="B44">
        <v>27</v>
      </c>
      <c r="C44">
        <f>$I$13+B44</f>
        <v>39841</v>
      </c>
      <c r="E44">
        <f>VLOOKUP(D44,Fertilizantes!$A$49:$E$123,2,FALSE)*$C$14</f>
        <v>0</v>
      </c>
      <c r="F44">
        <f>VLOOKUP(D44,Fertilizantes!$A$49:$E$123,4,FALSE)</f>
        <v>0</v>
      </c>
      <c r="G44">
        <f>IF($C$14*ReDiarioFert!C33&lt;=0,"0",$C$14*ReDiarioFert!C33)</f>
        <v>1.8249130977566252</v>
      </c>
      <c r="I44">
        <f>$C$14*ReDiarioFert!E33</f>
        <v>2.2066191304347824</v>
      </c>
      <c r="K44">
        <f>$C$14*ReDiarioFert!G33</f>
        <v>4.331883111111112</v>
      </c>
      <c r="M44">
        <f>$C$14*ReDiarioFert!I33</f>
        <v>1.9276547640521668</v>
      </c>
      <c r="O44">
        <f>$C$14*ReDiarioFert!K33</f>
        <v>3.9733962310577513</v>
      </c>
      <c r="Q44">
        <f>$C$14*ReDiarioFert!M33</f>
        <v>59.680108292682924</v>
      </c>
      <c r="T44">
        <f>((G44/100)*$G$127+(I44/100)*$G$128+(K44/100)*$G$129+(M44/100)*$G$130+(O44/100)*$G$131+(Q44)*$G$132+(S44*$G$133)+(E44*(VLOOKUP(D44,Fertilizantes!$A$49:$E$123,3,FALSE))))</f>
        <v>106.18996750447772</v>
      </c>
    </row>
    <row r="45">
      <c r="B45">
        <v>28</v>
      </c>
      <c r="C45">
        <f>$I$13+B45</f>
        <v>39842</v>
      </c>
      <c r="E45">
        <f>VLOOKUP(D45,Fertilizantes!$A$49:$E$123,2,FALSE)*$C$14</f>
        <v>0</v>
      </c>
      <c r="F45">
        <f>VLOOKUP(D45,Fertilizantes!$A$49:$E$123,4,FALSE)</f>
        <v>0</v>
      </c>
      <c r="G45">
        <f>IF($C$14*ReDiarioFert!C34&lt;=0,"0",$C$14*ReDiarioFert!C34)</f>
        <v>1.8249130977566252</v>
      </c>
      <c r="I45">
        <f>$C$14*ReDiarioFert!E34</f>
        <v>2.2066191304347824</v>
      </c>
      <c r="K45">
        <f>$C$14*ReDiarioFert!G34</f>
        <v>4.331883111111112</v>
      </c>
      <c r="M45">
        <f>$C$14*ReDiarioFert!I34</f>
        <v>1.9276547640521668</v>
      </c>
      <c r="O45">
        <f>$C$14*ReDiarioFert!K34</f>
        <v>3.9733962310577513</v>
      </c>
      <c r="Q45">
        <f>$C$14*ReDiarioFert!M34</f>
        <v>59.680108292682924</v>
      </c>
      <c r="S45">
        <f>Main!$H$84</f>
        <v>0</v>
      </c>
      <c r="T45">
        <f>((G45/100)*$G$127+(I45/100)*$G$128+(K45/100)*$G$129+(M45/100)*$G$130+(O45/100)*$G$131+(Q45)*$G$132+(S45*$G$133)+(E45*(VLOOKUP(D45,Fertilizantes!$A$49:$E$123,3,FALSE))))</f>
        <v>106.18996750447772</v>
      </c>
    </row>
    <row r="46">
      <c r="A46">
        <v>5</v>
      </c>
      <c r="B46">
        <v>29</v>
      </c>
      <c r="C46">
        <f>$I$13+B46</f>
        <v>39843</v>
      </c>
      <c r="D46">
        <f>Main!$H$87</f>
        <v>0</v>
      </c>
      <c r="E46">
        <f>VLOOKUP(D46,Fertilizantes!$A$49:$E$123,2,FALSE)*$C$14</f>
        <v>0</v>
      </c>
      <c r="F46">
        <f>VLOOKUP(D46,Fertilizantes!$A$49:$E$123,4,FALSE)</f>
        <v>0</v>
      </c>
      <c r="G46">
        <f>IF($C$14*ReDiarioFert!C35&lt;=0,"0",$C$14*ReDiarioFert!C35)</f>
        <v>1.8249130977566252</v>
      </c>
      <c r="I46">
        <f>$C$14*ReDiarioFert!E35</f>
        <v>2.2066191304347824</v>
      </c>
      <c r="K46">
        <f>$C$14*ReDiarioFert!G35</f>
        <v>4.331883111111112</v>
      </c>
      <c r="M46">
        <f>$C$14*ReDiarioFert!I35</f>
        <v>1.9276547640521668</v>
      </c>
      <c r="O46">
        <f>$C$14*ReDiarioFert!K35</f>
        <v>3.9733962310577513</v>
      </c>
      <c r="Q46">
        <f>$C$14*ReDiarioFert!M35</f>
        <v>59.680108292682924</v>
      </c>
      <c r="S46">
        <f>$C$14*Main!$D$63</f>
        <v>20.019999999999996</v>
      </c>
      <c r="T46">
        <f>((G46/100)*$G$127+(I46/100)*$G$128+(K46/100)*$G$129+(M46/100)*$G$130+(O46/100)*$G$131+(Q46)*$G$132+(S46*$G$133)+(E46*(VLOOKUP(D46,Fertilizantes!$A$49:$E$123,3,FALSE))))</f>
        <v>162.2459675044777</v>
      </c>
    </row>
    <row r="47">
      <c r="B47">
        <v>30</v>
      </c>
      <c r="C47">
        <f>$I$13+B47</f>
        <v>39844</v>
      </c>
      <c r="E47">
        <f>VLOOKUP(D47,Fertilizantes!$A$49:$E$123,2,FALSE)*$C$14</f>
        <v>0</v>
      </c>
      <c r="F47">
        <f>VLOOKUP(D47,Fertilizantes!$A$49:$E$123,4,FALSE)</f>
        <v>0</v>
      </c>
      <c r="G47">
        <f>IF($C$14*ReDiarioFert!C36&lt;=0,"0",$C$14*ReDiarioFert!C36)</f>
        <v>1.8249130977566252</v>
      </c>
      <c r="I47">
        <f>$C$14*ReDiarioFert!E36</f>
        <v>2.2066191304347824</v>
      </c>
      <c r="K47">
        <f>$C$14*ReDiarioFert!G36</f>
        <v>4.331883111111112</v>
      </c>
      <c r="M47">
        <f>$C$14*ReDiarioFert!I36</f>
        <v>1.9276547640521668</v>
      </c>
      <c r="O47">
        <f>$C$14*ReDiarioFert!K36</f>
        <v>3.9733962310577513</v>
      </c>
      <c r="Q47">
        <f>$C$14*ReDiarioFert!M36</f>
        <v>59.680108292682924</v>
      </c>
      <c r="T47">
        <f>((G47/100)*$G$127+(I47/100)*$G$128+(K47/100)*$G$129+(M47/100)*$G$130+(O47/100)*$G$131+(Q47)*$G$132+(S47*$G$133)+(E47*(VLOOKUP(D47,Fertilizantes!$A$49:$E$123,3,FALSE))))</f>
        <v>106.18996750447772</v>
      </c>
    </row>
    <row r="48">
      <c r="B48">
        <v>31</v>
      </c>
      <c r="C48">
        <f>$I$13+B48</f>
        <v>39845</v>
      </c>
      <c r="E48">
        <f>VLOOKUP(D48,Fertilizantes!$A$49:$E$123,2,FALSE)*$C$14</f>
        <v>0</v>
      </c>
      <c r="F48">
        <f>VLOOKUP(D48,Fertilizantes!$A$49:$E$123,4,FALSE)</f>
        <v>0</v>
      </c>
      <c r="G48">
        <f>IF($C$14*ReDiarioFert!C37&lt;=0,"0",$C$14*ReDiarioFert!C37)</f>
        <v>1.8249130977566252</v>
      </c>
      <c r="I48">
        <f>$C$14*ReDiarioFert!E37</f>
        <v>2.2066191304347824</v>
      </c>
      <c r="K48">
        <f>$C$14*ReDiarioFert!G37</f>
        <v>4.331883111111112</v>
      </c>
      <c r="M48">
        <f>$C$14*ReDiarioFert!I37</f>
        <v>1.9276547640521668</v>
      </c>
      <c r="O48">
        <f>$C$14*ReDiarioFert!K37</f>
        <v>3.9733962310577513</v>
      </c>
      <c r="Q48">
        <f>$C$14*ReDiarioFert!M37</f>
        <v>59.680108292682924</v>
      </c>
      <c r="T48">
        <f>((G48/100)*$G$127+(I48/100)*$G$128+(K48/100)*$G$129+(M48/100)*$G$130+(O48/100)*$G$131+(Q48)*$G$132+(S48*$G$133)+(E48*(VLOOKUP(D48,Fertilizantes!$A$49:$E$123,3,FALSE))))</f>
        <v>106.18996750447772</v>
      </c>
    </row>
    <row r="49">
      <c r="B49">
        <v>32</v>
      </c>
      <c r="C49">
        <f>$I$13+B49</f>
        <v>39846</v>
      </c>
      <c r="E49">
        <f>VLOOKUP(D49,Fertilizantes!$A$49:$E$123,2,FALSE)*$C$14</f>
        <v>0</v>
      </c>
      <c r="F49">
        <f>VLOOKUP(D49,Fertilizantes!$A$49:$E$123,4,FALSE)</f>
        <v>0</v>
      </c>
      <c r="G49">
        <f>IF($C$14*ReDiarioFert!C38&lt;=0,"0",$C$14*ReDiarioFert!C38)</f>
        <v>1.8249130977566252</v>
      </c>
      <c r="I49">
        <f>$C$14*ReDiarioFert!E38</f>
        <v>2.2066191304347824</v>
      </c>
      <c r="K49">
        <f>$C$14*ReDiarioFert!G38</f>
        <v>4.331883111111112</v>
      </c>
      <c r="M49">
        <f>$C$14*ReDiarioFert!I38</f>
        <v>1.9276547640521668</v>
      </c>
      <c r="O49">
        <f>$C$14*ReDiarioFert!K38</f>
        <v>3.9733962310577513</v>
      </c>
      <c r="Q49">
        <f>$C$14*ReDiarioFert!M38</f>
        <v>59.680108292682924</v>
      </c>
      <c r="T49">
        <f>((G49/100)*$G$127+(I49/100)*$G$128+(K49/100)*$G$129+(M49/100)*$G$130+(O49/100)*$G$131+(Q49)*$G$132+(S49*$G$133)+(E49*(VLOOKUP(D49,Fertilizantes!$A$49:$E$123,3,FALSE))))</f>
        <v>106.18996750447772</v>
      </c>
    </row>
    <row r="50">
      <c r="B50">
        <v>33</v>
      </c>
      <c r="C50">
        <f>$I$13+B50</f>
        <v>39847</v>
      </c>
      <c r="E50">
        <f>VLOOKUP(D50,Fertilizantes!$A$49:$E$123,2,FALSE)*$C$14</f>
        <v>0</v>
      </c>
      <c r="F50">
        <f>VLOOKUP(D50,Fertilizantes!$A$49:$E$123,4,FALSE)</f>
        <v>0</v>
      </c>
      <c r="G50">
        <f>IF($C$14*ReDiarioFert!C39&lt;=0,"0",$C$14*ReDiarioFert!C39)</f>
        <v>2.737369646634938</v>
      </c>
      <c r="I50">
        <f>$C$14*ReDiarioFert!E39</f>
        <v>3.3099286956521734</v>
      </c>
      <c r="K50">
        <f>$C$14*ReDiarioFert!G39</f>
        <v>6.497824666666666</v>
      </c>
      <c r="M50">
        <f>$C$14*ReDiarioFert!I39</f>
        <v>2.8914821460782507</v>
      </c>
      <c r="O50">
        <f>$C$14*ReDiarioFert!K39</f>
        <v>5.960094346586628</v>
      </c>
      <c r="Q50">
        <f>$C$14*ReDiarioFert!M39</f>
        <v>84.54738975609757</v>
      </c>
      <c r="T50">
        <f>((G50/100)*$G$127+(I50/100)*$G$128+(K50/100)*$G$129+(M50/100)*$G$130+(O50/100)*$G$131+(Q50)*$G$132+(S50*$G$133)+(E50*(VLOOKUP(D50,Fertilizantes!$A$49:$E$123,3,FALSE))))</f>
        <v>159.08604034939952</v>
      </c>
    </row>
    <row r="51">
      <c r="B51">
        <v>34</v>
      </c>
      <c r="C51">
        <f>$I$13+B51</f>
        <v>39848</v>
      </c>
      <c r="E51">
        <f>VLOOKUP(D51,Fertilizantes!$A$49:$E$123,2,FALSE)*$C$14</f>
        <v>0</v>
      </c>
      <c r="F51">
        <f>VLOOKUP(D51,Fertilizantes!$A$49:$E$123,4,FALSE)</f>
        <v>0</v>
      </c>
      <c r="G51">
        <f>IF($C$14*ReDiarioFert!C40&lt;=0,"0",$C$14*ReDiarioFert!C40)</f>
        <v>2.737369646634938</v>
      </c>
      <c r="I51">
        <f>$C$14*ReDiarioFert!E40</f>
        <v>3.3099286956521734</v>
      </c>
      <c r="K51">
        <f>$C$14*ReDiarioFert!G40</f>
        <v>6.497824666666666</v>
      </c>
      <c r="M51">
        <f>$C$14*ReDiarioFert!I40</f>
        <v>2.8914821460782507</v>
      </c>
      <c r="O51">
        <f>$C$14*ReDiarioFert!K40</f>
        <v>5.960094346586628</v>
      </c>
      <c r="Q51">
        <f>$C$14*ReDiarioFert!M40</f>
        <v>84.54738975609757</v>
      </c>
      <c r="T51">
        <f>((G51/100)*$G$127+(I51/100)*$G$128+(K51/100)*$G$129+(M51/100)*$G$130+(O51/100)*$G$131+(Q51)*$G$132+(S51*$G$133)+(E51*(VLOOKUP(D51,Fertilizantes!$A$49:$E$123,3,FALSE))))</f>
        <v>159.08604034939952</v>
      </c>
    </row>
    <row r="52">
      <c r="B52">
        <v>35</v>
      </c>
      <c r="C52">
        <f>$I$13+B52</f>
        <v>39849</v>
      </c>
      <c r="E52">
        <f>VLOOKUP(D52,Fertilizantes!$A$49:$E$123,2,FALSE)*$C$14</f>
        <v>0</v>
      </c>
      <c r="F52">
        <f>VLOOKUP(D52,Fertilizantes!$A$49:$E$123,4,FALSE)</f>
        <v>0</v>
      </c>
      <c r="G52">
        <f>IF($C$14*ReDiarioFert!C41&lt;=0,"0",$C$14*ReDiarioFert!C41)</f>
        <v>2.737369646634938</v>
      </c>
      <c r="I52">
        <f>$C$14*ReDiarioFert!E41</f>
        <v>3.3099286956521734</v>
      </c>
      <c r="K52">
        <f>$C$14*ReDiarioFert!G41</f>
        <v>6.497824666666666</v>
      </c>
      <c r="M52">
        <f>$C$14*ReDiarioFert!I41</f>
        <v>2.8914821460782507</v>
      </c>
      <c r="O52">
        <f>$C$14*ReDiarioFert!K41</f>
        <v>5.960094346586628</v>
      </c>
      <c r="Q52">
        <f>$C$14*ReDiarioFert!M41</f>
        <v>84.54738975609757</v>
      </c>
      <c r="S52">
        <f>Main!$H$85</f>
        <v>0</v>
      </c>
      <c r="T52">
        <f>((G52/100)*$G$127+(I52/100)*$G$128+(K52/100)*$G$129+(M52/100)*$G$130+(O52/100)*$G$131+(Q52)*$G$132+(S52*$G$133)+(E52*(VLOOKUP(D52,Fertilizantes!$A$49:$E$123,3,FALSE))))</f>
        <v>159.08604034939952</v>
      </c>
    </row>
    <row r="53">
      <c r="A53">
        <v>6</v>
      </c>
      <c r="B53">
        <v>36</v>
      </c>
      <c r="C53">
        <f>$I$13+B53</f>
        <v>39850</v>
      </c>
      <c r="E53">
        <f>VLOOKUP(D53,Fertilizantes!$A$49:$E$123,2,FALSE)*$C$14</f>
        <v>0</v>
      </c>
      <c r="F53">
        <f>VLOOKUP(D53,Fertilizantes!$A$49:$E$123,4,FALSE)</f>
        <v>0</v>
      </c>
      <c r="G53">
        <f>IF($C$14*ReDiarioFert!C42&lt;=0,"0",$C$14*ReDiarioFert!C42)</f>
        <v>2.737369646634938</v>
      </c>
      <c r="I53">
        <f>$C$14*ReDiarioFert!E42</f>
        <v>3.3099286956521734</v>
      </c>
      <c r="K53">
        <f>$C$14*ReDiarioFert!G42</f>
        <v>6.497824666666666</v>
      </c>
      <c r="M53">
        <f>$C$14*ReDiarioFert!I42</f>
        <v>2.8914821460782507</v>
      </c>
      <c r="O53">
        <f>$C$14*ReDiarioFert!K42</f>
        <v>5.960094346586628</v>
      </c>
      <c r="Q53">
        <f>$C$14*ReDiarioFert!M42</f>
        <v>84.54738975609757</v>
      </c>
      <c r="S53">
        <f>$C$14*Main!$D$63</f>
        <v>20.019999999999996</v>
      </c>
      <c r="T53">
        <f>((G53/100)*$G$127+(I53/100)*$G$128+(K53/100)*$G$129+(M53/100)*$G$130+(O53/100)*$G$131+(Q53)*$G$132+(S53*$G$133)+(E53*(VLOOKUP(D53,Fertilizantes!$A$49:$E$123,3,FALSE))))</f>
        <v>215.1420403493995</v>
      </c>
    </row>
    <row r="54">
      <c r="B54">
        <v>37</v>
      </c>
      <c r="C54">
        <f>$I$13+B54</f>
        <v>39851</v>
      </c>
      <c r="E54">
        <f>VLOOKUP(D54,Fertilizantes!$A$49:$E$123,2,FALSE)*$C$14</f>
        <v>0</v>
      </c>
      <c r="F54">
        <f>VLOOKUP(D54,Fertilizantes!$A$49:$E$123,4,FALSE)</f>
        <v>0</v>
      </c>
      <c r="G54">
        <f>IF($C$14*ReDiarioFert!C43&lt;=0,"0",$C$14*ReDiarioFert!C43)</f>
        <v>2.737369646634938</v>
      </c>
      <c r="I54">
        <f>$C$14*ReDiarioFert!E43</f>
        <v>3.3099286956521734</v>
      </c>
      <c r="K54">
        <f>$C$14*ReDiarioFert!G43</f>
        <v>6.497824666666666</v>
      </c>
      <c r="M54">
        <f>$C$14*ReDiarioFert!I43</f>
        <v>2.8914821460782507</v>
      </c>
      <c r="O54">
        <f>$C$14*ReDiarioFert!K43</f>
        <v>5.960094346586628</v>
      </c>
      <c r="Q54">
        <f>$C$14*ReDiarioFert!M43</f>
        <v>84.54738975609757</v>
      </c>
      <c r="T54">
        <f>((G54/100)*$G$127+(I54/100)*$G$128+(K54/100)*$G$129+(M54/100)*$G$130+(O54/100)*$G$131+(Q54)*$G$132+(S54*$G$133)+(E54*(VLOOKUP(D54,Fertilizantes!$A$49:$E$123,3,FALSE))))</f>
        <v>159.08604034939952</v>
      </c>
    </row>
    <row r="55">
      <c r="B55">
        <v>38</v>
      </c>
      <c r="C55">
        <f>$I$13+B55</f>
        <v>39852</v>
      </c>
      <c r="E55">
        <f>VLOOKUP(D55,Fertilizantes!$A$49:$E$123,2,FALSE)*$C$14</f>
        <v>0</v>
      </c>
      <c r="F55">
        <f>VLOOKUP(D55,Fertilizantes!$A$49:$E$123,4,FALSE)</f>
        <v>0</v>
      </c>
      <c r="G55">
        <f>IF($C$14*ReDiarioFert!C44&lt;=0,"0",$C$14*ReDiarioFert!C44)</f>
        <v>2.737369646634938</v>
      </c>
      <c r="I55">
        <f>$C$14*ReDiarioFert!E44</f>
        <v>3.3099286956521734</v>
      </c>
      <c r="K55">
        <f>$C$14*ReDiarioFert!G44</f>
        <v>6.497824666666666</v>
      </c>
      <c r="M55">
        <f>$C$14*ReDiarioFert!I44</f>
        <v>2.8914821460782507</v>
      </c>
      <c r="O55">
        <f>$C$14*ReDiarioFert!K44</f>
        <v>5.960094346586628</v>
      </c>
      <c r="Q55">
        <f>$C$14*ReDiarioFert!M44</f>
        <v>84.54738975609757</v>
      </c>
      <c r="S55">
        <f>Main!$H$82</f>
        <v>0</v>
      </c>
      <c r="T55">
        <f>((G55/100)*$G$127+(I55/100)*$G$128+(K55/100)*$G$129+(M55/100)*$G$130+(O55/100)*$G$131+(Q55)*$G$132+(S55*$G$133)+(E55*(VLOOKUP(D55,Fertilizantes!$A$49:$E$123,3,FALSE))))</f>
        <v>159.08604034939952</v>
      </c>
    </row>
    <row r="56">
      <c r="B56">
        <v>39</v>
      </c>
      <c r="C56">
        <f>$I$13+B56</f>
        <v>39853</v>
      </c>
      <c r="E56">
        <f>VLOOKUP(D56,Fertilizantes!$A$49:$E$123,2,FALSE)*$C$14</f>
        <v>0</v>
      </c>
      <c r="F56">
        <f>VLOOKUP(D56,Fertilizantes!$A$49:$E$123,4,FALSE)</f>
        <v>0</v>
      </c>
      <c r="G56">
        <f>IF($C$14*ReDiarioFert!C45&lt;=0,"0",$C$14*ReDiarioFert!C45)</f>
        <v>2.737369646634938</v>
      </c>
      <c r="I56">
        <f>$C$14*ReDiarioFert!E45</f>
        <v>3.3099286956521734</v>
      </c>
      <c r="K56">
        <f>$C$14*ReDiarioFert!G45</f>
        <v>6.497824666666666</v>
      </c>
      <c r="M56">
        <f>$C$14*ReDiarioFert!I45</f>
        <v>2.8914821460782507</v>
      </c>
      <c r="O56">
        <f>$C$14*ReDiarioFert!K45</f>
        <v>5.960094346586628</v>
      </c>
      <c r="Q56">
        <f>$C$14*ReDiarioFert!M45</f>
        <v>84.54738975609757</v>
      </c>
      <c r="T56">
        <f>((G56/100)*$G$127+(I56/100)*$G$128+(K56/100)*$G$129+(M56/100)*$G$130+(O56/100)*$G$131+(Q56)*$G$132+(S56*$G$133)+(E56*(VLOOKUP(D56,Fertilizantes!$A$49:$E$123,3,FALSE))))</f>
        <v>159.08604034939952</v>
      </c>
    </row>
    <row r="57">
      <c r="B57">
        <v>40</v>
      </c>
      <c r="C57">
        <f>$I$13+B57</f>
        <v>39854</v>
      </c>
      <c r="E57">
        <f>VLOOKUP(D57,Fertilizantes!$A$49:$E$123,2,FALSE)*$C$14</f>
        <v>0</v>
      </c>
      <c r="F57">
        <f>VLOOKUP(D57,Fertilizantes!$A$49:$E$123,4,FALSE)</f>
        <v>0</v>
      </c>
      <c r="G57">
        <f>IF($C$14*ReDiarioFert!C46&lt;=0,"0",$C$14*ReDiarioFert!C46)</f>
        <v>2.737369646634938</v>
      </c>
      <c r="I57">
        <f>$C$14*ReDiarioFert!E46</f>
        <v>3.3099286956521734</v>
      </c>
      <c r="K57">
        <f>$C$14*ReDiarioFert!G46</f>
        <v>6.497824666666666</v>
      </c>
      <c r="M57">
        <f>$C$14*ReDiarioFert!I46</f>
        <v>2.8914821460782507</v>
      </c>
      <c r="O57">
        <f>$C$14*ReDiarioFert!K46</f>
        <v>5.960094346586628</v>
      </c>
      <c r="Q57">
        <f>$C$14*ReDiarioFert!M46</f>
        <v>84.54738975609757</v>
      </c>
      <c r="T57">
        <f>((G57/100)*$G$127+(I57/100)*$G$128+(K57/100)*$G$129+(M57/100)*$G$130+(O57/100)*$G$131+(Q57)*$G$132+(S57*$G$133)+(E57*(VLOOKUP(D57,Fertilizantes!$A$49:$E$123,3,FALSE))))</f>
        <v>159.08604034939952</v>
      </c>
    </row>
    <row r="58">
      <c r="B58">
        <v>41</v>
      </c>
      <c r="C58">
        <f>$I$13+B58</f>
        <v>39855</v>
      </c>
      <c r="E58">
        <f>VLOOKUP(D58,Fertilizantes!$A$49:$E$123,2,FALSE)*$C$14</f>
        <v>0</v>
      </c>
      <c r="F58">
        <f>VLOOKUP(D58,Fertilizantes!$A$49:$E$123,4,FALSE)</f>
        <v>0</v>
      </c>
      <c r="G58">
        <f>IF($C$14*ReDiarioFert!C47&lt;=0,"0",$C$14*ReDiarioFert!C47)</f>
        <v>2.737369646634938</v>
      </c>
      <c r="I58">
        <f>$C$14*ReDiarioFert!E47</f>
        <v>3.3099286956521734</v>
      </c>
      <c r="K58">
        <f>$C$14*ReDiarioFert!G47</f>
        <v>6.497824666666666</v>
      </c>
      <c r="M58">
        <f>$C$14*ReDiarioFert!I47</f>
        <v>2.8914821460782507</v>
      </c>
      <c r="O58">
        <f>$C$14*ReDiarioFert!K47</f>
        <v>5.960094346586628</v>
      </c>
      <c r="Q58">
        <f>$C$14*ReDiarioFert!M47</f>
        <v>84.54738975609757</v>
      </c>
      <c r="T58">
        <f>((G58/100)*$G$127+(I58/100)*$G$128+(K58/100)*$G$129+(M58/100)*$G$130+(O58/100)*$G$131+(Q58)*$G$132+(S58*$G$133)+(E58*(VLOOKUP(D58,Fertilizantes!$A$49:$E$123,3,FALSE))))</f>
        <v>159.08604034939952</v>
      </c>
    </row>
    <row r="59">
      <c r="B59">
        <v>42</v>
      </c>
      <c r="C59">
        <f>$I$13+B59</f>
        <v>39856</v>
      </c>
      <c r="E59">
        <f>VLOOKUP(D59,Fertilizantes!$A$49:$E$123,2,FALSE)*$C$14</f>
        <v>0</v>
      </c>
      <c r="F59">
        <f>VLOOKUP(D59,Fertilizantes!$A$49:$E$123,4,FALSE)</f>
        <v>0</v>
      </c>
      <c r="G59">
        <f>IF($C$14*ReDiarioFert!C48&lt;=0,"0",$C$14*ReDiarioFert!C48)</f>
        <v>2.737369646634938</v>
      </c>
      <c r="I59">
        <f>$C$14*ReDiarioFert!E48</f>
        <v>3.3099286956521734</v>
      </c>
      <c r="K59">
        <f>$C$14*ReDiarioFert!G48</f>
        <v>6.497824666666666</v>
      </c>
      <c r="M59">
        <f>$C$14*ReDiarioFert!I48</f>
        <v>2.8914821460782507</v>
      </c>
      <c r="O59">
        <f>$C$14*ReDiarioFert!K48</f>
        <v>5.960094346586628</v>
      </c>
      <c r="Q59">
        <f>$C$14*ReDiarioFert!M48</f>
        <v>84.54738975609757</v>
      </c>
      <c r="T59">
        <f>((G59/100)*$G$127+(I59/100)*$G$128+(K59/100)*$G$129+(M59/100)*$G$130+(O59/100)*$G$131+(Q59)*$G$132+(S59*$G$133)+(E59*(VLOOKUP(D59,Fertilizantes!$A$49:$E$123,3,FALSE))))</f>
        <v>159.08604034939952</v>
      </c>
    </row>
    <row r="60">
      <c r="A60">
        <v>7</v>
      </c>
      <c r="B60">
        <v>43</v>
      </c>
      <c r="C60">
        <f>$I$13+B60</f>
        <v>39857</v>
      </c>
      <c r="E60">
        <f>VLOOKUP(D60,Fertilizantes!$A$49:$E$123,2,FALSE)*$C$14</f>
        <v>0</v>
      </c>
      <c r="F60">
        <f>VLOOKUP(D60,Fertilizantes!$A$49:$E$123,4,FALSE)</f>
        <v>0</v>
      </c>
      <c r="G60">
        <f>IF($C$14*ReDiarioFert!C49&lt;=0,"0",$C$14*ReDiarioFert!C49)</f>
        <v>2.737369646634938</v>
      </c>
      <c r="I60">
        <f>$C$14*ReDiarioFert!E49</f>
        <v>3.3099286956521734</v>
      </c>
      <c r="K60">
        <f>$C$14*ReDiarioFert!G49</f>
        <v>6.497824666666666</v>
      </c>
      <c r="M60">
        <f>$C$14*ReDiarioFert!I49</f>
        <v>2.8914821460782507</v>
      </c>
      <c r="O60">
        <f>$C$14*ReDiarioFert!K49</f>
        <v>5.960094346586628</v>
      </c>
      <c r="Q60">
        <f>$C$14*ReDiarioFert!M49</f>
        <v>84.54738975609757</v>
      </c>
      <c r="S60">
        <f>$C$14*Main!$D$63</f>
        <v>20.019999999999996</v>
      </c>
      <c r="T60">
        <f>((G60/100)*$G$127+(I60/100)*$G$128+(K60/100)*$G$129+(M60/100)*$G$130+(O60/100)*$G$131+(Q60)*$G$132+(S60*$G$133)+(E60*(VLOOKUP(D60,Fertilizantes!$A$49:$E$123,3,FALSE))))</f>
        <v>215.1420403493995</v>
      </c>
    </row>
    <row r="61">
      <c r="B61">
        <v>44</v>
      </c>
      <c r="C61">
        <f>$I$13+B61</f>
        <v>39858</v>
      </c>
      <c r="E61">
        <f>VLOOKUP(D61,Fertilizantes!$A$49:$E$123,2,FALSE)*$C$14</f>
        <v>0</v>
      </c>
      <c r="F61">
        <f>VLOOKUP(D61,Fertilizantes!$A$49:$E$123,4,FALSE)</f>
        <v>0</v>
      </c>
      <c r="G61">
        <f>IF($C$14*ReDiarioFert!C50&lt;=0,"0",$C$14*ReDiarioFert!C50)</f>
        <v>2.737369646634938</v>
      </c>
      <c r="I61">
        <f>$C$14*ReDiarioFert!E50</f>
        <v>3.3099286956521734</v>
      </c>
      <c r="K61">
        <f>$C$14*ReDiarioFert!G50</f>
        <v>6.497824666666666</v>
      </c>
      <c r="M61">
        <f>$C$14*ReDiarioFert!I50</f>
        <v>2.8914821460782507</v>
      </c>
      <c r="O61">
        <f>$C$14*ReDiarioFert!K50</f>
        <v>5.960094346586628</v>
      </c>
      <c r="Q61">
        <f>$C$14*ReDiarioFert!M50</f>
        <v>84.54738975609757</v>
      </c>
      <c r="T61">
        <f>((G61/100)*$G$127+(I61/100)*$G$128+(K61/100)*$G$129+(M61/100)*$G$130+(O61/100)*$G$131+(Q61)*$G$132+(S61*$G$133)+(E61*(VLOOKUP(D61,Fertilizantes!$A$49:$E$123,3,FALSE))))</f>
        <v>159.08604034939952</v>
      </c>
    </row>
    <row r="62">
      <c r="B62">
        <v>45</v>
      </c>
      <c r="C62">
        <f>$I$13+B62</f>
        <v>39859</v>
      </c>
      <c r="E62">
        <f>VLOOKUP(D62,Fertilizantes!$A$49:$E$123,2,FALSE)*$C$14</f>
        <v>0</v>
      </c>
      <c r="F62">
        <f>VLOOKUP(D62,Fertilizantes!$A$49:$E$123,4,FALSE)</f>
        <v>0</v>
      </c>
      <c r="G62">
        <f>IF($C$14*ReDiarioFert!C51&lt;=0,"0",$C$14*ReDiarioFert!C51)</f>
        <v>2.737369646634938</v>
      </c>
      <c r="I62">
        <f>$C$14*ReDiarioFert!E51</f>
        <v>3.3099286956521734</v>
      </c>
      <c r="K62">
        <f>$C$14*ReDiarioFert!G51</f>
        <v>6.497824666666666</v>
      </c>
      <c r="M62">
        <f>$C$14*ReDiarioFert!I51</f>
        <v>2.8914821460782507</v>
      </c>
      <c r="O62">
        <f>$C$14*ReDiarioFert!K51</f>
        <v>5.960094346586628</v>
      </c>
      <c r="Q62">
        <f>$C$14*ReDiarioFert!M51</f>
        <v>84.54738975609757</v>
      </c>
      <c r="T62">
        <f>((G62/100)*$G$127+(I62/100)*$G$128+(K62/100)*$G$129+(M62/100)*$G$130+(O62/100)*$G$131+(Q62)*$G$132+(S62*$G$133)+(E62*(VLOOKUP(D62,Fertilizantes!$A$49:$E$123,3,FALSE))))</f>
        <v>159.08604034939952</v>
      </c>
    </row>
    <row r="63">
      <c r="B63">
        <v>46</v>
      </c>
      <c r="C63">
        <f>$I$13+B63</f>
        <v>39860</v>
      </c>
      <c r="E63">
        <f>VLOOKUP(D63,Fertilizantes!$A$49:$E$123,2,FALSE)*$C$14</f>
        <v>0</v>
      </c>
      <c r="F63">
        <f>VLOOKUP(D63,Fertilizantes!$A$49:$E$123,4,FALSE)</f>
        <v>0</v>
      </c>
      <c r="G63">
        <f>IF($C$14*ReDiarioFert!C52&lt;=0,"0",$C$14*ReDiarioFert!C52)</f>
        <v>2.737369646634938</v>
      </c>
      <c r="I63">
        <f>$C$14*ReDiarioFert!E52</f>
        <v>3.3099286956521734</v>
      </c>
      <c r="K63">
        <f>$C$14*ReDiarioFert!G52</f>
        <v>6.497824666666666</v>
      </c>
      <c r="M63">
        <f>$C$14*ReDiarioFert!I52</f>
        <v>2.8914821460782507</v>
      </c>
      <c r="O63">
        <f>$C$14*ReDiarioFert!K52</f>
        <v>5.960094346586628</v>
      </c>
      <c r="Q63">
        <f>$C$14*ReDiarioFert!M52</f>
        <v>84.54738975609757</v>
      </c>
      <c r="T63">
        <f>((G63/100)*$G$127+(I63/100)*$G$128+(K63/100)*$G$129+(M63/100)*$G$130+(O63/100)*$G$131+(Q63)*$G$132+(S63*$G$133)+(E63*(VLOOKUP(D63,Fertilizantes!$A$49:$E$123,3,FALSE))))</f>
        <v>159.08604034939952</v>
      </c>
    </row>
    <row r="64">
      <c r="B64">
        <v>47</v>
      </c>
      <c r="C64">
        <f>$I$13+B64</f>
        <v>39861</v>
      </c>
      <c r="E64">
        <f>VLOOKUP(D64,Fertilizantes!$A$49:$E$123,2,FALSE)*$C$14</f>
        <v>0</v>
      </c>
      <c r="F64">
        <f>VLOOKUP(D64,Fertilizantes!$A$49:$E$123,4,FALSE)</f>
        <v>0</v>
      </c>
      <c r="G64">
        <f>IF($C$14*ReDiarioFert!C53&lt;=0,"0",$C$14*ReDiarioFert!C53)</f>
        <v>2.737369646634938</v>
      </c>
      <c r="I64">
        <f>$C$14*ReDiarioFert!E53</f>
        <v>3.3099286956521734</v>
      </c>
      <c r="K64">
        <f>$C$14*ReDiarioFert!G53</f>
        <v>6.497824666666666</v>
      </c>
      <c r="M64">
        <f>$C$14*ReDiarioFert!I53</f>
        <v>2.8914821460782507</v>
      </c>
      <c r="O64">
        <f>$C$14*ReDiarioFert!K53</f>
        <v>5.960094346586628</v>
      </c>
      <c r="Q64">
        <f>$C$14*ReDiarioFert!M53</f>
        <v>84.54738975609757</v>
      </c>
      <c r="T64">
        <f>((G64/100)*$G$127+(I64/100)*$G$128+(K64/100)*$G$129+(M64/100)*$G$130+(O64/100)*$G$131+(Q64)*$G$132+(S64*$G$133)+(E64*(VLOOKUP(D64,Fertilizantes!$A$49:$E$123,3,FALSE))))</f>
        <v>159.08604034939952</v>
      </c>
    </row>
    <row r="65">
      <c r="B65">
        <v>48</v>
      </c>
      <c r="C65">
        <f>$I$13+B65</f>
        <v>39862</v>
      </c>
      <c r="E65">
        <f>VLOOKUP(D65,Fertilizantes!$A$49:$E$123,2,FALSE)*$C$14</f>
        <v>0</v>
      </c>
      <c r="F65">
        <f>VLOOKUP(D65,Fertilizantes!$A$49:$E$123,4,FALSE)</f>
        <v>0</v>
      </c>
      <c r="G65">
        <f>IF($C$14*ReDiarioFert!C54&lt;=0,"0",$C$14*ReDiarioFert!C54)</f>
        <v>3.6498261955132505</v>
      </c>
      <c r="I65">
        <f>$C$14*ReDiarioFert!E54</f>
        <v>4.413238260869565</v>
      </c>
      <c r="K65">
        <f>$C$14*ReDiarioFert!G54</f>
        <v>8.663766222222224</v>
      </c>
      <c r="M65">
        <f>$C$14*ReDiarioFert!I54</f>
        <v>3.8553095281043337</v>
      </c>
      <c r="O65">
        <f>$C$14*ReDiarioFert!K54</f>
        <v>7.946792462115503</v>
      </c>
      <c r="Q65">
        <f>$C$14*ReDiarioFert!M54</f>
        <v>114.387443902439</v>
      </c>
      <c r="T65">
        <f>((G65/100)*$G$127+(I65/100)*$G$128+(K65/100)*$G$129+(M65/100)*$G$130+(O65/100)*$G$131+(Q65)*$G$132+(S65*$G$133)+(E65*(VLOOKUP(D65,Fertilizantes!$A$49:$E$123,3,FALSE))))</f>
        <v>212.18102410163834</v>
      </c>
    </row>
    <row r="66">
      <c r="B66">
        <v>49</v>
      </c>
      <c r="C66">
        <f>$I$13+B66</f>
        <v>39863</v>
      </c>
      <c r="E66">
        <f>VLOOKUP(D66,Fertilizantes!$A$49:$E$123,2,FALSE)*$C$14</f>
        <v>0</v>
      </c>
      <c r="F66">
        <f>VLOOKUP(D66,Fertilizantes!$A$49:$E$123,4,FALSE)</f>
        <v>0</v>
      </c>
      <c r="G66">
        <f>IF($C$14*ReDiarioFert!C55&lt;=0,"0",$C$14*ReDiarioFert!C55)</f>
        <v>3.6498261955132505</v>
      </c>
      <c r="I66">
        <f>$C$14*ReDiarioFert!E55</f>
        <v>4.413238260869565</v>
      </c>
      <c r="K66">
        <f>$C$14*ReDiarioFert!G55</f>
        <v>8.663766222222224</v>
      </c>
      <c r="M66">
        <f>$C$14*ReDiarioFert!I55</f>
        <v>3.8553095281043337</v>
      </c>
      <c r="O66">
        <f>$C$14*ReDiarioFert!K55</f>
        <v>7.946792462115503</v>
      </c>
      <c r="Q66">
        <f>$C$14*ReDiarioFert!M55</f>
        <v>114.387443902439</v>
      </c>
      <c r="S66">
        <f>Main!$H$84</f>
        <v>0</v>
      </c>
      <c r="T66">
        <f>((G66/100)*$G$127+(I66/100)*$G$128+(K66/100)*$G$129+(M66/100)*$G$130+(O66/100)*$G$131+(Q66)*$G$132+(S66*$G$133)+(E66*(VLOOKUP(D66,Fertilizantes!$A$49:$E$123,3,FALSE))))</f>
        <v>212.18102410163834</v>
      </c>
    </row>
    <row r="67">
      <c r="A67">
        <v>8</v>
      </c>
      <c r="B67">
        <v>50</v>
      </c>
      <c r="C67">
        <f>$I$13+B67</f>
        <v>39864</v>
      </c>
      <c r="E67">
        <f>VLOOKUP(D67,Fertilizantes!$A$49:$E$123,2,FALSE)*$C$14</f>
        <v>0</v>
      </c>
      <c r="F67">
        <f>VLOOKUP(D67,Fertilizantes!$A$49:$E$123,4,FALSE)</f>
        <v>0</v>
      </c>
      <c r="G67">
        <f>IF($C$14*ReDiarioFert!C56&lt;=0,"0",$C$14*ReDiarioFert!C56)</f>
        <v>3.6498261955132505</v>
      </c>
      <c r="I67">
        <f>$C$14*ReDiarioFert!E56</f>
        <v>4.413238260869565</v>
      </c>
      <c r="K67">
        <f>$C$14*ReDiarioFert!G56</f>
        <v>8.663766222222224</v>
      </c>
      <c r="M67">
        <f>$C$14*ReDiarioFert!I56</f>
        <v>3.8553095281043337</v>
      </c>
      <c r="O67">
        <f>$C$14*ReDiarioFert!K56</f>
        <v>7.946792462115503</v>
      </c>
      <c r="Q67">
        <f>$C$14*ReDiarioFert!M56</f>
        <v>114.387443902439</v>
      </c>
      <c r="S67">
        <f>$C$14*Main!$D$63</f>
        <v>20.019999999999996</v>
      </c>
      <c r="T67">
        <f>((G67/100)*$G$127+(I67/100)*$G$128+(K67/100)*$G$129+(M67/100)*$G$130+(O67/100)*$G$131+(Q67)*$G$132+(S67*$G$133)+(E67*(VLOOKUP(D67,Fertilizantes!$A$49:$E$123,3,FALSE))))</f>
        <v>268.2370241016383</v>
      </c>
    </row>
    <row r="68">
      <c r="B68">
        <v>51</v>
      </c>
      <c r="C68">
        <f>$I$13+B68</f>
        <v>39865</v>
      </c>
      <c r="E68">
        <f>VLOOKUP(D68,Fertilizantes!$A$49:$E$123,2,FALSE)*$C$14</f>
        <v>0</v>
      </c>
      <c r="F68">
        <f>VLOOKUP(D68,Fertilizantes!$A$49:$E$123,4,FALSE)</f>
        <v>0</v>
      </c>
      <c r="G68">
        <f>IF($C$14*ReDiarioFert!C57&lt;=0,"0",$C$14*ReDiarioFert!C57)</f>
        <v>3.6498261955132505</v>
      </c>
      <c r="I68">
        <f>$C$14*ReDiarioFert!E57</f>
        <v>4.413238260869565</v>
      </c>
      <c r="K68">
        <f>$C$14*ReDiarioFert!G57</f>
        <v>8.663766222222224</v>
      </c>
      <c r="M68">
        <f>$C$14*ReDiarioFert!I57</f>
        <v>3.8553095281043337</v>
      </c>
      <c r="O68">
        <f>$C$14*ReDiarioFert!K57</f>
        <v>7.946792462115503</v>
      </c>
      <c r="Q68">
        <f>$C$14*ReDiarioFert!M57</f>
        <v>114.387443902439</v>
      </c>
      <c r="T68">
        <f>((G68/100)*$G$127+(I68/100)*$G$128+(K68/100)*$G$129+(M68/100)*$G$130+(O68/100)*$G$131+(Q68)*$G$132+(S68*$G$133)+(E68*(VLOOKUP(D68,Fertilizantes!$A$49:$E$123,3,FALSE))))</f>
        <v>212.18102410163834</v>
      </c>
    </row>
    <row r="69">
      <c r="B69">
        <v>52</v>
      </c>
      <c r="C69">
        <f>$I$13+B69</f>
        <v>39866</v>
      </c>
      <c r="E69">
        <f>VLOOKUP(D69,Fertilizantes!$A$49:$E$123,2,FALSE)*$C$14</f>
        <v>0</v>
      </c>
      <c r="F69">
        <f>VLOOKUP(D69,Fertilizantes!$A$49:$E$123,4,FALSE)</f>
        <v>0</v>
      </c>
      <c r="G69">
        <f>IF($C$14*ReDiarioFert!C58&lt;=0,"0",$C$14*ReDiarioFert!C58)</f>
        <v>3.6498261955132505</v>
      </c>
      <c r="I69">
        <f>$C$14*ReDiarioFert!E58</f>
        <v>4.413238260869565</v>
      </c>
      <c r="K69">
        <f>$C$14*ReDiarioFert!G58</f>
        <v>8.663766222222224</v>
      </c>
      <c r="M69">
        <f>$C$14*ReDiarioFert!I58</f>
        <v>3.8553095281043337</v>
      </c>
      <c r="O69">
        <f>$C$14*ReDiarioFert!K58</f>
        <v>7.946792462115503</v>
      </c>
      <c r="Q69">
        <f>$C$14*ReDiarioFert!M58</f>
        <v>114.387443902439</v>
      </c>
      <c r="T69">
        <f>((G69/100)*$G$127+(I69/100)*$G$128+(K69/100)*$G$129+(M69/100)*$G$130+(O69/100)*$G$131+(Q69)*$G$132+(S69*$G$133)+(E69*(VLOOKUP(D69,Fertilizantes!$A$49:$E$123,3,FALSE))))</f>
        <v>212.18102410163834</v>
      </c>
    </row>
    <row r="70">
      <c r="B70">
        <v>53</v>
      </c>
      <c r="C70">
        <f>$I$13+B70</f>
        <v>39867</v>
      </c>
      <c r="E70">
        <f>VLOOKUP(D70,Fertilizantes!$A$49:$E$123,2,FALSE)*$C$14</f>
        <v>0</v>
      </c>
      <c r="F70">
        <f>VLOOKUP(D70,Fertilizantes!$A$49:$E$123,4,FALSE)</f>
        <v>0</v>
      </c>
      <c r="G70">
        <f>IF($C$14*ReDiarioFert!C59&lt;=0,"0",$C$14*ReDiarioFert!C59)</f>
        <v>3.6498261955132505</v>
      </c>
      <c r="I70">
        <f>$C$14*ReDiarioFert!E59</f>
        <v>4.413238260869565</v>
      </c>
      <c r="K70">
        <f>$C$14*ReDiarioFert!G59</f>
        <v>8.663766222222224</v>
      </c>
      <c r="M70">
        <f>$C$14*ReDiarioFert!I59</f>
        <v>3.8553095281043337</v>
      </c>
      <c r="O70">
        <f>$C$14*ReDiarioFert!K59</f>
        <v>7.946792462115503</v>
      </c>
      <c r="Q70">
        <f>$C$14*ReDiarioFert!M59</f>
        <v>114.387443902439</v>
      </c>
      <c r="T70">
        <f>((G70/100)*$G$127+(I70/100)*$G$128+(K70/100)*$G$129+(M70/100)*$G$130+(O70/100)*$G$131+(Q70)*$G$132+(S70*$G$133)+(E70*(VLOOKUP(D70,Fertilizantes!$A$49:$E$123,3,FALSE))))</f>
        <v>212.18102410163834</v>
      </c>
    </row>
    <row r="71">
      <c r="B71">
        <v>54</v>
      </c>
      <c r="C71">
        <f>$I$13+B71</f>
        <v>39868</v>
      </c>
      <c r="E71">
        <f>VLOOKUP(D71,Fertilizantes!$A$49:$E$123,2,FALSE)*$C$14</f>
        <v>0</v>
      </c>
      <c r="F71">
        <f>VLOOKUP(D71,Fertilizantes!$A$49:$E$123,4,FALSE)</f>
        <v>0</v>
      </c>
      <c r="G71">
        <f>IF($C$14*ReDiarioFert!C60&lt;=0,"0",$C$14*ReDiarioFert!C60)</f>
        <v>3.6498261955132505</v>
      </c>
      <c r="I71">
        <f>$C$14*ReDiarioFert!E60</f>
        <v>4.413238260869565</v>
      </c>
      <c r="K71">
        <f>$C$14*ReDiarioFert!G60</f>
        <v>8.663766222222224</v>
      </c>
      <c r="M71">
        <f>$C$14*ReDiarioFert!I60</f>
        <v>3.8553095281043337</v>
      </c>
      <c r="O71">
        <f>$C$14*ReDiarioFert!K60</f>
        <v>7.946792462115503</v>
      </c>
      <c r="Q71">
        <f>$C$14*ReDiarioFert!M60</f>
        <v>114.387443902439</v>
      </c>
      <c r="T71">
        <f>((G71/100)*$G$127+(I71/100)*$G$128+(K71/100)*$G$129+(M71/100)*$G$130+(O71/100)*$G$131+(Q71)*$G$132+(S71*$G$133)+(E71*(VLOOKUP(D71,Fertilizantes!$A$49:$E$123,3,FALSE))))</f>
        <v>212.18102410163834</v>
      </c>
    </row>
    <row r="72">
      <c r="B72">
        <v>55</v>
      </c>
      <c r="C72">
        <f>$I$13+B72</f>
        <v>39869</v>
      </c>
      <c r="E72">
        <f>VLOOKUP(D72,Fertilizantes!$A$49:$E$123,2,FALSE)*$C$14</f>
        <v>0</v>
      </c>
      <c r="F72">
        <f>VLOOKUP(D72,Fertilizantes!$A$49:$E$123,4,FALSE)</f>
        <v>0</v>
      </c>
      <c r="G72">
        <f>IF($C$14*ReDiarioFert!C61&lt;=0,"0",$C$14*ReDiarioFert!C61)</f>
        <v>3.6498261955132505</v>
      </c>
      <c r="I72">
        <f>$C$14*ReDiarioFert!E61</f>
        <v>4.413238260869565</v>
      </c>
      <c r="K72">
        <f>$C$14*ReDiarioFert!G61</f>
        <v>8.663766222222224</v>
      </c>
      <c r="M72">
        <f>$C$14*ReDiarioFert!I61</f>
        <v>3.8553095281043337</v>
      </c>
      <c r="O72">
        <f>$C$14*ReDiarioFert!K61</f>
        <v>7.946792462115503</v>
      </c>
      <c r="Q72">
        <f>$C$14*ReDiarioFert!M61</f>
        <v>114.387443902439</v>
      </c>
      <c r="T72">
        <f>((G72/100)*$G$127+(I72/100)*$G$128+(K72/100)*$G$129+(M72/100)*$G$130+(O72/100)*$G$131+(Q72)*$G$132+(S72*$G$133)+(E72*(VLOOKUP(D72,Fertilizantes!$A$49:$E$123,3,FALSE))))</f>
        <v>212.18102410163834</v>
      </c>
    </row>
    <row r="73">
      <c r="B73">
        <v>56</v>
      </c>
      <c r="C73">
        <f>$I$13+B73</f>
        <v>39870</v>
      </c>
      <c r="E73">
        <f>VLOOKUP(D73,Fertilizantes!$A$49:$E$123,2,FALSE)*$C$14</f>
        <v>0</v>
      </c>
      <c r="F73">
        <f>VLOOKUP(D73,Fertilizantes!$A$49:$E$123,4,FALSE)</f>
        <v>0</v>
      </c>
      <c r="G73">
        <f>IF($C$14*ReDiarioFert!C62&lt;=0,"0",$C$14*ReDiarioFert!C62)</f>
        <v>3.6498261955132505</v>
      </c>
      <c r="I73">
        <f>$C$14*ReDiarioFert!E62</f>
        <v>4.413238260869565</v>
      </c>
      <c r="K73">
        <f>$C$14*ReDiarioFert!G62</f>
        <v>8.663766222222224</v>
      </c>
      <c r="M73">
        <f>$C$14*ReDiarioFert!I62</f>
        <v>3.8553095281043337</v>
      </c>
      <c r="O73">
        <f>$C$14*ReDiarioFert!K62</f>
        <v>7.946792462115503</v>
      </c>
      <c r="Q73">
        <f>$C$14*ReDiarioFert!M62</f>
        <v>114.387443902439</v>
      </c>
      <c r="T73">
        <f>((G73/100)*$G$127+(I73/100)*$G$128+(K73/100)*$G$129+(M73/100)*$G$130+(O73/100)*$G$131+(Q73)*$G$132+(S73*$G$133)+(E73*(VLOOKUP(D73,Fertilizantes!$A$49:$E$123,3,FALSE))))</f>
        <v>212.18102410163834</v>
      </c>
    </row>
    <row r="74">
      <c r="A74">
        <v>9</v>
      </c>
      <c r="B74">
        <v>57</v>
      </c>
      <c r="C74">
        <f>$I$13+B74</f>
        <v>39871</v>
      </c>
      <c r="D74">
        <f>Main!$H$86</f>
        <v>0</v>
      </c>
      <c r="E74">
        <f>VLOOKUP(D74,Fertilizantes!$A$49:$E$123,2,FALSE)*$C$14</f>
        <v>0</v>
      </c>
      <c r="F74">
        <f>VLOOKUP(D74,Fertilizantes!$A$49:$E$123,4,FALSE)</f>
        <v>0</v>
      </c>
      <c r="G74">
        <f>IF($C$14*ReDiarioFert!C63&lt;=0,"0",$C$14*ReDiarioFert!C63)</f>
        <v>3.6498261955132505</v>
      </c>
      <c r="I74">
        <f>$C$14*ReDiarioFert!E63</f>
        <v>4.413238260869565</v>
      </c>
      <c r="K74">
        <f>$C$14*ReDiarioFert!G63</f>
        <v>8.663766222222224</v>
      </c>
      <c r="M74">
        <f>$C$14*ReDiarioFert!I63</f>
        <v>3.8553095281043337</v>
      </c>
      <c r="O74">
        <f>$C$14*ReDiarioFert!K63</f>
        <v>7.946792462115503</v>
      </c>
      <c r="Q74">
        <f>$C$14*ReDiarioFert!M63</f>
        <v>114.387443902439</v>
      </c>
      <c r="S74">
        <f>$C$14*Main!$D$63</f>
        <v>20.019999999999996</v>
      </c>
      <c r="T74">
        <f>((G74/100)*$G$127+(I74/100)*$G$128+(K74/100)*$G$129+(M74/100)*$G$130+(O74/100)*$G$131+(Q74)*$G$132+(S74*$G$133)+(E74*(VLOOKUP(D74,Fertilizantes!$A$49:$E$123,3,FALSE))))</f>
        <v>268.2370241016383</v>
      </c>
    </row>
    <row r="75">
      <c r="B75">
        <v>58</v>
      </c>
      <c r="C75">
        <f>$I$13+B75</f>
        <v>39872</v>
      </c>
      <c r="E75">
        <f>VLOOKUP(D75,Fertilizantes!$A$49:$E$123,2,FALSE)*$C$14</f>
        <v>0</v>
      </c>
      <c r="F75">
        <f>VLOOKUP(D75,Fertilizantes!$A$49:$E$123,4,FALSE)</f>
        <v>0</v>
      </c>
      <c r="G75">
        <f>IF($C$14*ReDiarioFert!C64&lt;=0,"0",$C$14*ReDiarioFert!C64)</f>
        <v>3.6498261955132505</v>
      </c>
      <c r="I75">
        <f>$C$14*ReDiarioFert!E64</f>
        <v>4.413238260869565</v>
      </c>
      <c r="K75">
        <f>$C$14*ReDiarioFert!G64</f>
        <v>8.663766222222224</v>
      </c>
      <c r="M75">
        <f>$C$14*ReDiarioFert!I64</f>
        <v>3.8553095281043337</v>
      </c>
      <c r="O75">
        <f>$C$14*ReDiarioFert!K64</f>
        <v>7.946792462115503</v>
      </c>
      <c r="Q75">
        <f>$C$14*ReDiarioFert!M64</f>
        <v>114.387443902439</v>
      </c>
      <c r="T75">
        <f>((G75/100)*$G$127+(I75/100)*$G$128+(K75/100)*$G$129+(M75/100)*$G$130+(O75/100)*$G$131+(Q75)*$G$132+(S75*$G$133)+(E75*(VLOOKUP(D75,Fertilizantes!$A$49:$E$123,3,FALSE))))</f>
        <v>212.18102410163834</v>
      </c>
    </row>
    <row r="76">
      <c r="B76">
        <v>59</v>
      </c>
      <c r="C76">
        <f>$I$13+B76</f>
        <v>39873</v>
      </c>
      <c r="E76">
        <f>VLOOKUP(D76,Fertilizantes!$A$49:$E$123,2,FALSE)*$C$14</f>
        <v>0</v>
      </c>
      <c r="F76">
        <f>VLOOKUP(D76,Fertilizantes!$A$49:$E$123,4,FALSE)</f>
        <v>0</v>
      </c>
      <c r="G76">
        <f>IF($C$14*ReDiarioFert!C65&lt;=0,"0",$C$14*ReDiarioFert!C65)</f>
        <v>3.6498261955132505</v>
      </c>
      <c r="I76">
        <f>$C$14*ReDiarioFert!E65</f>
        <v>4.413238260869565</v>
      </c>
      <c r="K76">
        <f>$C$14*ReDiarioFert!G65</f>
        <v>8.663766222222224</v>
      </c>
      <c r="M76">
        <f>$C$14*ReDiarioFert!I65</f>
        <v>3.8553095281043337</v>
      </c>
      <c r="O76">
        <f>$C$14*ReDiarioFert!K65</f>
        <v>7.946792462115503</v>
      </c>
      <c r="Q76">
        <f>$C$14*ReDiarioFert!M65</f>
        <v>114.387443902439</v>
      </c>
      <c r="T76">
        <f>((G76/100)*$G$127+(I76/100)*$G$128+(K76/100)*$G$129+(M76/100)*$G$130+(O76/100)*$G$131+(Q76)*$G$132+(S76*$G$133)+(E76*(VLOOKUP(D76,Fertilizantes!$A$49:$E$123,3,FALSE))))</f>
        <v>212.18102410163834</v>
      </c>
    </row>
    <row r="77">
      <c r="B77">
        <v>60</v>
      </c>
      <c r="C77">
        <f>$I$13+B77</f>
        <v>39874</v>
      </c>
      <c r="E77">
        <f>VLOOKUP(D77,Fertilizantes!$A$49:$E$123,2,FALSE)*$C$14</f>
        <v>0</v>
      </c>
      <c r="F77">
        <f>VLOOKUP(D77,Fertilizantes!$A$49:$E$123,4,FALSE)</f>
        <v>0</v>
      </c>
      <c r="G77">
        <f>IF($C$14*ReDiarioFert!C66&lt;=0,"0",$C$14*ReDiarioFert!C66)</f>
        <v>3.6498261955132505</v>
      </c>
      <c r="I77">
        <f>$C$14*ReDiarioFert!E66</f>
        <v>4.413238260869565</v>
      </c>
      <c r="K77">
        <f>$C$14*ReDiarioFert!G66</f>
        <v>8.663766222222224</v>
      </c>
      <c r="M77">
        <f>$C$14*ReDiarioFert!I66</f>
        <v>3.8553095281043337</v>
      </c>
      <c r="O77">
        <f>$C$14*ReDiarioFert!K66</f>
        <v>7.946792462115503</v>
      </c>
      <c r="Q77">
        <f>$C$14*ReDiarioFert!M66</f>
        <v>114.387443902439</v>
      </c>
      <c r="T77">
        <f>((G77/100)*$G$127+(I77/100)*$G$128+(K77/100)*$G$129+(M77/100)*$G$130+(O77/100)*$G$131+(Q77)*$G$132+(S77*$G$133)+(E77*(VLOOKUP(D77,Fertilizantes!$A$49:$E$123,3,FALSE))))</f>
        <v>212.18102410163834</v>
      </c>
    </row>
    <row r="78">
      <c r="B78">
        <v>61</v>
      </c>
      <c r="C78">
        <f>$I$13+B78</f>
        <v>39875</v>
      </c>
      <c r="E78">
        <f>VLOOKUP(D78,Fertilizantes!$A$49:$E$123,2,FALSE)*$C$14</f>
        <v>0</v>
      </c>
      <c r="F78">
        <f>VLOOKUP(D78,Fertilizantes!$A$49:$E$123,4,FALSE)</f>
        <v>0</v>
      </c>
      <c r="G78">
        <f>IF($C$14*ReDiarioFert!C67&lt;=0,"0",$C$14*ReDiarioFert!C67)</f>
        <v>3.6498261955132505</v>
      </c>
      <c r="I78">
        <f>$C$14*ReDiarioFert!E67</f>
        <v>4.413238260869565</v>
      </c>
      <c r="K78">
        <f>$C$14*ReDiarioFert!G67</f>
        <v>8.663766222222224</v>
      </c>
      <c r="M78">
        <f>$C$14*ReDiarioFert!I67</f>
        <v>3.8553095281043337</v>
      </c>
      <c r="O78">
        <f>$C$14*ReDiarioFert!K67</f>
        <v>7.946792462115503</v>
      </c>
      <c r="Q78">
        <f>$C$14*ReDiarioFert!M67</f>
        <v>114.387443902439</v>
      </c>
      <c r="T78">
        <f>((G78/100)*$G$127+(I78/100)*$G$128+(K78/100)*$G$129+(M78/100)*$G$130+(O78/100)*$G$131+(Q78)*$G$132+(S78*$G$133)+(E78*(VLOOKUP(D78,Fertilizantes!$A$49:$E$123,3,FALSE))))</f>
        <v>212.18102410163834</v>
      </c>
    </row>
    <row r="79">
      <c r="B79">
        <v>62</v>
      </c>
      <c r="C79">
        <f>$I$13+B79</f>
        <v>39876</v>
      </c>
      <c r="E79">
        <f>VLOOKUP(D79,Fertilizantes!$A$49:$E$123,2,FALSE)*$C$14</f>
        <v>0</v>
      </c>
      <c r="F79">
        <f>VLOOKUP(D79,Fertilizantes!$A$49:$E$123,4,FALSE)</f>
        <v>0</v>
      </c>
      <c r="G79">
        <f>IF($C$14*ReDiarioFert!C68&lt;=0,"0",$C$14*ReDiarioFert!C68)</f>
        <v>3.6498261955132505</v>
      </c>
      <c r="I79">
        <f>$C$14*ReDiarioFert!E68</f>
        <v>4.413238260869565</v>
      </c>
      <c r="K79">
        <f>$C$14*ReDiarioFert!G68</f>
        <v>8.663766222222224</v>
      </c>
      <c r="M79">
        <f>$C$14*ReDiarioFert!I68</f>
        <v>3.8553095281043337</v>
      </c>
      <c r="O79">
        <f>$C$14*ReDiarioFert!K68</f>
        <v>7.946792462115503</v>
      </c>
      <c r="Q79">
        <f>$C$14*ReDiarioFert!M68</f>
        <v>114.387443902439</v>
      </c>
      <c r="T79">
        <f>((G79/100)*$G$127+(I79/100)*$G$128+(K79/100)*$G$129+(M79/100)*$G$130+(O79/100)*$G$131+(Q79)*$G$132+(S79*$G$133)+(E79*(VLOOKUP(D79,Fertilizantes!$A$49:$E$123,3,FALSE))))</f>
        <v>212.18102410163834</v>
      </c>
    </row>
    <row r="80">
      <c r="B80">
        <v>63</v>
      </c>
      <c r="C80">
        <f>$I$13+B80</f>
        <v>39877</v>
      </c>
      <c r="E80">
        <f>VLOOKUP(D80,Fertilizantes!$A$49:$E$123,2,FALSE)*$C$14</f>
        <v>0</v>
      </c>
      <c r="F80">
        <f>VLOOKUP(D80,Fertilizantes!$A$49:$E$123,4,FALSE)</f>
        <v>0</v>
      </c>
      <c r="G80">
        <f>IF($C$14*ReDiarioFert!C69&lt;=0,"0",$C$14*ReDiarioFert!C69)</f>
        <v>4.562282744391561</v>
      </c>
      <c r="I80">
        <f>$C$14*ReDiarioFert!E69</f>
        <v>5.5165478260869545</v>
      </c>
      <c r="K80">
        <f>$C$14*ReDiarioFert!G69</f>
        <v>10.829707777777779</v>
      </c>
      <c r="M80">
        <f>$C$14*ReDiarioFert!I69</f>
        <v>4.819136910130418</v>
      </c>
      <c r="O80">
        <f>$C$14*ReDiarioFert!K69</f>
        <v>9.933490577644381</v>
      </c>
      <c r="Q80">
        <f>$C$14*ReDiarioFert!M69</f>
        <v>144.2279863414634</v>
      </c>
      <c r="S80">
        <f>Main!$H$85</f>
        <v>0</v>
      </c>
      <c r="T80">
        <f>((G80/100)*$G$127+(I80/100)*$G$128+(K80/100)*$G$129+(M80/100)*$G$130+(O80/100)*$G$131+(Q80)*$G$132+(S80*$G$133)+(E80*(VLOOKUP(D80,Fertilizantes!$A$49:$E$123,3,FALSE))))</f>
        <v>265.27602738558454</v>
      </c>
    </row>
    <row r="81">
      <c r="A81">
        <v>10</v>
      </c>
      <c r="B81">
        <v>64</v>
      </c>
      <c r="C81">
        <f>$I$13+B81</f>
        <v>39878</v>
      </c>
      <c r="E81">
        <f>VLOOKUP(D81,Fertilizantes!$A$49:$E$123,2,FALSE)*$C$14</f>
        <v>0</v>
      </c>
      <c r="F81">
        <f>VLOOKUP(D81,Fertilizantes!$A$49:$E$123,4,FALSE)</f>
        <v>0</v>
      </c>
      <c r="G81">
        <f>IF($C$14*ReDiarioFert!C70&lt;=0,"0",$C$14*ReDiarioFert!C70)</f>
        <v>4.562282744391561</v>
      </c>
      <c r="I81">
        <f>$C$14*ReDiarioFert!E70</f>
        <v>5.5165478260869545</v>
      </c>
      <c r="K81">
        <f>$C$14*ReDiarioFert!G70</f>
        <v>10.829707777777779</v>
      </c>
      <c r="M81">
        <f>$C$14*ReDiarioFert!I70</f>
        <v>4.819136910130418</v>
      </c>
      <c r="O81">
        <f>$C$14*ReDiarioFert!K70</f>
        <v>9.933490577644381</v>
      </c>
      <c r="Q81">
        <f>$C$14*ReDiarioFert!M70</f>
        <v>144.2279863414634</v>
      </c>
      <c r="S81">
        <f>$C$14*Main!$D$63</f>
        <v>20.019999999999996</v>
      </c>
      <c r="T81">
        <f>((G81/100)*$G$127+(I81/100)*$G$128+(K81/100)*$G$129+(M81/100)*$G$130+(O81/100)*$G$131+(Q81)*$G$132+(S81*$G$133)+(E81*(VLOOKUP(D81,Fertilizantes!$A$49:$E$123,3,FALSE))))</f>
        <v>321.3320273855845</v>
      </c>
    </row>
    <row r="82">
      <c r="B82">
        <v>65</v>
      </c>
      <c r="C82">
        <f>$I$13+B82</f>
        <v>39879</v>
      </c>
      <c r="E82">
        <f>VLOOKUP(D82,Fertilizantes!$A$49:$E$123,2,FALSE)*$C$14</f>
        <v>0</v>
      </c>
      <c r="F82">
        <f>VLOOKUP(D82,Fertilizantes!$A$49:$E$123,4,FALSE)</f>
        <v>0</v>
      </c>
      <c r="G82">
        <f>IF($C$14*ReDiarioFert!C71&lt;=0,"0",$C$14*ReDiarioFert!C71)</f>
        <v>4.562282744391561</v>
      </c>
      <c r="I82">
        <f>$C$14*ReDiarioFert!E71</f>
        <v>5.5165478260869545</v>
      </c>
      <c r="K82">
        <f>$C$14*ReDiarioFert!G71</f>
        <v>10.829707777777779</v>
      </c>
      <c r="M82">
        <f>$C$14*ReDiarioFert!I71</f>
        <v>4.819136910130418</v>
      </c>
      <c r="O82">
        <f>$C$14*ReDiarioFert!K71</f>
        <v>9.933490577644381</v>
      </c>
      <c r="Q82">
        <f>$C$14*ReDiarioFert!M71</f>
        <v>144.2279863414634</v>
      </c>
      <c r="T82">
        <f>((G82/100)*$G$127+(I82/100)*$G$128+(K82/100)*$G$129+(M82/100)*$G$130+(O82/100)*$G$131+(Q82)*$G$132+(S82*$G$133)+(E82*(VLOOKUP(D82,Fertilizantes!$A$49:$E$123,3,FALSE))))</f>
        <v>265.27602738558454</v>
      </c>
    </row>
    <row r="83">
      <c r="B83">
        <v>66</v>
      </c>
      <c r="C83">
        <f>$I$13+B83</f>
        <v>39880</v>
      </c>
      <c r="E83">
        <f>VLOOKUP(D83,Fertilizantes!$A$49:$E$123,2,FALSE)*$C$14</f>
        <v>0</v>
      </c>
      <c r="F83">
        <f>VLOOKUP(D83,Fertilizantes!$A$49:$E$123,4,FALSE)</f>
        <v>0</v>
      </c>
      <c r="G83">
        <f>IF($C$14*ReDiarioFert!C72&lt;=0,"0",$C$14*ReDiarioFert!C72)</f>
        <v>4.562282744391561</v>
      </c>
      <c r="I83">
        <f>$C$14*ReDiarioFert!E72</f>
        <v>5.5165478260869545</v>
      </c>
      <c r="K83">
        <f>$C$14*ReDiarioFert!G72</f>
        <v>10.829707777777779</v>
      </c>
      <c r="M83">
        <f>$C$14*ReDiarioFert!I72</f>
        <v>4.819136910130418</v>
      </c>
      <c r="O83">
        <f>$C$14*ReDiarioFert!K72</f>
        <v>9.933490577644381</v>
      </c>
      <c r="Q83">
        <f>$C$14*ReDiarioFert!M72</f>
        <v>144.2279863414634</v>
      </c>
      <c r="T83">
        <f>((G83/100)*$G$127+(I83/100)*$G$128+(K83/100)*$G$129+(M83/100)*$G$130+(O83/100)*$G$131+(Q83)*$G$132+(S83*$G$133)+(E83*(VLOOKUP(D83,Fertilizantes!$A$49:$E$123,3,FALSE))))</f>
        <v>265.27602738558454</v>
      </c>
    </row>
    <row r="84">
      <c r="B84">
        <v>67</v>
      </c>
      <c r="C84">
        <f>$I$13+B84</f>
        <v>39881</v>
      </c>
      <c r="E84">
        <f>VLOOKUP(D84,Fertilizantes!$A$49:$E$123,2,FALSE)*$C$14</f>
        <v>0</v>
      </c>
      <c r="F84">
        <f>VLOOKUP(D84,Fertilizantes!$A$49:$E$123,4,FALSE)</f>
        <v>0</v>
      </c>
      <c r="G84">
        <f>IF($C$14*ReDiarioFert!C73&lt;=0,"0",$C$14*ReDiarioFert!C73)</f>
        <v>4.562282744391561</v>
      </c>
      <c r="I84">
        <f>$C$14*ReDiarioFert!E73</f>
        <v>5.5165478260869545</v>
      </c>
      <c r="K84">
        <f>$C$14*ReDiarioFert!G73</f>
        <v>10.829707777777779</v>
      </c>
      <c r="M84">
        <f>$C$14*ReDiarioFert!I73</f>
        <v>4.819136910130418</v>
      </c>
      <c r="O84">
        <f>$C$14*ReDiarioFert!K73</f>
        <v>9.933490577644381</v>
      </c>
      <c r="Q84">
        <f>$C$14*ReDiarioFert!M73</f>
        <v>144.2279863414634</v>
      </c>
      <c r="T84">
        <f>((G84/100)*$G$127+(I84/100)*$G$128+(K84/100)*$G$129+(M84/100)*$G$130+(O84/100)*$G$131+(Q84)*$G$132+(S84*$G$133)+(E84*(VLOOKUP(D84,Fertilizantes!$A$49:$E$123,3,FALSE))))</f>
        <v>265.27602738558454</v>
      </c>
    </row>
    <row r="85">
      <c r="B85">
        <v>68</v>
      </c>
      <c r="C85">
        <f>$I$13+B85</f>
        <v>39882</v>
      </c>
      <c r="E85">
        <f>VLOOKUP(D85,Fertilizantes!$A$49:$E$123,2,FALSE)*$C$14</f>
        <v>0</v>
      </c>
      <c r="F85">
        <f>VLOOKUP(D85,Fertilizantes!$A$49:$E$123,4,FALSE)</f>
        <v>0</v>
      </c>
      <c r="G85">
        <f>IF($C$14*ReDiarioFert!C74&lt;=0,"0",$C$14*ReDiarioFert!C74)</f>
        <v>4.562282744391561</v>
      </c>
      <c r="I85">
        <f>$C$14*ReDiarioFert!E74</f>
        <v>5.5165478260869545</v>
      </c>
      <c r="K85">
        <f>$C$14*ReDiarioFert!G74</f>
        <v>10.829707777777779</v>
      </c>
      <c r="M85">
        <f>$C$14*ReDiarioFert!I74</f>
        <v>4.819136910130418</v>
      </c>
      <c r="O85">
        <f>$C$14*ReDiarioFert!K74</f>
        <v>9.933490577644381</v>
      </c>
      <c r="Q85">
        <f>$C$14*ReDiarioFert!M74</f>
        <v>144.2279863414634</v>
      </c>
      <c r="T85">
        <f>((G85/100)*$G$127+(I85/100)*$G$128+(K85/100)*$G$129+(M85/100)*$G$130+(O85/100)*$G$131+(Q85)*$G$132+(S85*$G$133)+(E85*(VLOOKUP(D85,Fertilizantes!$A$49:$E$123,3,FALSE))))</f>
        <v>265.27602738558454</v>
      </c>
    </row>
    <row r="86">
      <c r="B86">
        <v>69</v>
      </c>
      <c r="C86">
        <f>$I$13+B86</f>
        <v>39883</v>
      </c>
      <c r="E86">
        <f>VLOOKUP(D86,Fertilizantes!$A$49:$E$123,2,FALSE)*$C$14</f>
        <v>0</v>
      </c>
      <c r="F86">
        <f>VLOOKUP(D86,Fertilizantes!$A$49:$E$123,4,FALSE)</f>
        <v>0</v>
      </c>
      <c r="G86">
        <f>IF($C$14*ReDiarioFert!C75&lt;=0,"0",$C$14*ReDiarioFert!C75)</f>
        <v>4.562282744391561</v>
      </c>
      <c r="I86">
        <f>$C$14*ReDiarioFert!E75</f>
        <v>5.5165478260869545</v>
      </c>
      <c r="K86">
        <f>$C$14*ReDiarioFert!G75</f>
        <v>10.829707777777779</v>
      </c>
      <c r="M86">
        <f>$C$14*ReDiarioFert!I75</f>
        <v>4.819136910130418</v>
      </c>
      <c r="O86">
        <f>$C$14*ReDiarioFert!K75</f>
        <v>9.933490577644381</v>
      </c>
      <c r="Q86">
        <f>$C$14*ReDiarioFert!M75</f>
        <v>144.2279863414634</v>
      </c>
      <c r="T86">
        <f>((G86/100)*$G$127+(I86/100)*$G$128+(K86/100)*$G$129+(M86/100)*$G$130+(O86/100)*$G$131+(Q86)*$G$132+(S86*$G$133)+(E86*(VLOOKUP(D86,Fertilizantes!$A$49:$E$123,3,FALSE))))</f>
        <v>265.27602738558454</v>
      </c>
    </row>
    <row r="87">
      <c r="B87">
        <v>70</v>
      </c>
      <c r="C87">
        <f>$I$13+B87</f>
        <v>39884</v>
      </c>
      <c r="E87">
        <f>VLOOKUP(D87,Fertilizantes!$A$49:$E$123,2,FALSE)*$C$14</f>
        <v>0</v>
      </c>
      <c r="F87">
        <f>VLOOKUP(D87,Fertilizantes!$A$49:$E$123,4,FALSE)</f>
        <v>0</v>
      </c>
      <c r="G87">
        <f>IF($C$14*ReDiarioFert!C76&lt;=0,"0",$C$14*ReDiarioFert!C76)</f>
        <v>4.562282744391561</v>
      </c>
      <c r="I87">
        <f>$C$14*ReDiarioFert!E76</f>
        <v>5.5165478260869545</v>
      </c>
      <c r="K87">
        <f>$C$14*ReDiarioFert!G76</f>
        <v>10.829707777777779</v>
      </c>
      <c r="M87">
        <f>$C$14*ReDiarioFert!I76</f>
        <v>4.819136910130418</v>
      </c>
      <c r="O87">
        <f>$C$14*ReDiarioFert!K76</f>
        <v>9.933490577644381</v>
      </c>
      <c r="Q87">
        <f>$C$14*ReDiarioFert!M76</f>
        <v>144.2279863414634</v>
      </c>
      <c r="S87">
        <f>Main!$H$84</f>
        <v>0</v>
      </c>
      <c r="T87">
        <f>((G87/100)*$G$127+(I87/100)*$G$128+(K87/100)*$G$129+(M87/100)*$G$130+(O87/100)*$G$131+(Q87)*$G$132+(S87*$G$133)+(E87*(VLOOKUP(D87,Fertilizantes!$A$49:$E$123,3,FALSE))))</f>
        <v>265.27602738558454</v>
      </c>
    </row>
    <row r="88">
      <c r="A88">
        <v>11</v>
      </c>
      <c r="B88">
        <v>71</v>
      </c>
      <c r="C88">
        <f>$I$13+B88</f>
        <v>39885</v>
      </c>
      <c r="E88">
        <f>VLOOKUP(D88,Fertilizantes!$A$49:$E$123,2,FALSE)*$C$14</f>
        <v>0</v>
      </c>
      <c r="F88">
        <f>VLOOKUP(D88,Fertilizantes!$A$49:$E$123,4,FALSE)</f>
        <v>0</v>
      </c>
      <c r="G88">
        <f>IF($C$14*ReDiarioFert!C77&lt;=0,"0",$C$14*ReDiarioFert!C77)</f>
        <v>4.562282744391561</v>
      </c>
      <c r="I88">
        <f>$C$14*ReDiarioFert!E77</f>
        <v>5.5165478260869545</v>
      </c>
      <c r="K88">
        <f>$C$14*ReDiarioFert!G77</f>
        <v>10.829707777777779</v>
      </c>
      <c r="M88">
        <f>$C$14*ReDiarioFert!I77</f>
        <v>4.819136910130418</v>
      </c>
      <c r="O88">
        <f>$C$14*ReDiarioFert!K77</f>
        <v>9.933490577644381</v>
      </c>
      <c r="Q88">
        <f>$C$14*ReDiarioFert!M77</f>
        <v>144.2279863414634</v>
      </c>
      <c r="S88">
        <f>$C$14*Main!$D$63</f>
        <v>20.019999999999996</v>
      </c>
      <c r="T88">
        <f>((G88/100)*$G$127+(I88/100)*$G$128+(K88/100)*$G$129+(M88/100)*$G$130+(O88/100)*$G$131+(Q88)*$G$132+(S88*$G$133)+(E88*(VLOOKUP(D88,Fertilizantes!$A$49:$E$123,3,FALSE))))</f>
        <v>321.3320273855845</v>
      </c>
    </row>
    <row r="89">
      <c r="B89">
        <v>72</v>
      </c>
      <c r="C89">
        <f>$I$13+B89</f>
        <v>39886</v>
      </c>
      <c r="E89">
        <f>VLOOKUP(D89,Fertilizantes!$A$49:$E$123,2,FALSE)*$C$14</f>
        <v>0</v>
      </c>
      <c r="F89">
        <f>VLOOKUP(D89,Fertilizantes!$A$49:$E$123,4,FALSE)</f>
        <v>0</v>
      </c>
      <c r="G89">
        <f>IF($C$14*ReDiarioFert!C78&lt;=0,"0",$C$14*ReDiarioFert!C78)</f>
        <v>4.562282744391561</v>
      </c>
      <c r="I89">
        <f>$C$14*ReDiarioFert!E78</f>
        <v>5.5165478260869545</v>
      </c>
      <c r="K89">
        <f>$C$14*ReDiarioFert!G78</f>
        <v>10.829707777777779</v>
      </c>
      <c r="M89">
        <f>$C$14*ReDiarioFert!I78</f>
        <v>4.819136910130418</v>
      </c>
      <c r="O89">
        <f>$C$14*ReDiarioFert!K78</f>
        <v>9.933490577644381</v>
      </c>
      <c r="Q89">
        <f>$C$14*ReDiarioFert!M78</f>
        <v>144.2279863414634</v>
      </c>
      <c r="T89">
        <f>((G89/100)*$G$127+(I89/100)*$G$128+(K89/100)*$G$129+(M89/100)*$G$130+(O89/100)*$G$131+(Q89)*$G$132+(S89*$G$133)+(E89*(VLOOKUP(D89,Fertilizantes!$A$49:$E$123,3,FALSE))))</f>
        <v>265.27602738558454</v>
      </c>
    </row>
    <row r="90">
      <c r="B90">
        <v>73</v>
      </c>
      <c r="C90">
        <f>$I$13+B90</f>
        <v>39887</v>
      </c>
      <c r="E90">
        <f>VLOOKUP(D90,Fertilizantes!$A$49:$E$123,2,FALSE)*$C$14</f>
        <v>0</v>
      </c>
      <c r="F90">
        <f>VLOOKUP(D90,Fertilizantes!$A$49:$E$123,4,FALSE)</f>
        <v>0</v>
      </c>
      <c r="G90">
        <f>IF($C$14*ReDiarioFert!C79&lt;=0,"0",$C$14*ReDiarioFert!C79)</f>
        <v>4.562282744391561</v>
      </c>
      <c r="I90">
        <f>$C$14*ReDiarioFert!E79</f>
        <v>5.5165478260869545</v>
      </c>
      <c r="K90">
        <f>$C$14*ReDiarioFert!G79</f>
        <v>10.829707777777779</v>
      </c>
      <c r="M90">
        <f>$C$14*ReDiarioFert!I79</f>
        <v>4.819136910130418</v>
      </c>
      <c r="O90">
        <f>$C$14*ReDiarioFert!K79</f>
        <v>9.933490577644381</v>
      </c>
      <c r="Q90">
        <f>$C$14*ReDiarioFert!M79</f>
        <v>144.2279863414634</v>
      </c>
      <c r="T90">
        <f>((G90/100)*$G$127+(I90/100)*$G$128+(K90/100)*$G$129+(M90/100)*$G$130+(O90/100)*$G$131+(Q90)*$G$132+(S90*$G$133)+(E90*(VLOOKUP(D90,Fertilizantes!$A$49:$E$123,3,FALSE))))</f>
        <v>265.27602738558454</v>
      </c>
    </row>
    <row r="91">
      <c r="B91">
        <v>74</v>
      </c>
      <c r="C91">
        <f>$I$13+B91</f>
        <v>39888</v>
      </c>
      <c r="E91">
        <f>VLOOKUP(D91,Fertilizantes!$A$49:$E$123,2,FALSE)*$C$14</f>
        <v>0</v>
      </c>
      <c r="F91">
        <f>VLOOKUP(D91,Fertilizantes!$A$49:$E$123,4,FALSE)</f>
        <v>0</v>
      </c>
      <c r="G91">
        <f>IF($C$14*ReDiarioFert!C80&lt;=0,"0",$C$14*ReDiarioFert!C80)</f>
        <v>4.562282744391561</v>
      </c>
      <c r="I91">
        <f>$C$14*ReDiarioFert!E80</f>
        <v>5.5165478260869545</v>
      </c>
      <c r="K91">
        <f>$C$14*ReDiarioFert!G80</f>
        <v>10.829707777777779</v>
      </c>
      <c r="M91">
        <f>$C$14*ReDiarioFert!I80</f>
        <v>4.819136910130418</v>
      </c>
      <c r="O91">
        <f>$C$14*ReDiarioFert!K80</f>
        <v>9.933490577644381</v>
      </c>
      <c r="Q91">
        <f>$C$14*ReDiarioFert!M80</f>
        <v>144.2279863414634</v>
      </c>
      <c r="T91">
        <f>((G91/100)*$G$127+(I91/100)*$G$128+(K91/100)*$G$129+(M91/100)*$G$130+(O91/100)*$G$131+(Q91)*$G$132+(S91*$G$133)+(E91*(VLOOKUP(D91,Fertilizantes!$A$49:$E$123,3,FALSE))))</f>
        <v>265.27602738558454</v>
      </c>
    </row>
    <row r="92">
      <c r="B92">
        <v>75</v>
      </c>
      <c r="C92">
        <f>$I$13+B92</f>
        <v>39889</v>
      </c>
      <c r="E92">
        <f>VLOOKUP(D92,Fertilizantes!$A$49:$E$123,2,FALSE)*$C$14</f>
        <v>0</v>
      </c>
      <c r="F92">
        <f>VLOOKUP(D92,Fertilizantes!$A$49:$E$123,4,FALSE)</f>
        <v>0</v>
      </c>
      <c r="G92">
        <f>IF($C$14*ReDiarioFert!C81&lt;=0,"0",$C$14*ReDiarioFert!C81)</f>
        <v>4.562282744391561</v>
      </c>
      <c r="I92">
        <f>$C$14*ReDiarioFert!E81</f>
        <v>5.5165478260869545</v>
      </c>
      <c r="K92">
        <f>$C$14*ReDiarioFert!G81</f>
        <v>10.829707777777779</v>
      </c>
      <c r="M92">
        <f>$C$14*ReDiarioFert!I81</f>
        <v>4.819136910130418</v>
      </c>
      <c r="O92">
        <f>$C$14*ReDiarioFert!K81</f>
        <v>9.933490577644381</v>
      </c>
      <c r="Q92">
        <f>$C$14*ReDiarioFert!M81</f>
        <v>144.2279863414634</v>
      </c>
      <c r="T92">
        <f>((G92/100)*$G$127+(I92/100)*$G$128+(K92/100)*$G$129+(M92/100)*$G$130+(O92/100)*$G$131+(Q92)*$G$132+(S92*$G$133)+(E92*(VLOOKUP(D92,Fertilizantes!$A$49:$E$123,3,FALSE))))</f>
        <v>265.27602738558454</v>
      </c>
    </row>
    <row r="93">
      <c r="B93">
        <v>76</v>
      </c>
      <c r="C93">
        <f>$I$13+B93</f>
        <v>39890</v>
      </c>
      <c r="E93">
        <f>VLOOKUP(D93,Fertilizantes!$A$49:$E$123,2,FALSE)*$C$14</f>
        <v>0</v>
      </c>
      <c r="F93">
        <f>VLOOKUP(D93,Fertilizantes!$A$49:$E$123,4,FALSE)</f>
        <v>0</v>
      </c>
      <c r="G93">
        <f>IF($C$14*ReDiarioFert!C82&lt;=0,"0",$C$14*ReDiarioFert!C82)</f>
        <v>4.562282744391561</v>
      </c>
      <c r="I93">
        <f>$C$14*ReDiarioFert!E82</f>
        <v>5.5165478260869545</v>
      </c>
      <c r="K93">
        <f>$C$14*ReDiarioFert!G82</f>
        <v>10.829707777777779</v>
      </c>
      <c r="M93">
        <f>$C$14*ReDiarioFert!I82</f>
        <v>4.819136910130418</v>
      </c>
      <c r="O93">
        <f>$C$14*ReDiarioFert!K82</f>
        <v>9.933490577644381</v>
      </c>
      <c r="Q93">
        <f>$C$14*ReDiarioFert!M82</f>
        <v>144.2279863414634</v>
      </c>
      <c r="T93">
        <f>((G93/100)*$G$127+(I93/100)*$G$128+(K93/100)*$G$129+(M93/100)*$G$130+(O93/100)*$G$131+(Q93)*$G$132+(S93*$G$133)+(E93*(VLOOKUP(D93,Fertilizantes!$A$49:$E$123,3,FALSE))))</f>
        <v>265.27602738558454</v>
      </c>
    </row>
    <row r="94">
      <c r="B94">
        <v>77</v>
      </c>
      <c r="C94">
        <f>$I$13+B94</f>
        <v>39891</v>
      </c>
      <c r="E94">
        <f>VLOOKUP(D94,Fertilizantes!$A$49:$E$123,2,FALSE)*$C$14</f>
        <v>0</v>
      </c>
      <c r="F94">
        <f>VLOOKUP(D94,Fertilizantes!$A$49:$E$123,4,FALSE)</f>
        <v>0</v>
      </c>
      <c r="G94">
        <f>IF($C$14*ReDiarioFert!C83&lt;=0,"0",$C$14*ReDiarioFert!C83)</f>
        <v>4.562282744391561</v>
      </c>
      <c r="I94">
        <f>$C$14*ReDiarioFert!E83</f>
        <v>5.5165478260869545</v>
      </c>
      <c r="K94">
        <f>$C$14*ReDiarioFert!G83</f>
        <v>10.829707777777779</v>
      </c>
      <c r="M94">
        <f>$C$14*ReDiarioFert!I83</f>
        <v>4.819136910130418</v>
      </c>
      <c r="O94">
        <f>$C$14*ReDiarioFert!K83</f>
        <v>9.933490577644381</v>
      </c>
      <c r="Q94">
        <f>$C$14*ReDiarioFert!M83</f>
        <v>144.2279863414634</v>
      </c>
      <c r="T94">
        <f>((G94/100)*$G$127+(I94/100)*$G$128+(K94/100)*$G$129+(M94/100)*$G$130+(O94/100)*$G$131+(Q94)*$G$132+(S94*$G$133)+(E94*(VLOOKUP(D94,Fertilizantes!$A$49:$E$123,3,FALSE))))</f>
        <v>265.27602738558454</v>
      </c>
    </row>
    <row r="95">
      <c r="A95">
        <v>12</v>
      </c>
      <c r="B95">
        <v>78</v>
      </c>
      <c r="C95">
        <f>$I$13+B95</f>
        <v>39892</v>
      </c>
      <c r="E95">
        <f>VLOOKUP(D95,Fertilizantes!$A$49:$E$123,2,FALSE)*$C$14</f>
        <v>0</v>
      </c>
      <c r="F95">
        <f>VLOOKUP(D95,Fertilizantes!$A$49:$E$123,4,FALSE)</f>
        <v>0</v>
      </c>
      <c r="G95">
        <f>IF($C$14*ReDiarioFert!C84&lt;=0,"0",$C$14*ReDiarioFert!C84)</f>
        <v>4.562282744391561</v>
      </c>
      <c r="I95">
        <f>$C$14*ReDiarioFert!E84</f>
        <v>5.5165478260869545</v>
      </c>
      <c r="K95">
        <f>$C$14*ReDiarioFert!G84</f>
        <v>10.829707777777779</v>
      </c>
      <c r="M95">
        <f>$C$14*ReDiarioFert!I84</f>
        <v>4.819136910130418</v>
      </c>
      <c r="O95">
        <f>$C$14*ReDiarioFert!K84</f>
        <v>9.933490577644381</v>
      </c>
      <c r="Q95">
        <f>$C$14*ReDiarioFert!M84</f>
        <v>144.2279863414634</v>
      </c>
      <c r="S95">
        <f>$C$14*Main!$D$63</f>
        <v>20.019999999999996</v>
      </c>
      <c r="T95">
        <f>((G95/100)*$G$127+(I95/100)*$G$128+(K95/100)*$G$129+(M95/100)*$G$130+(O95/100)*$G$131+(Q95)*$G$132+(S95*$G$133)+(E95*(VLOOKUP(D95,Fertilizantes!$A$49:$E$123,3,FALSE))))</f>
        <v>321.3320273855845</v>
      </c>
    </row>
    <row r="96">
      <c r="B96">
        <v>79</v>
      </c>
      <c r="C96">
        <f>$I$13+B96</f>
        <v>39893</v>
      </c>
      <c r="E96">
        <f>VLOOKUP(D96,Fertilizantes!$A$49:$E$123,2,FALSE)*$C$14</f>
        <v>0</v>
      </c>
      <c r="F96">
        <f>VLOOKUP(D96,Fertilizantes!$A$49:$E$123,4,FALSE)</f>
        <v>0</v>
      </c>
      <c r="G96">
        <f>IF($C$14*ReDiarioFert!C85&lt;=0,"0",$C$14*ReDiarioFert!C85)</f>
        <v>4.562282744391561</v>
      </c>
      <c r="I96">
        <f>$C$14*ReDiarioFert!E85</f>
        <v>5.5165478260869545</v>
      </c>
      <c r="K96">
        <f>$C$14*ReDiarioFert!G85</f>
        <v>10.829707777777779</v>
      </c>
      <c r="M96">
        <f>$C$14*ReDiarioFert!I85</f>
        <v>4.819136910130418</v>
      </c>
      <c r="O96">
        <f>$C$14*ReDiarioFert!K85</f>
        <v>9.933490577644381</v>
      </c>
      <c r="Q96">
        <f>$C$14*ReDiarioFert!M85</f>
        <v>144.2279863414634</v>
      </c>
      <c r="T96">
        <f>((G96/100)*$G$127+(I96/100)*$G$128+(K96/100)*$G$129+(M96/100)*$G$130+(O96/100)*$G$131+(Q96)*$G$132+(S96*$G$133)+(E96*(VLOOKUP(D96,Fertilizantes!$A$49:$E$123,3,FALSE))))</f>
        <v>265.27602738558454</v>
      </c>
    </row>
    <row r="97">
      <c r="B97">
        <v>80</v>
      </c>
      <c r="C97">
        <f>$I$13+B97</f>
        <v>39894</v>
      </c>
      <c r="E97">
        <f>VLOOKUP(D97,Fertilizantes!$A$49:$E$123,2,FALSE)*$C$14</f>
        <v>0</v>
      </c>
      <c r="F97">
        <f>VLOOKUP(D97,Fertilizantes!$A$49:$E$123,4,FALSE)</f>
        <v>0</v>
      </c>
      <c r="G97">
        <f>IF($C$14*ReDiarioFert!C86&lt;=0,"0",$C$14*ReDiarioFert!C86)</f>
        <v>4.562282744391561</v>
      </c>
      <c r="I97">
        <f>$C$14*ReDiarioFert!E86</f>
        <v>5.5165478260869545</v>
      </c>
      <c r="K97">
        <f>$C$14*ReDiarioFert!G86</f>
        <v>10.829707777777779</v>
      </c>
      <c r="M97">
        <f>$C$14*ReDiarioFert!I86</f>
        <v>4.819136910130418</v>
      </c>
      <c r="O97">
        <f>$C$14*ReDiarioFert!K86</f>
        <v>9.933490577644381</v>
      </c>
      <c r="Q97">
        <f>$C$14*ReDiarioFert!M86</f>
        <v>144.2279863414634</v>
      </c>
      <c r="T97">
        <f>((G97/100)*$G$127+(I97/100)*$G$128+(K97/100)*$G$129+(M97/100)*$G$130+(O97/100)*$G$131+(Q97)*$G$132+(S97*$G$133)+(E97*(VLOOKUP(D97,Fertilizantes!$A$49:$E$123,3,FALSE))))</f>
        <v>265.27602738558454</v>
      </c>
    </row>
    <row r="98">
      <c r="B98">
        <v>81</v>
      </c>
      <c r="C98">
        <f>$I$13+B98</f>
        <v>39895</v>
      </c>
      <c r="E98">
        <f>VLOOKUP(D98,Fertilizantes!$A$49:$E$123,2,FALSE)*$C$14</f>
        <v>0</v>
      </c>
      <c r="F98">
        <f>VLOOKUP(D98,Fertilizantes!$A$49:$E$123,4,FALSE)</f>
        <v>0</v>
      </c>
      <c r="G98">
        <f>IF($C$14*ReDiarioFert!C87&lt;=0,"0",$C$14*ReDiarioFert!C87)</f>
        <v>5.474739293269876</v>
      </c>
      <c r="I98">
        <f>$C$14*ReDiarioFert!E87</f>
        <v>6.619857391304347</v>
      </c>
      <c r="K98">
        <f>$C$14*ReDiarioFert!G87</f>
        <v>12.995649333333333</v>
      </c>
      <c r="M98">
        <f>$C$14*ReDiarioFert!I87</f>
        <v>5.782964292156501</v>
      </c>
      <c r="O98">
        <f>$C$14*ReDiarioFert!K87</f>
        <v>11.920188693173255</v>
      </c>
      <c r="Q98">
        <f>$C$14*ReDiarioFert!M87</f>
        <v>174.06804048780486</v>
      </c>
      <c r="T98">
        <f>((G98/100)*$G$127+(I98/100)*$G$128+(K98/100)*$G$129+(M98/100)*$G$130+(O98/100)*$G$131+(Q98)*$G$132+(S98*$G$133)+(E98*(VLOOKUP(D98,Fertilizantes!$A$49:$E$123,3,FALSE))))</f>
        <v>318.3710111378234</v>
      </c>
    </row>
    <row r="99">
      <c r="B99">
        <v>82</v>
      </c>
      <c r="C99">
        <f>$I$13+B99</f>
        <v>39896</v>
      </c>
      <c r="E99">
        <f>VLOOKUP(D99,Fertilizantes!$A$49:$E$123,2,FALSE)*$C$14</f>
        <v>0</v>
      </c>
      <c r="F99">
        <f>VLOOKUP(D99,Fertilizantes!$A$49:$E$123,4,FALSE)</f>
        <v>0</v>
      </c>
      <c r="G99">
        <f>IF($C$14*ReDiarioFert!C88&lt;=0,"0",$C$14*ReDiarioFert!C88)</f>
        <v>5.474739293269876</v>
      </c>
      <c r="I99">
        <f>$C$14*ReDiarioFert!E88</f>
        <v>6.619857391304347</v>
      </c>
      <c r="K99">
        <f>$C$14*ReDiarioFert!G88</f>
        <v>12.995649333333333</v>
      </c>
      <c r="M99">
        <f>$C$14*ReDiarioFert!I88</f>
        <v>5.782964292156501</v>
      </c>
      <c r="O99">
        <f>$C$14*ReDiarioFert!K88</f>
        <v>11.920188693173255</v>
      </c>
      <c r="Q99">
        <f>$C$14*ReDiarioFert!M88</f>
        <v>174.06804048780486</v>
      </c>
      <c r="T99">
        <f>((G99/100)*$G$127+(I99/100)*$G$128+(K99/100)*$G$129+(M99/100)*$G$130+(O99/100)*$G$131+(Q99)*$G$132+(S99*$G$133)+(E99*(VLOOKUP(D99,Fertilizantes!$A$49:$E$123,3,FALSE))))</f>
        <v>318.3710111378234</v>
      </c>
    </row>
    <row r="100">
      <c r="B100">
        <v>83</v>
      </c>
      <c r="C100">
        <f>$I$13+B100</f>
        <v>39897</v>
      </c>
      <c r="E100">
        <f>VLOOKUP(D100,Fertilizantes!$A$49:$E$123,2,FALSE)*$C$14</f>
        <v>0</v>
      </c>
      <c r="F100">
        <f>VLOOKUP(D100,Fertilizantes!$A$49:$E$123,4,FALSE)</f>
        <v>0</v>
      </c>
      <c r="G100">
        <f>IF($C$14*ReDiarioFert!C89&lt;=0,"0",$C$14*ReDiarioFert!C89)</f>
        <v>5.474739293269876</v>
      </c>
      <c r="I100">
        <f>$C$14*ReDiarioFert!E89</f>
        <v>6.619857391304347</v>
      </c>
      <c r="K100">
        <f>$C$14*ReDiarioFert!G89</f>
        <v>12.995649333333333</v>
      </c>
      <c r="M100">
        <f>$C$14*ReDiarioFert!I89</f>
        <v>5.782964292156501</v>
      </c>
      <c r="O100">
        <f>$C$14*ReDiarioFert!K89</f>
        <v>11.920188693173255</v>
      </c>
      <c r="Q100">
        <f>$C$14*ReDiarioFert!M89</f>
        <v>174.06804048780486</v>
      </c>
      <c r="T100">
        <f>((G100/100)*$G$127+(I100/100)*$G$128+(K100/100)*$G$129+(M100/100)*$G$130+(O100/100)*$G$131+(Q100)*$G$132+(S100*$G$133)+(E100*(VLOOKUP(D100,Fertilizantes!$A$49:$E$123,3,FALSE))))</f>
        <v>318.3710111378234</v>
      </c>
    </row>
    <row r="101">
      <c r="B101">
        <v>84</v>
      </c>
      <c r="C101">
        <f>$I$13+B101</f>
        <v>39898</v>
      </c>
      <c r="E101">
        <f>VLOOKUP(D101,Fertilizantes!$A$49:$E$123,2,FALSE)*$C$14</f>
        <v>0</v>
      </c>
      <c r="F101">
        <f>VLOOKUP(D101,Fertilizantes!$A$49:$E$123,4,FALSE)</f>
        <v>0</v>
      </c>
      <c r="G101">
        <f>IF($C$14*ReDiarioFert!C90&lt;=0,"0",$C$14*ReDiarioFert!C90)</f>
        <v>5.474739293269876</v>
      </c>
      <c r="I101">
        <f>$C$14*ReDiarioFert!E90</f>
        <v>6.619857391304347</v>
      </c>
      <c r="K101">
        <f>$C$14*ReDiarioFert!G90</f>
        <v>12.995649333333333</v>
      </c>
      <c r="M101">
        <f>$C$14*ReDiarioFert!I90</f>
        <v>5.782964292156501</v>
      </c>
      <c r="O101">
        <f>$C$14*ReDiarioFert!K90</f>
        <v>11.920188693173255</v>
      </c>
      <c r="Q101">
        <f>$C$14*ReDiarioFert!M90</f>
        <v>174.06804048780486</v>
      </c>
      <c r="T101">
        <f>((G101/100)*$G$127+(I101/100)*$G$128+(K101/100)*$G$129+(M101/100)*$G$130+(O101/100)*$G$131+(Q101)*$G$132+(S101*$G$133)+(E101*(VLOOKUP(D101,Fertilizantes!$A$49:$E$123,3,FALSE))))</f>
        <v>318.3710111378234</v>
      </c>
    </row>
    <row r="102" ht="18" customHeight="1">
      <c r="A102">
        <v>13</v>
      </c>
      <c r="B102">
        <v>85</v>
      </c>
      <c r="C102">
        <f>$I$13+B102</f>
        <v>39899</v>
      </c>
      <c r="D102">
        <f>Main!$H$87</f>
        <v>0</v>
      </c>
      <c r="E102">
        <f>VLOOKUP(D102,Fertilizantes!$A$49:$E$123,2,FALSE)*$C$14</f>
        <v>0</v>
      </c>
      <c r="F102">
        <f>VLOOKUP(D102,Fertilizantes!$A$49:$E$123,4,FALSE)</f>
        <v>0</v>
      </c>
      <c r="G102">
        <f>IF($C$14*ReDiarioFert!C91&lt;=0,"0",$C$14*ReDiarioFert!C91)</f>
        <v>5.474739293269876</v>
      </c>
      <c r="I102">
        <f>$C$14*ReDiarioFert!E91</f>
        <v>6.619857391304347</v>
      </c>
      <c r="K102">
        <f>$C$14*ReDiarioFert!G91</f>
        <v>12.995649333333333</v>
      </c>
      <c r="M102">
        <f>$C$14*ReDiarioFert!I91</f>
        <v>5.782964292156501</v>
      </c>
      <c r="O102">
        <f>$C$14*ReDiarioFert!K91</f>
        <v>11.920188693173255</v>
      </c>
      <c r="Q102">
        <f>$C$14*ReDiarioFert!M91</f>
        <v>174.06804048780486</v>
      </c>
      <c r="S102">
        <f>$C$14*Main!$D$63</f>
        <v>20.019999999999996</v>
      </c>
      <c r="T102">
        <f>((G102/100)*$G$127+(I102/100)*$G$128+(K102/100)*$G$129+(M102/100)*$G$130+(O102/100)*$G$131+(Q102)*$G$132+(S102*$G$133)+(E102*(VLOOKUP(D102,Fertilizantes!$A$49:$E$123,3,FALSE))))</f>
        <v>374.4270111378234</v>
      </c>
    </row>
    <row r="103" ht="18" customHeight="1">
      <c r="B103">
        <v>86</v>
      </c>
      <c r="C103">
        <f>$I$13+B103</f>
        <v>39900</v>
      </c>
      <c r="E103">
        <f>VLOOKUP(D103,Fertilizantes!$A$49:$E$123,2,FALSE)*$C$14</f>
        <v>0</v>
      </c>
      <c r="F103">
        <f>VLOOKUP(D103,Fertilizantes!$A$49:$E$123,4,FALSE)</f>
        <v>0</v>
      </c>
      <c r="G103">
        <f>IF($C$14*ReDiarioFert!C92&lt;=0,"0",$C$14*ReDiarioFert!C92)</f>
        <v>5.474739293269876</v>
      </c>
      <c r="I103">
        <f>$C$14*ReDiarioFert!E92</f>
        <v>6.619857391304347</v>
      </c>
      <c r="K103">
        <f>$C$14*ReDiarioFert!G92</f>
        <v>12.995649333333333</v>
      </c>
      <c r="M103">
        <f>$C$14*ReDiarioFert!I92</f>
        <v>5.782964292156501</v>
      </c>
      <c r="O103">
        <f>$C$14*ReDiarioFert!K92</f>
        <v>11.920188693173255</v>
      </c>
      <c r="Q103">
        <f>$C$14*ReDiarioFert!M92</f>
        <v>174.06804048780486</v>
      </c>
      <c r="T103">
        <f>((G103/100)*$G$127+(I103/100)*$G$128+(K103/100)*$G$129+(M103/100)*$G$130+(O103/100)*$G$131+(Q103)*$G$132+(S103*$G$133)+(E103*(VLOOKUP(D103,Fertilizantes!$A$49:$E$123,3,FALSE))))</f>
        <v>318.3710111378234</v>
      </c>
    </row>
    <row r="104" ht="18" customHeight="1">
      <c r="B104">
        <v>87</v>
      </c>
      <c r="C104">
        <f>$I$13+B104</f>
        <v>39901</v>
      </c>
      <c r="E104">
        <f>VLOOKUP(D104,Fertilizantes!$A$49:$E$123,2,FALSE)*$C$14</f>
        <v>0</v>
      </c>
      <c r="F104">
        <f>VLOOKUP(D104,Fertilizantes!$A$49:$E$123,4,FALSE)</f>
        <v>0</v>
      </c>
      <c r="G104">
        <f>IF($C$14*ReDiarioFert!C93&lt;=0,"0",$C$14*ReDiarioFert!C93)</f>
        <v>5.474739293269876</v>
      </c>
      <c r="I104">
        <f>$C$14*ReDiarioFert!E93</f>
        <v>6.619857391304347</v>
      </c>
      <c r="K104">
        <f>$C$14*ReDiarioFert!G93</f>
        <v>12.995649333333333</v>
      </c>
      <c r="M104">
        <f>$C$14*ReDiarioFert!I93</f>
        <v>5.782964292156501</v>
      </c>
      <c r="O104">
        <f>$C$14*ReDiarioFert!K93</f>
        <v>11.920188693173255</v>
      </c>
      <c r="Q104">
        <f>$C$14*ReDiarioFert!M93</f>
        <v>174.06804048780486</v>
      </c>
      <c r="T104">
        <f>((G104/100)*$G$127+(I104/100)*$G$128+(K104/100)*$G$129+(M104/100)*$G$130+(O104/100)*$G$131+(Q104)*$G$132+(S104*$G$133)+(E104*(VLOOKUP(D104,Fertilizantes!$A$49:$E$123,3,FALSE))))</f>
        <v>318.3710111378234</v>
      </c>
    </row>
    <row r="105" ht="18" customHeight="1">
      <c r="B105">
        <v>88</v>
      </c>
      <c r="C105">
        <f>$I$13+B105</f>
        <v>39902</v>
      </c>
      <c r="E105">
        <f>VLOOKUP(D105,Fertilizantes!$A$49:$E$123,2,FALSE)*$C$14</f>
        <v>0</v>
      </c>
      <c r="F105">
        <f>VLOOKUP(D105,Fertilizantes!$A$49:$E$123,4,FALSE)</f>
        <v>0</v>
      </c>
      <c r="G105">
        <f>IF($C$14*ReDiarioFert!C94&lt;=0,"0",$C$14*ReDiarioFert!C94)</f>
        <v>5.474739293269876</v>
      </c>
      <c r="I105">
        <f>$C$14*ReDiarioFert!E94</f>
        <v>6.619857391304347</v>
      </c>
      <c r="K105">
        <f>$C$14*ReDiarioFert!G94</f>
        <v>12.995649333333333</v>
      </c>
      <c r="M105">
        <f>$C$14*ReDiarioFert!I94</f>
        <v>5.782964292156501</v>
      </c>
      <c r="O105">
        <f>$C$14*ReDiarioFert!K94</f>
        <v>11.920188693173255</v>
      </c>
      <c r="Q105">
        <f>$C$14*ReDiarioFert!M94</f>
        <v>174.06804048780486</v>
      </c>
      <c r="T105">
        <f>((G105/100)*$G$127+(I105/100)*$G$128+(K105/100)*$G$129+(M105/100)*$G$130+(O105/100)*$G$131+(Q105)*$G$132+(S105*$G$133)+(E105*(VLOOKUP(D105,Fertilizantes!$A$49:$E$123,3,FALSE))))</f>
        <v>318.3710111378234</v>
      </c>
    </row>
    <row r="106" ht="18" customHeight="1">
      <c r="B106">
        <v>89</v>
      </c>
      <c r="C106">
        <f>$I$13+B106</f>
        <v>39903</v>
      </c>
      <c r="E106">
        <f>VLOOKUP(D106,Fertilizantes!$A$49:$E$123,2,FALSE)*$C$14</f>
        <v>0</v>
      </c>
      <c r="F106">
        <f>VLOOKUP(D106,Fertilizantes!$A$49:$E$123,4,FALSE)</f>
        <v>0</v>
      </c>
      <c r="G106">
        <f>IF($C$14*ReDiarioFert!C95&lt;=0,"0",$C$14*ReDiarioFert!C95)</f>
        <v>5.474739293269876</v>
      </c>
      <c r="I106">
        <f>$C$14*ReDiarioFert!E95</f>
        <v>6.619857391304347</v>
      </c>
      <c r="K106">
        <f>$C$14*ReDiarioFert!G95</f>
        <v>12.995649333333333</v>
      </c>
      <c r="M106">
        <f>$C$14*ReDiarioFert!I95</f>
        <v>5.782964292156501</v>
      </c>
      <c r="O106">
        <f>$C$14*ReDiarioFert!K95</f>
        <v>11.920188693173255</v>
      </c>
      <c r="Q106">
        <f>$C$14*ReDiarioFert!M95</f>
        <v>174.06804048780486</v>
      </c>
      <c r="T106">
        <f>((G106/100)*$G$127+(I106/100)*$G$128+(K106/100)*$G$129+(M106/100)*$G$130+(O106/100)*$G$131+(Q106)*$G$132+(S106*$G$133)+(E106*(VLOOKUP(D106,Fertilizantes!$A$49:$E$123,3,FALSE))))</f>
        <v>318.3710111378234</v>
      </c>
    </row>
    <row r="107" ht="18" customHeight="1">
      <c r="B107">
        <v>90</v>
      </c>
      <c r="C107">
        <f>$I$13+B107</f>
        <v>39904</v>
      </c>
      <c r="E107">
        <f>VLOOKUP(D107,Fertilizantes!$A$49:$E$123,2,FALSE)*$C$14</f>
        <v>0</v>
      </c>
      <c r="F107">
        <f>VLOOKUP(D107,Fertilizantes!$A$49:$E$123,4,FALSE)</f>
        <v>0</v>
      </c>
      <c r="G107">
        <f>IF($C$14*ReDiarioFert!C96&lt;=0,"0",$C$14*ReDiarioFert!C96)</f>
        <v>5.474739293269876</v>
      </c>
      <c r="I107">
        <f>$C$14*ReDiarioFert!E96</f>
        <v>6.619857391304347</v>
      </c>
      <c r="K107">
        <f>$C$14*ReDiarioFert!G96</f>
        <v>12.995649333333333</v>
      </c>
      <c r="M107">
        <f>$C$14*ReDiarioFert!I96</f>
        <v>5.782964292156501</v>
      </c>
      <c r="O107">
        <f>$C$14*ReDiarioFert!K96</f>
        <v>11.920188693173255</v>
      </c>
      <c r="Q107">
        <f>$C$14*ReDiarioFert!M96</f>
        <v>174.06804048780486</v>
      </c>
      <c r="T107">
        <f>((G107/100)*$G$127+(I107/100)*$G$128+(K107/100)*$G$129+(M107/100)*$G$130+(O107/100)*$G$131+(Q107)*$G$132+(S107*$G$133)+(E107*(VLOOKUP(D107,Fertilizantes!$A$49:$E$123,3,FALSE))))</f>
        <v>318.3710111378234</v>
      </c>
    </row>
    <row r="108" ht="18" customHeight="1">
      <c r="B108">
        <v>91</v>
      </c>
      <c r="C108">
        <f>$I$13+B108</f>
        <v>39905</v>
      </c>
      <c r="E108">
        <f>VLOOKUP(D108,Fertilizantes!$A$49:$E$123,2,FALSE)*$C$14</f>
        <v>0</v>
      </c>
      <c r="F108">
        <f>VLOOKUP(D108,Fertilizantes!$A$49:$E$123,4,FALSE)</f>
        <v>0</v>
      </c>
      <c r="G108">
        <f>IF($C$14*ReDiarioFert!C97&lt;=0,"0",$C$14*ReDiarioFert!C97)</f>
        <v>5.474739293269876</v>
      </c>
      <c r="I108">
        <f>$C$14*ReDiarioFert!E97</f>
        <v>6.619857391304347</v>
      </c>
      <c r="K108">
        <f>$C$14*ReDiarioFert!G97</f>
        <v>12.995649333333333</v>
      </c>
      <c r="M108">
        <f>$C$14*ReDiarioFert!I97</f>
        <v>5.782964292156501</v>
      </c>
      <c r="O108">
        <f>$C$14*ReDiarioFert!K97</f>
        <v>11.920188693173255</v>
      </c>
      <c r="Q108">
        <f>$C$14*ReDiarioFert!M97</f>
        <v>174.06804048780486</v>
      </c>
      <c r="S108">
        <f>Main!$H$84</f>
        <v>0</v>
      </c>
      <c r="T108">
        <f>((G108/100)*$G$127+(I108/100)*$G$128+(K108/100)*$G$129+(M108/100)*$G$130+(O108/100)*$G$131+(Q108)*$G$132+(S108*$G$133)+(E108*(VLOOKUP(D108,Fertilizantes!$A$49:$E$123,3,FALSE))))</f>
        <v>318.3710111378234</v>
      </c>
    </row>
    <row r="109">
      <c r="A109">
        <v>14</v>
      </c>
      <c r="B109">
        <v>92</v>
      </c>
      <c r="C109">
        <f>$I$13+B109</f>
        <v>39906</v>
      </c>
      <c r="E109">
        <f>VLOOKUP(D109,Fertilizantes!$A$49:$E$123,2,FALSE)*$C$14</f>
        <v>0</v>
      </c>
      <c r="F109">
        <f>VLOOKUP(D109,Fertilizantes!$A$49:$E$123,4,FALSE)</f>
        <v>0</v>
      </c>
      <c r="G109">
        <f>IF($C$14*ReDiarioFert!C98&lt;=0,"0",$C$14*ReDiarioFert!C98)</f>
        <v>5.474739293269876</v>
      </c>
      <c r="I109">
        <f>$C$14*ReDiarioFert!E98</f>
        <v>6.619857391304347</v>
      </c>
      <c r="K109">
        <f>$C$14*ReDiarioFert!G98</f>
        <v>12.995649333333333</v>
      </c>
      <c r="M109">
        <f>$C$14*ReDiarioFert!I98</f>
        <v>5.782964292156501</v>
      </c>
      <c r="O109">
        <f>$C$14*ReDiarioFert!K98</f>
        <v>11.920188693173255</v>
      </c>
      <c r="Q109">
        <f>$C$14*ReDiarioFert!M98</f>
        <v>174.06804048780486</v>
      </c>
      <c r="S109">
        <f>$C$14*Main!$D$63</f>
        <v>20.019999999999996</v>
      </c>
      <c r="T109">
        <f>((G109/100)*$G$127+(I109/100)*$G$128+(K109/100)*$G$129+(M109/100)*$G$130+(O109/100)*$G$131+(Q109)*$G$132+(S109*$G$133)+(E109*(VLOOKUP(D109,Fertilizantes!$A$49:$E$123,3,FALSE))))</f>
        <v>374.4270111378234</v>
      </c>
    </row>
    <row r="110">
      <c r="B110">
        <v>93</v>
      </c>
      <c r="C110">
        <f>$I$13+B110</f>
        <v>39907</v>
      </c>
      <c r="E110">
        <f>VLOOKUP(D110,Fertilizantes!$A$49:$E$123,2,FALSE)*$C$14</f>
        <v>0</v>
      </c>
      <c r="F110">
        <f>VLOOKUP(D110,Fertilizantes!$A$49:$E$123,4,FALSE)</f>
        <v>0</v>
      </c>
      <c r="G110">
        <f>IF($C$14*ReDiarioFert!C99&lt;=0,"0",$C$14*ReDiarioFert!C99)</f>
        <v>5.474739293269876</v>
      </c>
      <c r="I110">
        <f>$C$14*ReDiarioFert!E99</f>
        <v>6.619857391304347</v>
      </c>
      <c r="K110">
        <f>$C$14*ReDiarioFert!G99</f>
        <v>12.995649333333333</v>
      </c>
      <c r="M110">
        <f>$C$14*ReDiarioFert!I99</f>
        <v>5.782964292156501</v>
      </c>
      <c r="O110">
        <f>$C$14*ReDiarioFert!K99</f>
        <v>11.920188693173255</v>
      </c>
      <c r="Q110">
        <f>$C$14*ReDiarioFert!M99</f>
        <v>174.06804048780486</v>
      </c>
      <c r="T110">
        <f>((G110/100)*$G$127+(I110/100)*$G$128+(K110/100)*$G$129+(M110/100)*$G$130+(O110/100)*$G$131+(Q110)*$G$132+(S110*$G$133)+(E110*(VLOOKUP(D110,Fertilizantes!$A$49:$E$123,3,FALSE))))</f>
        <v>318.3710111378234</v>
      </c>
    </row>
    <row r="111">
      <c r="B111">
        <v>94</v>
      </c>
      <c r="C111">
        <f>$I$13+B111</f>
        <v>39908</v>
      </c>
      <c r="E111">
        <f>VLOOKUP(D111,Fertilizantes!$A$49:$E$123,2,FALSE)*$C$14</f>
        <v>0</v>
      </c>
      <c r="F111">
        <f>VLOOKUP(D111,Fertilizantes!$A$49:$E$123,4,FALSE)</f>
        <v>0</v>
      </c>
      <c r="G111">
        <f>IF($C$14*ReDiarioFert!C100&lt;=0,"0",$C$14*ReDiarioFert!C100)</f>
        <v>5.474739293269876</v>
      </c>
      <c r="I111">
        <f>$C$14*ReDiarioFert!E100</f>
        <v>6.619857391304347</v>
      </c>
      <c r="K111">
        <f>$C$14*ReDiarioFert!G100</f>
        <v>12.995649333333333</v>
      </c>
      <c r="M111">
        <f>$C$14*ReDiarioFert!I100</f>
        <v>5.782964292156501</v>
      </c>
      <c r="O111">
        <f>$C$14*ReDiarioFert!K100</f>
        <v>11.920188693173255</v>
      </c>
      <c r="Q111">
        <f>$C$14*ReDiarioFert!M100</f>
        <v>174.06804048780486</v>
      </c>
      <c r="T111">
        <f>((G111/100)*$G$127+(I111/100)*$G$128+(K111/100)*$G$129+(M111/100)*$G$130+(O111/100)*$G$131+(Q111)*$G$132+(S111*$G$133)+(E111*(VLOOKUP(D111,Fertilizantes!$A$49:$E$123,3,FALSE))))</f>
        <v>318.3710111378234</v>
      </c>
    </row>
    <row r="112">
      <c r="B112">
        <v>95</v>
      </c>
      <c r="C112">
        <f>$I$13+B112</f>
        <v>39909</v>
      </c>
      <c r="E112">
        <f>VLOOKUP(D112,Fertilizantes!$A$49:$E$123,2,FALSE)*$C$14</f>
        <v>0</v>
      </c>
      <c r="F112">
        <f>VLOOKUP(D112,Fertilizantes!$A$49:$E$123,4,FALSE)</f>
        <v>0</v>
      </c>
      <c r="G112">
        <f>IF($C$14*ReDiarioFert!C101&lt;=0,"0",$C$14*ReDiarioFert!C101)</f>
        <v>5.474739293269876</v>
      </c>
      <c r="I112">
        <f>$C$14*ReDiarioFert!E101</f>
        <v>6.619857391304347</v>
      </c>
      <c r="K112">
        <f>$C$14*ReDiarioFert!G101</f>
        <v>12.995649333333333</v>
      </c>
      <c r="M112">
        <f>$C$14*ReDiarioFert!I101</f>
        <v>5.782964292156501</v>
      </c>
      <c r="O112">
        <f>$C$14*ReDiarioFert!K101</f>
        <v>11.920188693173255</v>
      </c>
      <c r="Q112">
        <f>$C$14*ReDiarioFert!M101</f>
        <v>174.06804048780486</v>
      </c>
      <c r="T112">
        <f>((G112/100)*$G$127+(I112/100)*$G$128+(K112/100)*$G$129+(M112/100)*$G$130+(O112/100)*$G$131+(Q112)*$G$132+(S112*$G$133)+(E112*(VLOOKUP(D112,Fertilizantes!$A$49:$E$123,3,FALSE))))</f>
        <v>318.3710111378234</v>
      </c>
    </row>
    <row r="113">
      <c r="B113">
        <v>96</v>
      </c>
      <c r="C113">
        <f>$I$13+B113</f>
        <v>39910</v>
      </c>
      <c r="E113">
        <f>VLOOKUP(D113,Fertilizantes!$A$49:$E$123,2,FALSE)*$C$14</f>
        <v>0</v>
      </c>
      <c r="F113">
        <f>VLOOKUP(D113,Fertilizantes!$A$49:$E$123,4,FALSE)</f>
        <v>0</v>
      </c>
      <c r="G113">
        <f>IF($C$14*ReDiarioFert!C102&lt;=0,"0",$C$14*ReDiarioFert!C102)</f>
        <v>5.474739293269876</v>
      </c>
      <c r="I113">
        <f>$C$14*ReDiarioFert!E102</f>
        <v>6.619857391304347</v>
      </c>
      <c r="K113">
        <f>$C$14*ReDiarioFert!G102</f>
        <v>12.995649333333333</v>
      </c>
      <c r="M113">
        <f>$C$14*ReDiarioFert!I102</f>
        <v>5.782964292156501</v>
      </c>
      <c r="O113">
        <f>$C$14*ReDiarioFert!K102</f>
        <v>11.920188693173255</v>
      </c>
      <c r="Q113">
        <f>$C$14*ReDiarioFert!M102</f>
        <v>174.06804048780486</v>
      </c>
      <c r="T113">
        <f>((G113/100)*$G$127+(I113/100)*$G$128+(K113/100)*$G$129+(M113/100)*$G$130+(O113/100)*$G$131+(Q113)*$G$132+(S113*$G$133)+(E113*(VLOOKUP(D113,Fertilizantes!$A$49:$E$123,3,FALSE))))</f>
        <v>318.3710111378234</v>
      </c>
    </row>
    <row r="114">
      <c r="B114">
        <v>97</v>
      </c>
      <c r="C114">
        <f>$I$13+B114</f>
        <v>39911</v>
      </c>
      <c r="E114">
        <f>VLOOKUP(D114,Fertilizantes!$A$49:$E$123,2,FALSE)*$C$14</f>
        <v>0</v>
      </c>
      <c r="F114">
        <f>VLOOKUP(D114,Fertilizantes!$A$49:$E$123,4,FALSE)</f>
        <v>0</v>
      </c>
      <c r="G114">
        <f>IF($C$14*ReDiarioFert!C103&lt;=0,"0",$C$14*ReDiarioFert!C103)</f>
        <v>5.474739293269876</v>
      </c>
      <c r="I114">
        <f>$C$14*ReDiarioFert!E103</f>
        <v>6.619857391304347</v>
      </c>
      <c r="K114">
        <f>$C$14*ReDiarioFert!G103</f>
        <v>12.995649333333333</v>
      </c>
      <c r="M114">
        <f>$C$14*ReDiarioFert!I103</f>
        <v>5.782964292156501</v>
      </c>
      <c r="O114">
        <f>$C$14*ReDiarioFert!K103</f>
        <v>11.920188693173255</v>
      </c>
      <c r="Q114">
        <f>$C$14*ReDiarioFert!M103</f>
        <v>174.06804048780486</v>
      </c>
      <c r="T114">
        <f>((G114/100)*$G$127+(I114/100)*$G$128+(K114/100)*$G$129+(M114/100)*$G$130+(O114/100)*$G$131+(Q114)*$G$132+(S114*$G$133)+(E114*(VLOOKUP(D114,Fertilizantes!$A$49:$E$123,3,FALSE))))</f>
        <v>318.3710111378234</v>
      </c>
    </row>
    <row r="115">
      <c r="B115">
        <v>98</v>
      </c>
      <c r="C115">
        <f>$I$13+B115</f>
        <v>39912</v>
      </c>
      <c r="E115">
        <f>VLOOKUP(D115,Fertilizantes!$A$49:$E$123,2,FALSE)*$C$14</f>
        <v>0</v>
      </c>
      <c r="F115">
        <f>VLOOKUP(D115,Fertilizantes!$A$49:$E$123,4,FALSE)</f>
        <v>0</v>
      </c>
      <c r="G115">
        <f>IF($C$14*ReDiarioFert!C104&lt;=0,"0",$C$14*ReDiarioFert!C104)</f>
        <v>5.474739293269876</v>
      </c>
      <c r="I115">
        <f>$C$14*ReDiarioFert!E104</f>
        <v>6.619857391304347</v>
      </c>
      <c r="K115">
        <f>$C$14*ReDiarioFert!G104</f>
        <v>12.995649333333333</v>
      </c>
      <c r="M115">
        <f>$C$14*ReDiarioFert!I104</f>
        <v>5.782964292156501</v>
      </c>
      <c r="O115">
        <f>$C$14*ReDiarioFert!K104</f>
        <v>11.920188693173255</v>
      </c>
      <c r="Q115">
        <f>$C$14*ReDiarioFert!M104</f>
        <v>174.06804048780486</v>
      </c>
      <c r="S115">
        <f>Main!$H$85</f>
        <v>0</v>
      </c>
      <c r="T115">
        <f>((G115/100)*$G$127+(I115/100)*$G$128+(K115/100)*$G$129+(M115/100)*$G$130+(O115/100)*$G$131+(Q115)*$G$132+(S115*$G$133)+(E115*(VLOOKUP(D115,Fertilizantes!$A$49:$E$123,3,FALSE))))</f>
        <v>318.3710111378234</v>
      </c>
    </row>
    <row r="116">
      <c r="A116">
        <v>15</v>
      </c>
      <c r="B116">
        <v>99</v>
      </c>
      <c r="C116">
        <f>$I$13+B116</f>
        <v>39913</v>
      </c>
      <c r="E116">
        <f>VLOOKUP(D116,Fertilizantes!$A$49:$E$123,2,FALSE)*$C$14</f>
        <v>0</v>
      </c>
      <c r="F116">
        <f>VLOOKUP(D116,Fertilizantes!$A$49:$E$123,4,FALSE)</f>
        <v>0</v>
      </c>
      <c r="G116">
        <f>IF($C$14*ReDiarioFert!C105&lt;=0,"0",$C$14*ReDiarioFert!C105)</f>
        <v>5.474739293269876</v>
      </c>
      <c r="I116">
        <f>$C$14*ReDiarioFert!E105</f>
        <v>6.619857391304347</v>
      </c>
      <c r="K116">
        <f>$C$14*ReDiarioFert!G105</f>
        <v>12.995649333333333</v>
      </c>
      <c r="M116">
        <f>$C$14*ReDiarioFert!I105</f>
        <v>5.782964292156501</v>
      </c>
      <c r="O116">
        <f>$C$14*ReDiarioFert!K105</f>
        <v>11.920188693173255</v>
      </c>
      <c r="Q116">
        <f>$C$14*ReDiarioFert!M105</f>
        <v>174.06804048780486</v>
      </c>
      <c r="S116">
        <f>$C$14*Main!$D$63</f>
        <v>20.019999999999996</v>
      </c>
      <c r="T116">
        <f>((G116/100)*$G$127+(I116/100)*$G$128+(K116/100)*$G$129+(M116/100)*$G$130+(O116/100)*$G$131+(Q116)*$G$132+(S116*$G$133)+(E116*(VLOOKUP(D116,Fertilizantes!$A$49:$E$123,3,FALSE))))</f>
        <v>374.4270111378234</v>
      </c>
    </row>
    <row r="117">
      <c r="B117">
        <v>100</v>
      </c>
      <c r="C117">
        <f>$I$13+B117</f>
        <v>39914</v>
      </c>
      <c r="E117">
        <f>VLOOKUP(D117,Fertilizantes!$A$49:$E$123,2,FALSE)*$C$14</f>
        <v>0</v>
      </c>
      <c r="F117">
        <f>VLOOKUP(D117,Fertilizantes!$A$49:$E$123,4,FALSE)</f>
        <v>0</v>
      </c>
      <c r="G117">
        <f>IF($C$14*ReDiarioFert!C106&lt;=0,"0",$C$14*ReDiarioFert!C106)</f>
        <v>5.474739293269876</v>
      </c>
      <c r="I117">
        <f>$C$14*ReDiarioFert!E106</f>
        <v>6.619857391304347</v>
      </c>
      <c r="K117">
        <f>$C$14*ReDiarioFert!G106</f>
        <v>12.995649333333333</v>
      </c>
      <c r="M117">
        <f>$C$14*ReDiarioFert!I106</f>
        <v>5.782964292156501</v>
      </c>
      <c r="O117">
        <f>$C$14*ReDiarioFert!K106</f>
        <v>11.920188693173255</v>
      </c>
      <c r="Q117">
        <f>$C$14*ReDiarioFert!M106</f>
        <v>174.06804048780486</v>
      </c>
      <c r="T117">
        <f>((G117/100)*$G$127+(I117/100)*$G$128+(K117/100)*$G$129+(M117/100)*$G$130+(O117/100)*$G$131+(Q117)*$G$132+(S117*$G$133)+(E117*(VLOOKUP(D117,Fertilizantes!$A$49:$E$123,3,FALSE))))</f>
        <v>318.3710111378234</v>
      </c>
    </row>
    <row r="118">
      <c r="B118">
        <v>101</v>
      </c>
      <c r="C118">
        <f>$I$13+B118</f>
        <v>39915</v>
      </c>
      <c r="E118">
        <f>VLOOKUP(D118,Fertilizantes!$A$49:$E$123,2,FALSE)*$C$14</f>
        <v>0</v>
      </c>
      <c r="F118">
        <f>VLOOKUP(D118,Fertilizantes!$A$49:$E$123,4,FALSE)</f>
        <v>0</v>
      </c>
      <c r="G118">
        <f>IF($C$14*ReDiarioFert!C107&lt;=0,"0",$C$14*ReDiarioFert!C107)</f>
        <v>5.474739293269876</v>
      </c>
      <c r="I118">
        <f>$C$14*ReDiarioFert!E107</f>
        <v>6.619857391304347</v>
      </c>
      <c r="K118">
        <f>$C$14*ReDiarioFert!G107</f>
        <v>12.995649333333333</v>
      </c>
      <c r="M118">
        <f>$C$14*ReDiarioFert!I107</f>
        <v>5.782964292156501</v>
      </c>
      <c r="O118">
        <f>$C$14*ReDiarioFert!K107</f>
        <v>11.920188693173255</v>
      </c>
      <c r="Q118">
        <f>$C$14*ReDiarioFert!M107</f>
        <v>174.06804048780486</v>
      </c>
      <c r="T118">
        <f>((G118/100)*$G$127+(I118/100)*$G$128+(K118/100)*$G$129+(M118/100)*$G$130+(O118/100)*$G$131+(Q118)*$G$132+(S118*$G$133)+(E118*(VLOOKUP(D118,Fertilizantes!$A$49:$E$123,3,FALSE))))</f>
        <v>318.3710111378234</v>
      </c>
    </row>
    <row r="119">
      <c r="B119">
        <v>102</v>
      </c>
      <c r="C119">
        <f>$I$13+B119</f>
        <v>39916</v>
      </c>
      <c r="E119">
        <f>VLOOKUP(D119,Fertilizantes!$A$49:$E$123,2,FALSE)*$C$14</f>
        <v>0</v>
      </c>
      <c r="F119">
        <f>VLOOKUP(D119,Fertilizantes!$A$49:$E$123,4,FALSE)</f>
        <v>0</v>
      </c>
      <c r="G119">
        <f>IF($C$14*ReDiarioFert!C108&lt;=0,"0",$C$14*ReDiarioFert!C108)</f>
        <v>5.474739293269876</v>
      </c>
      <c r="I119">
        <f>$C$14*ReDiarioFert!E108</f>
        <v>6.619857391304347</v>
      </c>
      <c r="K119">
        <f>$C$14*ReDiarioFert!G108</f>
        <v>12.995649333333333</v>
      </c>
      <c r="M119">
        <f>$C$14*ReDiarioFert!I108</f>
        <v>5.782964292156501</v>
      </c>
      <c r="O119">
        <f>$C$14*ReDiarioFert!K108</f>
        <v>11.920188693173255</v>
      </c>
      <c r="Q119">
        <f>$C$14*ReDiarioFert!M108</f>
        <v>174.06804048780486</v>
      </c>
      <c r="T119">
        <f>((G119/100)*$G$127+(I119/100)*$G$128+(K119/100)*$G$129+(M119/100)*$G$130+(O119/100)*$G$131+(Q119)*$G$132+(S119*$G$133)+(E119*(VLOOKUP(D119,Fertilizantes!$A$49:$E$123,3,FALSE))))</f>
        <v>318.3710111378234</v>
      </c>
    </row>
    <row r="120">
      <c r="B120">
        <v>103</v>
      </c>
      <c r="C120">
        <f>$I$13+B120</f>
        <v>39917</v>
      </c>
      <c r="E120">
        <f>VLOOKUP(D120,Fertilizantes!$A$49:$E$123,2,FALSE)*$C$14</f>
        <v>0</v>
      </c>
      <c r="F120">
        <f>VLOOKUP(D120,Fertilizantes!$A$49:$E$123,4,FALSE)</f>
        <v>0</v>
      </c>
      <c r="G120">
        <f>IF($C$14*ReDiarioFert!C109&lt;=0,"0",$C$14*ReDiarioFert!C109)</f>
        <v>5.474739293269876</v>
      </c>
      <c r="I120">
        <f>$C$14*ReDiarioFert!E109</f>
        <v>6.619857391304347</v>
      </c>
      <c r="K120">
        <f>$C$14*ReDiarioFert!G109</f>
        <v>12.995649333333333</v>
      </c>
      <c r="M120">
        <f>$C$14*ReDiarioFert!I109</f>
        <v>5.782964292156501</v>
      </c>
      <c r="O120">
        <f>$C$14*ReDiarioFert!K109</f>
        <v>11.920188693173255</v>
      </c>
      <c r="Q120">
        <f>$C$14*ReDiarioFert!M109</f>
        <v>174.06804048780486</v>
      </c>
      <c r="T120">
        <f>((G120/100)*$G$127+(I120/100)*$G$128+(K120/100)*$G$129+(M120/100)*$G$130+(O120/100)*$G$131+(Q120)*$G$132+(S120*$G$133)+(E120*(VLOOKUP(D120,Fertilizantes!$A$49:$E$123,3,FALSE))))</f>
        <v>318.3710111378234</v>
      </c>
    </row>
    <row r="121">
      <c r="B121">
        <v>104</v>
      </c>
      <c r="C121">
        <f>$I$13+B121</f>
        <v>39918</v>
      </c>
      <c r="E121">
        <f>VLOOKUP(D121,Fertilizantes!$A$49:$E$123,2,FALSE)*$C$14</f>
        <v>0</v>
      </c>
      <c r="F121">
        <f>VLOOKUP(D121,Fertilizantes!$A$49:$E$123,4,FALSE)</f>
        <v>0</v>
      </c>
      <c r="G121">
        <f>IF($C$14*ReDiarioFert!C110&lt;=0,"0",$C$14*ReDiarioFert!C110)</f>
        <v>5.474739293269876</v>
      </c>
      <c r="I121">
        <f>$C$14*ReDiarioFert!E110</f>
        <v>6.619857391304347</v>
      </c>
      <c r="K121">
        <f>$C$14*ReDiarioFert!G110</f>
        <v>12.995649333333333</v>
      </c>
      <c r="M121">
        <f>$C$14*ReDiarioFert!I110</f>
        <v>5.782964292156501</v>
      </c>
      <c r="O121">
        <f>$C$14*ReDiarioFert!K110</f>
        <v>11.920188693173255</v>
      </c>
      <c r="Q121">
        <f>$C$14*ReDiarioFert!M110</f>
        <v>174.06804048780486</v>
      </c>
      <c r="T121">
        <f>((G121/100)*$G$127+(I121/100)*$G$128+(K121/100)*$G$129+(M121/100)*$G$130+(O121/100)*$G$131+(Q121)*$G$132+(S121*$G$133)+(E121*(VLOOKUP(D121,Fertilizantes!$A$49:$E$123,3,FALSE))))</f>
        <v>318.3710111378234</v>
      </c>
    </row>
    <row r="122">
      <c r="B122">
        <v>105</v>
      </c>
      <c r="C122">
        <f>$I$13+B122</f>
        <v>39919</v>
      </c>
      <c r="E122">
        <f>VLOOKUP(D122,Fertilizantes!$A$49:$E$123,2,FALSE)*$C$14</f>
        <v>0</v>
      </c>
      <c r="F122">
        <f>VLOOKUP(D122,Fertilizantes!$A$49:$E$123,4,FALSE)</f>
        <v>0</v>
      </c>
      <c r="G122">
        <f>IF($C$14*ReDiarioFert!C111&lt;=0,"0",$C$14*ReDiarioFert!C111)</f>
        <v>5.474739293269876</v>
      </c>
      <c r="I122">
        <f>$C$14*ReDiarioFert!E111</f>
        <v>6.619857391304347</v>
      </c>
      <c r="K122">
        <f>$C$14*ReDiarioFert!G111</f>
        <v>12.995649333333333</v>
      </c>
      <c r="M122">
        <f>$C$14*ReDiarioFert!I111</f>
        <v>5.782964292156501</v>
      </c>
      <c r="O122">
        <f>$C$14*ReDiarioFert!K111</f>
        <v>11.920188693173255</v>
      </c>
      <c r="Q122">
        <f>$C$14*ReDiarioFert!M111</f>
        <v>174.06804048780486</v>
      </c>
      <c r="T122">
        <f>((G122/100)*$G$127+(I122/100)*$G$128+(K122/100)*$G$129+(M122/100)*$G$130+(O122/100)*$G$131+(Q122)*$G$132+(S122*$G$133)+(E122*(VLOOKUP(D122,Fertilizantes!$A$49:$E$123,3,FALSE))))</f>
        <v>318.3710111378234</v>
      </c>
    </row>
    <row r="123">
      <c r="C123" t="str">
        <v>Total</v>
      </c>
      <c r="G123">
        <f>SUM(G18:G122)</f>
        <v>360.8765650813722</v>
      </c>
      <c r="I123">
        <f>SUM(I18:I122)</f>
        <v>436.35893304347775</v>
      </c>
      <c r="K123">
        <f>SUM(K18:K122)</f>
        <v>856.6298852222219</v>
      </c>
      <c r="M123">
        <f>SUM(M18:M122)</f>
        <v>381.1937295913164</v>
      </c>
      <c r="O123">
        <f>SUM(O18:O122)</f>
        <v>785.7391046916703</v>
      </c>
      <c r="Q123">
        <f>SUM(Q18:Q122)</f>
        <v>11389.019104878033</v>
      </c>
      <c r="S123">
        <f>SUM(S18:S122)</f>
        <v>300.29999999999984</v>
      </c>
      <c r="T123">
        <f>SUM(T18:T122)</f>
        <v>21823.397181610475</v>
      </c>
    </row>
    <row r="124">
      <c r="D124" t="str">
        <v>OJO cualquier cultivo que no se termine la cosecha en el ultimo día del calendario solo seguir repitiendo la ultima aplicación de fertilizante.</v>
      </c>
    </row>
    <row r="125" ht="39.75" customHeight="1">
      <c r="B125" t="str">
        <v>Producto</v>
      </c>
      <c r="F125" t="str">
        <v>Lbs/Ha</v>
      </c>
      <c r="G125" t="str">
        <v>Costo por qq</v>
      </c>
    </row>
    <row r="126" ht="24" customHeight="1">
      <c r="G126" t="str">
        <f>Main!$E$25</f>
        <v>Lempiras</v>
      </c>
    </row>
    <row r="127">
      <c r="B127" t="str">
        <f>Main!D42</f>
        <v>Urea</v>
      </c>
      <c r="F127">
        <f>G123/C14</f>
        <v>360.5160490323399</v>
      </c>
      <c r="G127">
        <f>Main!D43</f>
        <v>505</v>
      </c>
    </row>
    <row r="128">
      <c r="B128" t="str">
        <f>Main!D32</f>
        <v>DAP 18-46-0</v>
      </c>
      <c r="F128">
        <f>I123/C14</f>
        <v>435.92301003344437</v>
      </c>
      <c r="G128">
        <f>Main!D33</f>
        <v>808</v>
      </c>
    </row>
    <row r="129">
      <c r="B129" t="str">
        <f>Main!D37</f>
        <v>Sulfato de Potasio</v>
      </c>
      <c r="F129">
        <f>K123/C14</f>
        <v>855.7741111111109</v>
      </c>
      <c r="G129">
        <f>Main!D38</f>
        <v>780</v>
      </c>
    </row>
    <row r="130">
      <c r="B130" t="str">
        <f>Main!D47</f>
        <v>Sulfato de Magnesio</v>
      </c>
      <c r="F130">
        <f>M123/C14</f>
        <v>380.8129166746418</v>
      </c>
      <c r="G130">
        <f>Main!D48</f>
        <v>477</v>
      </c>
    </row>
    <row r="131">
      <c r="B131" t="str">
        <f>Main!D52</f>
        <v>Nitrato de Calcio</v>
      </c>
      <c r="F131">
        <f>O123/C14</f>
        <v>784.9541505411293</v>
      </c>
      <c r="G131">
        <f>Main!D53</f>
        <v>850</v>
      </c>
    </row>
    <row r="132">
      <c r="B132" t="str">
        <f>Main!D57</f>
        <v>Solubor</v>
      </c>
      <c r="F132">
        <f>Q123/C14</f>
        <v>11377.641463414619</v>
      </c>
      <c r="G132">
        <f>Main!D58</f>
        <v>0.04</v>
      </c>
      <c r="I132" t="str">
        <v xml:space="preserve">Preparado y Autorizado Por </v>
      </c>
    </row>
    <row r="133" ht="18" customHeight="1">
      <c r="B133" t="str">
        <f>Main!D61</f>
        <v>Melaza</v>
      </c>
      <c r="F133">
        <f>S123/C14</f>
        <v>299.9999999999999</v>
      </c>
      <c r="G133">
        <f>Main!D62</f>
        <v>2.8</v>
      </c>
      <c r="I133" t="str">
        <v>MSc Ricardo D. Lardizábal</v>
      </c>
    </row>
    <row r="134">
      <c r="B134" t="str">
        <v>NOTA: El Nitrato de Calcio se debe de diluir en un barril aparte para inyectarse al sistema</v>
      </c>
    </row>
    <row r="136">
      <c r="B136" t="str">
        <v>Abreviaciones usadas</v>
      </c>
    </row>
    <row r="137">
      <c r="B137" t="str">
        <v>Mz.-Manzanas, Ha-Hectáreas, Lbs-Libras, Lts-Litros y DDT-Días después de Trasplante</v>
      </c>
    </row>
  </sheetData>
  <sheetProtection sheet="1"/>
  <mergeCells count="52">
    <mergeCell ref="P5:S7"/>
    <mergeCell ref="I11:M11"/>
    <mergeCell ref="I12:M12"/>
    <mergeCell ref="F11:H11"/>
    <mergeCell ref="C11:E11"/>
    <mergeCell ref="A11:B11"/>
    <mergeCell ref="A12:B12"/>
    <mergeCell ref="C12:E12"/>
    <mergeCell ref="F12:H12"/>
    <mergeCell ref="P9:S12"/>
    <mergeCell ref="P1:S4"/>
    <mergeCell ref="B130:E130"/>
    <mergeCell ref="F13:H13"/>
    <mergeCell ref="F14:H14"/>
    <mergeCell ref="G16:H16"/>
    <mergeCell ref="I16:J16"/>
    <mergeCell ref="G129:H129"/>
    <mergeCell ref="G130:H130"/>
    <mergeCell ref="G125:H125"/>
    <mergeCell ref="A9:K9"/>
    <mergeCell ref="B134:I135"/>
    <mergeCell ref="I133:Q133"/>
    <mergeCell ref="B136:D136"/>
    <mergeCell ref="G128:H128"/>
    <mergeCell ref="G126:H126"/>
    <mergeCell ref="G127:H127"/>
    <mergeCell ref="B129:E129"/>
    <mergeCell ref="B128:E128"/>
    <mergeCell ref="B127:E127"/>
    <mergeCell ref="B132:E132"/>
    <mergeCell ref="G133:H133"/>
    <mergeCell ref="B131:E131"/>
    <mergeCell ref="B133:E133"/>
    <mergeCell ref="G131:H131"/>
    <mergeCell ref="G132:H132"/>
    <mergeCell ref="B125:E125"/>
    <mergeCell ref="C13:E13"/>
    <mergeCell ref="T16:T17"/>
    <mergeCell ref="M16:N16"/>
    <mergeCell ref="Q16:R16"/>
    <mergeCell ref="O16:P16"/>
    <mergeCell ref="E16:F16"/>
    <mergeCell ref="B137:S137"/>
    <mergeCell ref="A13:B13"/>
    <mergeCell ref="A14:B14"/>
    <mergeCell ref="I13:M13"/>
    <mergeCell ref="I14:M14"/>
    <mergeCell ref="K16:L16"/>
    <mergeCell ref="I132:Q132"/>
    <mergeCell ref="C14:E14"/>
    <mergeCell ref="A16:A17"/>
    <mergeCell ref="B16:B17"/>
  </mergeCells>
  <pageMargins left="0" right="0" top="0.2" bottom="0.56" header="0" footer="0.25"/>
  <ignoredErrors>
    <ignoredError numberStoredAsText="1" sqref="A1:Z138"/>
  </ignoredErrors>
  <legacyDrawing r:id="rId1"/>
</worksheet>
</file>

<file path=xl/worksheets/sheet3.xml><?xml version="1.0" encoding="utf-8"?>
<worksheet xmlns="http://schemas.openxmlformats.org/spreadsheetml/2006/main" xmlns:r="http://schemas.openxmlformats.org/officeDocument/2006/relationships">
  <dimension ref="A1:Z138"/>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Tabaco</v>
      </c>
    </row>
    <row r="6" ht="26.25" customHeight="1"/>
    <row r="7" ht="26.25" customHeight="1"/>
    <row r="8" ht="8.4" customHeight="1"/>
    <row r="9" ht="26.25" customHeight="1">
      <c r="A9" t="str">
        <f>Main!$C$13</f>
        <v>"Sin Fertilización Base"</v>
      </c>
      <c r="P9" t="str">
        <f>Main!$G$21</f>
        <v>Habano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39814</v>
      </c>
    </row>
    <row r="14" ht="20.1" customHeight="1">
      <c r="A14" t="str">
        <v>Área Ha.</v>
      </c>
      <c r="C14">
        <f>Main!I22</f>
        <v>1.001</v>
      </c>
      <c r="F14" t="str">
        <v>Fecha de Cosecha:</v>
      </c>
      <c r="I14">
        <f>I13+Main!E24</f>
        <v>39884</v>
      </c>
    </row>
    <row r="15" ht="19.5" customHeight="1"/>
    <row r="16" ht="28.5" customHeight="1">
      <c r="A16" t="str">
        <v>Semana</v>
      </c>
      <c r="B16" t="str">
        <v>DDT</v>
      </c>
      <c r="C16" t="str">
        <v>FECHA</v>
      </c>
      <c r="E16" t="str">
        <f>Main!$D$42</f>
        <v>Urea</v>
      </c>
      <c r="G16" t="str">
        <f>Main!$D$32</f>
        <v>DAP 18-46-0</v>
      </c>
      <c r="I16" t="str">
        <f>Main!$D$37</f>
        <v>Sulfato de Potasio</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39815</v>
      </c>
      <c r="E18">
        <f>IF($C$14*ReDiarioFert!C7&lt;=0,"0",$C$14*ReDiarioFert!C7)</f>
        <v>0.9124565488783126</v>
      </c>
      <c r="G18">
        <f>$C$14*ReDiarioFert!E7</f>
        <v>1.1033095652173912</v>
      </c>
      <c r="I18">
        <f>$C$14*ReDiarioFert!G7</f>
        <v>2.165941555555556</v>
      </c>
      <c r="K18">
        <f>$C$14*ReDiarioFert!I7</f>
        <v>0.9638273820260834</v>
      </c>
      <c r="M18">
        <f>$C$14*ReDiarioFert!K7</f>
        <v>1.9866981155288757</v>
      </c>
      <c r="O18">
        <f>$C$14*ReDiarioFert!M7</f>
        <v>24.866793170731707</v>
      </c>
      <c r="Q18">
        <f>$C$14*Main!$D$63</f>
        <v>20.019999999999996</v>
      </c>
      <c r="S18">
        <f>((E18/100)*$G$127+(G18/100)*$G$128+(I18/100)*$G$129+(K18/100)*$G$130+(M18/100)*$G$131+(O18)*$G$132+(Q18*$G$133))</f>
        <v>108.95205331321445</v>
      </c>
    </row>
    <row r="19" ht="18.75" customHeight="1">
      <c r="B19">
        <v>2</v>
      </c>
      <c r="C19">
        <f>$I$13+B19</f>
        <v>39816</v>
      </c>
      <c r="E19">
        <f>IF($C$14*ReDiarioFert!C8&lt;=0,"0",$C$14*ReDiarioFert!C8)</f>
        <v>0.9124565488783126</v>
      </c>
      <c r="G19">
        <f>$C$14*ReDiarioFert!E8</f>
        <v>1.1033095652173912</v>
      </c>
      <c r="I19">
        <f>$C$14*ReDiarioFert!G8</f>
        <v>2.165941555555556</v>
      </c>
      <c r="K19">
        <f>$C$14*ReDiarioFert!I8</f>
        <v>0.9638273820260834</v>
      </c>
      <c r="M19">
        <f>$C$14*ReDiarioFert!K8</f>
        <v>1.9866981155288757</v>
      </c>
      <c r="O19">
        <f>$C$14*ReDiarioFert!M8</f>
        <v>24.866793170731707</v>
      </c>
      <c r="S19">
        <f>((E19/100)*$G$127+(G19/100)*$G$128+(I19/100)*$G$129+(K19/100)*$G$130+(M19/100)*$G$131+(O19)*$G$132+(Q19*$G$133))</f>
        <v>52.896053313214466</v>
      </c>
    </row>
    <row r="20" ht="18.75" customHeight="1">
      <c r="B20">
        <v>3</v>
      </c>
      <c r="C20">
        <f>$I$13+B20</f>
        <v>39817</v>
      </c>
      <c r="E20">
        <f>IF($C$14*ReDiarioFert!C9&lt;=0,"0",$C$14*ReDiarioFert!C9)</f>
        <v>0.9124565488783126</v>
      </c>
      <c r="G20">
        <f>$C$14*ReDiarioFert!E9</f>
        <v>1.1033095652173912</v>
      </c>
      <c r="I20">
        <f>$C$14*ReDiarioFert!G9</f>
        <v>2.165941555555556</v>
      </c>
      <c r="K20">
        <f>$C$14*ReDiarioFert!I9</f>
        <v>0.9638273820260834</v>
      </c>
      <c r="M20">
        <f>$C$14*ReDiarioFert!K9</f>
        <v>1.9866981155288757</v>
      </c>
      <c r="O20">
        <f>$C$14*ReDiarioFert!M9</f>
        <v>24.866793170731707</v>
      </c>
      <c r="S20">
        <f>((E20/100)*$G$127+(G20/100)*$G$128+(I20/100)*$G$129+(K20/100)*$G$130+(M20/100)*$G$131+(O20)*$G$132+(Q20*$G$133))</f>
        <v>52.896053313214466</v>
      </c>
    </row>
    <row r="21" ht="18.75" customHeight="1">
      <c r="B21">
        <v>4</v>
      </c>
      <c r="C21">
        <f>$I$13+B21</f>
        <v>39818</v>
      </c>
      <c r="E21">
        <f>IF($C$14*ReDiarioFert!C10&lt;=0,"0",$C$14*ReDiarioFert!C10)</f>
        <v>0.9124565488783126</v>
      </c>
      <c r="G21">
        <f>$C$14*ReDiarioFert!E10</f>
        <v>1.1033095652173912</v>
      </c>
      <c r="I21">
        <f>$C$14*ReDiarioFert!G10</f>
        <v>2.165941555555556</v>
      </c>
      <c r="K21">
        <f>$C$14*ReDiarioFert!I10</f>
        <v>0.9638273820260834</v>
      </c>
      <c r="M21">
        <f>$C$14*ReDiarioFert!K10</f>
        <v>1.9866981155288757</v>
      </c>
      <c r="O21">
        <f>$C$14*ReDiarioFert!M10</f>
        <v>24.866793170731707</v>
      </c>
      <c r="S21">
        <f>((E21/100)*$G$127+(G21/100)*$G$128+(I21/100)*$G$129+(K21/100)*$G$130+(M21/100)*$G$131+(O21)*$G$132+(Q21*$G$133))</f>
        <v>52.896053313214466</v>
      </c>
    </row>
    <row r="22" ht="18.75" customHeight="1">
      <c r="B22">
        <v>5</v>
      </c>
      <c r="C22">
        <f>$I$13+B22</f>
        <v>39819</v>
      </c>
      <c r="E22">
        <f>IF($C$14*ReDiarioFert!C11&lt;=0,"0",$C$14*ReDiarioFert!C11)</f>
        <v>0.9124565488783126</v>
      </c>
      <c r="G22">
        <f>$C$14*ReDiarioFert!E11</f>
        <v>1.1033095652173912</v>
      </c>
      <c r="I22">
        <f>$C$14*ReDiarioFert!G11</f>
        <v>2.165941555555556</v>
      </c>
      <c r="K22">
        <f>$C$14*ReDiarioFert!I11</f>
        <v>0.9638273820260834</v>
      </c>
      <c r="M22">
        <f>$C$14*ReDiarioFert!K11</f>
        <v>1.9866981155288757</v>
      </c>
      <c r="O22">
        <f>$C$14*ReDiarioFert!M11</f>
        <v>24.866793170731707</v>
      </c>
      <c r="S22">
        <f>((E22/100)*$G$127+(G22/100)*$G$128+(I22/100)*$G$129+(K22/100)*$G$130+(M22/100)*$G$131+(O22)*$G$132+(Q22*$G$133))</f>
        <v>52.896053313214466</v>
      </c>
    </row>
    <row r="23" ht="18.75" customHeight="1">
      <c r="B23">
        <v>6</v>
      </c>
      <c r="C23">
        <f>$I$13+B23</f>
        <v>39820</v>
      </c>
      <c r="E23">
        <f>IF($C$14*ReDiarioFert!C12&lt;=0,"0",$C$14*ReDiarioFert!C12)</f>
        <v>0.9124565488783126</v>
      </c>
      <c r="G23">
        <f>$C$14*ReDiarioFert!E12</f>
        <v>1.1033095652173912</v>
      </c>
      <c r="I23">
        <f>$C$14*ReDiarioFert!G12</f>
        <v>2.165941555555556</v>
      </c>
      <c r="K23">
        <f>$C$14*ReDiarioFert!I12</f>
        <v>0.9638273820260834</v>
      </c>
      <c r="M23">
        <f>$C$14*ReDiarioFert!K12</f>
        <v>1.9866981155288757</v>
      </c>
      <c r="O23">
        <f>$C$14*ReDiarioFert!M12</f>
        <v>24.866793170731707</v>
      </c>
      <c r="S23">
        <f>((E23/100)*$G$127+(G23/100)*$G$128+(I23/100)*$G$129+(K23/100)*$G$130+(M23/100)*$G$131+(O23)*$G$132+(Q23*$G$133))</f>
        <v>52.896053313214466</v>
      </c>
    </row>
    <row r="24" ht="18.75" customHeight="1">
      <c r="B24">
        <v>7</v>
      </c>
      <c r="C24">
        <f>$I$13+B24</f>
        <v>39821</v>
      </c>
      <c r="E24">
        <f>IF($C$14*ReDiarioFert!C13&lt;=0,"0",$C$14*ReDiarioFert!C13)</f>
        <v>0.9124565488783126</v>
      </c>
      <c r="G24">
        <f>$C$14*ReDiarioFert!E13</f>
        <v>1.1033095652173912</v>
      </c>
      <c r="I24">
        <f>$C$14*ReDiarioFert!G13</f>
        <v>2.165941555555556</v>
      </c>
      <c r="K24">
        <f>$C$14*ReDiarioFert!I13</f>
        <v>0.9638273820260834</v>
      </c>
      <c r="M24">
        <f>$C$14*ReDiarioFert!K13</f>
        <v>1.9866981155288757</v>
      </c>
      <c r="O24">
        <f>$C$14*ReDiarioFert!M13</f>
        <v>24.866793170731707</v>
      </c>
      <c r="S24">
        <f>((E24/100)*$G$127+(G24/100)*$G$128+(I24/100)*$G$129+(K24/100)*$G$130+(M24/100)*$G$131+(O24)*$G$132+(Q24*$G$133))</f>
        <v>52.896053313214466</v>
      </c>
    </row>
    <row r="25">
      <c r="A25">
        <v>2</v>
      </c>
      <c r="B25">
        <v>8</v>
      </c>
      <c r="C25">
        <f>$I$13+B25</f>
        <v>39822</v>
      </c>
      <c r="E25">
        <f>IF($C$14*ReDiarioFert!C14&lt;=0,"0",$C$14*ReDiarioFert!C14)</f>
        <v>0.9124565488783126</v>
      </c>
      <c r="G25">
        <f>$C$14*ReDiarioFert!E14</f>
        <v>1.1033095652173912</v>
      </c>
      <c r="I25">
        <f>$C$14*ReDiarioFert!G14</f>
        <v>2.165941555555556</v>
      </c>
      <c r="K25">
        <f>$C$14*ReDiarioFert!I14</f>
        <v>0.9638273820260834</v>
      </c>
      <c r="M25">
        <f>$C$14*ReDiarioFert!K14</f>
        <v>1.9866981155288757</v>
      </c>
      <c r="O25">
        <f>$C$14*ReDiarioFert!M14</f>
        <v>24.866793170731707</v>
      </c>
      <c r="Q25">
        <f>$C$14*Main!$D$63</f>
        <v>20.019999999999996</v>
      </c>
      <c r="S25">
        <f>((E25/100)*$G$127+(G25/100)*$G$128+(I25/100)*$G$129+(K25/100)*$G$130+(M25/100)*$G$131+(O25)*$G$132+(Q25*$G$133))</f>
        <v>108.95205331321445</v>
      </c>
    </row>
    <row r="26">
      <c r="B26">
        <v>9</v>
      </c>
      <c r="C26">
        <f>$I$13+B26</f>
        <v>39823</v>
      </c>
      <c r="E26">
        <f>IF($C$14*ReDiarioFert!C15&lt;=0,"0",$C$14*ReDiarioFert!C15)</f>
        <v>0.9124565488783126</v>
      </c>
      <c r="G26">
        <f>$C$14*ReDiarioFert!E15</f>
        <v>1.1033095652173912</v>
      </c>
      <c r="I26">
        <f>$C$14*ReDiarioFert!G15</f>
        <v>2.165941555555556</v>
      </c>
      <c r="K26">
        <f>$C$14*ReDiarioFert!I15</f>
        <v>0.9638273820260834</v>
      </c>
      <c r="M26">
        <f>$C$14*ReDiarioFert!K15</f>
        <v>1.9866981155288757</v>
      </c>
      <c r="O26">
        <f>$C$14*ReDiarioFert!M15</f>
        <v>24.866793170731707</v>
      </c>
      <c r="S26">
        <f>((E26/100)*$G$127+(G26/100)*$G$128+(I26/100)*$G$129+(K26/100)*$G$130+(M26/100)*$G$131+(O26)*$G$132+(Q26*$G$133))</f>
        <v>52.896053313214466</v>
      </c>
    </row>
    <row r="27">
      <c r="B27">
        <v>10</v>
      </c>
      <c r="C27">
        <f>$I$13+B27</f>
        <v>39824</v>
      </c>
      <c r="E27">
        <f>IF($C$14*ReDiarioFert!C16&lt;=0,"0",$C$14*ReDiarioFert!C16)</f>
        <v>0.9124565488783126</v>
      </c>
      <c r="G27">
        <f>$C$14*ReDiarioFert!E16</f>
        <v>1.1033095652173912</v>
      </c>
      <c r="I27">
        <f>$C$14*ReDiarioFert!G16</f>
        <v>2.165941555555556</v>
      </c>
      <c r="K27">
        <f>$C$14*ReDiarioFert!I16</f>
        <v>0.9638273820260834</v>
      </c>
      <c r="M27">
        <f>$C$14*ReDiarioFert!K16</f>
        <v>1.9866981155288757</v>
      </c>
      <c r="O27">
        <f>$C$14*ReDiarioFert!M16</f>
        <v>24.866793170731707</v>
      </c>
      <c r="S27">
        <f>((E27/100)*$G$127+(G27/100)*$G$128+(I27/100)*$G$129+(K27/100)*$G$130+(M27/100)*$G$131+(O27)*$G$132+(Q27*$G$133))</f>
        <v>52.896053313214466</v>
      </c>
    </row>
    <row r="28">
      <c r="B28">
        <v>11</v>
      </c>
      <c r="C28">
        <f>$I$13+B28</f>
        <v>39825</v>
      </c>
      <c r="E28">
        <f>IF($C$14*ReDiarioFert!C17&lt;=0,"0",$C$14*ReDiarioFert!C17)</f>
        <v>1.368684823317469</v>
      </c>
      <c r="G28">
        <f>$C$14*ReDiarioFert!E17</f>
        <v>1.6549643478260867</v>
      </c>
      <c r="I28">
        <f>$C$14*ReDiarioFert!G17</f>
        <v>3.248912333333333</v>
      </c>
      <c r="K28">
        <f>$C$14*ReDiarioFert!I17</f>
        <v>1.4457410730391254</v>
      </c>
      <c r="M28">
        <f>$C$14*ReDiarioFert!K17</f>
        <v>2.980047173293314</v>
      </c>
      <c r="O28">
        <f>$C$14*ReDiarioFert!M17</f>
        <v>44.76032536585365</v>
      </c>
      <c r="S28">
        <f>((E28/100)*$G$127+(G28/100)*$G$128+(I28/100)*$G$129+(K28/100)*$G$130+(M28/100)*$G$131+(O28)*$G$132+(Q28*$G$133))</f>
        <v>79.64248539421195</v>
      </c>
    </row>
    <row r="29">
      <c r="B29">
        <v>12</v>
      </c>
      <c r="C29">
        <f>$I$13+B29</f>
        <v>39826</v>
      </c>
      <c r="E29">
        <f>IF($C$14*ReDiarioFert!C18&lt;=0,"0",$C$14*ReDiarioFert!C18)</f>
        <v>1.368684823317469</v>
      </c>
      <c r="G29">
        <f>$C$14*ReDiarioFert!E18</f>
        <v>1.6549643478260867</v>
      </c>
      <c r="I29">
        <f>$C$14*ReDiarioFert!G18</f>
        <v>3.248912333333333</v>
      </c>
      <c r="K29">
        <f>$C$14*ReDiarioFert!I18</f>
        <v>1.4457410730391254</v>
      </c>
      <c r="M29">
        <f>$C$14*ReDiarioFert!K18</f>
        <v>2.980047173293314</v>
      </c>
      <c r="O29">
        <f>$C$14*ReDiarioFert!M18</f>
        <v>44.76032536585365</v>
      </c>
      <c r="S29">
        <f>((E29/100)*$G$127+(G29/100)*$G$128+(I29/100)*$G$129+(K29/100)*$G$130+(M29/100)*$G$131+(O29)*$G$132+(Q29*$G$133))</f>
        <v>79.64248539421195</v>
      </c>
    </row>
    <row r="30">
      <c r="B30">
        <v>13</v>
      </c>
      <c r="C30">
        <f>$I$13+B30</f>
        <v>39827</v>
      </c>
      <c r="E30">
        <f>IF($C$14*ReDiarioFert!C19&lt;=0,"0",$C$14*ReDiarioFert!C19)</f>
        <v>1.368684823317469</v>
      </c>
      <c r="G30">
        <f>$C$14*ReDiarioFert!E19</f>
        <v>1.6549643478260867</v>
      </c>
      <c r="I30">
        <f>$C$14*ReDiarioFert!G19</f>
        <v>3.248912333333333</v>
      </c>
      <c r="K30">
        <f>$C$14*ReDiarioFert!I19</f>
        <v>1.4457410730391254</v>
      </c>
      <c r="M30">
        <f>$C$14*ReDiarioFert!K19</f>
        <v>2.980047173293314</v>
      </c>
      <c r="O30">
        <f>$C$14*ReDiarioFert!M19</f>
        <v>44.76032536585365</v>
      </c>
      <c r="S30">
        <f>((E30/100)*$G$127+(G30/100)*$G$128+(I30/100)*$G$129+(K30/100)*$G$130+(M30/100)*$G$131+(O30)*$G$132+(Q30*$G$133))</f>
        <v>79.64248539421195</v>
      </c>
    </row>
    <row r="31">
      <c r="B31">
        <v>14</v>
      </c>
      <c r="C31">
        <f>$I$13+B31</f>
        <v>39828</v>
      </c>
      <c r="E31">
        <f>IF($C$14*ReDiarioFert!C20&lt;=0,"0",$C$14*ReDiarioFert!C20)</f>
        <v>1.368684823317469</v>
      </c>
      <c r="G31">
        <f>$C$14*ReDiarioFert!E20</f>
        <v>1.6549643478260867</v>
      </c>
      <c r="I31">
        <f>$C$14*ReDiarioFert!G20</f>
        <v>3.248912333333333</v>
      </c>
      <c r="K31">
        <f>$C$14*ReDiarioFert!I20</f>
        <v>1.4457410730391254</v>
      </c>
      <c r="M31">
        <f>$C$14*ReDiarioFert!K20</f>
        <v>2.980047173293314</v>
      </c>
      <c r="O31">
        <f>$C$14*ReDiarioFert!M20</f>
        <v>44.76032536585365</v>
      </c>
      <c r="S31">
        <f>((E31/100)*$G$127+(G31/100)*$G$128+(I31/100)*$G$129+(K31/100)*$G$130+(M31/100)*$G$131+(O31)*$G$132+(Q31*$G$133))</f>
        <v>79.64248539421195</v>
      </c>
    </row>
    <row r="32">
      <c r="A32">
        <v>3</v>
      </c>
      <c r="B32">
        <v>15</v>
      </c>
      <c r="C32">
        <f>$I$13+B32</f>
        <v>39829</v>
      </c>
      <c r="E32">
        <f>IF($C$14*ReDiarioFert!C21&lt;=0,"0",$C$14*ReDiarioFert!C21)</f>
        <v>1.368684823317469</v>
      </c>
      <c r="G32">
        <f>$C$14*ReDiarioFert!E21</f>
        <v>1.6549643478260867</v>
      </c>
      <c r="I32">
        <f>$C$14*ReDiarioFert!G21</f>
        <v>3.248912333333333</v>
      </c>
      <c r="K32">
        <f>$C$14*ReDiarioFert!I21</f>
        <v>1.4457410730391254</v>
      </c>
      <c r="M32">
        <f>$C$14*ReDiarioFert!K21</f>
        <v>2.980047173293314</v>
      </c>
      <c r="O32">
        <f>$C$14*ReDiarioFert!M21</f>
        <v>44.76032536585365</v>
      </c>
      <c r="Q32">
        <f>$C$14*Main!$D$63</f>
        <v>20.019999999999996</v>
      </c>
      <c r="S32">
        <f>((E32/100)*$G$127+(G32/100)*$G$128+(I32/100)*$G$129+(K32/100)*$G$130+(M32/100)*$G$131+(O32)*$G$132+(Q32*$G$133))</f>
        <v>135.69848539421193</v>
      </c>
    </row>
    <row r="33">
      <c r="B33">
        <v>16</v>
      </c>
      <c r="C33">
        <f>$I$13+B33</f>
        <v>39830</v>
      </c>
      <c r="E33">
        <f>IF($C$14*ReDiarioFert!C22&lt;=0,"0",$C$14*ReDiarioFert!C22)</f>
        <v>1.368684823317469</v>
      </c>
      <c r="G33">
        <f>$C$14*ReDiarioFert!E22</f>
        <v>1.6549643478260867</v>
      </c>
      <c r="I33">
        <f>$C$14*ReDiarioFert!G22</f>
        <v>3.248912333333333</v>
      </c>
      <c r="K33">
        <f>$C$14*ReDiarioFert!I22</f>
        <v>1.4457410730391254</v>
      </c>
      <c r="M33">
        <f>$C$14*ReDiarioFert!K22</f>
        <v>2.980047173293314</v>
      </c>
      <c r="O33">
        <f>$C$14*ReDiarioFert!M22</f>
        <v>44.76032536585365</v>
      </c>
      <c r="S33">
        <f>((E33/100)*$G$127+(G33/100)*$G$128+(I33/100)*$G$129+(K33/100)*$G$130+(M33/100)*$G$131+(O33)*$G$132+(Q33*$G$133))</f>
        <v>79.64248539421195</v>
      </c>
    </row>
    <row r="34">
      <c r="B34">
        <v>17</v>
      </c>
      <c r="C34">
        <f>$I$13+B34</f>
        <v>39831</v>
      </c>
      <c r="E34">
        <f>IF($C$14*ReDiarioFert!C23&lt;=0,"0",$C$14*ReDiarioFert!C23)</f>
        <v>1.368684823317469</v>
      </c>
      <c r="G34">
        <f>$C$14*ReDiarioFert!E23</f>
        <v>1.6549643478260867</v>
      </c>
      <c r="I34">
        <f>$C$14*ReDiarioFert!G23</f>
        <v>3.248912333333333</v>
      </c>
      <c r="K34">
        <f>$C$14*ReDiarioFert!I23</f>
        <v>1.4457410730391254</v>
      </c>
      <c r="M34">
        <f>$C$14*ReDiarioFert!K23</f>
        <v>2.980047173293314</v>
      </c>
      <c r="O34">
        <f>$C$14*ReDiarioFert!M23</f>
        <v>44.76032536585365</v>
      </c>
      <c r="S34">
        <f>((E34/100)*$G$127+(G34/100)*$G$128+(I34/100)*$G$129+(K34/100)*$G$130+(M34/100)*$G$131+(O34)*$G$132+(Q34*$G$133))</f>
        <v>79.64248539421195</v>
      </c>
    </row>
    <row r="35">
      <c r="B35">
        <v>18</v>
      </c>
      <c r="C35">
        <f>$I$13+B35</f>
        <v>39832</v>
      </c>
      <c r="E35">
        <f>IF($C$14*ReDiarioFert!C24&lt;=0,"0",$C$14*ReDiarioFert!C24)</f>
        <v>1.8249130977566252</v>
      </c>
      <c r="G35">
        <f>$C$14*ReDiarioFert!E24</f>
        <v>2.2066191304347824</v>
      </c>
      <c r="I35">
        <f>$C$14*ReDiarioFert!G24</f>
        <v>4.331883111111112</v>
      </c>
      <c r="K35">
        <f>$C$14*ReDiarioFert!I24</f>
        <v>1.9276547640521668</v>
      </c>
      <c r="M35">
        <f>$C$14*ReDiarioFert!K24</f>
        <v>3.9733962310577513</v>
      </c>
      <c r="O35">
        <f>$C$14*ReDiarioFert!M24</f>
        <v>59.680108292682924</v>
      </c>
      <c r="S35">
        <f>((E35/100)*$G$127+(G35/100)*$G$128+(I35/100)*$G$129+(K35/100)*$G$130+(M35/100)*$G$131+(O35)*$G$132+(Q35*$G$133))</f>
        <v>106.18996750447772</v>
      </c>
    </row>
    <row r="36">
      <c r="B36">
        <v>19</v>
      </c>
      <c r="C36">
        <f>$I$13+B36</f>
        <v>39833</v>
      </c>
      <c r="E36">
        <f>IF($C$14*ReDiarioFert!C25&lt;=0,"0",$C$14*ReDiarioFert!C25)</f>
        <v>1.8249130977566252</v>
      </c>
      <c r="G36">
        <f>$C$14*ReDiarioFert!E25</f>
        <v>2.2066191304347824</v>
      </c>
      <c r="I36">
        <f>$C$14*ReDiarioFert!G25</f>
        <v>4.331883111111112</v>
      </c>
      <c r="K36">
        <f>$C$14*ReDiarioFert!I25</f>
        <v>1.9276547640521668</v>
      </c>
      <c r="M36">
        <f>$C$14*ReDiarioFert!K25</f>
        <v>3.9733962310577513</v>
      </c>
      <c r="O36">
        <f>$C$14*ReDiarioFert!M25</f>
        <v>59.680108292682924</v>
      </c>
      <c r="S36">
        <f>((E36/100)*$G$127+(G36/100)*$G$128+(I36/100)*$G$129+(K36/100)*$G$130+(M36/100)*$G$131+(O36)*$G$132+(Q36*$G$133))</f>
        <v>106.18996750447772</v>
      </c>
    </row>
    <row r="37">
      <c r="B37">
        <v>20</v>
      </c>
      <c r="C37">
        <f>$I$13+B37</f>
        <v>39834</v>
      </c>
      <c r="E37">
        <f>IF($C$14*ReDiarioFert!C26&lt;=0,"0",$C$14*ReDiarioFert!C26)</f>
        <v>1.8249130977566252</v>
      </c>
      <c r="G37">
        <f>$C$14*ReDiarioFert!E26</f>
        <v>2.2066191304347824</v>
      </c>
      <c r="I37">
        <f>$C$14*ReDiarioFert!G26</f>
        <v>4.331883111111112</v>
      </c>
      <c r="K37">
        <f>$C$14*ReDiarioFert!I26</f>
        <v>1.9276547640521668</v>
      </c>
      <c r="M37">
        <f>$C$14*ReDiarioFert!K26</f>
        <v>3.9733962310577513</v>
      </c>
      <c r="O37">
        <f>$C$14*ReDiarioFert!M26</f>
        <v>59.680108292682924</v>
      </c>
      <c r="S37">
        <f>((E37/100)*$G$127+(G37/100)*$G$128+(I37/100)*$G$129+(K37/100)*$G$130+(M37/100)*$G$131+(O37)*$G$132+(Q37*$G$133))</f>
        <v>106.18996750447772</v>
      </c>
    </row>
    <row r="38">
      <c r="B38">
        <v>21</v>
      </c>
      <c r="C38">
        <f>$I$13+B38</f>
        <v>39835</v>
      </c>
      <c r="E38">
        <f>IF($C$14*ReDiarioFert!C27&lt;=0,"0",$C$14*ReDiarioFert!C27)</f>
        <v>1.8249130977566252</v>
      </c>
      <c r="G38">
        <f>$C$14*ReDiarioFert!E27</f>
        <v>2.2066191304347824</v>
      </c>
      <c r="I38">
        <f>$C$14*ReDiarioFert!G27</f>
        <v>4.331883111111112</v>
      </c>
      <c r="K38">
        <f>$C$14*ReDiarioFert!I27</f>
        <v>1.9276547640521668</v>
      </c>
      <c r="M38">
        <f>$C$14*ReDiarioFert!K27</f>
        <v>3.9733962310577513</v>
      </c>
      <c r="O38">
        <f>$C$14*ReDiarioFert!M27</f>
        <v>59.680108292682924</v>
      </c>
      <c r="S38">
        <f>((E38/100)*$G$127+(G38/100)*$G$128+(I38/100)*$G$129+(K38/100)*$G$130+(M38/100)*$G$131+(O38)*$G$132+(Q38*$G$133))</f>
        <v>106.18996750447772</v>
      </c>
    </row>
    <row r="39">
      <c r="A39">
        <v>4</v>
      </c>
      <c r="B39">
        <v>22</v>
      </c>
      <c r="C39">
        <f>$I$13+B39</f>
        <v>39836</v>
      </c>
      <c r="E39">
        <f>IF($C$14*ReDiarioFert!C28&lt;=0,"0",$C$14*ReDiarioFert!C28)</f>
        <v>1.8249130977566252</v>
      </c>
      <c r="G39">
        <f>$C$14*ReDiarioFert!E28</f>
        <v>2.2066191304347824</v>
      </c>
      <c r="I39">
        <f>$C$14*ReDiarioFert!G28</f>
        <v>4.331883111111112</v>
      </c>
      <c r="K39">
        <f>$C$14*ReDiarioFert!I28</f>
        <v>1.9276547640521668</v>
      </c>
      <c r="M39">
        <f>$C$14*ReDiarioFert!K28</f>
        <v>3.9733962310577513</v>
      </c>
      <c r="O39">
        <f>$C$14*ReDiarioFert!M28</f>
        <v>59.680108292682924</v>
      </c>
      <c r="Q39">
        <f>$C$14*Main!$D$63</f>
        <v>20.019999999999996</v>
      </c>
      <c r="S39">
        <f>((E39/100)*$G$127+(G39/100)*$G$128+(I39/100)*$G$129+(K39/100)*$G$130+(M39/100)*$G$131+(O39)*$G$132+(Q39*$G$133))</f>
        <v>162.2459675044777</v>
      </c>
    </row>
    <row r="40">
      <c r="B40">
        <v>23</v>
      </c>
      <c r="C40">
        <f>$I$13+B40</f>
        <v>39837</v>
      </c>
      <c r="E40">
        <f>IF($C$14*ReDiarioFert!C29&lt;=0,"0",$C$14*ReDiarioFert!C29)</f>
        <v>1.8249130977566252</v>
      </c>
      <c r="G40">
        <f>$C$14*ReDiarioFert!E29</f>
        <v>2.2066191304347824</v>
      </c>
      <c r="I40">
        <f>$C$14*ReDiarioFert!G29</f>
        <v>4.331883111111112</v>
      </c>
      <c r="K40">
        <f>$C$14*ReDiarioFert!I29</f>
        <v>1.9276547640521668</v>
      </c>
      <c r="M40">
        <f>$C$14*ReDiarioFert!K29</f>
        <v>3.9733962310577513</v>
      </c>
      <c r="O40">
        <f>$C$14*ReDiarioFert!M29</f>
        <v>59.680108292682924</v>
      </c>
      <c r="S40">
        <f>((E40/100)*$G$127+(G40/100)*$G$128+(I40/100)*$G$129+(K40/100)*$G$130+(M40/100)*$G$131+(O40)*$G$132+(Q40*$G$133))</f>
        <v>106.18996750447772</v>
      </c>
    </row>
    <row r="41">
      <c r="B41">
        <v>24</v>
      </c>
      <c r="C41">
        <f>$I$13+B41</f>
        <v>39838</v>
      </c>
      <c r="E41">
        <f>IF($C$14*ReDiarioFert!C30&lt;=0,"0",$C$14*ReDiarioFert!C30)</f>
        <v>1.8249130977566252</v>
      </c>
      <c r="G41">
        <f>$C$14*ReDiarioFert!E30</f>
        <v>2.2066191304347824</v>
      </c>
      <c r="I41">
        <f>$C$14*ReDiarioFert!G30</f>
        <v>4.331883111111112</v>
      </c>
      <c r="K41">
        <f>$C$14*ReDiarioFert!I30</f>
        <v>1.9276547640521668</v>
      </c>
      <c r="M41">
        <f>$C$14*ReDiarioFert!K30</f>
        <v>3.9733962310577513</v>
      </c>
      <c r="O41">
        <f>$C$14*ReDiarioFert!M30</f>
        <v>59.680108292682924</v>
      </c>
      <c r="S41">
        <f>((E41/100)*$G$127+(G41/100)*$G$128+(I41/100)*$G$129+(K41/100)*$G$130+(M41/100)*$G$131+(O41)*$G$132+(Q41*$G$133))</f>
        <v>106.18996750447772</v>
      </c>
    </row>
    <row r="42">
      <c r="B42">
        <v>25</v>
      </c>
      <c r="C42">
        <f>$I$13+B42</f>
        <v>39839</v>
      </c>
      <c r="E42">
        <f>IF($C$14*ReDiarioFert!C31&lt;=0,"0",$C$14*ReDiarioFert!C31)</f>
        <v>1.8249130977566252</v>
      </c>
      <c r="G42">
        <f>$C$14*ReDiarioFert!E31</f>
        <v>2.2066191304347824</v>
      </c>
      <c r="I42">
        <f>$C$14*ReDiarioFert!G31</f>
        <v>4.331883111111112</v>
      </c>
      <c r="K42">
        <f>$C$14*ReDiarioFert!I31</f>
        <v>1.9276547640521668</v>
      </c>
      <c r="M42">
        <f>$C$14*ReDiarioFert!K31</f>
        <v>3.9733962310577513</v>
      </c>
      <c r="O42">
        <f>$C$14*ReDiarioFert!M31</f>
        <v>59.680108292682924</v>
      </c>
      <c r="S42">
        <f>((E42/100)*$G$127+(G42/100)*$G$128+(I42/100)*$G$129+(K42/100)*$G$130+(M42/100)*$G$131+(O42)*$G$132+(Q42*$G$133))</f>
        <v>106.18996750447772</v>
      </c>
    </row>
    <row r="43">
      <c r="B43">
        <v>26</v>
      </c>
      <c r="C43">
        <f>$I$13+B43</f>
        <v>39840</v>
      </c>
      <c r="E43">
        <f>IF($C$14*ReDiarioFert!C32&lt;=0,"0",$C$14*ReDiarioFert!C32)</f>
        <v>1.8249130977566252</v>
      </c>
      <c r="G43">
        <f>$C$14*ReDiarioFert!E32</f>
        <v>2.2066191304347824</v>
      </c>
      <c r="I43">
        <f>$C$14*ReDiarioFert!G32</f>
        <v>4.331883111111112</v>
      </c>
      <c r="K43">
        <f>$C$14*ReDiarioFert!I32</f>
        <v>1.9276547640521668</v>
      </c>
      <c r="M43">
        <f>$C$14*ReDiarioFert!K32</f>
        <v>3.9733962310577513</v>
      </c>
      <c r="O43">
        <f>$C$14*ReDiarioFert!M32</f>
        <v>59.680108292682924</v>
      </c>
      <c r="S43">
        <f>((E43/100)*$G$127+(G43/100)*$G$128+(I43/100)*$G$129+(K43/100)*$G$130+(M43/100)*$G$131+(O43)*$G$132+(Q43*$G$133))</f>
        <v>106.18996750447772</v>
      </c>
    </row>
    <row r="44">
      <c r="B44">
        <v>27</v>
      </c>
      <c r="C44">
        <f>$I$13+B44</f>
        <v>39841</v>
      </c>
      <c r="E44">
        <f>IF($C$14*ReDiarioFert!C33&lt;=0,"0",$C$14*ReDiarioFert!C33)</f>
        <v>1.8249130977566252</v>
      </c>
      <c r="G44">
        <f>$C$14*ReDiarioFert!E33</f>
        <v>2.2066191304347824</v>
      </c>
      <c r="I44">
        <f>$C$14*ReDiarioFert!G33</f>
        <v>4.331883111111112</v>
      </c>
      <c r="K44">
        <f>$C$14*ReDiarioFert!I33</f>
        <v>1.9276547640521668</v>
      </c>
      <c r="M44">
        <f>$C$14*ReDiarioFert!K33</f>
        <v>3.9733962310577513</v>
      </c>
      <c r="O44">
        <f>$C$14*ReDiarioFert!M33</f>
        <v>59.680108292682924</v>
      </c>
      <c r="S44">
        <f>((E44/100)*$G$127+(G44/100)*$G$128+(I44/100)*$G$129+(K44/100)*$G$130+(M44/100)*$G$131+(O44)*$G$132+(Q44*$G$133))</f>
        <v>106.18996750447772</v>
      </c>
    </row>
    <row r="45">
      <c r="B45">
        <v>28</v>
      </c>
      <c r="C45">
        <f>$I$13+B45</f>
        <v>39842</v>
      </c>
      <c r="E45">
        <f>IF($C$14*ReDiarioFert!C34&lt;=0,"0",$C$14*ReDiarioFert!C34)</f>
        <v>1.8249130977566252</v>
      </c>
      <c r="G45">
        <f>$C$14*ReDiarioFert!E34</f>
        <v>2.2066191304347824</v>
      </c>
      <c r="I45">
        <f>$C$14*ReDiarioFert!G34</f>
        <v>4.331883111111112</v>
      </c>
      <c r="K45">
        <f>$C$14*ReDiarioFert!I34</f>
        <v>1.9276547640521668</v>
      </c>
      <c r="M45">
        <f>$C$14*ReDiarioFert!K34</f>
        <v>3.9733962310577513</v>
      </c>
      <c r="O45">
        <f>$C$14*ReDiarioFert!M34</f>
        <v>59.680108292682924</v>
      </c>
      <c r="S45">
        <f>((E45/100)*$G$127+(G45/100)*$G$128+(I45/100)*$G$129+(K45/100)*$G$130+(M45/100)*$G$131+(O45)*$G$132+(Q45*$G$133))</f>
        <v>106.18996750447772</v>
      </c>
    </row>
    <row r="46">
      <c r="A46">
        <v>5</v>
      </c>
      <c r="B46">
        <v>29</v>
      </c>
      <c r="C46">
        <f>$I$13+B46</f>
        <v>39843</v>
      </c>
      <c r="E46">
        <f>IF($C$14*ReDiarioFert!C35&lt;=0,"0",$C$14*ReDiarioFert!C35)</f>
        <v>1.8249130977566252</v>
      </c>
      <c r="G46">
        <f>$C$14*ReDiarioFert!E35</f>
        <v>2.2066191304347824</v>
      </c>
      <c r="I46">
        <f>$C$14*ReDiarioFert!G35</f>
        <v>4.331883111111112</v>
      </c>
      <c r="K46">
        <f>$C$14*ReDiarioFert!I35</f>
        <v>1.9276547640521668</v>
      </c>
      <c r="M46">
        <f>$C$14*ReDiarioFert!K35</f>
        <v>3.9733962310577513</v>
      </c>
      <c r="O46">
        <f>$C$14*ReDiarioFert!M35</f>
        <v>59.680108292682924</v>
      </c>
      <c r="Q46">
        <f>$C$14*Main!$D$63</f>
        <v>20.019999999999996</v>
      </c>
      <c r="S46">
        <f>((E46/100)*$G$127+(G46/100)*$G$128+(I46/100)*$G$129+(K46/100)*$G$130+(M46/100)*$G$131+(O46)*$G$132+(Q46*$G$133))</f>
        <v>162.2459675044777</v>
      </c>
    </row>
    <row r="47">
      <c r="B47">
        <v>30</v>
      </c>
      <c r="C47">
        <f>$I$13+B47</f>
        <v>39844</v>
      </c>
      <c r="E47">
        <f>IF($C$14*ReDiarioFert!C36&lt;=0,"0",$C$14*ReDiarioFert!C36)</f>
        <v>1.8249130977566252</v>
      </c>
      <c r="G47">
        <f>$C$14*ReDiarioFert!E36</f>
        <v>2.2066191304347824</v>
      </c>
      <c r="I47">
        <f>$C$14*ReDiarioFert!G36</f>
        <v>4.331883111111112</v>
      </c>
      <c r="K47">
        <f>$C$14*ReDiarioFert!I36</f>
        <v>1.9276547640521668</v>
      </c>
      <c r="M47">
        <f>$C$14*ReDiarioFert!K36</f>
        <v>3.9733962310577513</v>
      </c>
      <c r="O47">
        <f>$C$14*ReDiarioFert!M36</f>
        <v>59.680108292682924</v>
      </c>
      <c r="S47">
        <f>((E47/100)*$G$127+(G47/100)*$G$128+(I47/100)*$G$129+(K47/100)*$G$130+(M47/100)*$G$131+(O47)*$G$132+(Q47*$G$133))</f>
        <v>106.18996750447772</v>
      </c>
    </row>
    <row r="48">
      <c r="B48">
        <v>31</v>
      </c>
      <c r="C48">
        <f>$I$13+B48</f>
        <v>39845</v>
      </c>
      <c r="E48">
        <f>IF($C$14*ReDiarioFert!C37&lt;=0,"0",$C$14*ReDiarioFert!C37)</f>
        <v>1.8249130977566252</v>
      </c>
      <c r="G48">
        <f>$C$14*ReDiarioFert!E37</f>
        <v>2.2066191304347824</v>
      </c>
      <c r="I48">
        <f>$C$14*ReDiarioFert!G37</f>
        <v>4.331883111111112</v>
      </c>
      <c r="K48">
        <f>$C$14*ReDiarioFert!I37</f>
        <v>1.9276547640521668</v>
      </c>
      <c r="M48">
        <f>$C$14*ReDiarioFert!K37</f>
        <v>3.9733962310577513</v>
      </c>
      <c r="O48">
        <f>$C$14*ReDiarioFert!M37</f>
        <v>59.680108292682924</v>
      </c>
      <c r="S48">
        <f>((E48/100)*$G$127+(G48/100)*$G$128+(I48/100)*$G$129+(K48/100)*$G$130+(M48/100)*$G$131+(O48)*$G$132+(Q48*$G$133))</f>
        <v>106.18996750447772</v>
      </c>
    </row>
    <row r="49">
      <c r="B49">
        <v>32</v>
      </c>
      <c r="C49">
        <f>$I$13+B49</f>
        <v>39846</v>
      </c>
      <c r="E49">
        <f>IF($C$14*ReDiarioFert!C38&lt;=0,"0",$C$14*ReDiarioFert!C38)</f>
        <v>1.8249130977566252</v>
      </c>
      <c r="G49">
        <f>$C$14*ReDiarioFert!E38</f>
        <v>2.2066191304347824</v>
      </c>
      <c r="I49">
        <f>$C$14*ReDiarioFert!G38</f>
        <v>4.331883111111112</v>
      </c>
      <c r="K49">
        <f>$C$14*ReDiarioFert!I38</f>
        <v>1.9276547640521668</v>
      </c>
      <c r="M49">
        <f>$C$14*ReDiarioFert!K38</f>
        <v>3.9733962310577513</v>
      </c>
      <c r="O49">
        <f>$C$14*ReDiarioFert!M38</f>
        <v>59.680108292682924</v>
      </c>
      <c r="S49">
        <f>((E49/100)*$G$127+(G49/100)*$G$128+(I49/100)*$G$129+(K49/100)*$G$130+(M49/100)*$G$131+(O49)*$G$132+(Q49*$G$133))</f>
        <v>106.18996750447772</v>
      </c>
    </row>
    <row r="50">
      <c r="B50">
        <v>33</v>
      </c>
      <c r="C50">
        <f>$I$13+B50</f>
        <v>39847</v>
      </c>
      <c r="E50">
        <f>IF($C$14*ReDiarioFert!C39&lt;=0,"0",$C$14*ReDiarioFert!C39)</f>
        <v>2.737369646634938</v>
      </c>
      <c r="G50">
        <f>$C$14*ReDiarioFert!E39</f>
        <v>3.3099286956521734</v>
      </c>
      <c r="I50">
        <f>$C$14*ReDiarioFert!G39</f>
        <v>6.497824666666666</v>
      </c>
      <c r="K50">
        <f>$C$14*ReDiarioFert!I39</f>
        <v>2.8914821460782507</v>
      </c>
      <c r="M50">
        <f>$C$14*ReDiarioFert!K39</f>
        <v>5.960094346586628</v>
      </c>
      <c r="O50">
        <f>$C$14*ReDiarioFert!M39</f>
        <v>84.54738975609757</v>
      </c>
      <c r="S50">
        <f>((E50/100)*$G$127+(G50/100)*$G$128+(I50/100)*$G$129+(K50/100)*$G$130+(M50/100)*$G$131+(O50)*$G$132+(Q50*$G$133))</f>
        <v>159.08604034939952</v>
      </c>
    </row>
    <row r="51">
      <c r="B51">
        <v>34</v>
      </c>
      <c r="C51">
        <f>$I$13+B51</f>
        <v>39848</v>
      </c>
      <c r="E51">
        <f>IF($C$14*ReDiarioFert!C40&lt;=0,"0",$C$14*ReDiarioFert!C40)</f>
        <v>2.737369646634938</v>
      </c>
      <c r="G51">
        <f>$C$14*ReDiarioFert!E40</f>
        <v>3.3099286956521734</v>
      </c>
      <c r="I51">
        <f>$C$14*ReDiarioFert!G40</f>
        <v>6.497824666666666</v>
      </c>
      <c r="K51">
        <f>$C$14*ReDiarioFert!I40</f>
        <v>2.8914821460782507</v>
      </c>
      <c r="M51">
        <f>$C$14*ReDiarioFert!K40</f>
        <v>5.960094346586628</v>
      </c>
      <c r="O51">
        <f>$C$14*ReDiarioFert!M40</f>
        <v>84.54738975609757</v>
      </c>
      <c r="S51">
        <f>((E51/100)*$G$127+(G51/100)*$G$128+(I51/100)*$G$129+(K51/100)*$G$130+(M51/100)*$G$131+(O51)*$G$132+(Q51*$G$133))</f>
        <v>159.08604034939952</v>
      </c>
    </row>
    <row r="52">
      <c r="B52">
        <v>35</v>
      </c>
      <c r="C52">
        <f>$I$13+B52</f>
        <v>39849</v>
      </c>
      <c r="E52">
        <f>IF($C$14*ReDiarioFert!C41&lt;=0,"0",$C$14*ReDiarioFert!C41)</f>
        <v>2.737369646634938</v>
      </c>
      <c r="G52">
        <f>$C$14*ReDiarioFert!E41</f>
        <v>3.3099286956521734</v>
      </c>
      <c r="I52">
        <f>$C$14*ReDiarioFert!G41</f>
        <v>6.497824666666666</v>
      </c>
      <c r="K52">
        <f>$C$14*ReDiarioFert!I41</f>
        <v>2.8914821460782507</v>
      </c>
      <c r="M52">
        <f>$C$14*ReDiarioFert!K41</f>
        <v>5.960094346586628</v>
      </c>
      <c r="O52">
        <f>$C$14*ReDiarioFert!M41</f>
        <v>84.54738975609757</v>
      </c>
      <c r="S52">
        <f>((E52/100)*$G$127+(G52/100)*$G$128+(I52/100)*$G$129+(K52/100)*$G$130+(M52/100)*$G$131+(O52)*$G$132+(Q52*$G$133))</f>
        <v>159.08604034939952</v>
      </c>
    </row>
    <row r="53">
      <c r="A53">
        <v>6</v>
      </c>
      <c r="B53">
        <v>36</v>
      </c>
      <c r="C53">
        <f>$I$13+B53</f>
        <v>39850</v>
      </c>
      <c r="E53">
        <f>IF($C$14*ReDiarioFert!C42&lt;=0,"0",$C$14*ReDiarioFert!C42)</f>
        <v>2.737369646634938</v>
      </c>
      <c r="G53">
        <f>$C$14*ReDiarioFert!E42</f>
        <v>3.3099286956521734</v>
      </c>
      <c r="I53">
        <f>$C$14*ReDiarioFert!G42</f>
        <v>6.497824666666666</v>
      </c>
      <c r="K53">
        <f>$C$14*ReDiarioFert!I42</f>
        <v>2.8914821460782507</v>
      </c>
      <c r="M53">
        <f>$C$14*ReDiarioFert!K42</f>
        <v>5.960094346586628</v>
      </c>
      <c r="O53">
        <f>$C$14*ReDiarioFert!M42</f>
        <v>84.54738975609757</v>
      </c>
      <c r="Q53">
        <f>$C$14*Main!$D$63</f>
        <v>20.019999999999996</v>
      </c>
      <c r="S53">
        <f>((E53/100)*$G$127+(G53/100)*$G$128+(I53/100)*$G$129+(K53/100)*$G$130+(M53/100)*$G$131+(O53)*$G$132+(Q53*$G$133))</f>
        <v>215.1420403493995</v>
      </c>
    </row>
    <row r="54">
      <c r="B54">
        <v>37</v>
      </c>
      <c r="C54">
        <f>$I$13+B54</f>
        <v>39851</v>
      </c>
      <c r="E54">
        <f>IF($C$14*ReDiarioFert!C43&lt;=0,"0",$C$14*ReDiarioFert!C43)</f>
        <v>2.737369646634938</v>
      </c>
      <c r="G54">
        <f>$C$14*ReDiarioFert!E43</f>
        <v>3.3099286956521734</v>
      </c>
      <c r="I54">
        <f>$C$14*ReDiarioFert!G43</f>
        <v>6.497824666666666</v>
      </c>
      <c r="K54">
        <f>$C$14*ReDiarioFert!I43</f>
        <v>2.8914821460782507</v>
      </c>
      <c r="M54">
        <f>$C$14*ReDiarioFert!K43</f>
        <v>5.960094346586628</v>
      </c>
      <c r="O54">
        <f>$C$14*ReDiarioFert!M43</f>
        <v>84.54738975609757</v>
      </c>
      <c r="S54">
        <f>((E54/100)*$G$127+(G54/100)*$G$128+(I54/100)*$G$129+(K54/100)*$G$130+(M54/100)*$G$131+(O54)*$G$132+(Q54*$G$133))</f>
        <v>159.08604034939952</v>
      </c>
    </row>
    <row r="55">
      <c r="B55">
        <v>38</v>
      </c>
      <c r="C55">
        <f>$I$13+B55</f>
        <v>39852</v>
      </c>
      <c r="E55">
        <f>IF($C$14*ReDiarioFert!C44&lt;=0,"0",$C$14*ReDiarioFert!C44)</f>
        <v>2.737369646634938</v>
      </c>
      <c r="G55">
        <f>$C$14*ReDiarioFert!E44</f>
        <v>3.3099286956521734</v>
      </c>
      <c r="I55">
        <f>$C$14*ReDiarioFert!G44</f>
        <v>6.497824666666666</v>
      </c>
      <c r="K55">
        <f>$C$14*ReDiarioFert!I44</f>
        <v>2.8914821460782507</v>
      </c>
      <c r="M55">
        <f>$C$14*ReDiarioFert!K44</f>
        <v>5.960094346586628</v>
      </c>
      <c r="O55">
        <f>$C$14*ReDiarioFert!M44</f>
        <v>84.54738975609757</v>
      </c>
      <c r="S55">
        <f>((E55/100)*$G$127+(G55/100)*$G$128+(I55/100)*$G$129+(K55/100)*$G$130+(M55/100)*$G$131+(O55)*$G$132+(Q55*$G$133))</f>
        <v>159.08604034939952</v>
      </c>
    </row>
    <row r="56">
      <c r="B56">
        <v>39</v>
      </c>
      <c r="C56">
        <f>$I$13+B56</f>
        <v>39853</v>
      </c>
      <c r="E56">
        <f>IF($C$14*ReDiarioFert!C45&lt;=0,"0",$C$14*ReDiarioFert!C45)</f>
        <v>2.737369646634938</v>
      </c>
      <c r="G56">
        <f>$C$14*ReDiarioFert!E45</f>
        <v>3.3099286956521734</v>
      </c>
      <c r="I56">
        <f>$C$14*ReDiarioFert!G45</f>
        <v>6.497824666666666</v>
      </c>
      <c r="K56">
        <f>$C$14*ReDiarioFert!I45</f>
        <v>2.8914821460782507</v>
      </c>
      <c r="M56">
        <f>$C$14*ReDiarioFert!K45</f>
        <v>5.960094346586628</v>
      </c>
      <c r="O56">
        <f>$C$14*ReDiarioFert!M45</f>
        <v>84.54738975609757</v>
      </c>
      <c r="S56">
        <f>((E56/100)*$G$127+(G56/100)*$G$128+(I56/100)*$G$129+(K56/100)*$G$130+(M56/100)*$G$131+(O56)*$G$132+(Q56*$G$133))</f>
        <v>159.08604034939952</v>
      </c>
    </row>
    <row r="57">
      <c r="B57">
        <v>40</v>
      </c>
      <c r="C57">
        <f>$I$13+B57</f>
        <v>39854</v>
      </c>
      <c r="E57">
        <f>IF($C$14*ReDiarioFert!C46&lt;=0,"0",$C$14*ReDiarioFert!C46)</f>
        <v>2.737369646634938</v>
      </c>
      <c r="G57">
        <f>$C$14*ReDiarioFert!E46</f>
        <v>3.3099286956521734</v>
      </c>
      <c r="I57">
        <f>$C$14*ReDiarioFert!G46</f>
        <v>6.497824666666666</v>
      </c>
      <c r="K57">
        <f>$C$14*ReDiarioFert!I46</f>
        <v>2.8914821460782507</v>
      </c>
      <c r="M57">
        <f>$C$14*ReDiarioFert!K46</f>
        <v>5.960094346586628</v>
      </c>
      <c r="O57">
        <f>$C$14*ReDiarioFert!M46</f>
        <v>84.54738975609757</v>
      </c>
      <c r="S57">
        <f>((E57/100)*$G$127+(G57/100)*$G$128+(I57/100)*$G$129+(K57/100)*$G$130+(M57/100)*$G$131+(O57)*$G$132+(Q57*$G$133))</f>
        <v>159.08604034939952</v>
      </c>
    </row>
    <row r="58">
      <c r="B58">
        <v>41</v>
      </c>
      <c r="C58">
        <f>$I$13+B58</f>
        <v>39855</v>
      </c>
      <c r="E58">
        <f>IF($C$14*ReDiarioFert!C47&lt;=0,"0",$C$14*ReDiarioFert!C47)</f>
        <v>2.737369646634938</v>
      </c>
      <c r="G58">
        <f>$C$14*ReDiarioFert!E47</f>
        <v>3.3099286956521734</v>
      </c>
      <c r="I58">
        <f>$C$14*ReDiarioFert!G47</f>
        <v>6.497824666666666</v>
      </c>
      <c r="K58">
        <f>$C$14*ReDiarioFert!I47</f>
        <v>2.8914821460782507</v>
      </c>
      <c r="M58">
        <f>$C$14*ReDiarioFert!K47</f>
        <v>5.960094346586628</v>
      </c>
      <c r="O58">
        <f>$C$14*ReDiarioFert!M47</f>
        <v>84.54738975609757</v>
      </c>
      <c r="S58">
        <f>((E58/100)*$G$127+(G58/100)*$G$128+(I58/100)*$G$129+(K58/100)*$G$130+(M58/100)*$G$131+(O58)*$G$132+(Q58*$G$133))</f>
        <v>159.08604034939952</v>
      </c>
    </row>
    <row r="59">
      <c r="B59">
        <v>42</v>
      </c>
      <c r="C59">
        <f>$I$13+B59</f>
        <v>39856</v>
      </c>
      <c r="E59">
        <f>IF($C$14*ReDiarioFert!C48&lt;=0,"0",$C$14*ReDiarioFert!C48)</f>
        <v>2.737369646634938</v>
      </c>
      <c r="G59">
        <f>$C$14*ReDiarioFert!E48</f>
        <v>3.3099286956521734</v>
      </c>
      <c r="I59">
        <f>$C$14*ReDiarioFert!G48</f>
        <v>6.497824666666666</v>
      </c>
      <c r="K59">
        <f>$C$14*ReDiarioFert!I48</f>
        <v>2.8914821460782507</v>
      </c>
      <c r="M59">
        <f>$C$14*ReDiarioFert!K48</f>
        <v>5.960094346586628</v>
      </c>
      <c r="O59">
        <f>$C$14*ReDiarioFert!M48</f>
        <v>84.54738975609757</v>
      </c>
      <c r="S59">
        <f>((E59/100)*$G$127+(G59/100)*$G$128+(I59/100)*$G$129+(K59/100)*$G$130+(M59/100)*$G$131+(O59)*$G$132+(Q59*$G$133))</f>
        <v>159.08604034939952</v>
      </c>
    </row>
    <row r="60">
      <c r="A60">
        <v>7</v>
      </c>
      <c r="B60">
        <v>43</v>
      </c>
      <c r="C60">
        <f>$I$13+B60</f>
        <v>39857</v>
      </c>
      <c r="E60">
        <f>IF($C$14*ReDiarioFert!C49&lt;=0,"0",$C$14*ReDiarioFert!C49)</f>
        <v>2.737369646634938</v>
      </c>
      <c r="G60">
        <f>$C$14*ReDiarioFert!E49</f>
        <v>3.3099286956521734</v>
      </c>
      <c r="I60">
        <f>$C$14*ReDiarioFert!G49</f>
        <v>6.497824666666666</v>
      </c>
      <c r="K60">
        <f>$C$14*ReDiarioFert!I49</f>
        <v>2.8914821460782507</v>
      </c>
      <c r="M60">
        <f>$C$14*ReDiarioFert!K49</f>
        <v>5.960094346586628</v>
      </c>
      <c r="O60">
        <f>$C$14*ReDiarioFert!M49</f>
        <v>84.54738975609757</v>
      </c>
      <c r="Q60">
        <f>$C$14*Main!$D$63</f>
        <v>20.019999999999996</v>
      </c>
      <c r="S60">
        <f>((E60/100)*$G$127+(G60/100)*$G$128+(I60/100)*$G$129+(K60/100)*$G$130+(M60/100)*$G$131+(O60)*$G$132+(Q60*$G$133))</f>
        <v>215.1420403493995</v>
      </c>
    </row>
    <row r="61">
      <c r="B61">
        <v>44</v>
      </c>
      <c r="C61">
        <f>$I$13+B61</f>
        <v>39858</v>
      </c>
      <c r="E61">
        <f>IF($C$14*ReDiarioFert!C50&lt;=0,"0",$C$14*ReDiarioFert!C50)</f>
        <v>2.737369646634938</v>
      </c>
      <c r="G61">
        <f>$C$14*ReDiarioFert!E50</f>
        <v>3.3099286956521734</v>
      </c>
      <c r="I61">
        <f>$C$14*ReDiarioFert!G50</f>
        <v>6.497824666666666</v>
      </c>
      <c r="K61">
        <f>$C$14*ReDiarioFert!I50</f>
        <v>2.8914821460782507</v>
      </c>
      <c r="M61">
        <f>$C$14*ReDiarioFert!K50</f>
        <v>5.960094346586628</v>
      </c>
      <c r="O61">
        <f>$C$14*ReDiarioFert!M50</f>
        <v>84.54738975609757</v>
      </c>
      <c r="S61">
        <f>((E61/100)*$G$127+(G61/100)*$G$128+(I61/100)*$G$129+(K61/100)*$G$130+(M61/100)*$G$131+(O61)*$G$132+(Q61*$G$133))</f>
        <v>159.08604034939952</v>
      </c>
    </row>
    <row r="62">
      <c r="B62">
        <v>45</v>
      </c>
      <c r="C62">
        <f>$I$13+B62</f>
        <v>39859</v>
      </c>
      <c r="E62">
        <f>IF($C$14*ReDiarioFert!C51&lt;=0,"0",$C$14*ReDiarioFert!C51)</f>
        <v>2.737369646634938</v>
      </c>
      <c r="G62">
        <f>$C$14*ReDiarioFert!E51</f>
        <v>3.3099286956521734</v>
      </c>
      <c r="I62">
        <f>$C$14*ReDiarioFert!G51</f>
        <v>6.497824666666666</v>
      </c>
      <c r="K62">
        <f>$C$14*ReDiarioFert!I51</f>
        <v>2.8914821460782507</v>
      </c>
      <c r="M62">
        <f>$C$14*ReDiarioFert!K51</f>
        <v>5.960094346586628</v>
      </c>
      <c r="O62">
        <f>$C$14*ReDiarioFert!M51</f>
        <v>84.54738975609757</v>
      </c>
      <c r="S62">
        <f>((E62/100)*$G$127+(G62/100)*$G$128+(I62/100)*$G$129+(K62/100)*$G$130+(M62/100)*$G$131+(O62)*$G$132+(Q62*$G$133))</f>
        <v>159.08604034939952</v>
      </c>
    </row>
    <row r="63">
      <c r="B63">
        <v>46</v>
      </c>
      <c r="C63">
        <f>$I$13+B63</f>
        <v>39860</v>
      </c>
      <c r="E63">
        <f>IF($C$14*ReDiarioFert!C52&lt;=0,"0",$C$14*ReDiarioFert!C52)</f>
        <v>2.737369646634938</v>
      </c>
      <c r="G63">
        <f>$C$14*ReDiarioFert!E52</f>
        <v>3.3099286956521734</v>
      </c>
      <c r="I63">
        <f>$C$14*ReDiarioFert!G52</f>
        <v>6.497824666666666</v>
      </c>
      <c r="K63">
        <f>$C$14*ReDiarioFert!I52</f>
        <v>2.8914821460782507</v>
      </c>
      <c r="M63">
        <f>$C$14*ReDiarioFert!K52</f>
        <v>5.960094346586628</v>
      </c>
      <c r="O63">
        <f>$C$14*ReDiarioFert!M52</f>
        <v>84.54738975609757</v>
      </c>
      <c r="S63">
        <f>((E63/100)*$G$127+(G63/100)*$G$128+(I63/100)*$G$129+(K63/100)*$G$130+(M63/100)*$G$131+(O63)*$G$132+(Q63*$G$133))</f>
        <v>159.08604034939952</v>
      </c>
    </row>
    <row r="64">
      <c r="B64">
        <v>47</v>
      </c>
      <c r="C64">
        <f>$I$13+B64</f>
        <v>39861</v>
      </c>
      <c r="E64">
        <f>IF($C$14*ReDiarioFert!C53&lt;=0,"0",$C$14*ReDiarioFert!C53)</f>
        <v>2.737369646634938</v>
      </c>
      <c r="G64">
        <f>$C$14*ReDiarioFert!E53</f>
        <v>3.3099286956521734</v>
      </c>
      <c r="I64">
        <f>$C$14*ReDiarioFert!G53</f>
        <v>6.497824666666666</v>
      </c>
      <c r="K64">
        <f>$C$14*ReDiarioFert!I53</f>
        <v>2.8914821460782507</v>
      </c>
      <c r="M64">
        <f>$C$14*ReDiarioFert!K53</f>
        <v>5.960094346586628</v>
      </c>
      <c r="O64">
        <f>$C$14*ReDiarioFert!M53</f>
        <v>84.54738975609757</v>
      </c>
      <c r="S64">
        <f>((E64/100)*$G$127+(G64/100)*$G$128+(I64/100)*$G$129+(K64/100)*$G$130+(M64/100)*$G$131+(O64)*$G$132+(Q64*$G$133))</f>
        <v>159.08604034939952</v>
      </c>
    </row>
    <row r="65">
      <c r="B65">
        <v>48</v>
      </c>
      <c r="C65">
        <f>$I$13+B65</f>
        <v>39862</v>
      </c>
      <c r="E65">
        <f>IF($C$14*ReDiarioFert!C54&lt;=0,"0",$C$14*ReDiarioFert!C54)</f>
        <v>3.6498261955132505</v>
      </c>
      <c r="G65">
        <f>$C$14*ReDiarioFert!E54</f>
        <v>4.413238260869565</v>
      </c>
      <c r="I65">
        <f>$C$14*ReDiarioFert!G54</f>
        <v>8.663766222222224</v>
      </c>
      <c r="K65">
        <f>$C$14*ReDiarioFert!I54</f>
        <v>3.8553095281043337</v>
      </c>
      <c r="M65">
        <f>$C$14*ReDiarioFert!K54</f>
        <v>7.946792462115503</v>
      </c>
      <c r="O65">
        <f>$C$14*ReDiarioFert!M54</f>
        <v>114.387443902439</v>
      </c>
      <c r="S65">
        <f>((E65/100)*$G$127+(G65/100)*$G$128+(I65/100)*$G$129+(K65/100)*$G$130+(M65/100)*$G$131+(O65)*$G$132+(Q65*$G$133))</f>
        <v>212.18102410163834</v>
      </c>
    </row>
    <row r="66">
      <c r="B66">
        <v>49</v>
      </c>
      <c r="C66">
        <f>$I$13+B66</f>
        <v>39863</v>
      </c>
      <c r="E66">
        <f>IF($C$14*ReDiarioFert!C55&lt;=0,"0",$C$14*ReDiarioFert!C55)</f>
        <v>3.6498261955132505</v>
      </c>
      <c r="G66">
        <f>$C$14*ReDiarioFert!E55</f>
        <v>4.413238260869565</v>
      </c>
      <c r="I66">
        <f>$C$14*ReDiarioFert!G55</f>
        <v>8.663766222222224</v>
      </c>
      <c r="K66">
        <f>$C$14*ReDiarioFert!I55</f>
        <v>3.8553095281043337</v>
      </c>
      <c r="M66">
        <f>$C$14*ReDiarioFert!K55</f>
        <v>7.946792462115503</v>
      </c>
      <c r="O66">
        <f>$C$14*ReDiarioFert!M55</f>
        <v>114.387443902439</v>
      </c>
      <c r="S66">
        <f>((E66/100)*$G$127+(G66/100)*$G$128+(I66/100)*$G$129+(K66/100)*$G$130+(M66/100)*$G$131+(O66)*$G$132+(Q66*$G$133))</f>
        <v>212.18102410163834</v>
      </c>
    </row>
    <row r="67">
      <c r="A67">
        <v>8</v>
      </c>
      <c r="B67">
        <v>50</v>
      </c>
      <c r="C67">
        <f>$I$13+B67</f>
        <v>39864</v>
      </c>
      <c r="E67">
        <f>IF($C$14*ReDiarioFert!C56&lt;=0,"0",$C$14*ReDiarioFert!C56)</f>
        <v>3.6498261955132505</v>
      </c>
      <c r="G67">
        <f>$C$14*ReDiarioFert!E56</f>
        <v>4.413238260869565</v>
      </c>
      <c r="I67">
        <f>$C$14*ReDiarioFert!G56</f>
        <v>8.663766222222224</v>
      </c>
      <c r="K67">
        <f>$C$14*ReDiarioFert!I56</f>
        <v>3.8553095281043337</v>
      </c>
      <c r="M67">
        <f>$C$14*ReDiarioFert!K56</f>
        <v>7.946792462115503</v>
      </c>
      <c r="O67">
        <f>$C$14*ReDiarioFert!M56</f>
        <v>114.387443902439</v>
      </c>
      <c r="Q67">
        <f>$C$14*Main!$D$63</f>
        <v>20.019999999999996</v>
      </c>
      <c r="S67">
        <f>((E67/100)*$G$127+(G67/100)*$G$128+(I67/100)*$G$129+(K67/100)*$G$130+(M67/100)*$G$131+(O67)*$G$132+(Q67*$G$133))</f>
        <v>268.2370241016383</v>
      </c>
    </row>
    <row r="68">
      <c r="B68">
        <v>51</v>
      </c>
      <c r="C68">
        <f>$I$13+B68</f>
        <v>39865</v>
      </c>
      <c r="E68">
        <f>IF($C$14*ReDiarioFert!C57&lt;=0,"0",$C$14*ReDiarioFert!C57)</f>
        <v>3.6498261955132505</v>
      </c>
      <c r="G68">
        <f>$C$14*ReDiarioFert!E57</f>
        <v>4.413238260869565</v>
      </c>
      <c r="I68">
        <f>$C$14*ReDiarioFert!G57</f>
        <v>8.663766222222224</v>
      </c>
      <c r="K68">
        <f>$C$14*ReDiarioFert!I57</f>
        <v>3.8553095281043337</v>
      </c>
      <c r="M68">
        <f>$C$14*ReDiarioFert!K57</f>
        <v>7.946792462115503</v>
      </c>
      <c r="O68">
        <f>$C$14*ReDiarioFert!M57</f>
        <v>114.387443902439</v>
      </c>
      <c r="S68">
        <f>((E68/100)*$G$127+(G68/100)*$G$128+(I68/100)*$G$129+(K68/100)*$G$130+(M68/100)*$G$131+(O68)*$G$132+(Q68*$G$133))</f>
        <v>212.18102410163834</v>
      </c>
    </row>
    <row r="69">
      <c r="B69">
        <v>52</v>
      </c>
      <c r="C69">
        <f>$I$13+B69</f>
        <v>39866</v>
      </c>
      <c r="E69">
        <f>IF($C$14*ReDiarioFert!C58&lt;=0,"0",$C$14*ReDiarioFert!C58)</f>
        <v>3.6498261955132505</v>
      </c>
      <c r="G69">
        <f>$C$14*ReDiarioFert!E58</f>
        <v>4.413238260869565</v>
      </c>
      <c r="I69">
        <f>$C$14*ReDiarioFert!G58</f>
        <v>8.663766222222224</v>
      </c>
      <c r="K69">
        <f>$C$14*ReDiarioFert!I58</f>
        <v>3.8553095281043337</v>
      </c>
      <c r="M69">
        <f>$C$14*ReDiarioFert!K58</f>
        <v>7.946792462115503</v>
      </c>
      <c r="O69">
        <f>$C$14*ReDiarioFert!M58</f>
        <v>114.387443902439</v>
      </c>
      <c r="S69">
        <f>((E69/100)*$G$127+(G69/100)*$G$128+(I69/100)*$G$129+(K69/100)*$G$130+(M69/100)*$G$131+(O69)*$G$132+(Q69*$G$133))</f>
        <v>212.18102410163834</v>
      </c>
    </row>
    <row r="70">
      <c r="B70">
        <v>53</v>
      </c>
      <c r="C70">
        <f>$I$13+B70</f>
        <v>39867</v>
      </c>
      <c r="E70">
        <f>IF($C$14*ReDiarioFert!C59&lt;=0,"0",$C$14*ReDiarioFert!C59)</f>
        <v>3.6498261955132505</v>
      </c>
      <c r="G70">
        <f>$C$14*ReDiarioFert!E59</f>
        <v>4.413238260869565</v>
      </c>
      <c r="I70">
        <f>$C$14*ReDiarioFert!G59</f>
        <v>8.663766222222224</v>
      </c>
      <c r="K70">
        <f>$C$14*ReDiarioFert!I59</f>
        <v>3.8553095281043337</v>
      </c>
      <c r="M70">
        <f>$C$14*ReDiarioFert!K59</f>
        <v>7.946792462115503</v>
      </c>
      <c r="O70">
        <f>$C$14*ReDiarioFert!M59</f>
        <v>114.387443902439</v>
      </c>
      <c r="S70">
        <f>((E70/100)*$G$127+(G70/100)*$G$128+(I70/100)*$G$129+(K70/100)*$G$130+(M70/100)*$G$131+(O70)*$G$132+(Q70*$G$133))</f>
        <v>212.18102410163834</v>
      </c>
    </row>
    <row r="71">
      <c r="B71">
        <v>54</v>
      </c>
      <c r="C71">
        <f>$I$13+B71</f>
        <v>39868</v>
      </c>
      <c r="E71">
        <f>IF($C$14*ReDiarioFert!C60&lt;=0,"0",$C$14*ReDiarioFert!C60)</f>
        <v>3.6498261955132505</v>
      </c>
      <c r="G71">
        <f>$C$14*ReDiarioFert!E60</f>
        <v>4.413238260869565</v>
      </c>
      <c r="I71">
        <f>$C$14*ReDiarioFert!G60</f>
        <v>8.663766222222224</v>
      </c>
      <c r="K71">
        <f>$C$14*ReDiarioFert!I60</f>
        <v>3.8553095281043337</v>
      </c>
      <c r="M71">
        <f>$C$14*ReDiarioFert!K60</f>
        <v>7.946792462115503</v>
      </c>
      <c r="O71">
        <f>$C$14*ReDiarioFert!M60</f>
        <v>114.387443902439</v>
      </c>
      <c r="S71">
        <f>((E71/100)*$G$127+(G71/100)*$G$128+(I71/100)*$G$129+(K71/100)*$G$130+(M71/100)*$G$131+(O71)*$G$132+(Q71*$G$133))</f>
        <v>212.18102410163834</v>
      </c>
    </row>
    <row r="72">
      <c r="B72">
        <v>55</v>
      </c>
      <c r="C72">
        <f>$I$13+B72</f>
        <v>39869</v>
      </c>
      <c r="E72">
        <f>IF($C$14*ReDiarioFert!C61&lt;=0,"0",$C$14*ReDiarioFert!C61)</f>
        <v>3.6498261955132505</v>
      </c>
      <c r="G72">
        <f>$C$14*ReDiarioFert!E61</f>
        <v>4.413238260869565</v>
      </c>
      <c r="I72">
        <f>$C$14*ReDiarioFert!G61</f>
        <v>8.663766222222224</v>
      </c>
      <c r="K72">
        <f>$C$14*ReDiarioFert!I61</f>
        <v>3.8553095281043337</v>
      </c>
      <c r="M72">
        <f>$C$14*ReDiarioFert!K61</f>
        <v>7.946792462115503</v>
      </c>
      <c r="O72">
        <f>$C$14*ReDiarioFert!M61</f>
        <v>114.387443902439</v>
      </c>
      <c r="S72">
        <f>((E72/100)*$G$127+(G72/100)*$G$128+(I72/100)*$G$129+(K72/100)*$G$130+(M72/100)*$G$131+(O72)*$G$132+(Q72*$G$133))</f>
        <v>212.18102410163834</v>
      </c>
    </row>
    <row r="73">
      <c r="B73">
        <v>56</v>
      </c>
      <c r="C73">
        <f>$I$13+B73</f>
        <v>39870</v>
      </c>
      <c r="E73">
        <f>IF($C$14*ReDiarioFert!C62&lt;=0,"0",$C$14*ReDiarioFert!C62)</f>
        <v>3.6498261955132505</v>
      </c>
      <c r="G73">
        <f>$C$14*ReDiarioFert!E62</f>
        <v>4.413238260869565</v>
      </c>
      <c r="I73">
        <f>$C$14*ReDiarioFert!G62</f>
        <v>8.663766222222224</v>
      </c>
      <c r="K73">
        <f>$C$14*ReDiarioFert!I62</f>
        <v>3.8553095281043337</v>
      </c>
      <c r="M73">
        <f>$C$14*ReDiarioFert!K62</f>
        <v>7.946792462115503</v>
      </c>
      <c r="O73">
        <f>$C$14*ReDiarioFert!M62</f>
        <v>114.387443902439</v>
      </c>
      <c r="S73">
        <f>((E73/100)*$G$127+(G73/100)*$G$128+(I73/100)*$G$129+(K73/100)*$G$130+(M73/100)*$G$131+(O73)*$G$132+(Q73*$G$133))</f>
        <v>212.18102410163834</v>
      </c>
    </row>
    <row r="74">
      <c r="A74">
        <v>9</v>
      </c>
      <c r="B74">
        <v>57</v>
      </c>
      <c r="C74">
        <f>$I$13+B74</f>
        <v>39871</v>
      </c>
      <c r="E74">
        <f>IF($C$14*ReDiarioFert!C63&lt;=0,"0",$C$14*ReDiarioFert!C63)</f>
        <v>3.6498261955132505</v>
      </c>
      <c r="G74">
        <f>$C$14*ReDiarioFert!E63</f>
        <v>4.413238260869565</v>
      </c>
      <c r="I74">
        <f>$C$14*ReDiarioFert!G63</f>
        <v>8.663766222222224</v>
      </c>
      <c r="K74">
        <f>$C$14*ReDiarioFert!I63</f>
        <v>3.8553095281043337</v>
      </c>
      <c r="M74">
        <f>$C$14*ReDiarioFert!K63</f>
        <v>7.946792462115503</v>
      </c>
      <c r="O74">
        <f>$C$14*ReDiarioFert!M63</f>
        <v>114.387443902439</v>
      </c>
      <c r="Q74">
        <f>$C$14*Main!$D$63</f>
        <v>20.019999999999996</v>
      </c>
      <c r="S74">
        <f>((E74/100)*$G$127+(G74/100)*$G$128+(I74/100)*$G$129+(K74/100)*$G$130+(M74/100)*$G$131+(O74)*$G$132+(Q74*$G$133))</f>
        <v>268.2370241016383</v>
      </c>
    </row>
    <row r="75">
      <c r="B75">
        <v>58</v>
      </c>
      <c r="C75">
        <f>$I$13+B75</f>
        <v>39872</v>
      </c>
      <c r="E75">
        <f>IF($C$14*ReDiarioFert!C64&lt;=0,"0",$C$14*ReDiarioFert!C64)</f>
        <v>3.6498261955132505</v>
      </c>
      <c r="G75">
        <f>$C$14*ReDiarioFert!E64</f>
        <v>4.413238260869565</v>
      </c>
      <c r="I75">
        <f>$C$14*ReDiarioFert!G64</f>
        <v>8.663766222222224</v>
      </c>
      <c r="K75">
        <f>$C$14*ReDiarioFert!I64</f>
        <v>3.8553095281043337</v>
      </c>
      <c r="M75">
        <f>$C$14*ReDiarioFert!K64</f>
        <v>7.946792462115503</v>
      </c>
      <c r="O75">
        <f>$C$14*ReDiarioFert!M64</f>
        <v>114.387443902439</v>
      </c>
      <c r="S75">
        <f>((E75/100)*$G$127+(G75/100)*$G$128+(I75/100)*$G$129+(K75/100)*$G$130+(M75/100)*$G$131+(O75)*$G$132+(Q75*$G$133))</f>
        <v>212.18102410163834</v>
      </c>
    </row>
    <row r="76">
      <c r="B76">
        <v>59</v>
      </c>
      <c r="C76">
        <f>$I$13+B76</f>
        <v>39873</v>
      </c>
      <c r="E76">
        <f>IF($C$14*ReDiarioFert!C65&lt;=0,"0",$C$14*ReDiarioFert!C65)</f>
        <v>3.6498261955132505</v>
      </c>
      <c r="G76">
        <f>$C$14*ReDiarioFert!E65</f>
        <v>4.413238260869565</v>
      </c>
      <c r="I76">
        <f>$C$14*ReDiarioFert!G65</f>
        <v>8.663766222222224</v>
      </c>
      <c r="K76">
        <f>$C$14*ReDiarioFert!I65</f>
        <v>3.8553095281043337</v>
      </c>
      <c r="M76">
        <f>$C$14*ReDiarioFert!K65</f>
        <v>7.946792462115503</v>
      </c>
      <c r="O76">
        <f>$C$14*ReDiarioFert!M65</f>
        <v>114.387443902439</v>
      </c>
      <c r="S76">
        <f>((E76/100)*$G$127+(G76/100)*$G$128+(I76/100)*$G$129+(K76/100)*$G$130+(M76/100)*$G$131+(O76)*$G$132+(Q76*$G$133))</f>
        <v>212.18102410163834</v>
      </c>
    </row>
    <row r="77">
      <c r="B77">
        <v>60</v>
      </c>
      <c r="C77">
        <f>$I$13+B77</f>
        <v>39874</v>
      </c>
      <c r="E77">
        <f>IF($C$14*ReDiarioFert!C66&lt;=0,"0",$C$14*ReDiarioFert!C66)</f>
        <v>3.6498261955132505</v>
      </c>
      <c r="G77">
        <f>$C$14*ReDiarioFert!E66</f>
        <v>4.413238260869565</v>
      </c>
      <c r="I77">
        <f>$C$14*ReDiarioFert!G66</f>
        <v>8.663766222222224</v>
      </c>
      <c r="K77">
        <f>$C$14*ReDiarioFert!I66</f>
        <v>3.8553095281043337</v>
      </c>
      <c r="M77">
        <f>$C$14*ReDiarioFert!K66</f>
        <v>7.946792462115503</v>
      </c>
      <c r="O77">
        <f>$C$14*ReDiarioFert!M66</f>
        <v>114.387443902439</v>
      </c>
      <c r="S77">
        <f>((E77/100)*$G$127+(G77/100)*$G$128+(I77/100)*$G$129+(K77/100)*$G$130+(M77/100)*$G$131+(O77)*$G$132+(Q77*$G$133))</f>
        <v>212.18102410163834</v>
      </c>
    </row>
    <row r="78">
      <c r="B78">
        <v>61</v>
      </c>
      <c r="C78">
        <f>$I$13+B78</f>
        <v>39875</v>
      </c>
      <c r="E78">
        <f>IF($C$14*ReDiarioFert!C67&lt;=0,"0",$C$14*ReDiarioFert!C67)</f>
        <v>3.6498261955132505</v>
      </c>
      <c r="G78">
        <f>$C$14*ReDiarioFert!E67</f>
        <v>4.413238260869565</v>
      </c>
      <c r="I78">
        <f>$C$14*ReDiarioFert!G67</f>
        <v>8.663766222222224</v>
      </c>
      <c r="K78">
        <f>$C$14*ReDiarioFert!I67</f>
        <v>3.8553095281043337</v>
      </c>
      <c r="M78">
        <f>$C$14*ReDiarioFert!K67</f>
        <v>7.946792462115503</v>
      </c>
      <c r="O78">
        <f>$C$14*ReDiarioFert!M67</f>
        <v>114.387443902439</v>
      </c>
      <c r="S78">
        <f>((E78/100)*$G$127+(G78/100)*$G$128+(I78/100)*$G$129+(K78/100)*$G$130+(M78/100)*$G$131+(O78)*$G$132+(Q78*$G$133))</f>
        <v>212.18102410163834</v>
      </c>
    </row>
    <row r="79">
      <c r="B79">
        <v>62</v>
      </c>
      <c r="C79">
        <f>$I$13+B79</f>
        <v>39876</v>
      </c>
      <c r="E79">
        <f>IF($C$14*ReDiarioFert!C68&lt;=0,"0",$C$14*ReDiarioFert!C68)</f>
        <v>3.6498261955132505</v>
      </c>
      <c r="G79">
        <f>$C$14*ReDiarioFert!E68</f>
        <v>4.413238260869565</v>
      </c>
      <c r="I79">
        <f>$C$14*ReDiarioFert!G68</f>
        <v>8.663766222222224</v>
      </c>
      <c r="K79">
        <f>$C$14*ReDiarioFert!I68</f>
        <v>3.8553095281043337</v>
      </c>
      <c r="M79">
        <f>$C$14*ReDiarioFert!K68</f>
        <v>7.946792462115503</v>
      </c>
      <c r="O79">
        <f>$C$14*ReDiarioFert!M68</f>
        <v>114.387443902439</v>
      </c>
      <c r="S79">
        <f>((E79/100)*$G$127+(G79/100)*$G$128+(I79/100)*$G$129+(K79/100)*$G$130+(M79/100)*$G$131+(O79)*$G$132+(Q79*$G$133))</f>
        <v>212.18102410163834</v>
      </c>
    </row>
    <row r="80">
      <c r="B80">
        <v>63</v>
      </c>
      <c r="C80">
        <f>$I$13+B80</f>
        <v>39877</v>
      </c>
      <c r="E80">
        <f>IF($C$14*ReDiarioFert!C69&lt;=0,"0",$C$14*ReDiarioFert!C69)</f>
        <v>4.562282744391561</v>
      </c>
      <c r="G80">
        <f>$C$14*ReDiarioFert!E69</f>
        <v>5.5165478260869545</v>
      </c>
      <c r="I80">
        <f>$C$14*ReDiarioFert!G69</f>
        <v>10.829707777777779</v>
      </c>
      <c r="K80">
        <f>$C$14*ReDiarioFert!I69</f>
        <v>4.819136910130418</v>
      </c>
      <c r="M80">
        <f>$C$14*ReDiarioFert!K69</f>
        <v>9.933490577644381</v>
      </c>
      <c r="O80">
        <f>$C$14*ReDiarioFert!M69</f>
        <v>144.2279863414634</v>
      </c>
      <c r="S80">
        <f>((E80/100)*$G$127+(G80/100)*$G$128+(I80/100)*$G$129+(K80/100)*$G$130+(M80/100)*$G$131+(O80)*$G$132+(Q80*$G$133))</f>
        <v>265.27602738558454</v>
      </c>
    </row>
    <row r="81">
      <c r="A81">
        <v>10</v>
      </c>
      <c r="B81">
        <v>64</v>
      </c>
      <c r="C81">
        <f>$I$13+B81</f>
        <v>39878</v>
      </c>
      <c r="E81">
        <f>IF($C$14*ReDiarioFert!C70&lt;=0,"0",$C$14*ReDiarioFert!C70)</f>
        <v>4.562282744391561</v>
      </c>
      <c r="G81">
        <f>$C$14*ReDiarioFert!E70</f>
        <v>5.5165478260869545</v>
      </c>
      <c r="I81">
        <f>$C$14*ReDiarioFert!G70</f>
        <v>10.829707777777779</v>
      </c>
      <c r="K81">
        <f>$C$14*ReDiarioFert!I70</f>
        <v>4.819136910130418</v>
      </c>
      <c r="M81">
        <f>$C$14*ReDiarioFert!K70</f>
        <v>9.933490577644381</v>
      </c>
      <c r="O81">
        <f>$C$14*ReDiarioFert!M70</f>
        <v>144.2279863414634</v>
      </c>
      <c r="Q81">
        <f>$C$14*Main!$D$63</f>
        <v>20.019999999999996</v>
      </c>
      <c r="S81">
        <f>((E81/100)*$G$127+(G81/100)*$G$128+(I81/100)*$G$129+(K81/100)*$G$130+(M81/100)*$G$131+(O81)*$G$132+(Q81*$G$133))</f>
        <v>321.3320273855845</v>
      </c>
    </row>
    <row r="82">
      <c r="B82">
        <v>65</v>
      </c>
      <c r="C82">
        <f>$I$13+B82</f>
        <v>39879</v>
      </c>
      <c r="E82">
        <f>IF($C$14*ReDiarioFert!C71&lt;=0,"0",$C$14*ReDiarioFert!C71)</f>
        <v>4.562282744391561</v>
      </c>
      <c r="G82">
        <f>$C$14*ReDiarioFert!E71</f>
        <v>5.5165478260869545</v>
      </c>
      <c r="I82">
        <f>$C$14*ReDiarioFert!G71</f>
        <v>10.829707777777779</v>
      </c>
      <c r="K82">
        <f>$C$14*ReDiarioFert!I71</f>
        <v>4.819136910130418</v>
      </c>
      <c r="M82">
        <f>$C$14*ReDiarioFert!K71</f>
        <v>9.933490577644381</v>
      </c>
      <c r="O82">
        <f>$C$14*ReDiarioFert!M71</f>
        <v>144.2279863414634</v>
      </c>
      <c r="S82">
        <f>((E82/100)*$G$127+(G82/100)*$G$128+(I82/100)*$G$129+(K82/100)*$G$130+(M82/100)*$G$131+(O82)*$G$132+(Q82*$G$133))</f>
        <v>265.27602738558454</v>
      </c>
    </row>
    <row r="83">
      <c r="B83">
        <v>66</v>
      </c>
      <c r="C83">
        <f>$I$13+B83</f>
        <v>39880</v>
      </c>
      <c r="E83">
        <f>IF($C$14*ReDiarioFert!C72&lt;=0,"0",$C$14*ReDiarioFert!C72)</f>
        <v>4.562282744391561</v>
      </c>
      <c r="G83">
        <f>$C$14*ReDiarioFert!E72</f>
        <v>5.5165478260869545</v>
      </c>
      <c r="I83">
        <f>$C$14*ReDiarioFert!G72</f>
        <v>10.829707777777779</v>
      </c>
      <c r="K83">
        <f>$C$14*ReDiarioFert!I72</f>
        <v>4.819136910130418</v>
      </c>
      <c r="M83">
        <f>$C$14*ReDiarioFert!K72</f>
        <v>9.933490577644381</v>
      </c>
      <c r="O83">
        <f>$C$14*ReDiarioFert!M72</f>
        <v>144.2279863414634</v>
      </c>
      <c r="S83">
        <f>((E83/100)*$G$127+(G83/100)*$G$128+(I83/100)*$G$129+(K83/100)*$G$130+(M83/100)*$G$131+(O83)*$G$132+(Q83*$G$133))</f>
        <v>265.27602738558454</v>
      </c>
    </row>
    <row r="84">
      <c r="B84">
        <v>67</v>
      </c>
      <c r="C84">
        <f>$I$13+B84</f>
        <v>39881</v>
      </c>
      <c r="E84">
        <f>IF($C$14*ReDiarioFert!C73&lt;=0,"0",$C$14*ReDiarioFert!C73)</f>
        <v>4.562282744391561</v>
      </c>
      <c r="G84">
        <f>$C$14*ReDiarioFert!E73</f>
        <v>5.5165478260869545</v>
      </c>
      <c r="I84">
        <f>$C$14*ReDiarioFert!G73</f>
        <v>10.829707777777779</v>
      </c>
      <c r="K84">
        <f>$C$14*ReDiarioFert!I73</f>
        <v>4.819136910130418</v>
      </c>
      <c r="M84">
        <f>$C$14*ReDiarioFert!K73</f>
        <v>9.933490577644381</v>
      </c>
      <c r="O84">
        <f>$C$14*ReDiarioFert!M73</f>
        <v>144.2279863414634</v>
      </c>
      <c r="S84">
        <f>((E84/100)*$G$127+(G84/100)*$G$128+(I84/100)*$G$129+(K84/100)*$G$130+(M84/100)*$G$131+(O84)*$G$132+(Q84*$G$133))</f>
        <v>265.27602738558454</v>
      </c>
    </row>
    <row r="85">
      <c r="B85">
        <v>68</v>
      </c>
      <c r="C85">
        <f>$I$13+B85</f>
        <v>39882</v>
      </c>
      <c r="E85">
        <f>IF($C$14*ReDiarioFert!C74&lt;=0,"0",$C$14*ReDiarioFert!C74)</f>
        <v>4.562282744391561</v>
      </c>
      <c r="G85">
        <f>$C$14*ReDiarioFert!E74</f>
        <v>5.5165478260869545</v>
      </c>
      <c r="I85">
        <f>$C$14*ReDiarioFert!G74</f>
        <v>10.829707777777779</v>
      </c>
      <c r="K85">
        <f>$C$14*ReDiarioFert!I74</f>
        <v>4.819136910130418</v>
      </c>
      <c r="M85">
        <f>$C$14*ReDiarioFert!K74</f>
        <v>9.933490577644381</v>
      </c>
      <c r="O85">
        <f>$C$14*ReDiarioFert!M74</f>
        <v>144.2279863414634</v>
      </c>
      <c r="S85">
        <f>((E85/100)*$G$127+(G85/100)*$G$128+(I85/100)*$G$129+(K85/100)*$G$130+(M85/100)*$G$131+(O85)*$G$132+(Q85*$G$133))</f>
        <v>265.27602738558454</v>
      </c>
    </row>
    <row r="86">
      <c r="B86">
        <v>69</v>
      </c>
      <c r="C86">
        <f>$I$13+B86</f>
        <v>39883</v>
      </c>
      <c r="E86">
        <f>IF($C$14*ReDiarioFert!C75&lt;=0,"0",$C$14*ReDiarioFert!C75)</f>
        <v>4.562282744391561</v>
      </c>
      <c r="G86">
        <f>$C$14*ReDiarioFert!E75</f>
        <v>5.5165478260869545</v>
      </c>
      <c r="I86">
        <f>$C$14*ReDiarioFert!G75</f>
        <v>10.829707777777779</v>
      </c>
      <c r="K86">
        <f>$C$14*ReDiarioFert!I75</f>
        <v>4.819136910130418</v>
      </c>
      <c r="M86">
        <f>$C$14*ReDiarioFert!K75</f>
        <v>9.933490577644381</v>
      </c>
      <c r="O86">
        <f>$C$14*ReDiarioFert!M75</f>
        <v>144.2279863414634</v>
      </c>
      <c r="S86">
        <f>((E86/100)*$G$127+(G86/100)*$G$128+(I86/100)*$G$129+(K86/100)*$G$130+(M86/100)*$G$131+(O86)*$G$132+(Q86*$G$133))</f>
        <v>265.27602738558454</v>
      </c>
    </row>
    <row r="87">
      <c r="B87">
        <v>70</v>
      </c>
      <c r="C87">
        <f>$I$13+B87</f>
        <v>39884</v>
      </c>
      <c r="E87">
        <f>IF($C$14*ReDiarioFert!C76&lt;=0,"0",$C$14*ReDiarioFert!C76)</f>
        <v>4.562282744391561</v>
      </c>
      <c r="G87">
        <f>$C$14*ReDiarioFert!E76</f>
        <v>5.5165478260869545</v>
      </c>
      <c r="I87">
        <f>$C$14*ReDiarioFert!G76</f>
        <v>10.829707777777779</v>
      </c>
      <c r="K87">
        <f>$C$14*ReDiarioFert!I76</f>
        <v>4.819136910130418</v>
      </c>
      <c r="M87">
        <f>$C$14*ReDiarioFert!K76</f>
        <v>9.933490577644381</v>
      </c>
      <c r="O87">
        <f>$C$14*ReDiarioFert!M76</f>
        <v>144.2279863414634</v>
      </c>
      <c r="S87">
        <f>((E87/100)*$G$127+(G87/100)*$G$128+(I87/100)*$G$129+(K87/100)*$G$130+(M87/100)*$G$131+(O87)*$G$132+(Q87*$G$133))</f>
        <v>265.27602738558454</v>
      </c>
    </row>
    <row r="88">
      <c r="A88">
        <v>11</v>
      </c>
      <c r="B88">
        <v>71</v>
      </c>
      <c r="C88">
        <f>$I$13+B88</f>
        <v>39885</v>
      </c>
      <c r="E88">
        <f>IF($C$14*ReDiarioFert!C77&lt;=0,"0",$C$14*ReDiarioFert!C77)</f>
        <v>4.562282744391561</v>
      </c>
      <c r="G88">
        <f>$C$14*ReDiarioFert!E77</f>
        <v>5.5165478260869545</v>
      </c>
      <c r="I88">
        <f>$C$14*ReDiarioFert!G77</f>
        <v>10.829707777777779</v>
      </c>
      <c r="K88">
        <f>$C$14*ReDiarioFert!I77</f>
        <v>4.819136910130418</v>
      </c>
      <c r="M88">
        <f>$C$14*ReDiarioFert!K77</f>
        <v>9.933490577644381</v>
      </c>
      <c r="O88">
        <f>$C$14*ReDiarioFert!M77</f>
        <v>144.2279863414634</v>
      </c>
      <c r="Q88">
        <f>$C$14*Main!$D$63</f>
        <v>20.019999999999996</v>
      </c>
      <c r="S88">
        <f>((E88/100)*$G$127+(G88/100)*$G$128+(I88/100)*$G$129+(K88/100)*$G$130+(M88/100)*$G$131+(O88)*$G$132+(Q88*$G$133))</f>
        <v>321.3320273855845</v>
      </c>
    </row>
    <row r="89">
      <c r="B89">
        <v>72</v>
      </c>
      <c r="C89">
        <f>$I$13+B89</f>
        <v>39886</v>
      </c>
      <c r="E89">
        <f>IF($C$14*ReDiarioFert!C78&lt;=0,"0",$C$14*ReDiarioFert!C78)</f>
        <v>4.562282744391561</v>
      </c>
      <c r="G89">
        <f>$C$14*ReDiarioFert!E78</f>
        <v>5.5165478260869545</v>
      </c>
      <c r="I89">
        <f>$C$14*ReDiarioFert!G78</f>
        <v>10.829707777777779</v>
      </c>
      <c r="K89">
        <f>$C$14*ReDiarioFert!I78</f>
        <v>4.819136910130418</v>
      </c>
      <c r="M89">
        <f>$C$14*ReDiarioFert!K78</f>
        <v>9.933490577644381</v>
      </c>
      <c r="O89">
        <f>$C$14*ReDiarioFert!M78</f>
        <v>144.2279863414634</v>
      </c>
      <c r="S89">
        <f>((E89/100)*$G$127+(G89/100)*$G$128+(I89/100)*$G$129+(K89/100)*$G$130+(M89/100)*$G$131+(O89)*$G$132+(Q89*$G$133))</f>
        <v>265.27602738558454</v>
      </c>
    </row>
    <row r="90">
      <c r="B90">
        <v>73</v>
      </c>
      <c r="C90">
        <f>$I$13+B90</f>
        <v>39887</v>
      </c>
      <c r="E90">
        <f>IF($C$14*ReDiarioFert!C79&lt;=0,"0",$C$14*ReDiarioFert!C79)</f>
        <v>4.562282744391561</v>
      </c>
      <c r="G90">
        <f>$C$14*ReDiarioFert!E79</f>
        <v>5.5165478260869545</v>
      </c>
      <c r="I90">
        <f>$C$14*ReDiarioFert!G79</f>
        <v>10.829707777777779</v>
      </c>
      <c r="K90">
        <f>$C$14*ReDiarioFert!I79</f>
        <v>4.819136910130418</v>
      </c>
      <c r="M90">
        <f>$C$14*ReDiarioFert!K79</f>
        <v>9.933490577644381</v>
      </c>
      <c r="O90">
        <f>$C$14*ReDiarioFert!M79</f>
        <v>144.2279863414634</v>
      </c>
      <c r="S90">
        <f>((E90/100)*$G$127+(G90/100)*$G$128+(I90/100)*$G$129+(K90/100)*$G$130+(M90/100)*$G$131+(O90)*$G$132+(Q90*$G$133))</f>
        <v>265.27602738558454</v>
      </c>
    </row>
    <row r="91">
      <c r="B91">
        <v>74</v>
      </c>
      <c r="C91">
        <f>$I$13+B91</f>
        <v>39888</v>
      </c>
      <c r="E91">
        <f>IF($C$14*ReDiarioFert!C80&lt;=0,"0",$C$14*ReDiarioFert!C80)</f>
        <v>4.562282744391561</v>
      </c>
      <c r="G91">
        <f>$C$14*ReDiarioFert!E80</f>
        <v>5.5165478260869545</v>
      </c>
      <c r="I91">
        <f>$C$14*ReDiarioFert!G80</f>
        <v>10.829707777777779</v>
      </c>
      <c r="K91">
        <f>$C$14*ReDiarioFert!I80</f>
        <v>4.819136910130418</v>
      </c>
      <c r="M91">
        <f>$C$14*ReDiarioFert!K80</f>
        <v>9.933490577644381</v>
      </c>
      <c r="O91">
        <f>$C$14*ReDiarioFert!M80</f>
        <v>144.2279863414634</v>
      </c>
      <c r="S91">
        <f>((E91/100)*$G$127+(G91/100)*$G$128+(I91/100)*$G$129+(K91/100)*$G$130+(M91/100)*$G$131+(O91)*$G$132+(Q91*$G$133))</f>
        <v>265.27602738558454</v>
      </c>
    </row>
    <row r="92">
      <c r="B92">
        <v>75</v>
      </c>
      <c r="C92">
        <f>$I$13+B92</f>
        <v>39889</v>
      </c>
      <c r="E92">
        <f>IF($C$14*ReDiarioFert!C81&lt;=0,"0",$C$14*ReDiarioFert!C81)</f>
        <v>4.562282744391561</v>
      </c>
      <c r="G92">
        <f>$C$14*ReDiarioFert!E81</f>
        <v>5.5165478260869545</v>
      </c>
      <c r="I92">
        <f>$C$14*ReDiarioFert!G81</f>
        <v>10.829707777777779</v>
      </c>
      <c r="K92">
        <f>$C$14*ReDiarioFert!I81</f>
        <v>4.819136910130418</v>
      </c>
      <c r="M92">
        <f>$C$14*ReDiarioFert!K81</f>
        <v>9.933490577644381</v>
      </c>
      <c r="O92">
        <f>$C$14*ReDiarioFert!M81</f>
        <v>144.2279863414634</v>
      </c>
      <c r="S92">
        <f>((E92/100)*$G$127+(G92/100)*$G$128+(I92/100)*$G$129+(K92/100)*$G$130+(M92/100)*$G$131+(O92)*$G$132+(Q92*$G$133))</f>
        <v>265.27602738558454</v>
      </c>
    </row>
    <row r="93">
      <c r="B93">
        <v>76</v>
      </c>
      <c r="C93">
        <f>$I$13+B93</f>
        <v>39890</v>
      </c>
      <c r="E93">
        <f>IF($C$14*ReDiarioFert!C82&lt;=0,"0",$C$14*ReDiarioFert!C82)</f>
        <v>4.562282744391561</v>
      </c>
      <c r="G93">
        <f>$C$14*ReDiarioFert!E82</f>
        <v>5.5165478260869545</v>
      </c>
      <c r="I93">
        <f>$C$14*ReDiarioFert!G82</f>
        <v>10.829707777777779</v>
      </c>
      <c r="K93">
        <f>$C$14*ReDiarioFert!I82</f>
        <v>4.819136910130418</v>
      </c>
      <c r="M93">
        <f>$C$14*ReDiarioFert!K82</f>
        <v>9.933490577644381</v>
      </c>
      <c r="O93">
        <f>$C$14*ReDiarioFert!M82</f>
        <v>144.2279863414634</v>
      </c>
      <c r="S93">
        <f>((E93/100)*$G$127+(G93/100)*$G$128+(I93/100)*$G$129+(K93/100)*$G$130+(M93/100)*$G$131+(O93)*$G$132+(Q93*$G$133))</f>
        <v>265.27602738558454</v>
      </c>
    </row>
    <row r="94">
      <c r="B94">
        <v>77</v>
      </c>
      <c r="C94">
        <f>$I$13+B94</f>
        <v>39891</v>
      </c>
      <c r="E94">
        <f>IF($C$14*ReDiarioFert!C83&lt;=0,"0",$C$14*ReDiarioFert!C83)</f>
        <v>4.562282744391561</v>
      </c>
      <c r="G94">
        <f>$C$14*ReDiarioFert!E83</f>
        <v>5.5165478260869545</v>
      </c>
      <c r="I94">
        <f>$C$14*ReDiarioFert!G83</f>
        <v>10.829707777777779</v>
      </c>
      <c r="K94">
        <f>$C$14*ReDiarioFert!I83</f>
        <v>4.819136910130418</v>
      </c>
      <c r="M94">
        <f>$C$14*ReDiarioFert!K83</f>
        <v>9.933490577644381</v>
      </c>
      <c r="O94">
        <f>$C$14*ReDiarioFert!M83</f>
        <v>144.2279863414634</v>
      </c>
      <c r="S94">
        <f>((E94/100)*$G$127+(G94/100)*$G$128+(I94/100)*$G$129+(K94/100)*$G$130+(M94/100)*$G$131+(O94)*$G$132+(Q94*$G$133))</f>
        <v>265.27602738558454</v>
      </c>
    </row>
    <row r="95">
      <c r="A95">
        <v>12</v>
      </c>
      <c r="B95">
        <v>78</v>
      </c>
      <c r="C95">
        <f>$I$13+B95</f>
        <v>39892</v>
      </c>
      <c r="E95">
        <f>IF($C$14*ReDiarioFert!C84&lt;=0,"0",$C$14*ReDiarioFert!C84)</f>
        <v>4.562282744391561</v>
      </c>
      <c r="G95">
        <f>$C$14*ReDiarioFert!E84</f>
        <v>5.5165478260869545</v>
      </c>
      <c r="I95">
        <f>$C$14*ReDiarioFert!G84</f>
        <v>10.829707777777779</v>
      </c>
      <c r="K95">
        <f>$C$14*ReDiarioFert!I84</f>
        <v>4.819136910130418</v>
      </c>
      <c r="M95">
        <f>$C$14*ReDiarioFert!K84</f>
        <v>9.933490577644381</v>
      </c>
      <c r="O95">
        <f>$C$14*ReDiarioFert!M84</f>
        <v>144.2279863414634</v>
      </c>
      <c r="Q95">
        <f>$C$14*Main!$D$63</f>
        <v>20.019999999999996</v>
      </c>
      <c r="S95">
        <f>((E95/100)*$G$127+(G95/100)*$G$128+(I95/100)*$G$129+(K95/100)*$G$130+(M95/100)*$G$131+(O95)*$G$132+(Q95*$G$133))</f>
        <v>321.3320273855845</v>
      </c>
    </row>
    <row r="96">
      <c r="B96">
        <v>79</v>
      </c>
      <c r="C96">
        <f>$I$13+B96</f>
        <v>39893</v>
      </c>
      <c r="E96">
        <f>IF($C$14*ReDiarioFert!C85&lt;=0,"0",$C$14*ReDiarioFert!C85)</f>
        <v>4.562282744391561</v>
      </c>
      <c r="G96">
        <f>$C$14*ReDiarioFert!E85</f>
        <v>5.5165478260869545</v>
      </c>
      <c r="I96">
        <f>$C$14*ReDiarioFert!G85</f>
        <v>10.829707777777779</v>
      </c>
      <c r="K96">
        <f>$C$14*ReDiarioFert!I85</f>
        <v>4.819136910130418</v>
      </c>
      <c r="M96">
        <f>$C$14*ReDiarioFert!K85</f>
        <v>9.933490577644381</v>
      </c>
      <c r="O96">
        <f>$C$14*ReDiarioFert!M85</f>
        <v>144.2279863414634</v>
      </c>
      <c r="S96">
        <f>((E96/100)*$G$127+(G96/100)*$G$128+(I96/100)*$G$129+(K96/100)*$G$130+(M96/100)*$G$131+(O96)*$G$132+(Q96*$G$133))</f>
        <v>265.27602738558454</v>
      </c>
    </row>
    <row r="97">
      <c r="B97">
        <v>80</v>
      </c>
      <c r="C97">
        <f>$I$13+B97</f>
        <v>39894</v>
      </c>
      <c r="E97">
        <f>IF($C$14*ReDiarioFert!C86&lt;=0,"0",$C$14*ReDiarioFert!C86)</f>
        <v>4.562282744391561</v>
      </c>
      <c r="G97">
        <f>$C$14*ReDiarioFert!E86</f>
        <v>5.5165478260869545</v>
      </c>
      <c r="I97">
        <f>$C$14*ReDiarioFert!G86</f>
        <v>10.829707777777779</v>
      </c>
      <c r="K97">
        <f>$C$14*ReDiarioFert!I86</f>
        <v>4.819136910130418</v>
      </c>
      <c r="M97">
        <f>$C$14*ReDiarioFert!K86</f>
        <v>9.933490577644381</v>
      </c>
      <c r="O97">
        <f>$C$14*ReDiarioFert!M86</f>
        <v>144.2279863414634</v>
      </c>
      <c r="S97">
        <f>((E97/100)*$G$127+(G97/100)*$G$128+(I97/100)*$G$129+(K97/100)*$G$130+(M97/100)*$G$131+(O97)*$G$132+(Q97*$G$133))</f>
        <v>265.27602738558454</v>
      </c>
    </row>
    <row r="98">
      <c r="B98">
        <v>81</v>
      </c>
      <c r="C98">
        <f>$I$13+B98</f>
        <v>39895</v>
      </c>
      <c r="E98">
        <f>IF($C$14*ReDiarioFert!C87&lt;=0,"0",$C$14*ReDiarioFert!C87)</f>
        <v>5.474739293269876</v>
      </c>
      <c r="G98">
        <f>$C$14*ReDiarioFert!E87</f>
        <v>6.619857391304347</v>
      </c>
      <c r="I98">
        <f>$C$14*ReDiarioFert!G87</f>
        <v>12.995649333333333</v>
      </c>
      <c r="K98">
        <f>$C$14*ReDiarioFert!I87</f>
        <v>5.782964292156501</v>
      </c>
      <c r="M98">
        <f>$C$14*ReDiarioFert!K87</f>
        <v>11.920188693173255</v>
      </c>
      <c r="O98">
        <f>$C$14*ReDiarioFert!M87</f>
        <v>174.06804048780486</v>
      </c>
      <c r="S98">
        <f>((E98/100)*$G$127+(G98/100)*$G$128+(I98/100)*$G$129+(K98/100)*$G$130+(M98/100)*$G$131+(O98)*$G$132+(Q98*$G$133))</f>
        <v>318.3710111378234</v>
      </c>
    </row>
    <row r="99">
      <c r="B99">
        <v>82</v>
      </c>
      <c r="C99">
        <f>$I$13+B99</f>
        <v>39896</v>
      </c>
      <c r="E99">
        <f>IF($C$14*ReDiarioFert!C88&lt;=0,"0",$C$14*ReDiarioFert!C88)</f>
        <v>5.474739293269876</v>
      </c>
      <c r="G99">
        <f>$C$14*ReDiarioFert!E88</f>
        <v>6.619857391304347</v>
      </c>
      <c r="I99">
        <f>$C$14*ReDiarioFert!G88</f>
        <v>12.995649333333333</v>
      </c>
      <c r="K99">
        <f>$C$14*ReDiarioFert!I88</f>
        <v>5.782964292156501</v>
      </c>
      <c r="M99">
        <f>$C$14*ReDiarioFert!K88</f>
        <v>11.920188693173255</v>
      </c>
      <c r="O99">
        <f>$C$14*ReDiarioFert!M88</f>
        <v>174.06804048780486</v>
      </c>
      <c r="S99">
        <f>((E99/100)*$G$127+(G99/100)*$G$128+(I99/100)*$G$129+(K99/100)*$G$130+(M99/100)*$G$131+(O99)*$G$132+(Q99*$G$133))</f>
        <v>318.3710111378234</v>
      </c>
    </row>
    <row r="100">
      <c r="B100">
        <v>83</v>
      </c>
      <c r="C100">
        <f>$I$13+B100</f>
        <v>39897</v>
      </c>
      <c r="E100">
        <f>IF($C$14*ReDiarioFert!C89&lt;=0,"0",$C$14*ReDiarioFert!C89)</f>
        <v>5.474739293269876</v>
      </c>
      <c r="G100">
        <f>$C$14*ReDiarioFert!E89</f>
        <v>6.619857391304347</v>
      </c>
      <c r="I100">
        <f>$C$14*ReDiarioFert!G89</f>
        <v>12.995649333333333</v>
      </c>
      <c r="K100">
        <f>$C$14*ReDiarioFert!I89</f>
        <v>5.782964292156501</v>
      </c>
      <c r="M100">
        <f>$C$14*ReDiarioFert!K89</f>
        <v>11.920188693173255</v>
      </c>
      <c r="O100">
        <f>$C$14*ReDiarioFert!M89</f>
        <v>174.06804048780486</v>
      </c>
      <c r="S100">
        <f>((E100/100)*$G$127+(G100/100)*$G$128+(I100/100)*$G$129+(K100/100)*$G$130+(M100/100)*$G$131+(O100)*$G$132+(Q100*$G$133))</f>
        <v>318.3710111378234</v>
      </c>
    </row>
    <row r="101">
      <c r="B101">
        <v>84</v>
      </c>
      <c r="C101">
        <f>$I$13+B101</f>
        <v>39898</v>
      </c>
      <c r="E101">
        <f>IF($C$14*ReDiarioFert!C90&lt;=0,"0",$C$14*ReDiarioFert!C90)</f>
        <v>5.474739293269876</v>
      </c>
      <c r="G101">
        <f>$C$14*ReDiarioFert!E90</f>
        <v>6.619857391304347</v>
      </c>
      <c r="I101">
        <f>$C$14*ReDiarioFert!G90</f>
        <v>12.995649333333333</v>
      </c>
      <c r="K101">
        <f>$C$14*ReDiarioFert!I90</f>
        <v>5.782964292156501</v>
      </c>
      <c r="M101">
        <f>$C$14*ReDiarioFert!K90</f>
        <v>11.920188693173255</v>
      </c>
      <c r="O101">
        <f>$C$14*ReDiarioFert!M90</f>
        <v>174.06804048780486</v>
      </c>
      <c r="S101">
        <f>((E101/100)*$G$127+(G101/100)*$G$128+(I101/100)*$G$129+(K101/100)*$G$130+(M101/100)*$G$131+(O101)*$G$132+(Q101*$G$133))</f>
        <v>318.3710111378234</v>
      </c>
    </row>
    <row r="102" ht="18" customHeight="1">
      <c r="A102">
        <v>13</v>
      </c>
      <c r="B102">
        <v>85</v>
      </c>
      <c r="C102">
        <f>$I$13+B102</f>
        <v>39899</v>
      </c>
      <c r="E102">
        <f>IF($C$14*ReDiarioFert!C91&lt;=0,"0",$C$14*ReDiarioFert!C91)</f>
        <v>5.474739293269876</v>
      </c>
      <c r="G102">
        <f>$C$14*ReDiarioFert!E91</f>
        <v>6.619857391304347</v>
      </c>
      <c r="I102">
        <f>$C$14*ReDiarioFert!G91</f>
        <v>12.995649333333333</v>
      </c>
      <c r="K102">
        <f>$C$14*ReDiarioFert!I91</f>
        <v>5.782964292156501</v>
      </c>
      <c r="M102">
        <f>$C$14*ReDiarioFert!K91</f>
        <v>11.920188693173255</v>
      </c>
      <c r="O102">
        <f>$C$14*ReDiarioFert!M91</f>
        <v>174.06804048780486</v>
      </c>
      <c r="Q102">
        <f>$C$14*Main!$D$63</f>
        <v>20.019999999999996</v>
      </c>
      <c r="S102">
        <f>((E102/100)*$G$127+(G102/100)*$G$128+(I102/100)*$G$129+(K102/100)*$G$130+(M102/100)*$G$131+(O102)*$G$132+(Q102*$G$133))</f>
        <v>374.4270111378234</v>
      </c>
    </row>
    <row r="103" ht="18" customHeight="1">
      <c r="B103">
        <v>86</v>
      </c>
      <c r="C103">
        <f>$I$13+B103</f>
        <v>39900</v>
      </c>
      <c r="E103">
        <f>IF($C$14*ReDiarioFert!C92&lt;=0,"0",$C$14*ReDiarioFert!C92)</f>
        <v>5.474739293269876</v>
      </c>
      <c r="G103">
        <f>$C$14*ReDiarioFert!E92</f>
        <v>6.619857391304347</v>
      </c>
      <c r="I103">
        <f>$C$14*ReDiarioFert!G92</f>
        <v>12.995649333333333</v>
      </c>
      <c r="K103">
        <f>$C$14*ReDiarioFert!I92</f>
        <v>5.782964292156501</v>
      </c>
      <c r="M103">
        <f>$C$14*ReDiarioFert!K92</f>
        <v>11.920188693173255</v>
      </c>
      <c r="O103">
        <f>$C$14*ReDiarioFert!M92</f>
        <v>174.06804048780486</v>
      </c>
      <c r="S103">
        <f>((E103/100)*$G$127+(G103/100)*$G$128+(I103/100)*$G$129+(K103/100)*$G$130+(M103/100)*$G$131+(O103)*$G$132+(Q103*$G$133))</f>
        <v>318.3710111378234</v>
      </c>
    </row>
    <row r="104" ht="18" customHeight="1">
      <c r="B104">
        <v>87</v>
      </c>
      <c r="C104">
        <f>$I$13+B104</f>
        <v>39901</v>
      </c>
      <c r="E104">
        <f>IF($C$14*ReDiarioFert!C93&lt;=0,"0",$C$14*ReDiarioFert!C93)</f>
        <v>5.474739293269876</v>
      </c>
      <c r="G104">
        <f>$C$14*ReDiarioFert!E93</f>
        <v>6.619857391304347</v>
      </c>
      <c r="I104">
        <f>$C$14*ReDiarioFert!G93</f>
        <v>12.995649333333333</v>
      </c>
      <c r="K104">
        <f>$C$14*ReDiarioFert!I93</f>
        <v>5.782964292156501</v>
      </c>
      <c r="M104">
        <f>$C$14*ReDiarioFert!K93</f>
        <v>11.920188693173255</v>
      </c>
      <c r="O104">
        <f>$C$14*ReDiarioFert!M93</f>
        <v>174.06804048780486</v>
      </c>
      <c r="S104">
        <f>((E104/100)*$G$127+(G104/100)*$G$128+(I104/100)*$G$129+(K104/100)*$G$130+(M104/100)*$G$131+(O104)*$G$132+(Q104*$G$133))</f>
        <v>318.3710111378234</v>
      </c>
    </row>
    <row r="105" ht="18" customHeight="1">
      <c r="B105">
        <v>88</v>
      </c>
      <c r="C105">
        <f>$I$13+B105</f>
        <v>39902</v>
      </c>
      <c r="E105">
        <f>IF($C$14*ReDiarioFert!C94&lt;=0,"0",$C$14*ReDiarioFert!C94)</f>
        <v>5.474739293269876</v>
      </c>
      <c r="G105">
        <f>$C$14*ReDiarioFert!E94</f>
        <v>6.619857391304347</v>
      </c>
      <c r="I105">
        <f>$C$14*ReDiarioFert!G94</f>
        <v>12.995649333333333</v>
      </c>
      <c r="K105">
        <f>$C$14*ReDiarioFert!I94</f>
        <v>5.782964292156501</v>
      </c>
      <c r="M105">
        <f>$C$14*ReDiarioFert!K94</f>
        <v>11.920188693173255</v>
      </c>
      <c r="O105">
        <f>$C$14*ReDiarioFert!M94</f>
        <v>174.06804048780486</v>
      </c>
      <c r="S105">
        <f>((E105/100)*$G$127+(G105/100)*$G$128+(I105/100)*$G$129+(K105/100)*$G$130+(M105/100)*$G$131+(O105)*$G$132+(Q105*$G$133))</f>
        <v>318.3710111378234</v>
      </c>
    </row>
    <row r="106" ht="18" customHeight="1">
      <c r="B106">
        <v>89</v>
      </c>
      <c r="C106">
        <f>$I$13+B106</f>
        <v>39903</v>
      </c>
      <c r="E106">
        <f>IF($C$14*ReDiarioFert!C95&lt;=0,"0",$C$14*ReDiarioFert!C95)</f>
        <v>5.474739293269876</v>
      </c>
      <c r="G106">
        <f>$C$14*ReDiarioFert!E95</f>
        <v>6.619857391304347</v>
      </c>
      <c r="I106">
        <f>$C$14*ReDiarioFert!G95</f>
        <v>12.995649333333333</v>
      </c>
      <c r="K106">
        <f>$C$14*ReDiarioFert!I95</f>
        <v>5.782964292156501</v>
      </c>
      <c r="M106">
        <f>$C$14*ReDiarioFert!K95</f>
        <v>11.920188693173255</v>
      </c>
      <c r="O106">
        <f>$C$14*ReDiarioFert!M95</f>
        <v>174.06804048780486</v>
      </c>
      <c r="S106">
        <f>((E106/100)*$G$127+(G106/100)*$G$128+(I106/100)*$G$129+(K106/100)*$G$130+(M106/100)*$G$131+(O106)*$G$132+(Q106*$G$133))</f>
        <v>318.3710111378234</v>
      </c>
    </row>
    <row r="107" ht="18" customHeight="1">
      <c r="B107">
        <v>90</v>
      </c>
      <c r="C107">
        <f>$I$13+B107</f>
        <v>39904</v>
      </c>
      <c r="E107">
        <f>IF($C$14*ReDiarioFert!C96&lt;=0,"0",$C$14*ReDiarioFert!C96)</f>
        <v>5.474739293269876</v>
      </c>
      <c r="G107">
        <f>$C$14*ReDiarioFert!E96</f>
        <v>6.619857391304347</v>
      </c>
      <c r="I107">
        <f>$C$14*ReDiarioFert!G96</f>
        <v>12.995649333333333</v>
      </c>
      <c r="K107">
        <f>$C$14*ReDiarioFert!I96</f>
        <v>5.782964292156501</v>
      </c>
      <c r="M107">
        <f>$C$14*ReDiarioFert!K96</f>
        <v>11.920188693173255</v>
      </c>
      <c r="O107">
        <f>$C$14*ReDiarioFert!M96</f>
        <v>174.06804048780486</v>
      </c>
      <c r="S107">
        <f>((E107/100)*$G$127+(G107/100)*$G$128+(I107/100)*$G$129+(K107/100)*$G$130+(M107/100)*$G$131+(O107)*$G$132+(Q107*$G$133))</f>
        <v>318.3710111378234</v>
      </c>
    </row>
    <row r="108" ht="18" customHeight="1">
      <c r="B108">
        <v>91</v>
      </c>
      <c r="C108">
        <f>$I$13+B108</f>
        <v>39905</v>
      </c>
      <c r="E108">
        <f>IF($C$14*ReDiarioFert!C97&lt;=0,"0",$C$14*ReDiarioFert!C97)</f>
        <v>5.474739293269876</v>
      </c>
      <c r="G108">
        <f>$C$14*ReDiarioFert!E97</f>
        <v>6.619857391304347</v>
      </c>
      <c r="I108">
        <f>$C$14*ReDiarioFert!G97</f>
        <v>12.995649333333333</v>
      </c>
      <c r="K108">
        <f>$C$14*ReDiarioFert!I97</f>
        <v>5.782964292156501</v>
      </c>
      <c r="M108">
        <f>$C$14*ReDiarioFert!K97</f>
        <v>11.920188693173255</v>
      </c>
      <c r="O108">
        <f>$C$14*ReDiarioFert!M97</f>
        <v>174.06804048780486</v>
      </c>
      <c r="S108">
        <f>((E108/100)*$G$127+(G108/100)*$G$128+(I108/100)*$G$129+(K108/100)*$G$130+(M108/100)*$G$131+(O108)*$G$132+(Q108*$G$133))</f>
        <v>318.3710111378234</v>
      </c>
    </row>
    <row r="109">
      <c r="A109">
        <v>14</v>
      </c>
      <c r="B109">
        <v>92</v>
      </c>
      <c r="C109">
        <f>$I$13+B109</f>
        <v>39906</v>
      </c>
      <c r="E109">
        <f>IF($C$14*ReDiarioFert!C98&lt;=0,"0",$C$14*ReDiarioFert!C98)</f>
        <v>5.474739293269876</v>
      </c>
      <c r="G109">
        <f>$C$14*ReDiarioFert!E98</f>
        <v>6.619857391304347</v>
      </c>
      <c r="I109">
        <f>$C$14*ReDiarioFert!G98</f>
        <v>12.995649333333333</v>
      </c>
      <c r="K109">
        <f>$C$14*ReDiarioFert!I98</f>
        <v>5.782964292156501</v>
      </c>
      <c r="M109">
        <f>$C$14*ReDiarioFert!K98</f>
        <v>11.920188693173255</v>
      </c>
      <c r="O109">
        <f>$C$14*ReDiarioFert!M98</f>
        <v>174.06804048780486</v>
      </c>
      <c r="Q109">
        <f>$C$14*Main!$D$63</f>
        <v>20.019999999999996</v>
      </c>
      <c r="S109">
        <f>((E109/100)*$G$127+(G109/100)*$G$128+(I109/100)*$G$129+(K109/100)*$G$130+(M109/100)*$G$131+(O109)*$G$132+(Q109*$G$133))</f>
        <v>374.4270111378234</v>
      </c>
    </row>
    <row r="110">
      <c r="B110">
        <v>93</v>
      </c>
      <c r="C110">
        <f>$I$13+B110</f>
        <v>39907</v>
      </c>
      <c r="E110">
        <f>IF($C$14*ReDiarioFert!C99&lt;=0,"0",$C$14*ReDiarioFert!C99)</f>
        <v>5.474739293269876</v>
      </c>
      <c r="G110">
        <f>$C$14*ReDiarioFert!E99</f>
        <v>6.619857391304347</v>
      </c>
      <c r="I110">
        <f>$C$14*ReDiarioFert!G99</f>
        <v>12.995649333333333</v>
      </c>
      <c r="K110">
        <f>$C$14*ReDiarioFert!I99</f>
        <v>5.782964292156501</v>
      </c>
      <c r="M110">
        <f>$C$14*ReDiarioFert!K99</f>
        <v>11.920188693173255</v>
      </c>
      <c r="O110">
        <f>$C$14*ReDiarioFert!M99</f>
        <v>174.06804048780486</v>
      </c>
      <c r="S110">
        <f>((E110/100)*$G$127+(G110/100)*$G$128+(I110/100)*$G$129+(K110/100)*$G$130+(M110/100)*$G$131+(O110)*$G$132+(Q110*$G$133))</f>
        <v>318.3710111378234</v>
      </c>
    </row>
    <row r="111">
      <c r="B111">
        <v>94</v>
      </c>
      <c r="C111">
        <f>$I$13+B111</f>
        <v>39908</v>
      </c>
      <c r="E111">
        <f>IF($C$14*ReDiarioFert!C100&lt;=0,"0",$C$14*ReDiarioFert!C100)</f>
        <v>5.474739293269876</v>
      </c>
      <c r="G111">
        <f>$C$14*ReDiarioFert!E100</f>
        <v>6.619857391304347</v>
      </c>
      <c r="I111">
        <f>$C$14*ReDiarioFert!G100</f>
        <v>12.995649333333333</v>
      </c>
      <c r="K111">
        <f>$C$14*ReDiarioFert!I100</f>
        <v>5.782964292156501</v>
      </c>
      <c r="M111">
        <f>$C$14*ReDiarioFert!K100</f>
        <v>11.920188693173255</v>
      </c>
      <c r="O111">
        <f>$C$14*ReDiarioFert!M100</f>
        <v>174.06804048780486</v>
      </c>
      <c r="S111">
        <f>((E111/100)*$G$127+(G111/100)*$G$128+(I111/100)*$G$129+(K111/100)*$G$130+(M111/100)*$G$131+(O111)*$G$132+(Q111*$G$133))</f>
        <v>318.3710111378234</v>
      </c>
    </row>
    <row r="112">
      <c r="B112">
        <v>95</v>
      </c>
      <c r="C112">
        <f>$I$13+B112</f>
        <v>39909</v>
      </c>
      <c r="E112">
        <f>IF($C$14*ReDiarioFert!C101&lt;=0,"0",$C$14*ReDiarioFert!C101)</f>
        <v>5.474739293269876</v>
      </c>
      <c r="G112">
        <f>$C$14*ReDiarioFert!E101</f>
        <v>6.619857391304347</v>
      </c>
      <c r="I112">
        <f>$C$14*ReDiarioFert!G101</f>
        <v>12.995649333333333</v>
      </c>
      <c r="K112">
        <f>$C$14*ReDiarioFert!I101</f>
        <v>5.782964292156501</v>
      </c>
      <c r="M112">
        <f>$C$14*ReDiarioFert!K101</f>
        <v>11.920188693173255</v>
      </c>
      <c r="O112">
        <f>$C$14*ReDiarioFert!M101</f>
        <v>174.06804048780486</v>
      </c>
      <c r="S112">
        <f>((E112/100)*$G$127+(G112/100)*$G$128+(I112/100)*$G$129+(K112/100)*$G$130+(M112/100)*$G$131+(O112)*$G$132+(Q112*$G$133))</f>
        <v>318.3710111378234</v>
      </c>
    </row>
    <row r="113">
      <c r="B113">
        <v>96</v>
      </c>
      <c r="C113">
        <f>$I$13+B113</f>
        <v>39910</v>
      </c>
      <c r="E113">
        <f>IF($C$14*ReDiarioFert!C102&lt;=0,"0",$C$14*ReDiarioFert!C102)</f>
        <v>5.474739293269876</v>
      </c>
      <c r="G113">
        <f>$C$14*ReDiarioFert!E102</f>
        <v>6.619857391304347</v>
      </c>
      <c r="I113">
        <f>$C$14*ReDiarioFert!G102</f>
        <v>12.995649333333333</v>
      </c>
      <c r="K113">
        <f>$C$14*ReDiarioFert!I102</f>
        <v>5.782964292156501</v>
      </c>
      <c r="M113">
        <f>$C$14*ReDiarioFert!K102</f>
        <v>11.920188693173255</v>
      </c>
      <c r="O113">
        <f>$C$14*ReDiarioFert!M102</f>
        <v>174.06804048780486</v>
      </c>
      <c r="S113">
        <f>((E113/100)*$G$127+(G113/100)*$G$128+(I113/100)*$G$129+(K113/100)*$G$130+(M113/100)*$G$131+(O113)*$G$132+(Q113*$G$133))</f>
        <v>318.3710111378234</v>
      </c>
    </row>
    <row r="114">
      <c r="B114">
        <v>97</v>
      </c>
      <c r="C114">
        <f>$I$13+B114</f>
        <v>39911</v>
      </c>
      <c r="E114">
        <f>IF($C$14*ReDiarioFert!C103&lt;=0,"0",$C$14*ReDiarioFert!C103)</f>
        <v>5.474739293269876</v>
      </c>
      <c r="G114">
        <f>$C$14*ReDiarioFert!E103</f>
        <v>6.619857391304347</v>
      </c>
      <c r="I114">
        <f>$C$14*ReDiarioFert!G103</f>
        <v>12.995649333333333</v>
      </c>
      <c r="K114">
        <f>$C$14*ReDiarioFert!I103</f>
        <v>5.782964292156501</v>
      </c>
      <c r="M114">
        <f>$C$14*ReDiarioFert!K103</f>
        <v>11.920188693173255</v>
      </c>
      <c r="O114">
        <f>$C$14*ReDiarioFert!M103</f>
        <v>174.06804048780486</v>
      </c>
      <c r="S114">
        <f>((E114/100)*$G$127+(G114/100)*$G$128+(I114/100)*$G$129+(K114/100)*$G$130+(M114/100)*$G$131+(O114)*$G$132+(Q114*$G$133))</f>
        <v>318.3710111378234</v>
      </c>
    </row>
    <row r="115">
      <c r="B115">
        <v>98</v>
      </c>
      <c r="C115">
        <f>$I$13+B115</f>
        <v>39912</v>
      </c>
      <c r="E115">
        <f>IF($C$14*ReDiarioFert!C104&lt;=0,"0",$C$14*ReDiarioFert!C104)</f>
        <v>5.474739293269876</v>
      </c>
      <c r="G115">
        <f>$C$14*ReDiarioFert!E104</f>
        <v>6.619857391304347</v>
      </c>
      <c r="I115">
        <f>$C$14*ReDiarioFert!G104</f>
        <v>12.995649333333333</v>
      </c>
      <c r="K115">
        <f>$C$14*ReDiarioFert!I104</f>
        <v>5.782964292156501</v>
      </c>
      <c r="M115">
        <f>$C$14*ReDiarioFert!K104</f>
        <v>11.920188693173255</v>
      </c>
      <c r="O115">
        <f>$C$14*ReDiarioFert!M104</f>
        <v>174.06804048780486</v>
      </c>
      <c r="S115">
        <f>((E115/100)*$G$127+(G115/100)*$G$128+(I115/100)*$G$129+(K115/100)*$G$130+(M115/100)*$G$131+(O115)*$G$132+(Q115*$G$133))</f>
        <v>318.3710111378234</v>
      </c>
    </row>
    <row r="116">
      <c r="A116">
        <v>15</v>
      </c>
      <c r="B116">
        <v>99</v>
      </c>
      <c r="C116">
        <f>$I$13+B116</f>
        <v>39913</v>
      </c>
      <c r="E116">
        <f>IF($C$14*ReDiarioFert!C105&lt;=0,"0",$C$14*ReDiarioFert!C105)</f>
        <v>5.474739293269876</v>
      </c>
      <c r="G116">
        <f>$C$14*ReDiarioFert!E105</f>
        <v>6.619857391304347</v>
      </c>
      <c r="I116">
        <f>$C$14*ReDiarioFert!G105</f>
        <v>12.995649333333333</v>
      </c>
      <c r="K116">
        <f>$C$14*ReDiarioFert!I105</f>
        <v>5.782964292156501</v>
      </c>
      <c r="M116">
        <f>$C$14*ReDiarioFert!K105</f>
        <v>11.920188693173255</v>
      </c>
      <c r="O116">
        <f>$C$14*ReDiarioFert!M105</f>
        <v>174.06804048780486</v>
      </c>
      <c r="Q116">
        <f>$C$14*Main!$D$63</f>
        <v>20.019999999999996</v>
      </c>
      <c r="S116">
        <f>((E116/100)*$G$127+(G116/100)*$G$128+(I116/100)*$G$129+(K116/100)*$G$130+(M116/100)*$G$131+(O116)*$G$132+(Q116*$G$133))</f>
        <v>374.4270111378234</v>
      </c>
    </row>
    <row r="117">
      <c r="B117">
        <v>100</v>
      </c>
      <c r="C117">
        <f>$I$13+B117</f>
        <v>39914</v>
      </c>
      <c r="E117">
        <f>IF($C$14*ReDiarioFert!C106&lt;=0,"0",$C$14*ReDiarioFert!C106)</f>
        <v>5.474739293269876</v>
      </c>
      <c r="G117">
        <f>$C$14*ReDiarioFert!E106</f>
        <v>6.619857391304347</v>
      </c>
      <c r="I117">
        <f>$C$14*ReDiarioFert!G106</f>
        <v>12.995649333333333</v>
      </c>
      <c r="K117">
        <f>$C$14*ReDiarioFert!I106</f>
        <v>5.782964292156501</v>
      </c>
      <c r="M117">
        <f>$C$14*ReDiarioFert!K106</f>
        <v>11.920188693173255</v>
      </c>
      <c r="O117">
        <f>$C$14*ReDiarioFert!M106</f>
        <v>174.06804048780486</v>
      </c>
      <c r="S117">
        <f>((E117/100)*$G$127+(G117/100)*$G$128+(I117/100)*$G$129+(K117/100)*$G$130+(M117/100)*$G$131+(O117)*$G$132+(Q117*$G$133))</f>
        <v>318.3710111378234</v>
      </c>
    </row>
    <row r="118">
      <c r="B118">
        <v>101</v>
      </c>
      <c r="C118">
        <f>$I$13+B118</f>
        <v>39915</v>
      </c>
      <c r="E118">
        <f>IF($C$14*ReDiarioFert!C107&lt;=0,"0",$C$14*ReDiarioFert!C107)</f>
        <v>5.474739293269876</v>
      </c>
      <c r="G118">
        <f>$C$14*ReDiarioFert!E107</f>
        <v>6.619857391304347</v>
      </c>
      <c r="I118">
        <f>$C$14*ReDiarioFert!G107</f>
        <v>12.995649333333333</v>
      </c>
      <c r="K118">
        <f>$C$14*ReDiarioFert!I107</f>
        <v>5.782964292156501</v>
      </c>
      <c r="M118">
        <f>$C$14*ReDiarioFert!K107</f>
        <v>11.920188693173255</v>
      </c>
      <c r="O118">
        <f>$C$14*ReDiarioFert!M107</f>
        <v>174.06804048780486</v>
      </c>
      <c r="S118">
        <f>((E118/100)*$G$127+(G118/100)*$G$128+(I118/100)*$G$129+(K118/100)*$G$130+(M118/100)*$G$131+(O118)*$G$132+(Q118*$G$133))</f>
        <v>318.3710111378234</v>
      </c>
    </row>
    <row r="119">
      <c r="B119">
        <v>102</v>
      </c>
      <c r="C119">
        <f>$I$13+B119</f>
        <v>39916</v>
      </c>
      <c r="E119">
        <f>IF($C$14*ReDiarioFert!C108&lt;=0,"0",$C$14*ReDiarioFert!C108)</f>
        <v>5.474739293269876</v>
      </c>
      <c r="G119">
        <f>$C$14*ReDiarioFert!E108</f>
        <v>6.619857391304347</v>
      </c>
      <c r="I119">
        <f>$C$14*ReDiarioFert!G108</f>
        <v>12.995649333333333</v>
      </c>
      <c r="K119">
        <f>$C$14*ReDiarioFert!I108</f>
        <v>5.782964292156501</v>
      </c>
      <c r="M119">
        <f>$C$14*ReDiarioFert!K108</f>
        <v>11.920188693173255</v>
      </c>
      <c r="O119">
        <f>$C$14*ReDiarioFert!M108</f>
        <v>174.06804048780486</v>
      </c>
      <c r="S119">
        <f>((E119/100)*$G$127+(G119/100)*$G$128+(I119/100)*$G$129+(K119/100)*$G$130+(M119/100)*$G$131+(O119)*$G$132+(Q119*$G$133))</f>
        <v>318.3710111378234</v>
      </c>
    </row>
    <row r="120">
      <c r="B120">
        <v>103</v>
      </c>
      <c r="C120">
        <f>$I$13+B120</f>
        <v>39917</v>
      </c>
      <c r="E120">
        <f>IF($C$14*ReDiarioFert!C109&lt;=0,"0",$C$14*ReDiarioFert!C109)</f>
        <v>5.474739293269876</v>
      </c>
      <c r="G120">
        <f>$C$14*ReDiarioFert!E109</f>
        <v>6.619857391304347</v>
      </c>
      <c r="I120">
        <f>$C$14*ReDiarioFert!G109</f>
        <v>12.995649333333333</v>
      </c>
      <c r="K120">
        <f>$C$14*ReDiarioFert!I109</f>
        <v>5.782964292156501</v>
      </c>
      <c r="M120">
        <f>$C$14*ReDiarioFert!K109</f>
        <v>11.920188693173255</v>
      </c>
      <c r="O120">
        <f>$C$14*ReDiarioFert!M109</f>
        <v>174.06804048780486</v>
      </c>
      <c r="S120">
        <f>((E120/100)*$G$127+(G120/100)*$G$128+(I120/100)*$G$129+(K120/100)*$G$130+(M120/100)*$G$131+(O120)*$G$132+(Q120*$G$133))</f>
        <v>318.3710111378234</v>
      </c>
    </row>
    <row r="121">
      <c r="B121">
        <v>104</v>
      </c>
      <c r="C121">
        <f>$I$13+B121</f>
        <v>39918</v>
      </c>
      <c r="E121">
        <f>IF($C$14*ReDiarioFert!C110&lt;=0,"0",$C$14*ReDiarioFert!C110)</f>
        <v>5.474739293269876</v>
      </c>
      <c r="G121">
        <f>$C$14*ReDiarioFert!E110</f>
        <v>6.619857391304347</v>
      </c>
      <c r="I121">
        <f>$C$14*ReDiarioFert!G110</f>
        <v>12.995649333333333</v>
      </c>
      <c r="K121">
        <f>$C$14*ReDiarioFert!I110</f>
        <v>5.782964292156501</v>
      </c>
      <c r="M121">
        <f>$C$14*ReDiarioFert!K110</f>
        <v>11.920188693173255</v>
      </c>
      <c r="O121">
        <f>$C$14*ReDiarioFert!M110</f>
        <v>174.06804048780486</v>
      </c>
      <c r="S121">
        <f>((E121/100)*$G$127+(G121/100)*$G$128+(I121/100)*$G$129+(K121/100)*$G$130+(M121/100)*$G$131+(O121)*$G$132+(Q121*$G$133))</f>
        <v>318.3710111378234</v>
      </c>
    </row>
    <row r="122">
      <c r="B122">
        <v>105</v>
      </c>
      <c r="C122">
        <f>$I$13+B122</f>
        <v>39919</v>
      </c>
      <c r="E122">
        <f>IF($C$14*ReDiarioFert!C111&lt;=0,"0",$C$14*ReDiarioFert!C111)</f>
        <v>5.474739293269876</v>
      </c>
      <c r="G122">
        <f>$C$14*ReDiarioFert!E111</f>
        <v>6.619857391304347</v>
      </c>
      <c r="I122">
        <f>$C$14*ReDiarioFert!G111</f>
        <v>12.995649333333333</v>
      </c>
      <c r="K122">
        <f>$C$14*ReDiarioFert!I111</f>
        <v>5.782964292156501</v>
      </c>
      <c r="M122">
        <f>$C$14*ReDiarioFert!K111</f>
        <v>11.920188693173255</v>
      </c>
      <c r="O122">
        <f>$C$14*ReDiarioFert!M111</f>
        <v>174.06804048780486</v>
      </c>
      <c r="S122">
        <f>((E122/100)*$G$127+(G122/100)*$G$128+(I122/100)*$G$129+(K122/100)*$G$130+(M122/100)*$G$131+(O122)*$G$132+(Q122*$G$133))</f>
        <v>318.3710111378234</v>
      </c>
    </row>
    <row r="123">
      <c r="C123" t="str">
        <v>Total</v>
      </c>
      <c r="E123">
        <f>SUM(E18:E122)</f>
        <v>360.8765650813722</v>
      </c>
      <c r="G123">
        <f>SUM(G18:G122)</f>
        <v>436.35893304347775</v>
      </c>
      <c r="I123">
        <f>SUM(I18:I122)</f>
        <v>856.6298852222219</v>
      </c>
      <c r="K123">
        <f>SUM(K18:K122)</f>
        <v>381.1937295913164</v>
      </c>
      <c r="M123">
        <f>SUM(M18:M122)</f>
        <v>785.7391046916703</v>
      </c>
      <c r="O123">
        <f>SUM(O18:O122)</f>
        <v>11389.019104878033</v>
      </c>
      <c r="Q123">
        <f>SUM(Q18:Q122)</f>
        <v>300.29999999999984</v>
      </c>
      <c r="S123">
        <f>SUM(S18:S122)</f>
        <v>21823.397181610475</v>
      </c>
    </row>
    <row r="124">
      <c r="D124" t="str">
        <v>OJO cualquier cultivo que no se termine la cosecha en el ultimo día del calendario solo seguir repitiendo la ultima aplicación de fertilizante.</v>
      </c>
    </row>
    <row r="125" ht="39.75" customHeight="1">
      <c r="B125" t="str">
        <v>Producto</v>
      </c>
      <c r="F125" t="str">
        <v>Lbs/Ha</v>
      </c>
      <c r="G125" t="str">
        <v>Costo por qq</v>
      </c>
    </row>
    <row r="126" ht="24" customHeight="1">
      <c r="G126" t="str">
        <f>Main!$E$25</f>
        <v>Lempiras</v>
      </c>
    </row>
    <row r="127">
      <c r="B127" t="str">
        <f>Main!D42</f>
        <v>Urea</v>
      </c>
      <c r="F127">
        <f>E123/C14</f>
        <v>360.5160490323399</v>
      </c>
      <c r="G127">
        <f>Main!D43</f>
        <v>505</v>
      </c>
    </row>
    <row r="128">
      <c r="B128" t="str">
        <f>Main!D32</f>
        <v>DAP 18-46-0</v>
      </c>
      <c r="F128">
        <f>G123/C14</f>
        <v>435.92301003344437</v>
      </c>
      <c r="G128">
        <f>Main!D33</f>
        <v>808</v>
      </c>
    </row>
    <row r="129">
      <c r="B129" t="str">
        <f>Main!D37</f>
        <v>Sulfato de Potasio</v>
      </c>
      <c r="F129">
        <f>I123/C14</f>
        <v>855.7741111111109</v>
      </c>
      <c r="G129">
        <f>Main!D38</f>
        <v>780</v>
      </c>
    </row>
    <row r="130">
      <c r="B130" t="str">
        <f>Main!D47</f>
        <v>Sulfato de Magnesio</v>
      </c>
      <c r="F130">
        <f>K123/C14</f>
        <v>380.8129166746418</v>
      </c>
      <c r="G130">
        <f>Main!D48</f>
        <v>477</v>
      </c>
    </row>
    <row r="131">
      <c r="B131" t="str">
        <f>Main!D52</f>
        <v>Nitrato de Calcio</v>
      </c>
      <c r="F131">
        <f>M123/C14</f>
        <v>784.9541505411293</v>
      </c>
      <c r="G131">
        <f>Main!D53</f>
        <v>850</v>
      </c>
    </row>
    <row r="132">
      <c r="B132" t="str">
        <f>Main!D57</f>
        <v>Solubor</v>
      </c>
      <c r="F132">
        <f>O123/C14</f>
        <v>11377.641463414619</v>
      </c>
      <c r="G132">
        <f>Main!D58</f>
        <v>0.04</v>
      </c>
      <c r="I132" t="str">
        <v xml:space="preserve">Preparado y Autorizado Por </v>
      </c>
    </row>
    <row r="133" ht="18" customHeight="1">
      <c r="B133" t="str">
        <f>Main!D61</f>
        <v>Melaza</v>
      </c>
      <c r="F133">
        <f>Q123/C14</f>
        <v>299.9999999999999</v>
      </c>
      <c r="G133">
        <f>Main!D62</f>
        <v>2.8</v>
      </c>
      <c r="I133" t="str">
        <v>MSc Ricardo D. Lardizábal</v>
      </c>
    </row>
    <row r="134">
      <c r="B134" t="str">
        <v>NOTA: El Nitrato de Calcio se debe de diluir en un barril aparte para inyectarse al sistema</v>
      </c>
    </row>
    <row r="136">
      <c r="B136" t="str">
        <v>Abreviaciones usadas</v>
      </c>
    </row>
    <row r="137">
      <c r="B137" t="str">
        <v>Mz.-Manzanas, Ha-Hectáreas, Lbs-Libras, Lts-Litros y DDT-Días después de Trasplante</v>
      </c>
    </row>
  </sheetData>
  <sheetProtection sheet="1"/>
  <mergeCells count="53">
    <mergeCell ref="A13:B13"/>
    <mergeCell ref="A14:B14"/>
    <mergeCell ref="I13:M13"/>
    <mergeCell ref="I14:M14"/>
    <mergeCell ref="G128:H128"/>
    <mergeCell ref="G126:H126"/>
    <mergeCell ref="G127:H127"/>
    <mergeCell ref="C16:D16"/>
    <mergeCell ref="E16:F16"/>
    <mergeCell ref="G16:H16"/>
    <mergeCell ref="I132:Q132"/>
    <mergeCell ref="A12:B12"/>
    <mergeCell ref="C12:E12"/>
    <mergeCell ref="F12:H12"/>
    <mergeCell ref="C13:E13"/>
    <mergeCell ref="C14:E14"/>
    <mergeCell ref="A16:A17"/>
    <mergeCell ref="B132:E132"/>
    <mergeCell ref="F13:H13"/>
    <mergeCell ref="F14:H14"/>
    <mergeCell ref="B134:I135"/>
    <mergeCell ref="I133:Q133"/>
    <mergeCell ref="B136:D136"/>
    <mergeCell ref="B129:E129"/>
    <mergeCell ref="S16:S17"/>
    <mergeCell ref="Q16:R16"/>
    <mergeCell ref="K16:L16"/>
    <mergeCell ref="O16:P16"/>
    <mergeCell ref="M16:N16"/>
    <mergeCell ref="I16:J16"/>
    <mergeCell ref="G133:H133"/>
    <mergeCell ref="B131:E131"/>
    <mergeCell ref="B133:E133"/>
    <mergeCell ref="G131:H131"/>
    <mergeCell ref="G132:H132"/>
    <mergeCell ref="B130:E130"/>
    <mergeCell ref="G129:H129"/>
    <mergeCell ref="G130:H130"/>
    <mergeCell ref="G125:H125"/>
    <mergeCell ref="B125:E125"/>
    <mergeCell ref="B16:B17"/>
    <mergeCell ref="B127:E127"/>
    <mergeCell ref="B128:E128"/>
    <mergeCell ref="B137:S137"/>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38"/>
  </ignoredErrors>
  <legacyDrawing r:id="rId1"/>
</worksheet>
</file>

<file path=xl/worksheets/sheet4.xml><?xml version="1.0" encoding="utf-8"?>
<worksheet xmlns="http://schemas.openxmlformats.org/spreadsheetml/2006/main" xmlns:r="http://schemas.openxmlformats.org/officeDocument/2006/relationships">
  <dimension ref="A1:V85"/>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Tabaco</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Habano</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39814</v>
      </c>
    </row>
    <row r="12" ht="20.1" customHeight="1">
      <c r="A12" t="str">
        <v>Área Ha.</v>
      </c>
      <c r="C12">
        <f>Main!I22</f>
        <v>1.001</v>
      </c>
      <c r="F12" t="str">
        <v>Fecha de Cosecha:</v>
      </c>
      <c r="I12">
        <f>I11+Main!E24</f>
        <v>39884</v>
      </c>
    </row>
    <row r="13" ht="19.5" customHeight="1"/>
    <row r="14" ht="27.600000000000005" customHeight="1">
      <c r="A14" t="str">
        <v>Semana</v>
      </c>
      <c r="B14" t="str">
        <v>DDT</v>
      </c>
      <c r="C14" t="str">
        <v>FECHA</v>
      </c>
      <c r="E14" t="str">
        <f>Main!$D$42</f>
        <v>Urea</v>
      </c>
      <c r="G14" t="str">
        <f>Main!$D$32</f>
        <v>DAP 18-46-0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39815</v>
      </c>
      <c r="E16">
        <f>IF(($C$12*(ReDiarioFert!C7+ReDiarioFert!C8))&lt;=0,"0",($C$12*(ReDiarioFert!C7+ReDiarioFert!C8)))</f>
        <v>1.8249130977566252</v>
      </c>
      <c r="G16">
        <f>$C$12*(ReDiarioFert!E7+ReDiarioFert!E8)</f>
        <v>2.2066191304347824</v>
      </c>
      <c r="I16">
        <f>$C$12*(ReDiarioFert!G7+ReDiarioFert!G8)</f>
        <v>4.331883111111112</v>
      </c>
      <c r="K16">
        <f>$C$12*(ReDiarioFert!I7+ReDiarioFert!I8)</f>
        <v>1.9276547640521668</v>
      </c>
      <c r="M16">
        <f>$C$12*(ReDiarioFert!K7+ReDiarioFert!K8)</f>
        <v>3.9733962310577513</v>
      </c>
      <c r="O16">
        <f>$C$12*(ReDiarioFert!M7+ReDiarioFert!M8)</f>
        <v>49.733586341463415</v>
      </c>
      <c r="Q16">
        <f>$C$12*Main!$D$63</f>
        <v>20.019999999999996</v>
      </c>
      <c r="S16">
        <f>((E16/100)*$G$65+(G16/100)*$G$66+(I16/100)*$G$67+(K16/100)*$G$68+(M16/100)*$G$69+(O16)*$G$70+(Q16*$G$71))</f>
        <v>161.84810662642892</v>
      </c>
    </row>
    <row r="17" ht="18.75" customHeight="1">
      <c r="B17">
        <v>3</v>
      </c>
      <c r="C17">
        <f>$I$11+B17</f>
        <v>39817</v>
      </c>
      <c r="E17">
        <f>IF(($C$12*(ReDiarioFert!C9+ReDiarioFert!C10))&lt;=0,"0",($C$12*(ReDiarioFert!C9+ReDiarioFert!C10)))</f>
        <v>1.8249130977566252</v>
      </c>
      <c r="G17">
        <f>$C$12*(ReDiarioFert!E9+ReDiarioFert!E10)</f>
        <v>2.2066191304347824</v>
      </c>
      <c r="I17">
        <f>$C$12*(ReDiarioFert!G9+ReDiarioFert!G10)</f>
        <v>4.331883111111112</v>
      </c>
      <c r="K17">
        <f>$C$12*(ReDiarioFert!I9+ReDiarioFert!I10)</f>
        <v>1.9276547640521668</v>
      </c>
      <c r="M17">
        <f>$C$12*(ReDiarioFert!K9+ReDiarioFert!K10)</f>
        <v>3.9733962310577513</v>
      </c>
      <c r="O17">
        <f>$C$12*(ReDiarioFert!M9+ReDiarioFert!M10)</f>
        <v>49.733586341463415</v>
      </c>
      <c r="S17">
        <f>((E17/100)*$G$65+(G17/100)*$G$66+(I17/100)*$G$67+(K17/100)*$G$68+(M17/100)*$G$69+(O17)*$G$70+(Q17*$G$71))</f>
        <v>105.79210662642893</v>
      </c>
    </row>
    <row r="18" ht="18.75" customHeight="1">
      <c r="B18">
        <v>5</v>
      </c>
      <c r="C18">
        <f>$I$11+B18</f>
        <v>39819</v>
      </c>
      <c r="E18">
        <f>IF(($C$12*(ReDiarioFert!C11+ReDiarioFert!C12+ReDiarioFert!C13))&lt;=0,"0",($C$12*(ReDiarioFert!C11+ReDiarioFert!C12+ReDiarioFert!C13)))</f>
        <v>2.7373696466349378</v>
      </c>
      <c r="G18">
        <f>$C$12*(ReDiarioFert!E11+ReDiarioFert!E12+ReDiarioFert!E13)</f>
        <v>3.3099286956521734</v>
      </c>
      <c r="I18">
        <f>$C$12*(ReDiarioFert!G11+ReDiarioFert!G12+ReDiarioFert!G13)</f>
        <v>6.497824666666668</v>
      </c>
      <c r="K18">
        <f>$C$12*(ReDiarioFert!I11+ReDiarioFert!I12+ReDiarioFert!I13)</f>
        <v>2.8914821460782503</v>
      </c>
      <c r="M18">
        <f>$C$12*(ReDiarioFert!K11+ReDiarioFert!K12+ReDiarioFert!K13)</f>
        <v>5.960094346586628</v>
      </c>
      <c r="O18">
        <f>$C$12*(ReDiarioFert!M11+ReDiarioFert!M12+ReDiarioFert!M13)</f>
        <v>74.60037951219512</v>
      </c>
      <c r="S18">
        <f>((E18/100)*$G$65+(G18/100)*$G$66+(I18/100)*$G$67+(K18/100)*$G$68+(M18/100)*$G$69+(O18)*$G$70+(Q18*$G$71))</f>
        <v>158.6881599396434</v>
      </c>
    </row>
    <row r="19">
      <c r="A19">
        <v>2</v>
      </c>
      <c r="B19">
        <f>B18+3</f>
        <v>8</v>
      </c>
      <c r="C19">
        <f>$I$11+B19</f>
        <v>39822</v>
      </c>
      <c r="E19">
        <f>IF(($C$12*(ReDiarioFert!C14+ReDiarioFert!C15))&lt;=0,"0",($C$12*(ReDiarioFert!C14+ReDiarioFert!C15)))</f>
        <v>1.8249130977566252</v>
      </c>
      <c r="G19">
        <f>$C$12*(ReDiarioFert!E14+ReDiarioFert!E15)</f>
        <v>2.2066191304347824</v>
      </c>
      <c r="I19">
        <f>$C$12*(ReDiarioFert!G14+ReDiarioFert!G15)</f>
        <v>4.331883111111112</v>
      </c>
      <c r="K19">
        <f>$C$12*(ReDiarioFert!I14+ReDiarioFert!I15)</f>
        <v>1.9276547640521668</v>
      </c>
      <c r="M19">
        <f>$C$12*(ReDiarioFert!K14+ReDiarioFert!K15)</f>
        <v>3.9733962310577513</v>
      </c>
      <c r="O19">
        <f>$C$12*(ReDiarioFert!M14+ReDiarioFert!M15)</f>
        <v>49.733586341463415</v>
      </c>
      <c r="Q19">
        <f>$C$12*Main!$D$63</f>
        <v>20.019999999999996</v>
      </c>
      <c r="S19">
        <f>((E19/100)*$G$65+(G19/100)*$G$66+(I19/100)*$G$67+(K19/100)*$G$68+(M19/100)*$G$69+(O19)*$G$70+(Q19*$G$71))</f>
        <v>161.84810662642892</v>
      </c>
    </row>
    <row r="20">
      <c r="B20">
        <f>B19+2</f>
        <v>10</v>
      </c>
      <c r="C20">
        <f>$I$11+B20</f>
        <v>39824</v>
      </c>
      <c r="E20">
        <f>IF(($C$12*(ReDiarioFert!C16+ReDiarioFert!C17))&lt;=0,"0",($C$12*(ReDiarioFert!C16+ReDiarioFert!C17)))</f>
        <v>2.2811413721957816</v>
      </c>
      <c r="G20">
        <f>$C$12*(ReDiarioFert!E16+ReDiarioFert!E17)</f>
        <v>2.758273913043478</v>
      </c>
      <c r="I20">
        <f>$C$12*(ReDiarioFert!G16+ReDiarioFert!G17)</f>
        <v>5.414853888888889</v>
      </c>
      <c r="K20">
        <f>$C$12*(ReDiarioFert!I16+ReDiarioFert!I17)</f>
        <v>2.409568455065209</v>
      </c>
      <c r="M20">
        <f>$C$12*(ReDiarioFert!K16+ReDiarioFert!K17)</f>
        <v>4.96674528882219</v>
      </c>
      <c r="O20">
        <f>$C$12*(ReDiarioFert!M16+ReDiarioFert!M17)</f>
        <v>69.62711853658536</v>
      </c>
      <c r="S20">
        <f>((E20/100)*$G$65+(G20/100)*$G$66+(I20/100)*$G$67+(K20/100)*$G$68+(M20/100)*$G$69+(O20)*$G$70+(Q20*$G$71))</f>
        <v>132.5385387074264</v>
      </c>
    </row>
    <row r="21">
      <c r="B21">
        <f>B20+2</f>
        <v>12</v>
      </c>
      <c r="C21">
        <f>$I$11+B21</f>
        <v>39826</v>
      </c>
      <c r="E21">
        <f>IF(($C$12*(ReDiarioFert!C18+ReDiarioFert!C19+ReDiarioFert!C20))&lt;=0,"0",($C$12*(ReDiarioFert!C18+ReDiarioFert!C19+ReDiarioFert!C20)))</f>
        <v>4.106054469952407</v>
      </c>
      <c r="G21">
        <f>$C$12*(ReDiarioFert!E18+ReDiarioFert!E19+ReDiarioFert!E20)</f>
        <v>4.96489304347826</v>
      </c>
      <c r="I21">
        <f>$C$12*(ReDiarioFert!G18+ReDiarioFert!G19+ReDiarioFert!G20)</f>
        <v>9.746737</v>
      </c>
      <c r="K21">
        <f>$C$12*(ReDiarioFert!I18+ReDiarioFert!I19+ReDiarioFert!I20)</f>
        <v>4.3372232191173765</v>
      </c>
      <c r="M21">
        <f>$C$12*(ReDiarioFert!K18+ReDiarioFert!K19+ReDiarioFert!K20)</f>
        <v>8.94014151987994</v>
      </c>
      <c r="O21">
        <f>$C$12*(ReDiarioFert!M18+ReDiarioFert!M19+ReDiarioFert!M20)</f>
        <v>134.28097609756097</v>
      </c>
      <c r="S21">
        <f>((E21/100)*$G$65+(G21/100)*$G$66+(I21/100)*$G$67+(K21/100)*$G$68+(M21/100)*$G$69+(O21)*$G$70+(Q21*$G$71))</f>
        <v>238.92745618263584</v>
      </c>
    </row>
    <row r="22">
      <c r="A22">
        <v>3</v>
      </c>
      <c r="B22">
        <f>B21+3</f>
        <v>15</v>
      </c>
      <c r="C22">
        <f>$I$11+B22</f>
        <v>39829</v>
      </c>
      <c r="E22">
        <f>IF(($C$12*(ReDiarioFert!C21+ReDiarioFert!C22))&lt;=0,"0",($C$12*(ReDiarioFert!C21+ReDiarioFert!C22)))</f>
        <v>2.737369646634938</v>
      </c>
      <c r="G22">
        <f>$C$12*(ReDiarioFert!E21+ReDiarioFert!E22)</f>
        <v>3.3099286956521734</v>
      </c>
      <c r="I22">
        <f>$C$12*(ReDiarioFert!G21+ReDiarioFert!G22)</f>
        <v>6.497824666666666</v>
      </c>
      <c r="K22">
        <f>$C$12*(ReDiarioFert!I21+ReDiarioFert!I22)</f>
        <v>2.8914821460782507</v>
      </c>
      <c r="M22">
        <f>$C$12*(ReDiarioFert!K21+ReDiarioFert!K22)</f>
        <v>5.960094346586628</v>
      </c>
      <c r="O22">
        <f>$C$12*(ReDiarioFert!M21+ReDiarioFert!M22)</f>
        <v>89.5206507317073</v>
      </c>
      <c r="Q22">
        <f>$C$12*Main!$D$63</f>
        <v>20.019999999999996</v>
      </c>
      <c r="S22">
        <f>((E22/100)*$G$65+(G22/100)*$G$66+(I22/100)*$G$67+(K22/100)*$G$68+(M22/100)*$G$69+(O22)*$G$70+(Q22*$G$71))</f>
        <v>215.34097078842387</v>
      </c>
    </row>
    <row r="23">
      <c r="B23">
        <f>B22+2</f>
        <v>17</v>
      </c>
      <c r="C23">
        <f>$I$11+B23</f>
        <v>39831</v>
      </c>
      <c r="E23">
        <f>IF(($C$12*(ReDiarioFert!C23+ReDiarioFert!C24))&lt;=0,"0",($C$12*(ReDiarioFert!C23+ReDiarioFert!C24)))</f>
        <v>3.1935979210740943</v>
      </c>
      <c r="G23">
        <f>$C$12*(ReDiarioFert!E23+ReDiarioFert!E24)</f>
        <v>3.8615834782608687</v>
      </c>
      <c r="I23">
        <f>$C$12*(ReDiarioFert!G23+ReDiarioFert!G24)</f>
        <v>7.580795444444445</v>
      </c>
      <c r="K23">
        <f>$C$12*(ReDiarioFert!I23+ReDiarioFert!I24)</f>
        <v>3.373395837091292</v>
      </c>
      <c r="M23">
        <f>$C$12*(ReDiarioFert!K23+ReDiarioFert!K24)</f>
        <v>6.953443404351065</v>
      </c>
      <c r="O23">
        <f>$C$12*(ReDiarioFert!M23+ReDiarioFert!M24)</f>
        <v>104.44043365853658</v>
      </c>
      <c r="S23">
        <f>((E23/100)*$G$65+(G23/100)*$G$66+(I23/100)*$G$67+(K23/100)*$G$68+(M23/100)*$G$69+(O23)*$G$70+(Q23*$G$71))</f>
        <v>185.83245289868964</v>
      </c>
    </row>
    <row r="24">
      <c r="B24">
        <f>B23+2</f>
        <v>19</v>
      </c>
      <c r="C24">
        <f>$I$11+B24</f>
        <v>39833</v>
      </c>
      <c r="E24">
        <f>IF(($C$12*(ReDiarioFert!C25+ReDiarioFert!C26+ReDiarioFert!C27))&lt;=0,"0",($C$12*(ReDiarioFert!C25+ReDiarioFert!C26+ReDiarioFert!C27)))</f>
        <v>5.4747392932698755</v>
      </c>
      <c r="G24">
        <f>$C$12*(ReDiarioFert!E25+ReDiarioFert!E26+ReDiarioFert!E27)</f>
        <v>6.619857391304347</v>
      </c>
      <c r="I24">
        <f>$C$12*(ReDiarioFert!G25+ReDiarioFert!G26+ReDiarioFert!G27)</f>
        <v>12.995649333333336</v>
      </c>
      <c r="K24">
        <f>$C$12*(ReDiarioFert!I25+ReDiarioFert!I26+ReDiarioFert!I27)</f>
        <v>5.7829642921565005</v>
      </c>
      <c r="M24">
        <f>$C$12*(ReDiarioFert!K25+ReDiarioFert!K26+ReDiarioFert!K27)</f>
        <v>11.920188693173255</v>
      </c>
      <c r="O24">
        <f>$C$12*(ReDiarioFert!M25+ReDiarioFert!M26+ReDiarioFert!M27)</f>
        <v>179.04032487804878</v>
      </c>
      <c r="S24">
        <f>((E24/100)*$G$65+(G24/100)*$G$66+(I24/100)*$G$67+(K24/100)*$G$68+(M24/100)*$G$69+(O24)*$G$70+(Q24*$G$71))</f>
        <v>318.5699025134332</v>
      </c>
    </row>
    <row r="25">
      <c r="A25">
        <v>4</v>
      </c>
      <c r="B25">
        <f>B24+3</f>
        <v>22</v>
      </c>
      <c r="C25">
        <f>$I$11+B25</f>
        <v>39836</v>
      </c>
      <c r="E25">
        <f>IF(($C$12*(ReDiarioFert!C28+ReDiarioFert!C29))&lt;=0,"0",($C$12*(ReDiarioFert!C28+ReDiarioFert!C29)))</f>
        <v>3.6498261955132505</v>
      </c>
      <c r="G25">
        <f>$C$12*(ReDiarioFert!E28+ReDiarioFert!E29)</f>
        <v>4.413238260869565</v>
      </c>
      <c r="I25">
        <f>$C$12*(ReDiarioFert!G28+ReDiarioFert!G29)</f>
        <v>8.663766222222224</v>
      </c>
      <c r="K25">
        <f>$C$12*(ReDiarioFert!I28+ReDiarioFert!I29)</f>
        <v>3.8553095281043337</v>
      </c>
      <c r="M25">
        <f>$C$12*(ReDiarioFert!K28+ReDiarioFert!K29)</f>
        <v>7.946792462115503</v>
      </c>
      <c r="O25">
        <f>$C$12*(ReDiarioFert!M28+ReDiarioFert!M29)</f>
        <v>119.36021658536585</v>
      </c>
      <c r="Q25">
        <f>$C$12*Main!$D$63</f>
        <v>20.019999999999996</v>
      </c>
      <c r="S25">
        <f>((E25/100)*$G$65+(G25/100)*$G$66+(I25/100)*$G$67+(K25/100)*$G$68+(M25/100)*$G$69+(O25)*$G$70+(Q25*$G$71))</f>
        <v>268.4359350089554</v>
      </c>
    </row>
    <row r="26">
      <c r="B26">
        <f>B25+2</f>
        <v>24</v>
      </c>
      <c r="C26">
        <f>$I$11+B26</f>
        <v>39838</v>
      </c>
      <c r="E26">
        <f>IF(($C$12*(ReDiarioFert!C30+ReDiarioFert!C31))&lt;=0,"0",($C$12*(ReDiarioFert!C30+ReDiarioFert!C31)))</f>
        <v>3.6498261955132505</v>
      </c>
      <c r="G26">
        <f>$C$12*(ReDiarioFert!E30+ReDiarioFert!E31)</f>
        <v>4.413238260869565</v>
      </c>
      <c r="I26">
        <f>$C$12*(ReDiarioFert!G30+ReDiarioFert!G31)</f>
        <v>8.663766222222224</v>
      </c>
      <c r="K26">
        <f>$C$12*(ReDiarioFert!I30+ReDiarioFert!I31)</f>
        <v>3.8553095281043337</v>
      </c>
      <c r="M26">
        <f>$C$12*(ReDiarioFert!K30+ReDiarioFert!K31)</f>
        <v>7.946792462115503</v>
      </c>
      <c r="O26">
        <f>$C$12*(ReDiarioFert!M30+ReDiarioFert!M31)</f>
        <v>119.36021658536585</v>
      </c>
      <c r="S26">
        <f>((E26/100)*$G$65+(G26/100)*$G$66+(I26/100)*$G$67+(K26/100)*$G$68+(M26/100)*$G$69+(O26)*$G$70+(Q26*$G$71))</f>
        <v>212.37993500895544</v>
      </c>
    </row>
    <row r="27">
      <c r="B27">
        <f>B26+2</f>
        <v>26</v>
      </c>
      <c r="C27">
        <f>$I$11+B27</f>
        <v>39840</v>
      </c>
      <c r="E27">
        <f>IF(($C$12*(ReDiarioFert!C32+ReDiarioFert!C33+ReDiarioFert!C34))&lt;=0,"0",($C$12*(ReDiarioFert!C32+ReDiarioFert!C33+ReDiarioFert!C34)))</f>
        <v>5.4747392932698755</v>
      </c>
      <c r="G27">
        <f>$C$12*(ReDiarioFert!E32+ReDiarioFert!E33+ReDiarioFert!E34)</f>
        <v>6.619857391304347</v>
      </c>
      <c r="I27">
        <f>$C$12*(ReDiarioFert!G32+ReDiarioFert!G33+ReDiarioFert!G34)</f>
        <v>12.995649333333336</v>
      </c>
      <c r="K27">
        <f>$C$12*(ReDiarioFert!I32+ReDiarioFert!I33+ReDiarioFert!I34)</f>
        <v>5.7829642921565005</v>
      </c>
      <c r="M27">
        <f>$C$12*(ReDiarioFert!K32+ReDiarioFert!K33+ReDiarioFert!K34)</f>
        <v>11.920188693173255</v>
      </c>
      <c r="O27">
        <f>$C$12*(ReDiarioFert!M32+ReDiarioFert!M33+ReDiarioFert!M34)</f>
        <v>179.04032487804878</v>
      </c>
      <c r="S27">
        <f>((E27/100)*$G$65+(G27/100)*$G$66+(I27/100)*$G$67+(K27/100)*$G$68+(M27/100)*$G$69+(O27)*$G$70+(Q27*$G$71))</f>
        <v>318.5699025134332</v>
      </c>
    </row>
    <row r="28">
      <c r="A28">
        <v>5</v>
      </c>
      <c r="B28">
        <f>B27+3</f>
        <v>29</v>
      </c>
      <c r="C28">
        <f>$I$11+B28</f>
        <v>39843</v>
      </c>
      <c r="E28">
        <f>IF(($C$12*(ReDiarioFert!C35+ReDiarioFert!C36))&lt;=0,"0",($C$12*(ReDiarioFert!C35+ReDiarioFert!C36)))</f>
        <v>3.6498261955132505</v>
      </c>
      <c r="G28">
        <f>$C$12*(ReDiarioFert!E35+ReDiarioFert!E36)</f>
        <v>4.413238260869565</v>
      </c>
      <c r="I28">
        <f>$C$12*(ReDiarioFert!G35+ReDiarioFert!G36)</f>
        <v>8.663766222222224</v>
      </c>
      <c r="K28">
        <f>$C$12*(ReDiarioFert!I35+ReDiarioFert!I36)</f>
        <v>3.8553095281043337</v>
      </c>
      <c r="M28">
        <f>$C$12*(ReDiarioFert!K35+ReDiarioFert!K36)</f>
        <v>7.946792462115503</v>
      </c>
      <c r="O28">
        <f>$C$12*(ReDiarioFert!M35+ReDiarioFert!M36)</f>
        <v>119.36021658536585</v>
      </c>
      <c r="Q28">
        <f>$C$12*Main!$D$63</f>
        <v>20.019999999999996</v>
      </c>
      <c r="S28">
        <f>((E28/100)*$G$65+(G28/100)*$G$66+(I28/100)*$G$67+(K28/100)*$G$68+(M28/100)*$G$69+(O28)*$G$70+(Q28*$G$71))</f>
        <v>268.4359350089554</v>
      </c>
    </row>
    <row r="29">
      <c r="B29">
        <f>B28+2</f>
        <v>31</v>
      </c>
      <c r="C29">
        <f>$I$11+B29</f>
        <v>39845</v>
      </c>
      <c r="E29">
        <f>IF(($C$12*(ReDiarioFert!C37+ReDiarioFert!C38))&lt;=0,"0",($C$12*(ReDiarioFert!C37+ReDiarioFert!C38)))</f>
        <v>3.6498261955132505</v>
      </c>
      <c r="G29">
        <f>$C$12*(ReDiarioFert!E37+ReDiarioFert!E38)</f>
        <v>4.413238260869565</v>
      </c>
      <c r="I29">
        <f>$C$12*(ReDiarioFert!G37+ReDiarioFert!G38)</f>
        <v>8.663766222222224</v>
      </c>
      <c r="K29">
        <f>$C$12*(ReDiarioFert!I37+ReDiarioFert!I38)</f>
        <v>3.8553095281043337</v>
      </c>
      <c r="M29">
        <f>$C$12*(ReDiarioFert!K37+ReDiarioFert!K38)</f>
        <v>7.946792462115503</v>
      </c>
      <c r="O29">
        <f>$C$12*(ReDiarioFert!M37+ReDiarioFert!M38)</f>
        <v>119.36021658536585</v>
      </c>
      <c r="S29">
        <f>((E29/100)*$G$65+(G29/100)*$G$66+(I29/100)*$G$67+(K29/100)*$G$68+(M29/100)*$G$69+(O29)*$G$70+(Q29*$G$71))</f>
        <v>212.37993500895544</v>
      </c>
    </row>
    <row r="30">
      <c r="B30">
        <f>B29+2</f>
        <v>33</v>
      </c>
      <c r="C30">
        <f>$I$11+B30</f>
        <v>39847</v>
      </c>
      <c r="E30">
        <f>IF(($C$12*(ReDiarioFert!C39+ReDiarioFert!C40+ReDiarioFert!C41))&lt;=0,"0",($C$12*(ReDiarioFert!C39+ReDiarioFert!C40+ReDiarioFert!C41)))</f>
        <v>8.212108939904814</v>
      </c>
      <c r="G30">
        <f>$C$12*(ReDiarioFert!E39+ReDiarioFert!E40+ReDiarioFert!E41)</f>
        <v>9.92978608695652</v>
      </c>
      <c r="I30">
        <f>$C$12*(ReDiarioFert!G39+ReDiarioFert!G40+ReDiarioFert!G41)</f>
        <v>19.493474</v>
      </c>
      <c r="K30">
        <f>$C$12*(ReDiarioFert!I39+ReDiarioFert!I40+ReDiarioFert!I41)</f>
        <v>8.674446438234753</v>
      </c>
      <c r="M30">
        <f>$C$12*(ReDiarioFert!K39+ReDiarioFert!K40+ReDiarioFert!K41)</f>
        <v>17.88028303975988</v>
      </c>
      <c r="O30">
        <f>$C$12*(ReDiarioFert!M39+ReDiarioFert!M40+ReDiarioFert!M41)</f>
        <v>253.6421692682927</v>
      </c>
      <c r="S30">
        <f>((E30/100)*$G$65+(G30/100)*$G$66+(I30/100)*$G$67+(K30/100)*$G$68+(M30/100)*$G$69+(O30)*$G$70+(Q30*$G$71))</f>
        <v>477.25812104819846</v>
      </c>
    </row>
    <row r="31">
      <c r="A31">
        <v>6</v>
      </c>
      <c r="B31">
        <f>B30+3</f>
        <v>36</v>
      </c>
      <c r="C31">
        <f>$I$11+B31</f>
        <v>39850</v>
      </c>
      <c r="E31">
        <f>IF(($C$12*(ReDiarioFert!C42+ReDiarioFert!C43))&lt;=0,"0",($C$12*(ReDiarioFert!C42+ReDiarioFert!C43)))</f>
        <v>5.474739293269876</v>
      </c>
      <c r="G31">
        <f>$C$12*(ReDiarioFert!E42+ReDiarioFert!E43)</f>
        <v>6.619857391304347</v>
      </c>
      <c r="I31">
        <f>$C$12*(ReDiarioFert!G42+ReDiarioFert!G43)</f>
        <v>12.995649333333333</v>
      </c>
      <c r="K31">
        <f>$C$12*(ReDiarioFert!I42+ReDiarioFert!I43)</f>
        <v>5.782964292156501</v>
      </c>
      <c r="M31">
        <f>$C$12*(ReDiarioFert!K42+ReDiarioFert!K43)</f>
        <v>11.920188693173255</v>
      </c>
      <c r="O31">
        <f>$C$12*(ReDiarioFert!M42+ReDiarioFert!M43)</f>
        <v>169.09477951219515</v>
      </c>
      <c r="Q31">
        <f>$C$12*Main!$D$63</f>
        <v>20.019999999999996</v>
      </c>
      <c r="S31">
        <f>((E31/100)*$G$65+(G31/100)*$G$66+(I31/100)*$G$67+(K31/100)*$G$68+(M31/100)*$G$69+(O31)*$G$70+(Q31*$G$71))</f>
        <v>374.22808069879903</v>
      </c>
    </row>
    <row r="32">
      <c r="B32">
        <f>B31+2</f>
        <v>38</v>
      </c>
      <c r="C32">
        <f>$I$11+B32</f>
        <v>39852</v>
      </c>
      <c r="E32">
        <f>IF(($C$12*(ReDiarioFert!C44+ReDiarioFert!C45))&lt;=0,"0",($C$12*(ReDiarioFert!C44+ReDiarioFert!C45)))</f>
        <v>5.474739293269876</v>
      </c>
      <c r="G32">
        <f>$C$12*(ReDiarioFert!E44+ReDiarioFert!E45)</f>
        <v>6.619857391304347</v>
      </c>
      <c r="I32">
        <f>$C$12*(ReDiarioFert!G44+ReDiarioFert!G45)</f>
        <v>12.995649333333333</v>
      </c>
      <c r="K32">
        <f>$C$12*(ReDiarioFert!I44+ReDiarioFert!I45)</f>
        <v>5.782964292156501</v>
      </c>
      <c r="M32">
        <f>$C$12*(ReDiarioFert!K44+ReDiarioFert!K45)</f>
        <v>11.920188693173255</v>
      </c>
      <c r="O32">
        <f>$C$12*(ReDiarioFert!M44+ReDiarioFert!M45)</f>
        <v>169.09477951219515</v>
      </c>
      <c r="S32">
        <f>((E32/100)*$G$65+(G32/100)*$G$66+(I32/100)*$G$67+(K32/100)*$G$68+(M32/100)*$G$69+(O32)*$G$70+(Q32*$G$71))</f>
        <v>318.17208069879905</v>
      </c>
    </row>
    <row r="33">
      <c r="B33">
        <f>B32+2</f>
        <v>40</v>
      </c>
      <c r="C33">
        <f>$I$11+B33</f>
        <v>39854</v>
      </c>
      <c r="E33">
        <f>IF(($C$12*(ReDiarioFert!C46+ReDiarioFert!C47+ReDiarioFert!C48))&lt;=0,"0",($C$12*(ReDiarioFert!C46+ReDiarioFert!C47+ReDiarioFert!C48)))</f>
        <v>8.212108939904814</v>
      </c>
      <c r="G33">
        <f>$C$12*(ReDiarioFert!E46+ReDiarioFert!E47+ReDiarioFert!E48)</f>
        <v>9.92978608695652</v>
      </c>
      <c r="I33">
        <f>$C$12*(ReDiarioFert!G46+ReDiarioFert!G47+ReDiarioFert!G48)</f>
        <v>19.493474</v>
      </c>
      <c r="K33">
        <f>$C$12*(ReDiarioFert!I46+ReDiarioFert!I47+ReDiarioFert!I48)</f>
        <v>8.674446438234753</v>
      </c>
      <c r="M33">
        <f>$C$12*(ReDiarioFert!K46+ReDiarioFert!K47+ReDiarioFert!K48)</f>
        <v>17.88028303975988</v>
      </c>
      <c r="O33">
        <f>$C$12*(ReDiarioFert!M46+ReDiarioFert!M47+ReDiarioFert!M48)</f>
        <v>253.6421692682927</v>
      </c>
      <c r="S33">
        <f>((E33/100)*$G$65+(G33/100)*$G$66+(I33/100)*$G$67+(K33/100)*$G$68+(M33/100)*$G$69+(O33)*$G$70+(Q33*$G$71))</f>
        <v>477.25812104819846</v>
      </c>
    </row>
    <row r="34">
      <c r="A34">
        <v>7</v>
      </c>
      <c r="B34">
        <f>B33+3</f>
        <v>43</v>
      </c>
      <c r="C34">
        <f>$I$11+B34</f>
        <v>39857</v>
      </c>
      <c r="E34">
        <f>IF(($C$12*(ReDiarioFert!C49+ReDiarioFert!C50))&lt;=0,"0",($C$12*(ReDiarioFert!C49+ReDiarioFert!C50)))</f>
        <v>5.474739293269876</v>
      </c>
      <c r="G34">
        <f>$C$12*(ReDiarioFert!E49+ReDiarioFert!E50)</f>
        <v>6.619857391304347</v>
      </c>
      <c r="I34">
        <f>$C$12*(ReDiarioFert!G49+ReDiarioFert!G50)</f>
        <v>12.995649333333333</v>
      </c>
      <c r="K34">
        <f>$C$12*(ReDiarioFert!I49+ReDiarioFert!I50)</f>
        <v>5.782964292156501</v>
      </c>
      <c r="M34">
        <f>$C$12*(ReDiarioFert!K49+ReDiarioFert!K50)</f>
        <v>11.920188693173255</v>
      </c>
      <c r="O34">
        <f>$C$12*(ReDiarioFert!M49+ReDiarioFert!M50)</f>
        <v>169.09477951219515</v>
      </c>
      <c r="Q34">
        <f>$C$12*Main!$D$63</f>
        <v>20.019999999999996</v>
      </c>
      <c r="S34">
        <f>((E34/100)*$G$65+(G34/100)*$G$66+(I34/100)*$G$67+(K34/100)*$G$68+(M34/100)*$G$69+(O34)*$G$70+(Q34*$G$71))</f>
        <v>374.22808069879903</v>
      </c>
    </row>
    <row r="35">
      <c r="B35">
        <f>B34+2</f>
        <v>45</v>
      </c>
      <c r="C35">
        <f>$I$11+B35</f>
        <v>39859</v>
      </c>
      <c r="E35">
        <f>IF(($C$12*(ReDiarioFert!C51+ReDiarioFert!C52))&lt;=0,"0",($C$12*(ReDiarioFert!C51+ReDiarioFert!C52)))</f>
        <v>5.474739293269876</v>
      </c>
      <c r="G35">
        <f>$C$12*(ReDiarioFert!E51+ReDiarioFert!E52)</f>
        <v>6.619857391304347</v>
      </c>
      <c r="I35">
        <f>$C$12*(ReDiarioFert!G51+ReDiarioFert!G52)</f>
        <v>12.995649333333333</v>
      </c>
      <c r="K35">
        <f>$C$12*(ReDiarioFert!I51+ReDiarioFert!I52)</f>
        <v>5.782964292156501</v>
      </c>
      <c r="M35">
        <f>$C$12*(ReDiarioFert!K51+ReDiarioFert!K52)</f>
        <v>11.920188693173255</v>
      </c>
      <c r="O35">
        <f>$C$12*(ReDiarioFert!M51+ReDiarioFert!M52)</f>
        <v>169.09477951219515</v>
      </c>
      <c r="S35">
        <f>((E35/100)*$G$65+(G35/100)*$G$66+(I35/100)*$G$67+(K35/100)*$G$68+(M35/100)*$G$69+(O35)*$G$70+(Q35*$G$71))</f>
        <v>318.17208069879905</v>
      </c>
    </row>
    <row r="36">
      <c r="B36">
        <f>B35+2</f>
        <v>47</v>
      </c>
      <c r="C36">
        <f>$I$11+B36</f>
        <v>39861</v>
      </c>
      <c r="E36">
        <f>IF(($C$12*(ReDiarioFert!C53+ReDiarioFert!C54+ReDiarioFert!C55))&lt;=0,"0",($C$12*(ReDiarioFert!C53+ReDiarioFert!C54+ReDiarioFert!C55)))</f>
        <v>10.037022037661439</v>
      </c>
      <c r="G36">
        <f>$C$12*(ReDiarioFert!E53+ReDiarioFert!E54+ReDiarioFert!E55)</f>
        <v>12.136405217391301</v>
      </c>
      <c r="I36">
        <f>$C$12*(ReDiarioFert!G53+ReDiarioFert!G54+ReDiarioFert!G55)</f>
        <v>23.825357111111114</v>
      </c>
      <c r="K36">
        <f>$C$12*(ReDiarioFert!I53+ReDiarioFert!I54+ReDiarioFert!I55)</f>
        <v>10.602101202286919</v>
      </c>
      <c r="M36">
        <f>$C$12*(ReDiarioFert!K53+ReDiarioFert!K54+ReDiarioFert!K55)</f>
        <v>21.853679270817633</v>
      </c>
      <c r="O36">
        <f>$C$12*(ReDiarioFert!M53+ReDiarioFert!M54+ReDiarioFert!M55)</f>
        <v>313.3222775609756</v>
      </c>
      <c r="S36">
        <f>((E36/100)*$G$65+(G36/100)*$G$66+(I36/100)*$G$67+(K36/100)*$G$68+(M36/100)*$G$69+(O36)*$G$70+(Q36*$G$71))</f>
        <v>583.4480885526763</v>
      </c>
    </row>
    <row r="37">
      <c r="A37">
        <v>8</v>
      </c>
      <c r="B37">
        <f>B36+3</f>
        <v>50</v>
      </c>
      <c r="C37">
        <f>$I$11+B37</f>
        <v>39864</v>
      </c>
      <c r="E37">
        <f>IF(($C$12*(ReDiarioFert!C56+ReDiarioFert!C57))&lt;=0,"0",($C$12*(ReDiarioFert!C56+ReDiarioFert!C57)))</f>
        <v>7.299652391026501</v>
      </c>
      <c r="G37">
        <f>$C$12*(ReDiarioFert!E56+ReDiarioFert!E57)</f>
        <v>8.82647652173913</v>
      </c>
      <c r="I37">
        <f>$C$12*(ReDiarioFert!G56+ReDiarioFert!G57)</f>
        <v>17.327532444444447</v>
      </c>
      <c r="K37">
        <f>$C$12*(ReDiarioFert!I56+ReDiarioFert!I57)</f>
        <v>7.710619056208667</v>
      </c>
      <c r="M37">
        <f>$C$12*(ReDiarioFert!K56+ReDiarioFert!K57)</f>
        <v>15.893584924231005</v>
      </c>
      <c r="O37">
        <f>$C$12*(ReDiarioFert!M56+ReDiarioFert!M57)</f>
        <v>228.774887804878</v>
      </c>
      <c r="Q37">
        <f>$C$12*Main!$D$63</f>
        <v>20.019999999999996</v>
      </c>
      <c r="S37">
        <f>((E37/100)*$G$65+(G37/100)*$G$66+(I37/100)*$G$67+(K37/100)*$G$68+(M37/100)*$G$69+(O37)*$G$70+(Q37*$G$71))</f>
        <v>480.41804820327667</v>
      </c>
    </row>
    <row r="38">
      <c r="B38">
        <f>B37+2</f>
        <v>52</v>
      </c>
      <c r="C38">
        <f>$I$11+B38</f>
        <v>39866</v>
      </c>
      <c r="E38">
        <f>IF(($C$12*(ReDiarioFert!C58+ReDiarioFert!C59))&lt;=0,"0",($C$12*(ReDiarioFert!C58+ReDiarioFert!C59)))</f>
        <v>7.299652391026501</v>
      </c>
      <c r="G38">
        <f>$C$12*(ReDiarioFert!E58+ReDiarioFert!E59)</f>
        <v>8.82647652173913</v>
      </c>
      <c r="I38">
        <f>$C$12*(ReDiarioFert!G58+ReDiarioFert!G59)</f>
        <v>17.327532444444447</v>
      </c>
      <c r="K38">
        <f>$C$12*(ReDiarioFert!I58+ReDiarioFert!I59)</f>
        <v>7.710619056208667</v>
      </c>
      <c r="M38">
        <f>$C$12*(ReDiarioFert!K58+ReDiarioFert!K59)</f>
        <v>15.893584924231005</v>
      </c>
      <c r="O38">
        <f>$C$12*(ReDiarioFert!M58+ReDiarioFert!M59)</f>
        <v>228.774887804878</v>
      </c>
      <c r="S38">
        <f>((E38/100)*$G$65+(G38/100)*$G$66+(I38/100)*$G$67+(K38/100)*$G$68+(M38/100)*$G$69+(O38)*$G$70+(Q38*$G$71))</f>
        <v>424.3620482032767</v>
      </c>
    </row>
    <row r="39">
      <c r="B39">
        <f>B38+2</f>
        <v>54</v>
      </c>
      <c r="C39">
        <f>$I$11+B39</f>
        <v>39868</v>
      </c>
      <c r="E39">
        <f>IF(($C$12*(ReDiarioFert!C60+ReDiarioFert!C61+ReDiarioFert!C62))&lt;=0,"0",($C$12*(ReDiarioFert!C60+ReDiarioFert!C61+ReDiarioFert!C62)))</f>
        <v>10.949478586539751</v>
      </c>
      <c r="G39">
        <f>$C$12*(ReDiarioFert!E60+ReDiarioFert!E61+ReDiarioFert!E62)</f>
        <v>13.239714782608694</v>
      </c>
      <c r="I39">
        <f>$C$12*(ReDiarioFert!G60+ReDiarioFert!G61+ReDiarioFert!G62)</f>
        <v>25.991298666666673</v>
      </c>
      <c r="K39">
        <f>$C$12*(ReDiarioFert!I60+ReDiarioFert!I61+ReDiarioFert!I62)</f>
        <v>11.565928584313001</v>
      </c>
      <c r="M39">
        <f>$C$12*(ReDiarioFert!K60+ReDiarioFert!K61+ReDiarioFert!K62)</f>
        <v>23.84037738634651</v>
      </c>
      <c r="O39">
        <f>$C$12*(ReDiarioFert!M60+ReDiarioFert!M61+ReDiarioFert!M62)</f>
        <v>343.16233170731704</v>
      </c>
      <c r="S39">
        <f>((E39/100)*$G$65+(G39/100)*$G$66+(I39/100)*$G$67+(K39/100)*$G$68+(M39/100)*$G$69+(O39)*$G$70+(Q39*$G$71))</f>
        <v>636.5430723049151</v>
      </c>
    </row>
    <row r="40">
      <c r="A40">
        <v>9</v>
      </c>
      <c r="B40">
        <f>B39+3</f>
        <v>57</v>
      </c>
      <c r="C40">
        <f>$I$11+B40</f>
        <v>39871</v>
      </c>
      <c r="E40">
        <f>IF(($C$12*(ReDiarioFert!C63+ReDiarioFert!C64))&lt;=0,"0",($C$12*(ReDiarioFert!C63+ReDiarioFert!C64)))</f>
        <v>7.299652391026501</v>
      </c>
      <c r="G40">
        <f>$C$12*(ReDiarioFert!E63+ReDiarioFert!E64)</f>
        <v>8.82647652173913</v>
      </c>
      <c r="I40">
        <f>$C$12*(ReDiarioFert!G63+ReDiarioFert!G64)</f>
        <v>17.327532444444447</v>
      </c>
      <c r="K40">
        <f>$C$12*(ReDiarioFert!I63+ReDiarioFert!I64)</f>
        <v>7.710619056208667</v>
      </c>
      <c r="M40">
        <f>$C$12*(ReDiarioFert!K63+ReDiarioFert!K64)</f>
        <v>15.893584924231005</v>
      </c>
      <c r="O40">
        <f>$C$12*(ReDiarioFert!M63+ReDiarioFert!M64)</f>
        <v>228.774887804878</v>
      </c>
      <c r="Q40">
        <f>$C$12*Main!$D$63</f>
        <v>20.019999999999996</v>
      </c>
      <c r="S40">
        <f>((E40/100)*$G$65+(G40/100)*$G$66+(I40/100)*$G$67+(K40/100)*$G$68+(M40/100)*$G$69+(O40)*$G$70+(Q40*$G$71))</f>
        <v>480.41804820327667</v>
      </c>
    </row>
    <row r="41">
      <c r="B41">
        <f>B40+2</f>
        <v>59</v>
      </c>
      <c r="C41">
        <f>$I$11+B41</f>
        <v>39873</v>
      </c>
      <c r="E41">
        <f>IF(($C$12*(ReDiarioFert!C65+ReDiarioFert!C66))&lt;=0,"0",($C$12*(ReDiarioFert!C65+ReDiarioFert!C66)))</f>
        <v>7.299652391026501</v>
      </c>
      <c r="G41">
        <f>$C$12*(ReDiarioFert!E65+ReDiarioFert!E66)</f>
        <v>8.82647652173913</v>
      </c>
      <c r="I41">
        <f>$C$12*(ReDiarioFert!G65+ReDiarioFert!G66)</f>
        <v>17.327532444444447</v>
      </c>
      <c r="K41">
        <f>$C$12*(ReDiarioFert!I65+ReDiarioFert!I66)</f>
        <v>7.710619056208667</v>
      </c>
      <c r="M41">
        <f>$C$12*(ReDiarioFert!K65+ReDiarioFert!K66)</f>
        <v>15.893584924231005</v>
      </c>
      <c r="O41">
        <f>$C$12*(ReDiarioFert!M65+ReDiarioFert!M66)</f>
        <v>228.774887804878</v>
      </c>
      <c r="S41">
        <f>((E41/100)*$G$65+(G41/100)*$G$66+(I41/100)*$G$67+(K41/100)*$G$68+(M41/100)*$G$69+(O41)*$G$70+(Q41*$G$71))</f>
        <v>424.3620482032767</v>
      </c>
    </row>
    <row r="42">
      <c r="B42">
        <f>B41+2</f>
        <v>61</v>
      </c>
      <c r="C42">
        <f>$I$11+B42</f>
        <v>39875</v>
      </c>
      <c r="E42">
        <f>IF(($C$12*(ReDiarioFert!C67+ReDiarioFert!C68+ReDiarioFert!C69))&lt;=0,"0",($C$12*(ReDiarioFert!C67+ReDiarioFert!C68+ReDiarioFert!C69)))</f>
        <v>11.861935135418062</v>
      </c>
      <c r="G42">
        <f>$C$12*(ReDiarioFert!E67+ReDiarioFert!E68+ReDiarioFert!E69)</f>
        <v>14.343024347826084</v>
      </c>
      <c r="I42">
        <f>$C$12*(ReDiarioFert!G67+ReDiarioFert!G68+ReDiarioFert!G69)</f>
        <v>28.157240222222224</v>
      </c>
      <c r="K42">
        <f>$C$12*(ReDiarioFert!I67+ReDiarioFert!I68+ReDiarioFert!I69)</f>
        <v>12.529755966339085</v>
      </c>
      <c r="M42">
        <f>$C$12*(ReDiarioFert!K67+ReDiarioFert!K68+ReDiarioFert!K69)</f>
        <v>25.827075501875388</v>
      </c>
      <c r="O42">
        <f>$C$12*(ReDiarioFert!M67+ReDiarioFert!M68+ReDiarioFert!M69)</f>
        <v>373.0028741463414</v>
      </c>
      <c r="S42">
        <f>((E42/100)*$G$65+(G42/100)*$G$66+(I42/100)*$G$67+(K42/100)*$G$68+(M42/100)*$G$69+(O42)*$G$70+(Q42*$G$71))</f>
        <v>689.6380755888613</v>
      </c>
    </row>
    <row r="43">
      <c r="A43">
        <v>10</v>
      </c>
      <c r="B43">
        <f>B42+3</f>
        <v>64</v>
      </c>
      <c r="C43">
        <f>$I$11+B43</f>
        <v>39878</v>
      </c>
      <c r="E43">
        <f>IF(($C$12*(ReDiarioFert!C70+ReDiarioFert!C71))&lt;=0,"0",($C$12*(ReDiarioFert!C70+ReDiarioFert!C71)))</f>
        <v>9.124565488783121</v>
      </c>
      <c r="G43">
        <f>$C$12*(ReDiarioFert!E70+ReDiarioFert!E71)</f>
        <v>11.033095652173909</v>
      </c>
      <c r="I43">
        <f>$C$12*(ReDiarioFert!G70+ReDiarioFert!G71)</f>
        <v>21.659415555555558</v>
      </c>
      <c r="K43">
        <f>$C$12*(ReDiarioFert!I70+ReDiarioFert!I71)</f>
        <v>9.638273820260835</v>
      </c>
      <c r="M43">
        <f>$C$12*(ReDiarioFert!K70+ReDiarioFert!K71)</f>
        <v>19.866981155288762</v>
      </c>
      <c r="O43">
        <f>$C$12*(ReDiarioFert!M70+ReDiarioFert!M71)</f>
        <v>288.4559726829268</v>
      </c>
      <c r="Q43">
        <f>$C$12*Main!$D$63</f>
        <v>20.019999999999996</v>
      </c>
      <c r="S43">
        <f>((E43/100)*$G$65+(G43/100)*$G$66+(I43/100)*$G$67+(K43/100)*$G$68+(M43/100)*$G$69+(O43)*$G$70+(Q43*$G$71))</f>
        <v>586.608054771169</v>
      </c>
    </row>
    <row r="44">
      <c r="B44">
        <f>B43+2</f>
        <v>66</v>
      </c>
      <c r="C44">
        <f>$I$11+B44</f>
        <v>39880</v>
      </c>
      <c r="E44">
        <f>IF(($C$12*(ReDiarioFert!C72+ReDiarioFert!C73))&lt;=0,"0",($C$12*(ReDiarioFert!C72+ReDiarioFert!C73)))</f>
        <v>9.124565488783121</v>
      </c>
      <c r="G44">
        <f>$C$12*(ReDiarioFert!E72+ReDiarioFert!E73)</f>
        <v>11.033095652173909</v>
      </c>
      <c r="I44">
        <f>$C$12*(ReDiarioFert!G72+ReDiarioFert!G73)</f>
        <v>21.659415555555558</v>
      </c>
      <c r="K44">
        <f>$C$12*(ReDiarioFert!I72+ReDiarioFert!I73)</f>
        <v>9.638273820260835</v>
      </c>
      <c r="M44">
        <f>$C$12*(ReDiarioFert!K72+ReDiarioFert!K73)</f>
        <v>19.866981155288762</v>
      </c>
      <c r="O44">
        <f>$C$12*(ReDiarioFert!M72+ReDiarioFert!M73)</f>
        <v>288.4559726829268</v>
      </c>
      <c r="S44">
        <f>((E44/100)*$G$65+(G44/100)*$G$66+(I44/100)*$G$67+(K44/100)*$G$68+(M44/100)*$G$69+(O44)*$G$70+(Q44*$G$71))</f>
        <v>530.5520547711691</v>
      </c>
    </row>
    <row r="45">
      <c r="B45">
        <f>B44+2</f>
        <v>68</v>
      </c>
      <c r="C45">
        <f>$I$11+B45</f>
        <v>39882</v>
      </c>
      <c r="E45">
        <f>IF(($C$12*(ReDiarioFert!C74+ReDiarioFert!C75+ReDiarioFert!C76))&lt;=0,"0",($C$12*(ReDiarioFert!C74+ReDiarioFert!C75+ReDiarioFert!C76)))</f>
        <v>13.68684823317468</v>
      </c>
      <c r="G45">
        <f>$C$12*(ReDiarioFert!E74+ReDiarioFert!E75+ReDiarioFert!E76)</f>
        <v>16.549643478260865</v>
      </c>
      <c r="I45">
        <f>$C$12*(ReDiarioFert!G74+ReDiarioFert!G75+ReDiarioFert!G76)</f>
        <v>32.48912333333333</v>
      </c>
      <c r="K45">
        <f>$C$12*(ReDiarioFert!I74+ReDiarioFert!I75+ReDiarioFert!I76)</f>
        <v>14.457410730391253</v>
      </c>
      <c r="M45">
        <f>$C$12*(ReDiarioFert!K74+ReDiarioFert!K75+ReDiarioFert!K76)</f>
        <v>29.800471732933143</v>
      </c>
      <c r="O45">
        <f>$C$12*(ReDiarioFert!M74+ReDiarioFert!M75+ReDiarioFert!M76)</f>
        <v>432.6839590243902</v>
      </c>
      <c r="S45">
        <f>((E45/100)*$G$65+(G45/100)*$G$66+(I45/100)*$G$67+(K45/100)*$G$68+(M45/100)*$G$69+(O45)*$G$70+(Q45*$G$71))</f>
        <v>795.8280821567536</v>
      </c>
    </row>
    <row r="46">
      <c r="A46">
        <v>11</v>
      </c>
      <c r="B46">
        <f>B45+3</f>
        <v>71</v>
      </c>
      <c r="C46">
        <f>$I$11+B46</f>
        <v>39885</v>
      </c>
      <c r="E46">
        <f>IF(($C$12*(ReDiarioFert!C77+ReDiarioFert!C78))&lt;=0,"0",($C$12*(ReDiarioFert!C77+ReDiarioFert!C78)))</f>
        <v>9.124565488783121</v>
      </c>
      <c r="G46">
        <f>$C$12*(ReDiarioFert!E77+ReDiarioFert!E78)</f>
        <v>11.033095652173909</v>
      </c>
      <c r="I46">
        <f>$C$12*(ReDiarioFert!G77+ReDiarioFert!G78)</f>
        <v>21.659415555555558</v>
      </c>
      <c r="K46">
        <f>$C$12*(ReDiarioFert!I77+ReDiarioFert!I78)</f>
        <v>9.638273820260835</v>
      </c>
      <c r="M46">
        <f>$C$12*(ReDiarioFert!K77+ReDiarioFert!K78)</f>
        <v>19.866981155288762</v>
      </c>
      <c r="O46">
        <f>$C$12*(ReDiarioFert!M77+ReDiarioFert!M78)</f>
        <v>288.4559726829268</v>
      </c>
      <c r="Q46">
        <f>$C$12*Main!$D$63</f>
        <v>20.019999999999996</v>
      </c>
      <c r="S46">
        <f>((E46/100)*$G$65+(G46/100)*$G$66+(I46/100)*$G$67+(K46/100)*$G$68+(M46/100)*$G$69+(O46)*$G$70+(Q46*$G$71))</f>
        <v>586.608054771169</v>
      </c>
    </row>
    <row r="47">
      <c r="B47">
        <f>B46+2</f>
        <v>73</v>
      </c>
      <c r="C47">
        <f>$I$11+B47</f>
        <v>39887</v>
      </c>
      <c r="E47">
        <f>IF(($C$12*(ReDiarioFert!C79+ReDiarioFert!C80))&lt;=0,"0",($C$12*(ReDiarioFert!C79+ReDiarioFert!C80)))</f>
        <v>9.124565488783121</v>
      </c>
      <c r="G47">
        <f>$C$12*(ReDiarioFert!E79+ReDiarioFert!E80)</f>
        <v>11.033095652173909</v>
      </c>
      <c r="I47">
        <f>$C$12*(ReDiarioFert!G79+ReDiarioFert!G80)</f>
        <v>21.659415555555558</v>
      </c>
      <c r="K47">
        <f>$C$12*(ReDiarioFert!I79+ReDiarioFert!I80)</f>
        <v>9.638273820260835</v>
      </c>
      <c r="M47">
        <f>$C$12*(ReDiarioFert!K79+ReDiarioFert!K80)</f>
        <v>19.866981155288762</v>
      </c>
      <c r="O47">
        <f>$C$12*(ReDiarioFert!M79+ReDiarioFert!M80)</f>
        <v>288.4559726829268</v>
      </c>
      <c r="S47">
        <f>((E47/100)*$G$65+(G47/100)*$G$66+(I47/100)*$G$67+(K47/100)*$G$68+(M47/100)*$G$69+(O47)*$G$70+(Q47*$G$71))</f>
        <v>530.5520547711691</v>
      </c>
    </row>
    <row r="48">
      <c r="B48">
        <f>B47+2</f>
        <v>75</v>
      </c>
      <c r="C48">
        <f>$I$11+B48</f>
        <v>39889</v>
      </c>
      <c r="E48">
        <f>IF(($C$12*(ReDiarioFert!C81+ReDiarioFert!C82+ReDiarioFert!C83))&lt;=0,"0",($C$12*(ReDiarioFert!C81+ReDiarioFert!C82+ReDiarioFert!C83)))</f>
        <v>13.68684823317468</v>
      </c>
      <c r="G48">
        <f>$C$12*(ReDiarioFert!E81+ReDiarioFert!E82+ReDiarioFert!E83)</f>
        <v>16.549643478260865</v>
      </c>
      <c r="I48">
        <f>$C$12*(ReDiarioFert!G81+ReDiarioFert!G82+ReDiarioFert!G83)</f>
        <v>32.48912333333333</v>
      </c>
      <c r="K48">
        <f>$C$12*(ReDiarioFert!I81+ReDiarioFert!I82+ReDiarioFert!I83)</f>
        <v>14.457410730391253</v>
      </c>
      <c r="M48">
        <f>$C$12*(ReDiarioFert!K81+ReDiarioFert!K82+ReDiarioFert!K83)</f>
        <v>29.800471732933143</v>
      </c>
      <c r="O48">
        <f>$C$12*(ReDiarioFert!M81+ReDiarioFert!M82+ReDiarioFert!M83)</f>
        <v>432.6839590243902</v>
      </c>
      <c r="S48">
        <f>((E48/100)*$G$65+(G48/100)*$G$66+(I48/100)*$G$67+(K48/100)*$G$68+(M48/100)*$G$69+(O48)*$G$70+(Q48*$G$71))</f>
        <v>795.8280821567536</v>
      </c>
    </row>
    <row r="49">
      <c r="A49">
        <v>12</v>
      </c>
      <c r="B49">
        <f>B48+3</f>
        <v>78</v>
      </c>
      <c r="C49">
        <f>$I$11+B49</f>
        <v>39892</v>
      </c>
      <c r="E49">
        <f>IF(($C$12*(ReDiarioFert!C84+ReDiarioFert!C85))&lt;=0,"0",($C$12*(ReDiarioFert!C84+ReDiarioFert!C85)))</f>
        <v>9.124565488783121</v>
      </c>
      <c r="G49">
        <f>$C$12*(ReDiarioFert!E84+ReDiarioFert!E85)</f>
        <v>11.033095652173909</v>
      </c>
      <c r="I49">
        <f>$C$12*(ReDiarioFert!G84+ReDiarioFert!G85)</f>
        <v>21.659415555555558</v>
      </c>
      <c r="K49">
        <f>$C$12*(ReDiarioFert!I84+ReDiarioFert!I85)</f>
        <v>9.638273820260835</v>
      </c>
      <c r="M49">
        <f>$C$12*(ReDiarioFert!K84+ReDiarioFert!K85)</f>
        <v>19.866981155288762</v>
      </c>
      <c r="O49">
        <f>$C$12*(ReDiarioFert!M84+ReDiarioFert!M85)</f>
        <v>288.4559726829268</v>
      </c>
      <c r="Q49">
        <f>$C$12*Main!$D$63</f>
        <v>20.019999999999996</v>
      </c>
      <c r="S49">
        <f>((E49/100)*$G$65+(G49/100)*$G$66+(I49/100)*$G$67+(K49/100)*$G$68+(M49/100)*$G$69+(O49)*$G$70+(Q49*$G$71))</f>
        <v>586.608054771169</v>
      </c>
    </row>
    <row r="50">
      <c r="B50">
        <f>B49+2</f>
        <v>80</v>
      </c>
      <c r="C50">
        <f>$I$11+B50</f>
        <v>39894</v>
      </c>
      <c r="E50">
        <f>IF(($C$12*(ReDiarioFert!C86+ReDiarioFert!C87))&lt;=0,"0",($C$12*(ReDiarioFert!C86+ReDiarioFert!C87)))</f>
        <v>10.037022037661435</v>
      </c>
      <c r="G50">
        <f>$C$12*(ReDiarioFert!E86+ReDiarioFert!E87)</f>
        <v>12.136405217391301</v>
      </c>
      <c r="I50">
        <f>$C$12*(ReDiarioFert!G86+ReDiarioFert!G87)</f>
        <v>23.825357111111114</v>
      </c>
      <c r="K50">
        <f>$C$12*(ReDiarioFert!I86+ReDiarioFert!I87)</f>
        <v>10.602101202286919</v>
      </c>
      <c r="M50">
        <f>$C$12*(ReDiarioFert!K86+ReDiarioFert!K87)</f>
        <v>21.853679270817636</v>
      </c>
      <c r="O50">
        <f>$C$12*(ReDiarioFert!M86+ReDiarioFert!M87)</f>
        <v>318.29602682926827</v>
      </c>
      <c r="S50">
        <f>((E50/100)*$G$65+(G50/100)*$G$66+(I50/100)*$G$67+(K50/100)*$G$68+(M50/100)*$G$69+(O50)*$G$70+(Q50*$G$71))</f>
        <v>583.6470385234079</v>
      </c>
    </row>
    <row r="51">
      <c r="B51">
        <f>B50+2</f>
        <v>82</v>
      </c>
      <c r="C51">
        <f>$I$11+B51</f>
        <v>39896</v>
      </c>
      <c r="E51">
        <f>IF(($C$12*(ReDiarioFert!C88+ReDiarioFert!C89+ReDiarioFert!C90))&lt;=0,"0",($C$12*(ReDiarioFert!C88+ReDiarioFert!C89+ReDiarioFert!C90)))</f>
        <v>16.42421787980963</v>
      </c>
      <c r="G51">
        <f>$C$12*(ReDiarioFert!E88+ReDiarioFert!E89+ReDiarioFert!E90)</f>
        <v>19.85957217391304</v>
      </c>
      <c r="I51">
        <f>$C$12*(ReDiarioFert!G88+ReDiarioFert!G89+ReDiarioFert!G90)</f>
        <v>38.986948</v>
      </c>
      <c r="K51">
        <f>$C$12*(ReDiarioFert!I88+ReDiarioFert!I89+ReDiarioFert!I90)</f>
        <v>17.348892876469506</v>
      </c>
      <c r="M51">
        <f>$C$12*(ReDiarioFert!K88+ReDiarioFert!K89+ReDiarioFert!K90)</f>
        <v>35.76056607951976</v>
      </c>
      <c r="O51">
        <f>$C$12*(ReDiarioFert!M88+ReDiarioFert!M89+ReDiarioFert!M90)</f>
        <v>522.2041214634146</v>
      </c>
      <c r="S51">
        <f>((E51/100)*$G$65+(G51/100)*$G$66+(I51/100)*$G$67+(K51/100)*$G$68+(M51/100)*$G$69+(O51)*$G$70+(Q51*$G$71))</f>
        <v>955.1130334134701</v>
      </c>
    </row>
    <row r="52" ht="18" customHeight="1">
      <c r="A52">
        <v>13</v>
      </c>
      <c r="B52">
        <f>B51+3</f>
        <v>85</v>
      </c>
      <c r="C52">
        <f>$I$11+B52</f>
        <v>39899</v>
      </c>
      <c r="E52">
        <f>IF(($C$12*(ReDiarioFert!C91+ReDiarioFert!C92))&lt;=0,"0",($C$12*(ReDiarioFert!C91+ReDiarioFert!C92)))</f>
        <v>10.949478586539753</v>
      </c>
      <c r="G52">
        <f>$C$12*(ReDiarioFert!E91+ReDiarioFert!E92)</f>
        <v>13.239714782608694</v>
      </c>
      <c r="I52">
        <f>$C$12*(ReDiarioFert!G91+ReDiarioFert!G92)</f>
        <v>25.991298666666665</v>
      </c>
      <c r="K52">
        <f>$C$12*(ReDiarioFert!I91+ReDiarioFert!I92)</f>
        <v>11.565928584313003</v>
      </c>
      <c r="M52">
        <f>$C$12*(ReDiarioFert!K91+ReDiarioFert!K92)</f>
        <v>23.84037738634651</v>
      </c>
      <c r="O52">
        <f>$C$12*(ReDiarioFert!M91+ReDiarioFert!M92)</f>
        <v>348.13608097560973</v>
      </c>
      <c r="Q52">
        <f>$C$12*Main!$D$63</f>
        <v>20.019999999999996</v>
      </c>
      <c r="S52">
        <f>((E52/100)*$G$65+(G52/100)*$G$66+(I52/100)*$G$67+(K52/100)*$G$68+(M52/100)*$G$69+(O52)*$G$70+(Q52*$G$71))</f>
        <v>692.7980222756469</v>
      </c>
    </row>
    <row r="53" ht="18" customHeight="1">
      <c r="B53">
        <f>B52+2</f>
        <v>87</v>
      </c>
      <c r="C53">
        <f>$I$11+B53</f>
        <v>39901</v>
      </c>
      <c r="E53">
        <f>IF(($C$12*(ReDiarioFert!C93+ReDiarioFert!C94))&lt;=0,"0",($C$12*(ReDiarioFert!C93+ReDiarioFert!C94)))</f>
        <v>10.949478586539753</v>
      </c>
      <c r="G53">
        <f>$C$12*(ReDiarioFert!E93+ReDiarioFert!E94)</f>
        <v>13.239714782608694</v>
      </c>
      <c r="I53">
        <f>$C$12*(ReDiarioFert!G93+ReDiarioFert!G94)</f>
        <v>25.991298666666665</v>
      </c>
      <c r="K53">
        <f>$C$12*(ReDiarioFert!I93+ReDiarioFert!I94)</f>
        <v>11.565928584313003</v>
      </c>
      <c r="M53">
        <f>$C$12*(ReDiarioFert!K93+ReDiarioFert!K94)</f>
        <v>23.84037738634651</v>
      </c>
      <c r="O53">
        <f>$C$12*(ReDiarioFert!M93+ReDiarioFert!M94)</f>
        <v>348.13608097560973</v>
      </c>
      <c r="S53">
        <f>((E53/100)*$G$65+(G53/100)*$G$66+(I53/100)*$G$67+(K53/100)*$G$68+(M53/100)*$G$69+(O53)*$G$70+(Q53*$G$71))</f>
        <v>636.7420222756468</v>
      </c>
    </row>
    <row r="54" ht="18" customHeight="1">
      <c r="B54">
        <f>B53+2</f>
        <v>89</v>
      </c>
      <c r="C54">
        <f>$I$11+B54</f>
        <v>39903</v>
      </c>
      <c r="E54">
        <f>IF(($C$12*(ReDiarioFert!C95+ReDiarioFert!C96+ReDiarioFert!C97))&lt;=0,"0",($C$12*(ReDiarioFert!C95+ReDiarioFert!C96+ReDiarioFert!C97)))</f>
        <v>16.42421787980963</v>
      </c>
      <c r="G54">
        <f>$C$12*(ReDiarioFert!E95+ReDiarioFert!E96+ReDiarioFert!E97)</f>
        <v>19.85957217391304</v>
      </c>
      <c r="I54">
        <f>$C$12*(ReDiarioFert!G95+ReDiarioFert!G96+ReDiarioFert!G97)</f>
        <v>38.986948</v>
      </c>
      <c r="K54">
        <f>$C$12*(ReDiarioFert!I95+ReDiarioFert!I96+ReDiarioFert!I97)</f>
        <v>17.348892876469506</v>
      </c>
      <c r="M54">
        <f>$C$12*(ReDiarioFert!K95+ReDiarioFert!K96+ReDiarioFert!K97)</f>
        <v>35.76056607951976</v>
      </c>
      <c r="O54">
        <f>$C$12*(ReDiarioFert!M95+ReDiarioFert!M96+ReDiarioFert!M97)</f>
        <v>522.2041214634146</v>
      </c>
      <c r="S54">
        <f>((E54/100)*$G$65+(G54/100)*$G$66+(I54/100)*$G$67+(K54/100)*$G$68+(M54/100)*$G$69+(O54)*$G$70+(Q54*$G$71))</f>
        <v>955.1130334134701</v>
      </c>
    </row>
    <row r="55">
      <c r="A55">
        <v>14</v>
      </c>
      <c r="B55">
        <f>B54+3</f>
        <v>92</v>
      </c>
      <c r="C55">
        <f>$I$11+B55</f>
        <v>39906</v>
      </c>
      <c r="E55">
        <f>IF(($C$12*(ReDiarioFert!C98+ReDiarioFert!C99))&lt;=0,"0",($C$12*(ReDiarioFert!C98+ReDiarioFert!C99)))</f>
        <v>10.949478586539753</v>
      </c>
      <c r="G55">
        <f>$C$12*(ReDiarioFert!E98+ReDiarioFert!E99)</f>
        <v>13.239714782608694</v>
      </c>
      <c r="I55">
        <f>$C$12*(ReDiarioFert!G98+ReDiarioFert!G99)</f>
        <v>25.991298666666665</v>
      </c>
      <c r="K55">
        <f>$C$12*(ReDiarioFert!I98+ReDiarioFert!I99)</f>
        <v>11.565928584313003</v>
      </c>
      <c r="M55">
        <f>$C$12*(ReDiarioFert!K98+ReDiarioFert!K99)</f>
        <v>23.84037738634651</v>
      </c>
      <c r="O55">
        <f>$C$12*(ReDiarioFert!M98+ReDiarioFert!M99)</f>
        <v>348.13608097560973</v>
      </c>
      <c r="Q55">
        <f>$C$12*Main!$D$63</f>
        <v>20.019999999999996</v>
      </c>
      <c r="S55">
        <f>((E55/100)*$G$65+(G55/100)*$G$66+(I55/100)*$G$67+(K55/100)*$G$68+(M55/100)*$G$69+(O55)*$G$70+(Q55*$G$71))</f>
        <v>692.7980222756469</v>
      </c>
    </row>
    <row r="56">
      <c r="B56">
        <f>B55+2</f>
        <v>94</v>
      </c>
      <c r="C56">
        <f>$I$11+B56</f>
        <v>39908</v>
      </c>
      <c r="E56">
        <f>IF(($C$12*(ReDiarioFert!C100+ReDiarioFert!C101))&lt;=0,"0",($C$12*(ReDiarioFert!C100+ReDiarioFert!C101)))</f>
        <v>10.949478586539753</v>
      </c>
      <c r="G56">
        <f>$C$12*(ReDiarioFert!E100+ReDiarioFert!E101)</f>
        <v>13.239714782608694</v>
      </c>
      <c r="I56">
        <f>$C$12*(ReDiarioFert!G100+ReDiarioFert!G101)</f>
        <v>25.991298666666665</v>
      </c>
      <c r="K56">
        <f>$C$12*(ReDiarioFert!I100+ReDiarioFert!I101)</f>
        <v>11.565928584313003</v>
      </c>
      <c r="M56">
        <f>$C$12*(ReDiarioFert!K100+ReDiarioFert!K101)</f>
        <v>23.84037738634651</v>
      </c>
      <c r="O56">
        <f>$C$12*(ReDiarioFert!M100+ReDiarioFert!M101)</f>
        <v>348.13608097560973</v>
      </c>
      <c r="S56">
        <f>((E56/100)*$G$65+(G56/100)*$G$66+(I56/100)*$G$67+(K56/100)*$G$68+(M56/100)*$G$69+(O56)*$G$70+(Q56*$G$71))</f>
        <v>636.7420222756468</v>
      </c>
    </row>
    <row r="57">
      <c r="B57">
        <f>B56+2</f>
        <v>96</v>
      </c>
      <c r="C57">
        <f>$I$11+B57</f>
        <v>39910</v>
      </c>
      <c r="E57">
        <f>IF(($C$12*(ReDiarioFert!C102+ReDiarioFert!C103+ReDiarioFert!C104))&lt;=0,"0",($C$12*(ReDiarioFert!C102+ReDiarioFert!C103+ReDiarioFert!C104)))</f>
        <v>16.42421787980963</v>
      </c>
      <c r="G57">
        <f>$C$12*(ReDiarioFert!E102+ReDiarioFert!E103+ReDiarioFert!E104)</f>
        <v>19.85957217391304</v>
      </c>
      <c r="I57">
        <f>$C$12*(ReDiarioFert!G102+ReDiarioFert!G103+ReDiarioFert!G104)</f>
        <v>38.986948</v>
      </c>
      <c r="K57">
        <f>$C$12*(ReDiarioFert!I102+ReDiarioFert!I103+ReDiarioFert!I104)</f>
        <v>17.348892876469506</v>
      </c>
      <c r="M57">
        <f>$C$12*(ReDiarioFert!K102+ReDiarioFert!K103+ReDiarioFert!K104)</f>
        <v>35.76056607951976</v>
      </c>
      <c r="O57">
        <f>$C$12*(ReDiarioFert!M102+ReDiarioFert!M103+ReDiarioFert!M104)</f>
        <v>522.2041214634146</v>
      </c>
      <c r="S57">
        <f>((E57/100)*$G$65+(G57/100)*$G$66+(I57/100)*$G$67+(K57/100)*$G$68+(M57/100)*$G$69+(O57)*$G$70+(Q57*$G$71))</f>
        <v>955.1130334134701</v>
      </c>
    </row>
    <row r="58">
      <c r="A58">
        <v>15</v>
      </c>
      <c r="B58">
        <f>B57+3</f>
        <v>99</v>
      </c>
      <c r="C58">
        <f>$I$11+B58</f>
        <v>39913</v>
      </c>
      <c r="E58">
        <f>IF(($C$12*(ReDiarioFert!C105+ReDiarioFert!C106))&lt;=0,"0",($C$12*(ReDiarioFert!C105+ReDiarioFert!C106)))</f>
        <v>10.949478586539753</v>
      </c>
      <c r="G58">
        <f>$C$12*(ReDiarioFert!E105+ReDiarioFert!E106)</f>
        <v>13.239714782608694</v>
      </c>
      <c r="I58">
        <f>$C$12*(ReDiarioFert!G105+ReDiarioFert!G106)</f>
        <v>25.991298666666665</v>
      </c>
      <c r="K58">
        <f>$C$12*(ReDiarioFert!I105+ReDiarioFert!I106)</f>
        <v>11.565928584313003</v>
      </c>
      <c r="M58">
        <f>$C$12*(ReDiarioFert!K105+ReDiarioFert!K106)</f>
        <v>23.84037738634651</v>
      </c>
      <c r="O58">
        <f>$C$12*(ReDiarioFert!M105+ReDiarioFert!M106)</f>
        <v>348.13608097560973</v>
      </c>
      <c r="Q58">
        <f>$C$12*Main!$D$63</f>
        <v>20.019999999999996</v>
      </c>
      <c r="S58">
        <f>((E58/100)*$G$65+(G58/100)*$G$66+(I58/100)*$G$67+(K58/100)*$G$68+(M58/100)*$G$69+(O58)*$G$70+(Q58*$G$71))</f>
        <v>692.7980222756469</v>
      </c>
    </row>
    <row r="59">
      <c r="B59">
        <f>B58+2</f>
        <v>101</v>
      </c>
      <c r="C59">
        <f>$I$11+B59</f>
        <v>39915</v>
      </c>
      <c r="E59">
        <f>IF(($C$12*(ReDiarioFert!C107+ReDiarioFert!C108))&lt;=0,"0",($C$12*(ReDiarioFert!C107+ReDiarioFert!C108)))</f>
        <v>10.949478586539753</v>
      </c>
      <c r="G59">
        <f>$C$12*(ReDiarioFert!E107+ReDiarioFert!E108)</f>
        <v>13.239714782608694</v>
      </c>
      <c r="I59">
        <f>$C$12*(ReDiarioFert!G107+ReDiarioFert!G108)</f>
        <v>25.991298666666665</v>
      </c>
      <c r="K59">
        <f>$C$12*(ReDiarioFert!I107+ReDiarioFert!I108)</f>
        <v>11.565928584313003</v>
      </c>
      <c r="M59">
        <f>$C$12*(ReDiarioFert!K107+ReDiarioFert!K108)</f>
        <v>23.84037738634651</v>
      </c>
      <c r="O59">
        <f>$C$12*(ReDiarioFert!M107+ReDiarioFert!M108)</f>
        <v>348.13608097560973</v>
      </c>
      <c r="S59">
        <f>((E59/100)*$G$65+(G59/100)*$G$66+(I59/100)*$G$67+(K59/100)*$G$68+(M59/100)*$G$69+(O59)*$G$70+(Q59*$G$71))</f>
        <v>636.7420222756468</v>
      </c>
    </row>
    <row r="60">
      <c r="B60">
        <f>B59+2</f>
        <v>103</v>
      </c>
      <c r="C60">
        <f>$I$11+B60</f>
        <v>39917</v>
      </c>
      <c r="E60">
        <f>IF(($C$12*(ReDiarioFert!C109+ReDiarioFert!C110+ReDiarioFert!C111))&lt;=0,"0",($C$12*(ReDiarioFert!C109+ReDiarioFert!C110+ReDiarioFert!C111)))</f>
        <v>16.42421787980963</v>
      </c>
      <c r="G60">
        <f>$C$12*(ReDiarioFert!E109+ReDiarioFert!E110+ReDiarioFert!E111)</f>
        <v>19.85957217391304</v>
      </c>
      <c r="I60">
        <f>$C$12*(ReDiarioFert!G109+ReDiarioFert!G110+ReDiarioFert!G111)</f>
        <v>38.986948</v>
      </c>
      <c r="K60">
        <f>$C$12*(ReDiarioFert!I109+ReDiarioFert!I110+ReDiarioFert!I111)</f>
        <v>17.348892876469506</v>
      </c>
      <c r="M60">
        <f>$C$12*(ReDiarioFert!K109+ReDiarioFert!K110+ReDiarioFert!K111)</f>
        <v>35.76056607951976</v>
      </c>
      <c r="O60">
        <f>$C$12*(ReDiarioFert!M109+ReDiarioFert!M110+ReDiarioFert!M111)</f>
        <v>522.2041214634146</v>
      </c>
      <c r="S60">
        <f>((E60/100)*$G$65+(G60/100)*$G$66+(I60/100)*$G$67+(K60/100)*$G$68+(M60/100)*$G$69+(O60)*$G$70+(Q60*$G$71))</f>
        <v>955.1130334134701</v>
      </c>
    </row>
    <row r="61">
      <c r="C61" t="str">
        <v>Total</v>
      </c>
      <c r="E61">
        <f>SUM(E16:E60)</f>
        <v>360.8765650813726</v>
      </c>
      <c r="G61">
        <f>SUM(G16:G60)</f>
        <v>436.35893304347815</v>
      </c>
      <c r="I61">
        <f>SUM(I16:I60)</f>
        <v>856.6298852222224</v>
      </c>
      <c r="K61">
        <f>SUM(K16:K60)</f>
        <v>381.19372959131596</v>
      </c>
      <c r="M61">
        <f>SUM(M16:M60)</f>
        <v>785.7391046916705</v>
      </c>
      <c r="O61">
        <f>SUM(O16:O60)</f>
        <v>11389.019104878047</v>
      </c>
      <c r="Q61">
        <f>SUM(Q16:Q60)</f>
        <v>300.29999999999984</v>
      </c>
      <c r="S61">
        <f>SUM(S16:S60)</f>
        <v>21823.39718161047</v>
      </c>
    </row>
    <row r="62">
      <c r="D62" t="str">
        <v>OJO cualquier cultivo que no se termine la cosecha en el ultimo día del calendario solo seguir repitiendo la ultima aplicación de fertilizante.</v>
      </c>
    </row>
    <row r="63" ht="39.75" customHeight="1">
      <c r="B63" t="str">
        <v>Producto</v>
      </c>
      <c r="F63" t="str">
        <v>Lbs/Ha</v>
      </c>
      <c r="G63" t="str">
        <v>Costo por qq</v>
      </c>
    </row>
    <row r="64" ht="24" customHeight="1">
      <c r="G64" t="str">
        <f>Main!$E$25</f>
        <v>Lempiras</v>
      </c>
    </row>
    <row r="65">
      <c r="B65" t="str">
        <f>Main!D42</f>
        <v>Urea</v>
      </c>
      <c r="F65">
        <f>E61/C12</f>
        <v>360.5160490323403</v>
      </c>
      <c r="G65">
        <f>Main!D43</f>
        <v>505</v>
      </c>
    </row>
    <row r="66">
      <c r="B66" t="str">
        <f>Main!D32</f>
        <v>DAP 18-46-0</v>
      </c>
      <c r="F66">
        <f>G61/C12</f>
        <v>435.92301003344477</v>
      </c>
      <c r="G66">
        <f>Main!D33</f>
        <v>808</v>
      </c>
    </row>
    <row r="67">
      <c r="B67" t="str">
        <f>Main!D37</f>
        <v>Sulfato de Potasio</v>
      </c>
      <c r="F67">
        <f>I61/C12</f>
        <v>855.7741111111113</v>
      </c>
      <c r="G67">
        <f>Main!D38</f>
        <v>780</v>
      </c>
    </row>
    <row r="68">
      <c r="B68" t="str">
        <f>Main!D47</f>
        <v>Sulfato de Magnesio</v>
      </c>
      <c r="F68">
        <f>K61/C12</f>
        <v>380.8129166746414</v>
      </c>
      <c r="G68">
        <f>Main!D48</f>
        <v>477</v>
      </c>
    </row>
    <row r="69">
      <c r="B69" t="str">
        <f>Main!D52</f>
        <v>Nitrato de Calcio</v>
      </c>
      <c r="F69">
        <f>M61/C12</f>
        <v>784.9541505411295</v>
      </c>
      <c r="G69">
        <f>Main!D53</f>
        <v>850</v>
      </c>
    </row>
    <row r="70">
      <c r="B70" t="str">
        <f>Main!D57</f>
        <v>Solubor</v>
      </c>
      <c r="F70">
        <f>O61/C12</f>
        <v>11377.641463414633</v>
      </c>
      <c r="G70">
        <f>Main!D58</f>
        <v>0.04</v>
      </c>
      <c r="I70" t="str">
        <v xml:space="preserve">Preparado y Autorizado Por </v>
      </c>
    </row>
    <row r="71" ht="18" customHeight="1">
      <c r="B71" t="str">
        <f>Main!D61</f>
        <v>Melaza</v>
      </c>
      <c r="F71">
        <f>Q61/C12</f>
        <v>299.9999999999999</v>
      </c>
      <c r="G71">
        <f>Main!D62</f>
        <v>2.8</v>
      </c>
      <c r="I71" t="str">
        <v>MSc Ricardo D. Lardizábal</v>
      </c>
    </row>
    <row r="72" ht="17.4" customHeight="1">
      <c r="B72" t="str">
        <v>NOTA: El Nitrato de Calcio se debe de diluir en un barril aparte para inyectarse al sistema</v>
      </c>
    </row>
    <row r="75">
      <c r="B75" t="str">
        <v>Abreviaciones usadas</v>
      </c>
    </row>
    <row r="76">
      <c r="B76" t="str">
        <v>Mz.-Manzanas, Ha-Hectáreas, Lbs-Libras, Lts-Litros y DDT-Días después de Trasplante</v>
      </c>
    </row>
  </sheetData>
  <sheetProtection sheet="1"/>
  <mergeCells count="53">
    <mergeCell ref="G70:H70"/>
    <mergeCell ref="I71:Q71"/>
    <mergeCell ref="I9:M9"/>
    <mergeCell ref="I10:M10"/>
    <mergeCell ref="I11:M11"/>
    <mergeCell ref="I12:M12"/>
    <mergeCell ref="I70:Q70"/>
    <mergeCell ref="G71:H71"/>
    <mergeCell ref="F12:H12"/>
    <mergeCell ref="G14:H14"/>
    <mergeCell ref="G65:H65"/>
    <mergeCell ref="G66:H66"/>
    <mergeCell ref="I14:J14"/>
    <mergeCell ref="K14:L14"/>
    <mergeCell ref="G63:H63"/>
    <mergeCell ref="G64:H64"/>
    <mergeCell ref="B14:B15"/>
    <mergeCell ref="C14:D14"/>
    <mergeCell ref="E14:F14"/>
    <mergeCell ref="S14:S15"/>
    <mergeCell ref="M14:N14"/>
    <mergeCell ref="Q14:R14"/>
    <mergeCell ref="O14:P14"/>
    <mergeCell ref="A10:B10"/>
    <mergeCell ref="C10:E10"/>
    <mergeCell ref="C11:E11"/>
    <mergeCell ref="A11:B11"/>
    <mergeCell ref="B68:E68"/>
    <mergeCell ref="B63:E63"/>
    <mergeCell ref="B65:E65"/>
    <mergeCell ref="B66:E66"/>
    <mergeCell ref="B67:E67"/>
    <mergeCell ref="A14:A15"/>
    <mergeCell ref="B69:E69"/>
    <mergeCell ref="B72:I73"/>
    <mergeCell ref="B70:E70"/>
    <mergeCell ref="F9:H9"/>
    <mergeCell ref="G69:H69"/>
    <mergeCell ref="A12:B12"/>
    <mergeCell ref="C12:E12"/>
    <mergeCell ref="G68:H68"/>
    <mergeCell ref="A9:B9"/>
    <mergeCell ref="G67:H67"/>
    <mergeCell ref="B76:S76"/>
    <mergeCell ref="P2:S3"/>
    <mergeCell ref="A8:M8"/>
    <mergeCell ref="P5:S7"/>
    <mergeCell ref="P9:S12"/>
    <mergeCell ref="F10:H10"/>
    <mergeCell ref="F11:H11"/>
    <mergeCell ref="C9:E9"/>
    <mergeCell ref="B75:C75"/>
    <mergeCell ref="B71:E71"/>
  </mergeCells>
  <pageMargins left="0.25" right="0.25" top="0.39" bottom="0.5" header="0.27" footer="0.25"/>
  <ignoredErrors>
    <ignoredError numberStoredAsText="1" sqref="A1:V85"/>
  </ignoredErrors>
  <legacyDrawing r:id="rId1"/>
</worksheet>
</file>

<file path=xl/worksheets/sheet5.xml><?xml version="1.0" encoding="utf-8"?>
<worksheet xmlns="http://schemas.openxmlformats.org/spreadsheetml/2006/main" xmlns:r="http://schemas.openxmlformats.org/officeDocument/2006/relationships">
  <dimension ref="A1:V70"/>
  <sheetViews>
    <sheetView workbookViewId="0" rightToLeft="0"/>
  </sheetViews>
  <sheetData>
    <row r="1" ht="56.4" customHeight="1"/>
    <row r="2" ht="32.7" customHeight="1">
      <c r="P2" t="str">
        <v>Calendario de Fertilización para Goteo 2 Veces Por Semana</v>
      </c>
    </row>
    <row r="3" ht="32.7" customHeight="1"/>
    <row r="5">
      <c r="P5" t="str">
        <f>Main!$E$21</f>
        <v>Tabaco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Habano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39884</v>
      </c>
    </row>
    <row r="13" ht="19.5" customHeight="1"/>
    <row r="14" ht="28.5" customHeight="1">
      <c r="A14" t="str">
        <v>Semana</v>
      </c>
      <c r="B14" t="str">
        <v>DDT</v>
      </c>
      <c r="C14" t="str">
        <v>FECHA</v>
      </c>
      <c r="D14" t="str">
        <v>Seleccioné su opción</v>
      </c>
      <c r="E14" t="str">
        <v>Preventivos</v>
      </c>
      <c r="G14" t="str">
        <f>Main!$D$42</f>
        <v>Urea</v>
      </c>
      <c r="I14" t="str">
        <f>Main!$D$32</f>
        <v>DAP 18-46-0</v>
      </c>
      <c r="K14" t="str">
        <f>Main!$D$37</f>
        <v>Sulfato de Potasio</v>
      </c>
      <c r="M14" t="str">
        <f>Main!$D$47</f>
        <v>Sulfato de Magnesio</v>
      </c>
      <c r="O14" t="str">
        <f>Main!$D$52</f>
        <v>Nitrato de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t="str">
        <f>Main!E57</f>
        <v>Gramos</v>
      </c>
      <c r="R15" t="str">
        <v>Cambios</v>
      </c>
      <c r="S15" t="str">
        <f>Main!$E$61</f>
        <v>Lts</v>
      </c>
    </row>
    <row r="16" ht="18.75" customHeight="1">
      <c r="A16">
        <v>1</v>
      </c>
      <c r="B16">
        <v>3</v>
      </c>
      <c r="C16">
        <f>$J$11+B16</f>
        <v>39817</v>
      </c>
      <c r="E16">
        <f>VLOOKUP(D16,Fertilizantes!$A$49:$E$124,2,FALSE)*$C$12</f>
        <v>0</v>
      </c>
      <c r="F16">
        <f>VLOOKUP(D16,Fertilizantes!$A$49:$E$124,4,FALSE)</f>
        <v>0</v>
      </c>
      <c r="G16">
        <f>IF(((SUM(ReDiarioFert!C7:C13)/2)*$C$12)&lt;=0,"0",(((SUM(ReDiarioFert!C7:C13)/2)*$C$12)))</f>
        <v>3.193597921074094</v>
      </c>
      <c r="I16">
        <f>IF(((SUM(ReDiarioFert!E7:E13)/2)*$C$12)&lt;=0,"0",(((SUM(ReDiarioFert!E7:E13)/2)*$C$12)))</f>
        <v>3.8615834782608696</v>
      </c>
      <c r="K16">
        <f>IF(((SUM(ReDiarioFert!G7:G13)/2)*$C$12)&lt;=0,"0",(((SUM(ReDiarioFert!G7:G13)/2)*$C$12)))</f>
        <v>7.580795444444445</v>
      </c>
      <c r="M16">
        <f>IF(((SUM(ReDiarioFert!I7:I13)/2)*$C$12)&lt;=0,"0",(((SUM(ReDiarioFert!I7:I13)/2)*$C$12)))</f>
        <v>3.373395837091292</v>
      </c>
      <c r="O16">
        <f>IF(((SUM(ReDiarioFert!K7:K13)/2)*$C$12)&lt;=0,"0",(((SUM(ReDiarioFert!K7:K13)/2)*$C$12)))</f>
        <v>6.953443404351065</v>
      </c>
      <c r="Q16">
        <f>IF(((SUM(ReDiarioFert!M7:M13)/2)*$C$12)&lt;=0,"0",(((SUM(ReDiarioFert!M7:M13)/2)*$C$12)))</f>
        <v>87.03377609756097</v>
      </c>
      <c r="S16">
        <f>$C$12*Main!$D$63</f>
        <v>20.019999999999996</v>
      </c>
      <c r="T16">
        <f>((G16/100)*$G$50+(I16/100)*$G$51+(K16/100)*$G$52+(M16/100)*$G$53+(O16/100)*$G$54+(Q16)*$G$55+(S16*$G$56)+(E16*(VLOOKUP(D16,Fertilizantes!$A$49:$E$123,3,FALSE))))</f>
        <v>241.1921865962506</v>
      </c>
    </row>
    <row r="17" ht="18.75" customHeight="1">
      <c r="B17">
        <v>7</v>
      </c>
      <c r="C17">
        <f>$J$11+B17</f>
        <v>39821</v>
      </c>
      <c r="E17">
        <f>VLOOKUP(D17,Fertilizantes!$A$49:$E$124,2,FALSE)*$C$12</f>
        <v>0</v>
      </c>
      <c r="F17">
        <f>VLOOKUP(D17,Fertilizantes!$A$49:$E$124,4,FALSE)</f>
        <v>0</v>
      </c>
      <c r="G17">
        <f>G16</f>
        <v>3.193597921074094</v>
      </c>
      <c r="I17">
        <f>I16</f>
        <v>3.8615834782608696</v>
      </c>
      <c r="K17">
        <f>K16</f>
        <v>7.580795444444445</v>
      </c>
      <c r="M17">
        <f>M16</f>
        <v>3.373395837091292</v>
      </c>
      <c r="O17">
        <f>O16</f>
        <v>6.953443404351065</v>
      </c>
      <c r="Q17">
        <f>Q16</f>
        <v>87.03377609756097</v>
      </c>
      <c r="T17">
        <f>((G17/100)*$G$50+(I17/100)*$G$51+(K17/100)*$G$52+(M17/100)*$G$53+(O17/100)*$G$54+(Q17)*$G$55+(S17*$G$56)+(E17*(VLOOKUP(D17,Fertilizantes!$A$49:$E$123,3,FALSE))))</f>
        <v>185.1361865962506</v>
      </c>
    </row>
    <row r="18">
      <c r="A18">
        <v>2</v>
      </c>
      <c r="B18">
        <f>B17+3</f>
        <v>10</v>
      </c>
      <c r="C18">
        <f>$J$11+B18</f>
        <v>39824</v>
      </c>
      <c r="E18">
        <f>VLOOKUP(D18,Fertilizantes!$A$49:$E$124,2,FALSE)*$C$12</f>
        <v>0</v>
      </c>
      <c r="F18">
        <f>VLOOKUP(D18,Fertilizantes!$A$49:$E$124,4,FALSE)</f>
        <v>0</v>
      </c>
      <c r="G18">
        <f>IF(((SUM(ReDiarioFert!C14:C20)/2)*$C$12)&lt;=0,"0",(((SUM(ReDiarioFert!C14:C20)/2)*$C$12)))</f>
        <v>4.106054469952406</v>
      </c>
      <c r="I18">
        <f>IF(((SUM(ReDiarioFert!E14:E20)/2)*$C$12)&lt;=0,"0",(((SUM(ReDiarioFert!E14:E20)/2)*$C$12)))</f>
        <v>4.96489304347826</v>
      </c>
      <c r="K18">
        <f>IF(((SUM(ReDiarioFert!G14:G20)/2)*$C$12)&lt;=0,"0",(((SUM(ReDiarioFert!G14:G20)/2)*$C$12)))</f>
        <v>9.746737000000001</v>
      </c>
      <c r="M18">
        <f>IF(((SUM(ReDiarioFert!I14:I20)/2)*$C$12)&lt;=0,"0",(((SUM(ReDiarioFert!I14:I20)/2)*$C$12)))</f>
        <v>4.337223219117376</v>
      </c>
      <c r="O18">
        <f>IF(((SUM(ReDiarioFert!K14:K20)/2)*$C$12)&lt;=0,"0",(((SUM(ReDiarioFert!K14:K20)/2)*$C$12)))</f>
        <v>8.94014151987994</v>
      </c>
      <c r="Q18">
        <f>IF(((SUM(ReDiarioFert!M14:M20)/2)*$C$12)&lt;=0,"0",(((SUM(ReDiarioFert!M14:M20)/2)*$C$12)))</f>
        <v>126.82084048780487</v>
      </c>
      <c r="S18">
        <f>$C$12*Main!$D$63</f>
        <v>20.019999999999996</v>
      </c>
      <c r="T18">
        <f>((G18/100)*$G$50+(I18/100)*$G$51+(K18/100)*$G$52+(M18/100)*$G$53+(O18/100)*$G$54+(Q18)*$G$55+(S18*$G$56)+(E18*(VLOOKUP(D18,Fertilizantes!$A$49:$E$123,3,FALSE))))</f>
        <v>294.68505075824555</v>
      </c>
    </row>
    <row r="19">
      <c r="B19">
        <f>B18+4</f>
        <v>14</v>
      </c>
      <c r="C19">
        <f>$J$11+B19</f>
        <v>39828</v>
      </c>
      <c r="E19">
        <f>VLOOKUP(D19,Fertilizantes!$A$49:$E$124,2,FALSE)*$C$12</f>
        <v>0</v>
      </c>
      <c r="F19">
        <f>VLOOKUP(D19,Fertilizantes!$A$49:$E$124,4,FALSE)</f>
        <v>0</v>
      </c>
      <c r="G19">
        <f>G18</f>
        <v>4.106054469952406</v>
      </c>
      <c r="I19">
        <f>I18</f>
        <v>4.96489304347826</v>
      </c>
      <c r="K19">
        <f>K18</f>
        <v>9.746737000000001</v>
      </c>
      <c r="M19">
        <f>M18</f>
        <v>4.337223219117376</v>
      </c>
      <c r="O19">
        <f>O18</f>
        <v>8.94014151987994</v>
      </c>
      <c r="Q19">
        <f>Q18</f>
        <v>126.82084048780487</v>
      </c>
      <c r="T19">
        <f>((G19/100)*$G$50+(I19/100)*$G$51+(K19/100)*$G$52+(M19/100)*$G$53+(O19/100)*$G$54+(Q19)*$G$55+(S19*$G$56)+(E19*(VLOOKUP(D19,Fertilizantes!$A$49:$E$123,3,FALSE))))</f>
        <v>238.62905075824554</v>
      </c>
    </row>
    <row r="20">
      <c r="A20">
        <v>3</v>
      </c>
      <c r="B20">
        <f>B19+3</f>
        <v>17</v>
      </c>
      <c r="C20">
        <f>$J$11+B20</f>
        <v>39831</v>
      </c>
      <c r="E20">
        <f>VLOOKUP(D20,Fertilizantes!$A$49:$E$124,2,FALSE)*$C$12</f>
        <v>0</v>
      </c>
      <c r="F20">
        <f>VLOOKUP(D20,Fertilizantes!$A$49:$E$124,4,FALSE)</f>
        <v>0</v>
      </c>
      <c r="G20">
        <f>IF(((SUM(ReDiarioFert!C21:C27)/2)*$C$12)&lt;=0,"0",(((SUM(ReDiarioFert!C21:C27)/2)*$C$12)))</f>
        <v>5.702853430489454</v>
      </c>
      <c r="I20">
        <f>IF(((SUM(ReDiarioFert!E21:E27)/2)*$C$12)&lt;=0,"0",(((SUM(ReDiarioFert!E21:E27)/2)*$C$12)))</f>
        <v>6.895684782608696</v>
      </c>
      <c r="K20">
        <f>IF(((SUM(ReDiarioFert!G21:G27)/2)*$C$12)&lt;=0,"0",(((SUM(ReDiarioFert!G21:G27)/2)*$C$12)))</f>
        <v>13.537134722222222</v>
      </c>
      <c r="M20">
        <f>IF(((SUM(ReDiarioFert!I21:I27)/2)*$C$12)&lt;=0,"0",(((SUM(ReDiarioFert!I21:I27)/2)*$C$12)))</f>
        <v>6.023921137663022</v>
      </c>
      <c r="O20">
        <f>IF(((SUM(ReDiarioFert!K21:K27)/2)*$C$12)&lt;=0,"0",(((SUM(ReDiarioFert!K21:K27)/2)*$C$12)))</f>
        <v>12.416863222055472</v>
      </c>
      <c r="Q20">
        <f>IF(((SUM(ReDiarioFert!M21:M27)/2)*$C$12)&lt;=0,"0",(((SUM(ReDiarioFert!M21:M27)/2)*$C$12)))</f>
        <v>186.50070463414633</v>
      </c>
      <c r="S20">
        <f>$C$12*Main!$D$63</f>
        <v>20.019999999999996</v>
      </c>
      <c r="T20">
        <f>((G20/100)*$G$50+(I20/100)*$G$51+(K20/100)*$G$52+(M20/100)*$G$53+(O20/100)*$G$54+(Q20)*$G$55+(S20*$G$56)+(E20*(VLOOKUP(D20,Fertilizantes!$A$49:$E$123,3,FALSE))))</f>
        <v>387.8996631002733</v>
      </c>
    </row>
    <row r="21">
      <c r="B21">
        <f>B20+4</f>
        <v>21</v>
      </c>
      <c r="C21">
        <f>$J$11+B21</f>
        <v>39835</v>
      </c>
      <c r="E21">
        <f>VLOOKUP(D21,Fertilizantes!$A$49:$E$124,2,FALSE)*$C$12</f>
        <v>0</v>
      </c>
      <c r="F21">
        <f>VLOOKUP(D21,Fertilizantes!$A$49:$E$124,4,FALSE)</f>
        <v>0</v>
      </c>
      <c r="G21">
        <f>G20</f>
        <v>5.702853430489454</v>
      </c>
      <c r="I21">
        <f>I20</f>
        <v>6.895684782608696</v>
      </c>
      <c r="K21">
        <f>K20</f>
        <v>13.537134722222222</v>
      </c>
      <c r="M21">
        <f>M20</f>
        <v>6.023921137663022</v>
      </c>
      <c r="O21">
        <f>O20</f>
        <v>12.416863222055472</v>
      </c>
      <c r="Q21">
        <f>Q20</f>
        <v>186.50070463414633</v>
      </c>
      <c r="T21">
        <f>((G21/100)*$G$50+(I21/100)*$G$51+(K21/100)*$G$52+(M21/100)*$G$53+(O21/100)*$G$54+(Q21)*$G$55+(S21*$G$56)+(E21*(VLOOKUP(D21,Fertilizantes!$A$49:$E$123,3,FALSE))))</f>
        <v>331.8436631002733</v>
      </c>
    </row>
    <row r="22">
      <c r="A22">
        <v>4</v>
      </c>
      <c r="B22">
        <f>B21+3</f>
        <v>24</v>
      </c>
      <c r="C22">
        <f>$J$11+B22</f>
        <v>39838</v>
      </c>
      <c r="E22">
        <f>VLOOKUP(D22,Fertilizantes!$A$49:$E$124,2,FALSE)*$C$12</f>
        <v>0</v>
      </c>
      <c r="F22">
        <f>VLOOKUP(D22,Fertilizantes!$A$49:$E$124,4,FALSE)</f>
        <v>0</v>
      </c>
      <c r="G22">
        <f>IF(((SUM(ReDiarioFert!C28:C34)/2)*$C$12)&lt;=0,"0",(((SUM(ReDiarioFert!C28:C34)/2)*$C$12)))</f>
        <v>6.387195842148188</v>
      </c>
      <c r="I22">
        <f>IF(((SUM(ReDiarioFert!E28:E34)/2)*$C$12)&lt;=0,"0",(((SUM(ReDiarioFert!E28:E34)/2)*$C$12)))</f>
        <v>7.723166956521739</v>
      </c>
      <c r="K22">
        <f>IF(((SUM(ReDiarioFert!G28:G34)/2)*$C$12)&lt;=0,"0",(((SUM(ReDiarioFert!G28:G34)/2)*$C$12)))</f>
        <v>15.16159088888889</v>
      </c>
      <c r="M22">
        <f>IF(((SUM(ReDiarioFert!I28:I34)/2)*$C$12)&lt;=0,"0",(((SUM(ReDiarioFert!I28:I34)/2)*$C$12)))</f>
        <v>6.746791674182584</v>
      </c>
      <c r="O22">
        <f>IF(((SUM(ReDiarioFert!K28:K34)/2)*$C$12)&lt;=0,"0",(((SUM(ReDiarioFert!K28:K34)/2)*$C$12)))</f>
        <v>13.90688680870213</v>
      </c>
      <c r="Q22">
        <f>IF(((SUM(ReDiarioFert!M28:M34)/2)*$C$12)&lt;=0,"0",(((SUM(ReDiarioFert!M28:M34)/2)*$C$12)))</f>
        <v>208.88037902439024</v>
      </c>
      <c r="S22">
        <f>$C$12*Main!$D$63</f>
        <v>20.019999999999996</v>
      </c>
      <c r="T22">
        <f>((G22/100)*$G$50+(I22/100)*$G$51+(K22/100)*$G$52+(M22/100)*$G$53+(O22/100)*$G$54+(Q22)*$G$55+(S22*$G$56)+(E22*(VLOOKUP(D22,Fertilizantes!$A$49:$E$123,3,FALSE))))</f>
        <v>427.72088626567194</v>
      </c>
    </row>
    <row r="23">
      <c r="B23">
        <f>B22+4</f>
        <v>28</v>
      </c>
      <c r="C23">
        <f>$J$11+B23</f>
        <v>39842</v>
      </c>
      <c r="E23">
        <f>VLOOKUP(D23,Fertilizantes!$A$49:$E$124,2,FALSE)*$C$12</f>
        <v>0</v>
      </c>
      <c r="F23">
        <f>VLOOKUP(D23,Fertilizantes!$A$49:$E$124,4,FALSE)</f>
        <v>0</v>
      </c>
      <c r="G23">
        <f>G22</f>
        <v>6.387195842148188</v>
      </c>
      <c r="I23">
        <f>I22</f>
        <v>7.723166956521739</v>
      </c>
      <c r="K23">
        <f>K22</f>
        <v>15.16159088888889</v>
      </c>
      <c r="M23">
        <f>M22</f>
        <v>6.746791674182584</v>
      </c>
      <c r="O23">
        <f>O22</f>
        <v>13.90688680870213</v>
      </c>
      <c r="Q23">
        <f>Q22</f>
        <v>208.88037902439024</v>
      </c>
      <c r="T23">
        <f>((G23/100)*$G$50+(I23/100)*$G$51+(K23/100)*$G$52+(M23/100)*$G$53+(O23/100)*$G$54+(Q23)*$G$55+(S23*$G$56)+(E23*(VLOOKUP(D23,Fertilizantes!$A$49:$E$123,3,FALSE))))</f>
        <v>371.66488626567195</v>
      </c>
    </row>
    <row r="24">
      <c r="A24">
        <v>5</v>
      </c>
      <c r="B24">
        <f>B23+3</f>
        <v>31</v>
      </c>
      <c r="C24">
        <f>$J$11+B24</f>
        <v>39845</v>
      </c>
      <c r="E24">
        <f>VLOOKUP(D24,Fertilizantes!$A$49:$E$124,2,FALSE)*$C$12</f>
        <v>0</v>
      </c>
      <c r="F24">
        <f>VLOOKUP(D24,Fertilizantes!$A$49:$E$124,4,FALSE)</f>
        <v>0</v>
      </c>
      <c r="G24">
        <f>IF(((SUM(ReDiarioFert!C35:C41)/2)*$C$12)&lt;=0,"0",(((SUM(ReDiarioFert!C35:C41)/2)*$C$12)))</f>
        <v>7.755880665465657</v>
      </c>
      <c r="I24">
        <f>IF(((SUM(ReDiarioFert!E35:E41)/2)*$C$12)&lt;=0,"0",(((SUM(ReDiarioFert!E35:E41)/2)*$C$12)))</f>
        <v>9.378131304347823</v>
      </c>
      <c r="K24">
        <f>IF(((SUM(ReDiarioFert!G35:G41)/2)*$C$12)&lt;=0,"0",(((SUM(ReDiarioFert!G35:G41)/2)*$C$12)))</f>
        <v>18.41050322222222</v>
      </c>
      <c r="M24">
        <f>IF(((SUM(ReDiarioFert!I35:I41)/2)*$C$12)&lt;=0,"0",(((SUM(ReDiarioFert!I35:I41)/2)*$C$12)))</f>
        <v>8.19253274722171</v>
      </c>
      <c r="O24">
        <f>IF(((SUM(ReDiarioFert!K35:K41)/2)*$C$12)&lt;=0,"0",(((SUM(ReDiarioFert!K35:K41)/2)*$C$12)))</f>
        <v>16.886933981995444</v>
      </c>
      <c r="Q24">
        <f>IF(((SUM(ReDiarioFert!M35:M41)/2)*$C$12)&lt;=0,"0",(((SUM(ReDiarioFert!M35:M41)/2)*$C$12)))</f>
        <v>246.18130121951222</v>
      </c>
      <c r="S24">
        <f>$C$12*Main!$D$63</f>
        <v>20.019999999999996</v>
      </c>
      <c r="T24">
        <f>((G24/100)*$G$50+(I24/100)*$G$51+(K24/100)*$G$52+(M24/100)*$G$53+(O24/100)*$G$54+(Q24)*$G$55+(S24*$G$56)+(E24*(VLOOKUP(D24,Fertilizantes!$A$49:$E$123,3,FALSE))))</f>
        <v>507.06499553305457</v>
      </c>
    </row>
    <row r="25">
      <c r="B25">
        <f>B24+4</f>
        <v>35</v>
      </c>
      <c r="C25">
        <f>$J$11+B25</f>
        <v>39849</v>
      </c>
      <c r="E25">
        <f>VLOOKUP(D25,Fertilizantes!$A$49:$E$124,2,FALSE)*$C$12</f>
        <v>0</v>
      </c>
      <c r="F25">
        <f>VLOOKUP(D25,Fertilizantes!$A$49:$E$124,4,FALSE)</f>
        <v>0</v>
      </c>
      <c r="G25">
        <f>G24</f>
        <v>7.755880665465657</v>
      </c>
      <c r="I25">
        <f>I24</f>
        <v>9.378131304347823</v>
      </c>
      <c r="K25">
        <f>K24</f>
        <v>18.41050322222222</v>
      </c>
      <c r="M25">
        <f>M24</f>
        <v>8.19253274722171</v>
      </c>
      <c r="O25">
        <f>O24</f>
        <v>16.886933981995444</v>
      </c>
      <c r="Q25">
        <f>Q24</f>
        <v>246.18130121951222</v>
      </c>
      <c r="T25">
        <f>((G25/100)*$G$50+(I25/100)*$G$51+(K25/100)*$G$52+(M25/100)*$G$53+(O25/100)*$G$54+(Q25)*$G$55+(S25*$G$56)+(E25*(VLOOKUP(D25,Fertilizantes!$A$49:$E$123,3,FALSE))))</f>
        <v>451.0089955330546</v>
      </c>
    </row>
    <row r="26">
      <c r="A26">
        <v>6</v>
      </c>
      <c r="B26">
        <f>B25+3</f>
        <v>38</v>
      </c>
      <c r="C26">
        <f>$J$11+B26</f>
        <v>39852</v>
      </c>
      <c r="E26">
        <f>VLOOKUP(D26,Fertilizantes!$A$49:$E$124,2,FALSE)*$C$12</f>
        <v>0</v>
      </c>
      <c r="F26">
        <f>VLOOKUP(D26,Fertilizantes!$A$49:$E$124,4,FALSE)</f>
        <v>0</v>
      </c>
      <c r="G26">
        <f>IF(((SUM(ReDiarioFert!C42:C48)/2)*$C$12)&lt;=0,"0",(((SUM(ReDiarioFert!C42:C48)/2)*$C$12)))</f>
        <v>9.580793763222283</v>
      </c>
      <c r="I26">
        <f>IF(((SUM(ReDiarioFert!E42:E48)/2)*$C$12)&lt;=0,"0",(((SUM(ReDiarioFert!E42:E48)/2)*$C$12)))</f>
        <v>11.584750434782608</v>
      </c>
      <c r="K26">
        <f>IF(((SUM(ReDiarioFert!G42:G48)/2)*$C$12)&lt;=0,"0",(((SUM(ReDiarioFert!G42:G48)/2)*$C$12)))</f>
        <v>22.742386333333325</v>
      </c>
      <c r="M26">
        <f>IF(((SUM(ReDiarioFert!I42:I48)/2)*$C$12)&lt;=0,"0",(((SUM(ReDiarioFert!I42:I48)/2)*$C$12)))</f>
        <v>10.120187511273878</v>
      </c>
      <c r="O26">
        <f>IF(((SUM(ReDiarioFert!K42:K48)/2)*$C$12)&lt;=0,"0",(((SUM(ReDiarioFert!K42:K48)/2)*$C$12)))</f>
        <v>20.860330213053192</v>
      </c>
      <c r="Q26">
        <f>IF(((SUM(ReDiarioFert!M42:M48)/2)*$C$12)&lt;=0,"0",(((SUM(ReDiarioFert!M42:M48)/2)*$C$12)))</f>
        <v>295.9158641463415</v>
      </c>
      <c r="S26">
        <f>$C$12*Main!$D$63</f>
        <v>20.019999999999996</v>
      </c>
      <c r="T26">
        <f>((G26/100)*$G$50+(I26/100)*$G$51+(K26/100)*$G$52+(M26/100)*$G$53+(O26/100)*$G$54+(Q26)*$G$55+(S26*$G$56)+(E26*(VLOOKUP(D26,Fertilizantes!$A$49:$E$123,3,FALSE))))</f>
        <v>612.857141222898</v>
      </c>
    </row>
    <row r="27">
      <c r="B27">
        <f>B26+4</f>
        <v>42</v>
      </c>
      <c r="C27">
        <f>$J$11+B27</f>
        <v>39856</v>
      </c>
      <c r="E27">
        <f>VLOOKUP(D27,Fertilizantes!$A$49:$E$124,2,FALSE)*$C$12</f>
        <v>0</v>
      </c>
      <c r="F27">
        <f>VLOOKUP(D27,Fertilizantes!$A$49:$E$124,4,FALSE)</f>
        <v>0</v>
      </c>
      <c r="G27">
        <f>G26</f>
        <v>9.580793763222283</v>
      </c>
      <c r="I27">
        <f>I26</f>
        <v>11.584750434782608</v>
      </c>
      <c r="K27">
        <f>K26</f>
        <v>22.742386333333325</v>
      </c>
      <c r="M27">
        <f>M26</f>
        <v>10.120187511273878</v>
      </c>
      <c r="O27">
        <f>O26</f>
        <v>20.860330213053192</v>
      </c>
      <c r="Q27">
        <f>Q26</f>
        <v>295.9158641463415</v>
      </c>
      <c r="T27">
        <f>((G27/100)*$G$50+(I27/100)*$G$51+(K27/100)*$G$52+(M27/100)*$G$53+(O27/100)*$G$54+(Q27)*$G$55+(S27*$G$56)+(E27*(VLOOKUP(D27,Fertilizantes!$A$49:$E$123,3,FALSE))))</f>
        <v>556.8011412228981</v>
      </c>
    </row>
    <row r="28">
      <c r="A28">
        <v>7</v>
      </c>
      <c r="B28">
        <f>B27+3</f>
        <v>45</v>
      </c>
      <c r="C28">
        <f>$J$11+B28</f>
        <v>39859</v>
      </c>
      <c r="E28">
        <f>VLOOKUP(D28,Fertilizantes!$A$49:$E$124,2,FALSE)*$C$12</f>
        <v>0</v>
      </c>
      <c r="F28">
        <f>VLOOKUP(D28,Fertilizantes!$A$49:$E$124,4,FALSE)</f>
        <v>0</v>
      </c>
      <c r="G28">
        <f>IF(((SUM(ReDiarioFert!C49:C55)/2)*$C$12)&lt;=0,"0",(((SUM(ReDiarioFert!C49:C55)/2)*$C$12)))</f>
        <v>10.493250312100596</v>
      </c>
      <c r="I28">
        <f>IF(((SUM(ReDiarioFert!E49:E55)/2)*$C$12)&lt;=0,"0",(((SUM(ReDiarioFert!E49:E55)/2)*$C$12)))</f>
        <v>12.688059999999998</v>
      </c>
      <c r="K28">
        <f>IF(((SUM(ReDiarioFert!G49:G55)/2)*$C$12)&lt;=0,"0",(((SUM(ReDiarioFert!G49:G55)/2)*$C$12)))</f>
        <v>24.908327888888884</v>
      </c>
      <c r="M28">
        <f>IF(((SUM(ReDiarioFert!I49:I55)/2)*$C$12)&lt;=0,"0",(((SUM(ReDiarioFert!I49:I55)/2)*$C$12)))</f>
        <v>11.084014893299962</v>
      </c>
      <c r="O28">
        <f>IF(((SUM(ReDiarioFert!K49:K55)/2)*$C$12)&lt;=0,"0",(((SUM(ReDiarioFert!K49:K55)/2)*$C$12)))</f>
        <v>22.84702832858207</v>
      </c>
      <c r="Q28">
        <f>IF(((SUM(ReDiarioFert!M49:M55)/2)*$C$12)&lt;=0,"0",(((SUM(ReDiarioFert!M49:M55)/2)*$C$12)))</f>
        <v>325.75591829268296</v>
      </c>
      <c r="S28">
        <f>$C$12*Main!$D$63</f>
        <v>20.019999999999996</v>
      </c>
      <c r="T28">
        <f>((G28/100)*$G$50+(I28/100)*$G$51+(K28/100)*$G$52+(M28/100)*$G$53+(O28/100)*$G$54+(Q28)*$G$55+(S28*$G$56)+(E28*(VLOOKUP(D28,Fertilizantes!$A$49:$E$123,3,FALSE))))</f>
        <v>665.9521249751369</v>
      </c>
    </row>
    <row r="29">
      <c r="B29">
        <f>B28+4</f>
        <v>49</v>
      </c>
      <c r="C29">
        <f>$J$11+B29</f>
        <v>39863</v>
      </c>
      <c r="E29">
        <f>VLOOKUP(D29,Fertilizantes!$A$49:$E$124,2,FALSE)*$C$12</f>
        <v>0</v>
      </c>
      <c r="F29">
        <f>VLOOKUP(D29,Fertilizantes!$A$49:$E$124,4,FALSE)</f>
        <v>0</v>
      </c>
      <c r="G29">
        <f>G28</f>
        <v>10.493250312100596</v>
      </c>
      <c r="I29">
        <f>I28</f>
        <v>12.688059999999998</v>
      </c>
      <c r="K29">
        <f>K28</f>
        <v>24.908327888888884</v>
      </c>
      <c r="M29">
        <f>M28</f>
        <v>11.084014893299962</v>
      </c>
      <c r="O29">
        <f>O28</f>
        <v>22.84702832858207</v>
      </c>
      <c r="Q29">
        <f>Q28</f>
        <v>325.75591829268296</v>
      </c>
      <c r="T29">
        <f>((G29/100)*$G$50+(I29/100)*$G$51+(K29/100)*$G$52+(M29/100)*$G$53+(O29/100)*$G$54+(Q29)*$G$55+(S29*$G$56)+(E29*(VLOOKUP(D29,Fertilizantes!$A$49:$E$123,3,FALSE))))</f>
        <v>609.896124975137</v>
      </c>
    </row>
    <row r="30">
      <c r="A30">
        <v>8</v>
      </c>
      <c r="B30">
        <f>B29+3</f>
        <v>52</v>
      </c>
      <c r="C30">
        <f>$J$11+B30</f>
        <v>39866</v>
      </c>
      <c r="E30">
        <f>VLOOKUP(D30,Fertilizantes!$A$49:$E$124,2,FALSE)*$C$12</f>
        <v>0</v>
      </c>
      <c r="F30">
        <f>VLOOKUP(D30,Fertilizantes!$A$49:$E$124,4,FALSE)</f>
        <v>0</v>
      </c>
      <c r="G30">
        <f>IF(((SUM(ReDiarioFert!C56:C62)/2)*$C$12)&lt;=0,"0",(((SUM(ReDiarioFert!C56:C62)/2)*$C$12)))</f>
        <v>12.774391684296376</v>
      </c>
      <c r="I30">
        <f>IF(((SUM(ReDiarioFert!E56:E62)/2)*$C$12)&lt;=0,"0",(((SUM(ReDiarioFert!E56:E62)/2)*$C$12)))</f>
        <v>15.446333913043478</v>
      </c>
      <c r="K30">
        <f>IF(((SUM(ReDiarioFert!G56:G62)/2)*$C$12)&lt;=0,"0",(((SUM(ReDiarioFert!G56:G62)/2)*$C$12)))</f>
        <v>30.32318177777778</v>
      </c>
      <c r="M30">
        <f>IF(((SUM(ReDiarioFert!I56:I62)/2)*$C$12)&lt;=0,"0",(((SUM(ReDiarioFert!I56:I62)/2)*$C$12)))</f>
        <v>13.493583348365169</v>
      </c>
      <c r="O30">
        <f>IF(((SUM(ReDiarioFert!K56:K62)/2)*$C$12)&lt;=0,"0",(((SUM(ReDiarioFert!K56:K62)/2)*$C$12)))</f>
        <v>27.81377361740426</v>
      </c>
      <c r="Q30">
        <f>IF(((SUM(ReDiarioFert!M56:M62)/2)*$C$12)&lt;=0,"0",(((SUM(ReDiarioFert!M56:M62)/2)*$C$12)))</f>
        <v>400.35605365853655</v>
      </c>
      <c r="S30">
        <f>$C$12*Main!$D$63</f>
        <v>20.019999999999996</v>
      </c>
      <c r="T30">
        <f>((G30/100)*$G$50+(I30/100)*$G$51+(K30/100)*$G$52+(M30/100)*$G$53+(O30/100)*$G$54+(Q30)*$G$55+(S30*$G$56)+(E30*(VLOOKUP(D30,Fertilizantes!$A$49:$E$123,3,FALSE))))</f>
        <v>798.689584355734</v>
      </c>
    </row>
    <row r="31">
      <c r="B31">
        <f>B30+4</f>
        <v>56</v>
      </c>
      <c r="C31">
        <f>$J$11+B31</f>
        <v>39870</v>
      </c>
      <c r="E31">
        <f>VLOOKUP(D31,Fertilizantes!$A$49:$E$124,2,FALSE)*$C$12</f>
        <v>0</v>
      </c>
      <c r="F31">
        <f>VLOOKUP(D31,Fertilizantes!$A$49:$E$124,4,FALSE)</f>
        <v>0</v>
      </c>
      <c r="G31">
        <f>G30</f>
        <v>12.774391684296376</v>
      </c>
      <c r="I31">
        <f>I30</f>
        <v>15.446333913043478</v>
      </c>
      <c r="K31">
        <f>K30</f>
        <v>30.32318177777778</v>
      </c>
      <c r="M31">
        <f>M30</f>
        <v>13.493583348365169</v>
      </c>
      <c r="O31">
        <f>O30</f>
        <v>27.81377361740426</v>
      </c>
      <c r="Q31">
        <f>Q30</f>
        <v>400.35605365853655</v>
      </c>
      <c r="T31">
        <f>((G31/100)*$G$50+(I31/100)*$G$51+(K31/100)*$G$52+(M31/100)*$G$53+(O31/100)*$G$54+(Q31)*$G$55+(S31*$G$56)+(E31*(VLOOKUP(D31,Fertilizantes!$A$49:$E$123,3,FALSE))))</f>
        <v>742.6335843557341</v>
      </c>
    </row>
    <row r="32">
      <c r="A32">
        <v>9</v>
      </c>
      <c r="B32">
        <f>B31+3</f>
        <v>59</v>
      </c>
      <c r="C32">
        <f>$J$11+B32</f>
        <v>39873</v>
      </c>
      <c r="E32">
        <f>VLOOKUP(D32,Fertilizantes!$A$49:$E$124,2,FALSE)*$C$12</f>
        <v>0</v>
      </c>
      <c r="F32">
        <f>VLOOKUP(D32,Fertilizantes!$A$49:$E$124,4,FALSE)</f>
        <v>0</v>
      </c>
      <c r="G32">
        <f>IF(((SUM(ReDiarioFert!C63:C69)/2)*$C$12)&lt;=0,"0",(((SUM(ReDiarioFert!C63:C69)/2)*$C$12)))</f>
        <v>13.23061995873553</v>
      </c>
      <c r="I32">
        <f>IF(((SUM(ReDiarioFert!E63:E69)/2)*$C$12)&lt;=0,"0",(((SUM(ReDiarioFert!E63:E69)/2)*$C$12)))</f>
        <v>15.997988695652172</v>
      </c>
      <c r="K32">
        <f>IF(((SUM(ReDiarioFert!G63:G69)/2)*$C$12)&lt;=0,"0",(((SUM(ReDiarioFert!G63:G69)/2)*$C$12)))</f>
        <v>31.406152555555558</v>
      </c>
      <c r="M32">
        <f>IF(((SUM(ReDiarioFert!I63:I69)/2)*$C$12)&lt;=0,"0",(((SUM(ReDiarioFert!I63:I69)/2)*$C$12)))</f>
        <v>13.97549703937821</v>
      </c>
      <c r="O32">
        <f>IF(((SUM(ReDiarioFert!K63:K69)/2)*$C$12)&lt;=0,"0",(((SUM(ReDiarioFert!K63:K69)/2)*$C$12)))</f>
        <v>28.8071226751687</v>
      </c>
      <c r="Q32">
        <f>IF(((SUM(ReDiarioFert!M63:M69)/2)*$C$12)&lt;=0,"0",(((SUM(ReDiarioFert!M63:M69)/2)*$C$12)))</f>
        <v>415.27632487804874</v>
      </c>
      <c r="S32">
        <f>$C$12*Main!$D$63</f>
        <v>20.019999999999996</v>
      </c>
      <c r="T32">
        <f>((G32/100)*$G$50+(I32/100)*$G$51+(K32/100)*$G$52+(M32/100)*$G$53+(O32/100)*$G$54+(Q32)*$G$55+(S32*$G$56)+(E32*(VLOOKUP(D32,Fertilizantes!$A$49:$E$123,3,FALSE))))</f>
        <v>825.2370859977073</v>
      </c>
    </row>
    <row r="33">
      <c r="B33">
        <f>B32+4</f>
        <v>63</v>
      </c>
      <c r="C33">
        <f>$J$11+B33</f>
        <v>39877</v>
      </c>
      <c r="E33">
        <f>VLOOKUP(D33,Fertilizantes!$A$49:$E$124,2,FALSE)*$C$12</f>
        <v>0</v>
      </c>
      <c r="F33">
        <f>VLOOKUP(D33,Fertilizantes!$A$49:$E$124,4,FALSE)</f>
        <v>0</v>
      </c>
      <c r="G33">
        <f>G32</f>
        <v>13.23061995873553</v>
      </c>
      <c r="I33">
        <f>I32</f>
        <v>15.997988695652172</v>
      </c>
      <c r="K33">
        <f>K32</f>
        <v>31.406152555555558</v>
      </c>
      <c r="M33">
        <f>M32</f>
        <v>13.97549703937821</v>
      </c>
      <c r="O33">
        <f>O32</f>
        <v>28.8071226751687</v>
      </c>
      <c r="Q33">
        <f>Q32</f>
        <v>415.27632487804874</v>
      </c>
      <c r="T33">
        <f>((G33/100)*$G$50+(I33/100)*$G$51+(K33/100)*$G$52+(M33/100)*$G$53+(O33/100)*$G$54+(Q33)*$G$55+(S33*$G$56)+(E33*(VLOOKUP(D33,Fertilizantes!$A$49:$E$123,3,FALSE))))</f>
        <v>769.1810859977072</v>
      </c>
    </row>
    <row r="34">
      <c r="A34">
        <v>10</v>
      </c>
      <c r="B34">
        <f>B33+3</f>
        <v>66</v>
      </c>
      <c r="C34">
        <f>$J$11+B34</f>
        <v>39880</v>
      </c>
      <c r="E34">
        <f>VLOOKUP(D34,Fertilizantes!$A$49:$E$124,2,FALSE)*$C$12</f>
        <v>0</v>
      </c>
      <c r="F34">
        <f>VLOOKUP(D34,Fertilizantes!$A$49:$E$124,4,FALSE)</f>
        <v>0</v>
      </c>
      <c r="G34">
        <f>IF(((SUM(ReDiarioFert!C70:C76)/2)*$C$12)&lt;=0,"0",(((SUM(ReDiarioFert!C70:C76)/2)*$C$12)))</f>
        <v>15.967989605370462</v>
      </c>
      <c r="I34">
        <f>IF(((SUM(ReDiarioFert!E70:E76)/2)*$C$12)&lt;=0,"0",(((SUM(ReDiarioFert!E70:E76)/2)*$C$12)))</f>
        <v>19.307917391304336</v>
      </c>
      <c r="K34">
        <f>IF(((SUM(ReDiarioFert!G70:G76)/2)*$C$12)&lt;=0,"0",(((SUM(ReDiarioFert!G70:G76)/2)*$C$12)))</f>
        <v>37.903977222222224</v>
      </c>
      <c r="M34">
        <f>IF(((SUM(ReDiarioFert!I70:I76)/2)*$C$12)&lt;=0,"0",(((SUM(ReDiarioFert!I70:I76)/2)*$C$12)))</f>
        <v>16.86697918545646</v>
      </c>
      <c r="O34">
        <f>IF(((SUM(ReDiarioFert!K70:K76)/2)*$C$12)&lt;=0,"0",(((SUM(ReDiarioFert!K70:K76)/2)*$C$12)))</f>
        <v>34.767217021755336</v>
      </c>
      <c r="Q34">
        <f>IF(((SUM(ReDiarioFert!M70:M76)/2)*$C$12)&lt;=0,"0",(((SUM(ReDiarioFert!M70:M76)/2)*$C$12)))</f>
        <v>504.797952195122</v>
      </c>
      <c r="S34">
        <f>$C$12*Main!$D$63</f>
        <v>20.019999999999996</v>
      </c>
      <c r="T34">
        <f>((G34/100)*$G$50+(I34/100)*$G$51+(K34/100)*$G$52+(M34/100)*$G$53+(O34/100)*$G$54+(Q34)*$G$55+(S34*$G$56)+(E34*(VLOOKUP(D34,Fertilizantes!$A$49:$E$123,3,FALSE))))</f>
        <v>984.5220958495456</v>
      </c>
    </row>
    <row r="35">
      <c r="B35">
        <f>B34+4</f>
        <v>70</v>
      </c>
      <c r="C35">
        <f>$J$11+B35</f>
        <v>39884</v>
      </c>
      <c r="E35">
        <f>VLOOKUP(D35,Fertilizantes!$A$49:$E$124,2,FALSE)*$C$12</f>
        <v>0</v>
      </c>
      <c r="F35">
        <f>VLOOKUP(D35,Fertilizantes!$A$49:$E$124,4,FALSE)</f>
        <v>0</v>
      </c>
      <c r="G35">
        <f>G34</f>
        <v>15.967989605370462</v>
      </c>
      <c r="I35">
        <f>I34</f>
        <v>19.307917391304336</v>
      </c>
      <c r="K35">
        <f>K34</f>
        <v>37.903977222222224</v>
      </c>
      <c r="M35">
        <f>M34</f>
        <v>16.86697918545646</v>
      </c>
      <c r="O35">
        <f>O34</f>
        <v>34.767217021755336</v>
      </c>
      <c r="Q35">
        <f>Q34</f>
        <v>504.797952195122</v>
      </c>
      <c r="T35">
        <f>((G35/100)*$G$50+(I35/100)*$G$51+(K35/100)*$G$52+(M35/100)*$G$53+(O35/100)*$G$54+(Q35)*$G$55+(S35*$G$56)+(E35*(VLOOKUP(D35,Fertilizantes!$A$49:$E$123,3,FALSE))))</f>
        <v>928.4660958495457</v>
      </c>
    </row>
    <row r="36">
      <c r="A36">
        <v>11</v>
      </c>
      <c r="B36">
        <f>B35+3</f>
        <v>73</v>
      </c>
      <c r="C36">
        <f>$J$11+B36</f>
        <v>39887</v>
      </c>
      <c r="E36">
        <f>VLOOKUP(D36,Fertilizantes!$A$49:$E$124,2,FALSE)*$C$12</f>
        <v>0</v>
      </c>
      <c r="F36">
        <f>VLOOKUP(D36,Fertilizantes!$A$49:$E$124,4,FALSE)</f>
        <v>0</v>
      </c>
      <c r="G36">
        <f>IF(((SUM(ReDiarioFert!C77:C83)/2)*$C$12)&lt;=0,"0",(((SUM(ReDiarioFert!C77:C83)/2)*$C$12)))</f>
        <v>15.967989605370462</v>
      </c>
      <c r="I36">
        <f>IF(((SUM(ReDiarioFert!E77:E83)/2)*$C$12)&lt;=0,"0",(((SUM(ReDiarioFert!E77:E83)/2)*$C$12)))</f>
        <v>19.307917391304336</v>
      </c>
      <c r="K36">
        <f>IF(((SUM(ReDiarioFert!G77:G83)/2)*$C$12)&lt;=0,"0",(((SUM(ReDiarioFert!G77:G83)/2)*$C$12)))</f>
        <v>37.903977222222224</v>
      </c>
      <c r="M36">
        <f>IF(((SUM(ReDiarioFert!I77:I83)/2)*$C$12)&lt;=0,"0",(((SUM(ReDiarioFert!I77:I83)/2)*$C$12)))</f>
        <v>16.86697918545646</v>
      </c>
      <c r="O36">
        <f>IF(((SUM(ReDiarioFert!K77:K83)/2)*$C$12)&lt;=0,"0",(((SUM(ReDiarioFert!K77:K83)/2)*$C$12)))</f>
        <v>34.767217021755336</v>
      </c>
      <c r="Q36">
        <f>IF(((SUM(ReDiarioFert!M77:M83)/2)*$C$12)&lt;=0,"0",(((SUM(ReDiarioFert!M77:M83)/2)*$C$12)))</f>
        <v>504.797952195122</v>
      </c>
      <c r="S36">
        <f>$C$12*Main!$D$63</f>
        <v>20.019999999999996</v>
      </c>
      <c r="T36">
        <f>((G36/100)*$G$50+(I36/100)*$G$51+(K36/100)*$G$52+(M36/100)*$G$53+(O36/100)*$G$54+(Q36)*$G$55+(S36*$G$56)+(E36*(VLOOKUP(D36,Fertilizantes!$A$49:$E$123,3,FALSE))))</f>
        <v>984.5220958495456</v>
      </c>
    </row>
    <row r="37">
      <c r="B37">
        <f>B36+4</f>
        <v>77</v>
      </c>
      <c r="C37">
        <f>$J$11+B37</f>
        <v>39891</v>
      </c>
      <c r="E37">
        <f>VLOOKUP(D37,Fertilizantes!$A$49:$E$124,2,FALSE)*$C$12</f>
        <v>0</v>
      </c>
      <c r="F37">
        <f>VLOOKUP(D37,Fertilizantes!$A$49:$E$124,4,FALSE)</f>
        <v>0</v>
      </c>
      <c r="G37">
        <f>G36</f>
        <v>15.967989605370462</v>
      </c>
      <c r="I37">
        <f>I36</f>
        <v>19.307917391304336</v>
      </c>
      <c r="K37">
        <f>K36</f>
        <v>37.903977222222224</v>
      </c>
      <c r="M37">
        <f>M36</f>
        <v>16.86697918545646</v>
      </c>
      <c r="O37">
        <f>O36</f>
        <v>34.767217021755336</v>
      </c>
      <c r="Q37">
        <f>Q36</f>
        <v>504.797952195122</v>
      </c>
      <c r="T37">
        <f>((G37/100)*$G$50+(I37/100)*$G$51+(K37/100)*$G$52+(M37/100)*$G$53+(O37/100)*$G$54+(Q37)*$G$55+(S37*$G$56)+(E37*(VLOOKUP(D37,Fertilizantes!$A$49:$E$123,3,FALSE))))</f>
        <v>928.4660958495457</v>
      </c>
    </row>
    <row r="38">
      <c r="A38">
        <v>12</v>
      </c>
      <c r="B38">
        <f>B37+3</f>
        <v>80</v>
      </c>
      <c r="C38">
        <f>$J$11+B38</f>
        <v>39894</v>
      </c>
      <c r="E38">
        <f>VLOOKUP(D38,Fertilizantes!$A$49:$E$124,2,FALSE)*$C$12</f>
        <v>0</v>
      </c>
      <c r="F38">
        <f>VLOOKUP(D38,Fertilizantes!$A$49:$E$124,4,FALSE)</f>
        <v>0</v>
      </c>
      <c r="G38">
        <f>IF(((SUM(ReDiarioFert!C84:C90)/2)*$C$12)&lt;=0,"0",(((SUM(ReDiarioFert!C84:C90)/2)*$C$12)))</f>
        <v>17.792902703127094</v>
      </c>
      <c r="I38">
        <f>IF(((SUM(ReDiarioFert!E84:E90)/2)*$C$12)&lt;=0,"0",(((SUM(ReDiarioFert!E84:E90)/2)*$C$12)))</f>
        <v>21.514536521739124</v>
      </c>
      <c r="K38">
        <f>IF(((SUM(ReDiarioFert!G84:G90)/2)*$C$12)&lt;=0,"0",(((SUM(ReDiarioFert!G84:G90)/2)*$C$12)))</f>
        <v>42.235860333333335</v>
      </c>
      <c r="M38">
        <f>IF(((SUM(ReDiarioFert!I84:I90)/2)*$C$12)&lt;=0,"0",(((SUM(ReDiarioFert!I84:I90)/2)*$C$12)))</f>
        <v>18.79463394950863</v>
      </c>
      <c r="O38">
        <f>IF(((SUM(ReDiarioFert!K84:K90)/2)*$C$12)&lt;=0,"0",(((SUM(ReDiarioFert!K84:K90)/2)*$C$12)))</f>
        <v>38.740613252813084</v>
      </c>
      <c r="Q38">
        <f>IF(((SUM(ReDiarioFert!M84:M90)/2)*$C$12)&lt;=0,"0",(((SUM(ReDiarioFert!M84:M90)/2)*$C$12)))</f>
        <v>564.4780604878048</v>
      </c>
      <c r="S38">
        <f>$C$12*Main!$D$63</f>
        <v>20.019999999999996</v>
      </c>
      <c r="T38">
        <f>((G38/100)*$G$50+(I38/100)*$G$51+(K38/100)*$G$52+(M38/100)*$G$53+(O38/100)*$G$54+(Q38)*$G$55+(S38*$G$56)+(E38*(VLOOKUP(D38,Fertilizantes!$A$49:$E$123,3,FALSE))))</f>
        <v>1090.7120633540237</v>
      </c>
    </row>
    <row r="39">
      <c r="B39">
        <f>B38+4</f>
        <v>84</v>
      </c>
      <c r="C39">
        <f>$J$11+B39</f>
        <v>39898</v>
      </c>
      <c r="E39">
        <f>VLOOKUP(D39,Fertilizantes!$A$49:$E$124,2,FALSE)*$C$12</f>
        <v>0</v>
      </c>
      <c r="F39">
        <f>VLOOKUP(D39,Fertilizantes!$A$49:$E$124,4,FALSE)</f>
        <v>0</v>
      </c>
      <c r="G39">
        <f>G38</f>
        <v>17.792902703127094</v>
      </c>
      <c r="I39">
        <f>I38</f>
        <v>21.514536521739124</v>
      </c>
      <c r="K39">
        <f>K38</f>
        <v>42.235860333333335</v>
      </c>
      <c r="M39">
        <f>M38</f>
        <v>18.79463394950863</v>
      </c>
      <c r="O39">
        <f>O38</f>
        <v>38.740613252813084</v>
      </c>
      <c r="Q39">
        <f>Q38</f>
        <v>564.4780604878048</v>
      </c>
      <c r="T39">
        <f>((G39/100)*$G$50+(I39/100)*$G$51+(K39/100)*$G$52+(M39/100)*$G$53+(O39/100)*$G$54+(Q39)*$G$55+(S39*$G$56)+(E39*(VLOOKUP(D39,Fertilizantes!$A$49:$E$123,3,FALSE))))</f>
        <v>1034.6560633540237</v>
      </c>
    </row>
    <row r="40" ht="18" customHeight="1">
      <c r="A40">
        <v>13</v>
      </c>
      <c r="B40">
        <f>B39+3</f>
        <v>87</v>
      </c>
      <c r="C40">
        <f>$J$11+B40</f>
        <v>39901</v>
      </c>
      <c r="E40">
        <f>VLOOKUP(D40,Fertilizantes!$A$49:$E$124,2,FALSE)*$C$12</f>
        <v>0</v>
      </c>
      <c r="F40">
        <f>VLOOKUP(D40,Fertilizantes!$A$49:$E$124,4,FALSE)</f>
        <v>0</v>
      </c>
      <c r="G40">
        <f>IF(((SUM(ReDiarioFert!C91:C97)/2)*$C$12)&lt;=0,"0",(((SUM(ReDiarioFert!C91:C97)/2)*$C$12)))</f>
        <v>19.161587526444567</v>
      </c>
      <c r="I40">
        <f>IF(((SUM(ReDiarioFert!E91:E97)/2)*$C$12)&lt;=0,"0",(((SUM(ReDiarioFert!E91:E97)/2)*$C$12)))</f>
        <v>23.169500869565216</v>
      </c>
      <c r="K40">
        <f>IF(((SUM(ReDiarioFert!G91:G97)/2)*$C$12)&lt;=0,"0",(((SUM(ReDiarioFert!G91:G97)/2)*$C$12)))</f>
        <v>45.48477266666665</v>
      </c>
      <c r="M40">
        <f>IF(((SUM(ReDiarioFert!I91:I97)/2)*$C$12)&lt;=0,"0",(((SUM(ReDiarioFert!I91:I97)/2)*$C$12)))</f>
        <v>20.240375022547756</v>
      </c>
      <c r="O40">
        <f>IF(((SUM(ReDiarioFert!K91:K97)/2)*$C$12)&lt;=0,"0",(((SUM(ReDiarioFert!K91:K97)/2)*$C$12)))</f>
        <v>41.720660426106384</v>
      </c>
      <c r="Q40">
        <f>IF(((SUM(ReDiarioFert!M91:M97)/2)*$C$12)&lt;=0,"0",(((SUM(ReDiarioFert!M91:M97)/2)*$C$12)))</f>
        <v>609.2381417073171</v>
      </c>
      <c r="S40">
        <f>$C$12*Main!$D$63</f>
        <v>20.019999999999996</v>
      </c>
      <c r="T40">
        <f>((G40/100)*$G$50+(I40/100)*$G$51+(K40/100)*$G$52+(M40/100)*$G$53+(O40/100)*$G$54+(Q40)*$G$55+(S40*$G$56)+(E40*(VLOOKUP(D40,Fertilizantes!$A$49:$E$123,3,FALSE))))</f>
        <v>1170.3545389823817</v>
      </c>
    </row>
    <row r="41" ht="18" customHeight="1">
      <c r="B41">
        <f>B40+4</f>
        <v>91</v>
      </c>
      <c r="C41">
        <f>$J$11+B41</f>
        <v>39905</v>
      </c>
      <c r="E41">
        <f>VLOOKUP(D41,Fertilizantes!$A$49:$E$124,2,FALSE)*$C$12</f>
        <v>0</v>
      </c>
      <c r="F41">
        <f>VLOOKUP(D41,Fertilizantes!$A$49:$E$124,4,FALSE)</f>
        <v>0</v>
      </c>
      <c r="G41">
        <f>G40</f>
        <v>19.161587526444567</v>
      </c>
      <c r="I41">
        <f>I40</f>
        <v>23.169500869565216</v>
      </c>
      <c r="K41">
        <f>K40</f>
        <v>45.48477266666665</v>
      </c>
      <c r="M41">
        <f>M40</f>
        <v>20.240375022547756</v>
      </c>
      <c r="O41">
        <f>O40</f>
        <v>41.720660426106384</v>
      </c>
      <c r="Q41">
        <f>Q40</f>
        <v>609.2381417073171</v>
      </c>
      <c r="T41">
        <f>((G41/100)*$G$50+(I41/100)*$G$51+(K41/100)*$G$52+(M41/100)*$G$53+(O41/100)*$G$54+(Q41)*$G$55+(S41*$G$56)+(E41*(VLOOKUP(D41,Fertilizantes!$A$49:$E$123,3,FALSE))))</f>
        <v>1114.2985389823816</v>
      </c>
    </row>
    <row r="42">
      <c r="A42">
        <v>14</v>
      </c>
      <c r="B42">
        <f>B41+3</f>
        <v>94</v>
      </c>
      <c r="C42">
        <f>$J$11+B42</f>
        <v>39908</v>
      </c>
      <c r="E42">
        <f>VLOOKUP(D42,Fertilizantes!$A$49:$E$124,2,FALSE)*$C$12</f>
        <v>0</v>
      </c>
      <c r="F42">
        <f>VLOOKUP(D42,Fertilizantes!$A$49:$E$124,4,FALSE)</f>
        <v>0</v>
      </c>
      <c r="G42">
        <f>IF(((SUM(ReDiarioFert!C98:C104)/2)*$C$12)&lt;=0,"0",(((SUM(ReDiarioFert!C98:C104)/2)*$C$12)))</f>
        <v>19.161587526444567</v>
      </c>
      <c r="I42">
        <f>IF(((SUM(ReDiarioFert!E98:E104)/2)*$C$12)&lt;=0,"0",(((SUM(ReDiarioFert!E98:E104)/2)*$C$12)))</f>
        <v>23.169500869565216</v>
      </c>
      <c r="K42">
        <f>IF(((SUM(ReDiarioFert!G98:G104)/2)*$C$12)&lt;=0,"0",(((SUM(ReDiarioFert!G98:G104)/2)*$C$12)))</f>
        <v>45.48477266666665</v>
      </c>
      <c r="M42">
        <f>IF(((SUM(ReDiarioFert!I98:I104)/2)*$C$12)&lt;=0,"0",(((SUM(ReDiarioFert!I98:I104)/2)*$C$12)))</f>
        <v>20.240375022547756</v>
      </c>
      <c r="O42">
        <f>IF(((SUM(ReDiarioFert!K98:K104)/2)*$C$12)&lt;=0,"0",(((SUM(ReDiarioFert!K98:K104)/2)*$C$12)))</f>
        <v>41.720660426106384</v>
      </c>
      <c r="Q42">
        <f>IF(((SUM(ReDiarioFert!M98:M104)/2)*$C$12)&lt;=0,"0",(((SUM(ReDiarioFert!M98:M104)/2)*$C$12)))</f>
        <v>609.2381417073171</v>
      </c>
      <c r="S42">
        <f>$C$12*Main!$D$63</f>
        <v>20.019999999999996</v>
      </c>
      <c r="T42">
        <f>((G42/100)*$G$50+(I42/100)*$G$51+(K42/100)*$G$52+(M42/100)*$G$53+(O42/100)*$G$54+(Q42)*$G$55+(S42*$G$56)+(E42*(VLOOKUP(D42,Fertilizantes!$A$49:$E$123,3,FALSE))))</f>
        <v>1170.3545389823817</v>
      </c>
    </row>
    <row r="43">
      <c r="B43">
        <f>B42+4</f>
        <v>98</v>
      </c>
      <c r="C43">
        <f>$J$11+B43</f>
        <v>39912</v>
      </c>
      <c r="E43">
        <f>VLOOKUP(D43,Fertilizantes!$A$49:$E$124,2,FALSE)*$C$12</f>
        <v>0</v>
      </c>
      <c r="F43">
        <f>VLOOKUP(D43,Fertilizantes!$A$49:$E$124,4,FALSE)</f>
        <v>0</v>
      </c>
      <c r="G43">
        <f>G42</f>
        <v>19.161587526444567</v>
      </c>
      <c r="I43">
        <f>I42</f>
        <v>23.169500869565216</v>
      </c>
      <c r="K43">
        <f>K42</f>
        <v>45.48477266666665</v>
      </c>
      <c r="M43">
        <f>M42</f>
        <v>20.240375022547756</v>
      </c>
      <c r="O43">
        <f>O42</f>
        <v>41.720660426106384</v>
      </c>
      <c r="Q43">
        <f>Q42</f>
        <v>609.2381417073171</v>
      </c>
      <c r="T43">
        <f>((G43/100)*$G$50+(I43/100)*$G$51+(K43/100)*$G$52+(M43/100)*$G$53+(O43/100)*$G$54+(Q43)*$G$55+(S43*$G$56)+(E43*(VLOOKUP(D43,Fertilizantes!$A$49:$E$123,3,FALSE))))</f>
        <v>1114.2985389823816</v>
      </c>
    </row>
    <row r="44">
      <c r="A44">
        <v>15</v>
      </c>
      <c r="B44">
        <f>B43+3</f>
        <v>101</v>
      </c>
      <c r="C44">
        <f>$J$11+B44</f>
        <v>39915</v>
      </c>
      <c r="E44">
        <f>VLOOKUP(D44,Fertilizantes!$A$49:$E$124,2,FALSE)*$C$12</f>
        <v>0</v>
      </c>
      <c r="F44">
        <f>VLOOKUP(D44,Fertilizantes!$A$49:$E$124,4,FALSE)</f>
        <v>0</v>
      </c>
      <c r="G44">
        <f>IF(((SUM(ReDiarioFert!C105:C111)/2)*$C$12)&lt;=0,"0",(((SUM(ReDiarioFert!C105:C111)/2)*$C$12)))</f>
        <v>19.161587526444567</v>
      </c>
      <c r="I44">
        <f>IF(((SUM(ReDiarioFert!E105:E111)/2)*$C$12)&lt;=0,"0",(((SUM(ReDiarioFert!E105:E111)/2)*$C$12)))</f>
        <v>23.169500869565216</v>
      </c>
      <c r="K44">
        <f>IF(((SUM(ReDiarioFert!G105:G111)/2)*$C$12)&lt;=0,"0",(((SUM(ReDiarioFert!G105:G111)/2)*$C$12)))</f>
        <v>45.48477266666665</v>
      </c>
      <c r="M44">
        <f>IF(((SUM(ReDiarioFert!I105:I111)/2)*$C$12)&lt;=0,"0",(((SUM(ReDiarioFert!I105:I111)/2)*$C$12)))</f>
        <v>20.240375022547756</v>
      </c>
      <c r="O44">
        <f>IF(((SUM(ReDiarioFert!K105:K111)/2)*$C$12)&lt;=0,"0",(((SUM(ReDiarioFert!K105:K111)/2)*$C$12)))</f>
        <v>41.720660426106384</v>
      </c>
      <c r="Q44">
        <f>IF(((SUM(ReDiarioFert!M105:M111)/2)*$C$12)&lt;=0,"0",(((SUM(ReDiarioFert!M105:M111)/2)*$C$12)))</f>
        <v>609.2381417073171</v>
      </c>
      <c r="S44">
        <f>$C$12*Main!$D$63</f>
        <v>20.019999999999996</v>
      </c>
      <c r="T44">
        <f>((G44/100)*$G$50+(I44/100)*$G$51+(K44/100)*$G$52+(M44/100)*$G$53+(O44/100)*$G$54+(Q44)*$G$55+(S44*$G$56)+(E44*(VLOOKUP(D44,Fertilizantes!$A$49:$E$123,3,FALSE))))</f>
        <v>1170.3545389823817</v>
      </c>
    </row>
    <row r="45">
      <c r="B45">
        <f>B44+4</f>
        <v>105</v>
      </c>
      <c r="C45">
        <f>$J$11+B45</f>
        <v>39919</v>
      </c>
      <c r="E45">
        <f>VLOOKUP(D45,Fertilizantes!$A$49:$E$124,2,FALSE)*$C$12</f>
        <v>0</v>
      </c>
      <c r="F45">
        <f>VLOOKUP(D45,Fertilizantes!$A$49:$E$124,4,FALSE)</f>
        <v>0</v>
      </c>
      <c r="G45">
        <f>G44</f>
        <v>19.161587526444567</v>
      </c>
      <c r="I45">
        <f>I44</f>
        <v>23.169500869565216</v>
      </c>
      <c r="K45">
        <f>K44</f>
        <v>45.48477266666665</v>
      </c>
      <c r="M45">
        <f>M44</f>
        <v>20.240375022547756</v>
      </c>
      <c r="O45">
        <f>O44</f>
        <v>41.720660426106384</v>
      </c>
      <c r="Q45">
        <f>Q44</f>
        <v>609.2381417073171</v>
      </c>
      <c r="T45">
        <f>((G45/100)*$G$50+(I45/100)*$G$51+(K45/100)*$G$52+(M45/100)*$G$53+(O45/100)*$G$54+(Q45)*$G$55+(S45*$G$56)+(E45*(VLOOKUP(D45,Fertilizantes!$A$49:$E$123,3,FALSE))))</f>
        <v>1114.2985389823816</v>
      </c>
    </row>
    <row r="46">
      <c r="C46" t="str">
        <v>Total</v>
      </c>
      <c r="G46">
        <f>SUM(G16:G45)</f>
        <v>360.87656508137263</v>
      </c>
      <c r="I46">
        <f>SUM(I16:I45)</f>
        <v>436.35893304347826</v>
      </c>
      <c r="K46">
        <f>SUM(K16:K45)</f>
        <v>856.6298852222224</v>
      </c>
      <c r="M46">
        <f>SUM(M16:M45)</f>
        <v>381.1937295913161</v>
      </c>
      <c r="O46">
        <f>SUM(O16:O45)</f>
        <v>785.7391046916706</v>
      </c>
      <c r="Q46">
        <f>SUM(Q16:Q45)</f>
        <v>11389.01910487805</v>
      </c>
      <c r="S46">
        <f>SUM(S16:S45)</f>
        <v>300.29999999999984</v>
      </c>
      <c r="T46">
        <f>SUM(T16:T45)</f>
        <v>21823.397181610464</v>
      </c>
    </row>
    <row r="47">
      <c r="D47" t="str">
        <v>OJO cualquier cultivo que no se termine la cosecha en el ultimo día del calendario solo seguir repitiendo la ultima aplicación de fertilizante.</v>
      </c>
    </row>
    <row r="48" ht="39.75" customHeight="1">
      <c r="B48" t="str">
        <v>Producto</v>
      </c>
      <c r="F48" t="str">
        <v>Lbs/Ha</v>
      </c>
      <c r="G48" t="str">
        <v>Costo por qq</v>
      </c>
    </row>
    <row r="49" ht="24" customHeight="1">
      <c r="G49" t="str">
        <f>Main!$E$25</f>
        <v>Lempiras</v>
      </c>
    </row>
    <row r="50">
      <c r="B50" t="str">
        <f>Main!D42</f>
        <v>Urea</v>
      </c>
      <c r="F50">
        <f>G46/C12</f>
        <v>360.51604903234033</v>
      </c>
      <c r="G50">
        <f>Main!D43</f>
        <v>505</v>
      </c>
    </row>
    <row r="51">
      <c r="B51" t="str">
        <f>Main!D32</f>
        <v>DAP 18-46-0</v>
      </c>
      <c r="F51">
        <f>I46/C12</f>
        <v>435.9230100334449</v>
      </c>
      <c r="G51">
        <f>Main!D33</f>
        <v>808</v>
      </c>
    </row>
    <row r="52">
      <c r="B52" t="str">
        <f>Main!D37</f>
        <v>Sulfato de Potasio</v>
      </c>
      <c r="F52">
        <f>K46/C12</f>
        <v>855.7741111111113</v>
      </c>
      <c r="G52">
        <f>Main!D38</f>
        <v>780</v>
      </c>
    </row>
    <row r="53">
      <c r="B53" t="str">
        <f>Main!D47</f>
        <v>Sulfato de Magnesio</v>
      </c>
      <c r="F53">
        <f>M46/C12</f>
        <v>380.81291667464154</v>
      </c>
      <c r="G53">
        <f>Main!D48</f>
        <v>477</v>
      </c>
    </row>
    <row r="54">
      <c r="B54" t="str">
        <f>Main!D52</f>
        <v>Nitrato de Calcio</v>
      </c>
      <c r="F54">
        <f>O46/C12</f>
        <v>784.9541505411296</v>
      </c>
      <c r="G54">
        <f>Main!D53</f>
        <v>850</v>
      </c>
    </row>
    <row r="55">
      <c r="B55" t="str">
        <f>Main!D57</f>
        <v>Solubor</v>
      </c>
      <c r="F55">
        <f>Q46/C12</f>
        <v>11377.641463414637</v>
      </c>
      <c r="G55">
        <f>Main!D58</f>
        <v>0.04</v>
      </c>
      <c r="I55" t="str">
        <v xml:space="preserve">Preparado y Autorizado Por </v>
      </c>
    </row>
    <row r="56" ht="18" customHeight="1">
      <c r="B56" t="str">
        <f>Main!D61</f>
        <v>Melaza</v>
      </c>
      <c r="F56">
        <f>S46/C12</f>
        <v>299.9999999999999</v>
      </c>
      <c r="G56">
        <f>Main!D62</f>
        <v>2.8</v>
      </c>
      <c r="I56" t="str">
        <v>MSc Ricardo D. Lardizábal</v>
      </c>
    </row>
    <row r="57" ht="17.4" customHeight="1">
      <c r="B57" t="str">
        <v>NOTA: El Nitrato de Calcio se debe de diluir en un barril aparte para inyectarse al sistema</v>
      </c>
    </row>
    <row r="60">
      <c r="B60" t="str">
        <v>Abreviaciones usadas</v>
      </c>
    </row>
    <row r="61">
      <c r="B61" t="str">
        <v>Mz.-Manzanas, Ha-Hectáreas, Lbs-Libras, Lts-Litros y DDT-Días después de Trasplante</v>
      </c>
    </row>
  </sheetData>
  <sheetProtection sheet="1"/>
  <autoFilter ref="E16:F45"/>
  <mergeCells count="52">
    <mergeCell ref="P5:S7"/>
    <mergeCell ref="A8:N8"/>
    <mergeCell ref="P2:S3"/>
    <mergeCell ref="A10:B10"/>
    <mergeCell ref="G9:I9"/>
    <mergeCell ref="G10:I10"/>
    <mergeCell ref="A9:B9"/>
    <mergeCell ref="C9:F9"/>
    <mergeCell ref="C10:F10"/>
    <mergeCell ref="P9:S12"/>
    <mergeCell ref="B53:E53"/>
    <mergeCell ref="I56:Q56"/>
    <mergeCell ref="B55:E55"/>
    <mergeCell ref="G56:H56"/>
    <mergeCell ref="G55:H55"/>
    <mergeCell ref="G53:H53"/>
    <mergeCell ref="G54:H54"/>
    <mergeCell ref="I55:Q55"/>
    <mergeCell ref="B61:S61"/>
    <mergeCell ref="G14:H14"/>
    <mergeCell ref="B60:C60"/>
    <mergeCell ref="B56:E56"/>
    <mergeCell ref="B48:E48"/>
    <mergeCell ref="B50:E50"/>
    <mergeCell ref="B51:E51"/>
    <mergeCell ref="B52:E52"/>
    <mergeCell ref="B57:I58"/>
    <mergeCell ref="B54:E54"/>
    <mergeCell ref="E14:F14"/>
    <mergeCell ref="C11:F11"/>
    <mergeCell ref="C12:F12"/>
    <mergeCell ref="G11:I11"/>
    <mergeCell ref="G12:I12"/>
    <mergeCell ref="A14:A15"/>
    <mergeCell ref="B14:B15"/>
    <mergeCell ref="A11:B11"/>
    <mergeCell ref="A12:B12"/>
    <mergeCell ref="T14:T15"/>
    <mergeCell ref="Q14:R14"/>
    <mergeCell ref="I14:J14"/>
    <mergeCell ref="K14:L14"/>
    <mergeCell ref="M14:N14"/>
    <mergeCell ref="O14:P14"/>
    <mergeCell ref="G51:H51"/>
    <mergeCell ref="J9:N9"/>
    <mergeCell ref="J10:N10"/>
    <mergeCell ref="J11:N11"/>
    <mergeCell ref="J12:N12"/>
    <mergeCell ref="G52:H52"/>
    <mergeCell ref="G48:H48"/>
    <mergeCell ref="G49:H49"/>
    <mergeCell ref="G50:H50"/>
  </mergeCells>
  <pageMargins left="0.25" right="0.25" top="0.48" bottom="0.8" header="0.25" footer="0.25"/>
  <ignoredErrors>
    <ignoredError numberStoredAsText="1" sqref="A1:V70"/>
  </ignoredErrors>
  <legacyDrawing r:id="rId1"/>
</worksheet>
</file>

<file path=xl/worksheets/sheet6.xml><?xml version="1.0" encoding="utf-8"?>
<worksheet xmlns="http://schemas.openxmlformats.org/spreadsheetml/2006/main" xmlns:r="http://schemas.openxmlformats.org/officeDocument/2006/relationships">
  <dimension ref="A1:V70"/>
  <sheetViews>
    <sheetView workbookViewId="0" rightToLeft="0"/>
  </sheetViews>
  <sheetData>
    <row r="1" ht="32.7" customHeight="1"/>
    <row r="2" ht="32.7" customHeight="1">
      <c r="P2" t="str">
        <v>Calendario de Fertilización para Goteo 2 Veces Por Semana</v>
      </c>
    </row>
    <row r="3" ht="32.7" customHeight="1"/>
    <row r="5">
      <c r="P5" t="str">
        <f>Main!$E$21</f>
        <v>Tabaco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Habano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39884</v>
      </c>
    </row>
    <row r="13" ht="19.5" customHeight="1"/>
    <row r="14" ht="28.5" customHeight="1">
      <c r="A14" t="str">
        <v>Semana</v>
      </c>
      <c r="B14" t="str">
        <v>DDT</v>
      </c>
      <c r="C14" t="str">
        <v>FECHA</v>
      </c>
      <c r="E14" t="str">
        <f>Main!$D$42</f>
        <v>Urea</v>
      </c>
      <c r="G14" t="str">
        <f>Main!$D$32</f>
        <v>DAP 18-46-0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39817</v>
      </c>
      <c r="E16">
        <f>IF(((SUM(ReDiarioFert!C7:C13)/2)*$C$12)&lt;=0,"0",(((SUM(ReDiarioFert!C7:C13)/2)*$C$12)))</f>
        <v>3.193597921074094</v>
      </c>
      <c r="G16">
        <f>IF(((SUM(ReDiarioFert!E7:E13)/2)*$C$12)&lt;=0,"0",(((SUM(ReDiarioFert!E7:E13)/2)*$C$12)))</f>
        <v>3.8615834782608696</v>
      </c>
      <c r="I16">
        <f>IF(((SUM(ReDiarioFert!G7:G13)/2)*$C$12)&lt;=0,"0",(((SUM(ReDiarioFert!G7:G13)/2)*$C$12)))</f>
        <v>7.580795444444445</v>
      </c>
      <c r="K16">
        <f>IF(((SUM(ReDiarioFert!I7:I13)/2)*$C$12)&lt;=0,"0",(((SUM(ReDiarioFert!I7:I13)/2)*$C$12)))</f>
        <v>3.373395837091292</v>
      </c>
      <c r="M16">
        <f>IF(((SUM(ReDiarioFert!K7:K13)/2)*$C$12)&lt;=0,"0",(((SUM(ReDiarioFert!K7:K13)/2)*$C$12)))</f>
        <v>6.953443404351065</v>
      </c>
      <c r="O16">
        <f>IF(((SUM(ReDiarioFert!M7:M13)/2)*$C$12)&lt;=0,"0",(((SUM(ReDiarioFert!M7:M13)/2)*$C$12)))</f>
        <v>87.03377609756097</v>
      </c>
      <c r="Q16">
        <f>$C$12*Main!$D$63</f>
        <v>20.019999999999996</v>
      </c>
      <c r="S16">
        <f>((E16/100)*$G$50+(G16/100)*$G$51+(I16/100)*$G$52+(K16/100)*$G$53+(M16/100)*$G$54+(O16)*$G$55+(Q16*$G$56))</f>
        <v>241.1921865962506</v>
      </c>
    </row>
    <row r="17" ht="18.75" customHeight="1">
      <c r="B17">
        <v>7</v>
      </c>
      <c r="C17">
        <f>$J$11+B17</f>
        <v>39821</v>
      </c>
      <c r="E17">
        <f>E16</f>
        <v>3.193597921074094</v>
      </c>
      <c r="G17">
        <f>G16</f>
        <v>3.8615834782608696</v>
      </c>
      <c r="I17">
        <f>I16</f>
        <v>7.580795444444445</v>
      </c>
      <c r="K17">
        <f>K16</f>
        <v>3.373395837091292</v>
      </c>
      <c r="M17">
        <f>M16</f>
        <v>6.953443404351065</v>
      </c>
      <c r="O17">
        <f>O16</f>
        <v>87.03377609756097</v>
      </c>
      <c r="S17">
        <f>((E17/100)*$G$50+(G17/100)*$G$51+(I17/100)*$G$52+(K17/100)*$G$53+(M17/100)*$G$54+(O17)*$G$55+(Q17*$G$56))</f>
        <v>185.1361865962506</v>
      </c>
    </row>
    <row r="18">
      <c r="A18">
        <v>2</v>
      </c>
      <c r="B18">
        <f>B17+3</f>
        <v>10</v>
      </c>
      <c r="C18">
        <f>$J$11+B18</f>
        <v>39824</v>
      </c>
      <c r="E18">
        <f>IF(((SUM(ReDiarioFert!C14:C20)/2)*$C$12)&lt;=0,"0",(((SUM(ReDiarioFert!C14:C20)/2)*$C$12)))</f>
        <v>4.106054469952406</v>
      </c>
      <c r="G18">
        <f>IF(((SUM(ReDiarioFert!E14:E20)/2)*$C$12)&lt;=0,"0",(((SUM(ReDiarioFert!E14:E20)/2)*$C$12)))</f>
        <v>4.96489304347826</v>
      </c>
      <c r="I18">
        <f>IF(((SUM(ReDiarioFert!G14:G20)/2)*$C$12)&lt;=0,"0",(((SUM(ReDiarioFert!G14:G20)/2)*$C$12)))</f>
        <v>9.746737000000001</v>
      </c>
      <c r="K18">
        <f>IF(((SUM(ReDiarioFert!I14:I20)/2)*$C$12)&lt;=0,"0",(((SUM(ReDiarioFert!I14:I20)/2)*$C$12)))</f>
        <v>4.337223219117376</v>
      </c>
      <c r="M18">
        <f>IF(((SUM(ReDiarioFert!K14:K20)/2)*$C$12)&lt;=0,"0",(((SUM(ReDiarioFert!K14:K20)/2)*$C$12)))</f>
        <v>8.94014151987994</v>
      </c>
      <c r="O18">
        <f>IF(((SUM(ReDiarioFert!M14:M20)/2)*$C$12)&lt;=0,"0",(((SUM(ReDiarioFert!M14:M20)/2)*$C$12)))</f>
        <v>126.82084048780487</v>
      </c>
      <c r="Q18">
        <f>$C$12*Main!$D$63</f>
        <v>20.019999999999996</v>
      </c>
      <c r="S18">
        <f>((E18/100)*$G$50+(G18/100)*$G$51+(I18/100)*$G$52+(K18/100)*$G$53+(M18/100)*$G$54+(O18)*$G$55+(Q18*$G$56))</f>
        <v>294.68505075824555</v>
      </c>
    </row>
    <row r="19">
      <c r="B19">
        <f>B18+4</f>
        <v>14</v>
      </c>
      <c r="C19">
        <f>$J$11+B19</f>
        <v>39828</v>
      </c>
      <c r="E19">
        <f>E18</f>
        <v>4.106054469952406</v>
      </c>
      <c r="G19">
        <f>G18</f>
        <v>4.96489304347826</v>
      </c>
      <c r="I19">
        <f>I18</f>
        <v>9.746737000000001</v>
      </c>
      <c r="K19">
        <f>K18</f>
        <v>4.337223219117376</v>
      </c>
      <c r="M19">
        <f>M18</f>
        <v>8.94014151987994</v>
      </c>
      <c r="O19">
        <f>O18</f>
        <v>126.82084048780487</v>
      </c>
      <c r="S19">
        <f>((E19/100)*$G$50+(G19/100)*$G$51+(I19/100)*$G$52+(K19/100)*$G$53+(M19/100)*$G$54+(O19)*$G$55+(Q19*$G$56))</f>
        <v>238.62905075824554</v>
      </c>
    </row>
    <row r="20">
      <c r="A20">
        <v>3</v>
      </c>
      <c r="B20">
        <f>B19+3</f>
        <v>17</v>
      </c>
      <c r="C20">
        <f>$J$11+B20</f>
        <v>39831</v>
      </c>
      <c r="E20">
        <f>IF(((SUM(ReDiarioFert!C21:C27)/2)*$C$12)&lt;=0,"0",(((SUM(ReDiarioFert!C21:C27)/2)*$C$12)))</f>
        <v>5.702853430489454</v>
      </c>
      <c r="G20">
        <f>IF(((SUM(ReDiarioFert!E21:E27)/2)*$C$12)&lt;=0,"0",(((SUM(ReDiarioFert!E21:E27)/2)*$C$12)))</f>
        <v>6.895684782608696</v>
      </c>
      <c r="I20">
        <f>IF(((SUM(ReDiarioFert!G21:G27)/2)*$C$12)&lt;=0,"0",(((SUM(ReDiarioFert!G21:G27)/2)*$C$12)))</f>
        <v>13.537134722222222</v>
      </c>
      <c r="K20">
        <f>IF(((SUM(ReDiarioFert!I21:I27)/2)*$C$12)&lt;=0,"0",(((SUM(ReDiarioFert!I21:I27)/2)*$C$12)))</f>
        <v>6.023921137663022</v>
      </c>
      <c r="M20">
        <f>IF(((SUM(ReDiarioFert!K21:K27)/2)*$C$12)&lt;=0,"0",(((SUM(ReDiarioFert!K21:K27)/2)*$C$12)))</f>
        <v>12.416863222055472</v>
      </c>
      <c r="O20">
        <f>IF(((SUM(ReDiarioFert!M21:M27)/2)*$C$12)&lt;=0,"0",(((SUM(ReDiarioFert!M21:M27)/2)*$C$12)))</f>
        <v>186.50070463414633</v>
      </c>
      <c r="Q20">
        <f>$C$12*Main!$D$63</f>
        <v>20.019999999999996</v>
      </c>
      <c r="S20">
        <f>((E20/100)*$G$50+(G20/100)*$G$51+(I20/100)*$G$52+(K20/100)*$G$53+(M20/100)*$G$54+(O20)*$G$55+(Q20*$G$56))</f>
        <v>387.8996631002733</v>
      </c>
    </row>
    <row r="21">
      <c r="B21">
        <f>B20+4</f>
        <v>21</v>
      </c>
      <c r="C21">
        <f>$J$11+B21</f>
        <v>39835</v>
      </c>
      <c r="E21">
        <f>E20</f>
        <v>5.702853430489454</v>
      </c>
      <c r="G21">
        <f>G20</f>
        <v>6.895684782608696</v>
      </c>
      <c r="I21">
        <f>I20</f>
        <v>13.537134722222222</v>
      </c>
      <c r="K21">
        <f>K20</f>
        <v>6.023921137663022</v>
      </c>
      <c r="M21">
        <f>M20</f>
        <v>12.416863222055472</v>
      </c>
      <c r="O21">
        <f>O20</f>
        <v>186.50070463414633</v>
      </c>
      <c r="S21">
        <f>((E21/100)*$G$50+(G21/100)*$G$51+(I21/100)*$G$52+(K21/100)*$G$53+(M21/100)*$G$54+(O21)*$G$55+(Q21*$G$56))</f>
        <v>331.8436631002733</v>
      </c>
    </row>
    <row r="22">
      <c r="A22">
        <v>4</v>
      </c>
      <c r="B22">
        <f>B21+3</f>
        <v>24</v>
      </c>
      <c r="C22">
        <f>$J$11+B22</f>
        <v>39838</v>
      </c>
      <c r="E22">
        <f>IF(((SUM(ReDiarioFert!C28:C34)/2)*$C$12)&lt;=0,"0",(((SUM(ReDiarioFert!C28:C34)/2)*$C$12)))</f>
        <v>6.387195842148188</v>
      </c>
      <c r="G22">
        <f>IF(((SUM(ReDiarioFert!E28:E34)/2)*$C$12)&lt;=0,"0",(((SUM(ReDiarioFert!E28:E34)/2)*$C$12)))</f>
        <v>7.723166956521739</v>
      </c>
      <c r="I22">
        <f>IF(((SUM(ReDiarioFert!G28:G34)/2)*$C$12)&lt;=0,"0",(((SUM(ReDiarioFert!G28:G34)/2)*$C$12)))</f>
        <v>15.16159088888889</v>
      </c>
      <c r="K22">
        <f>IF(((SUM(ReDiarioFert!I28:I34)/2)*$C$12)&lt;=0,"0",(((SUM(ReDiarioFert!I28:I34)/2)*$C$12)))</f>
        <v>6.746791674182584</v>
      </c>
      <c r="M22">
        <f>IF(((SUM(ReDiarioFert!K28:K34)/2)*$C$12)&lt;=0,"0",(((SUM(ReDiarioFert!K28:K34)/2)*$C$12)))</f>
        <v>13.90688680870213</v>
      </c>
      <c r="O22">
        <f>IF(((SUM(ReDiarioFert!M28:M34)/2)*$C$12)&lt;=0,"0",(((SUM(ReDiarioFert!M28:M34)/2)*$C$12)))</f>
        <v>208.88037902439024</v>
      </c>
      <c r="Q22">
        <f>$C$12*Main!$D$63</f>
        <v>20.019999999999996</v>
      </c>
      <c r="S22">
        <f>((E22/100)*$G$50+(G22/100)*$G$51+(I22/100)*$G$52+(K22/100)*$G$53+(M22/100)*$G$54+(O22)*$G$55+(Q22*$G$56))</f>
        <v>427.72088626567194</v>
      </c>
    </row>
    <row r="23">
      <c r="B23">
        <f>B22+4</f>
        <v>28</v>
      </c>
      <c r="C23">
        <f>$J$11+B23</f>
        <v>39842</v>
      </c>
      <c r="E23">
        <f>E22</f>
        <v>6.387195842148188</v>
      </c>
      <c r="G23">
        <f>G22</f>
        <v>7.723166956521739</v>
      </c>
      <c r="I23">
        <f>I22</f>
        <v>15.16159088888889</v>
      </c>
      <c r="K23">
        <f>K22</f>
        <v>6.746791674182584</v>
      </c>
      <c r="M23">
        <f>M22</f>
        <v>13.90688680870213</v>
      </c>
      <c r="O23">
        <f>O22</f>
        <v>208.88037902439024</v>
      </c>
      <c r="S23">
        <f>((E23/100)*$G$50+(G23/100)*$G$51+(I23/100)*$G$52+(K23/100)*$G$53+(M23/100)*$G$54+(O23)*$G$55+(Q23*$G$56))</f>
        <v>371.66488626567195</v>
      </c>
    </row>
    <row r="24">
      <c r="A24">
        <v>5</v>
      </c>
      <c r="B24">
        <f>B23+3</f>
        <v>31</v>
      </c>
      <c r="C24">
        <f>$J$11+B24</f>
        <v>39845</v>
      </c>
      <c r="E24">
        <f>IF(((SUM(ReDiarioFert!C35:C41)/2)*$C$12)&lt;=0,"0",(((SUM(ReDiarioFert!C35:C41)/2)*$C$12)))</f>
        <v>7.755880665465657</v>
      </c>
      <c r="G24">
        <f>IF(((SUM(ReDiarioFert!E35:E41)/2)*$C$12)&lt;=0,"0",(((SUM(ReDiarioFert!E35:E41)/2)*$C$12)))</f>
        <v>9.378131304347823</v>
      </c>
      <c r="I24">
        <f>IF(((SUM(ReDiarioFert!G35:G41)/2)*$C$12)&lt;=0,"0",(((SUM(ReDiarioFert!G35:G41)/2)*$C$12)))</f>
        <v>18.41050322222222</v>
      </c>
      <c r="K24">
        <f>IF(((SUM(ReDiarioFert!I35:I41)/2)*$C$12)&lt;=0,"0",(((SUM(ReDiarioFert!I35:I41)/2)*$C$12)))</f>
        <v>8.19253274722171</v>
      </c>
      <c r="M24">
        <f>IF(((SUM(ReDiarioFert!K35:K41)/2)*$C$12)&lt;=0,"0",(((SUM(ReDiarioFert!K35:K41)/2)*$C$12)))</f>
        <v>16.886933981995444</v>
      </c>
      <c r="O24">
        <f>IF(((SUM(ReDiarioFert!M35:M41)/2)*$C$12)&lt;=0,"0",(((SUM(ReDiarioFert!M35:M41)/2)*$C$12)))</f>
        <v>246.18130121951222</v>
      </c>
      <c r="Q24">
        <f>$C$12*Main!$D$63</f>
        <v>20.019999999999996</v>
      </c>
      <c r="S24">
        <f>((E24/100)*$G$50+(G24/100)*$G$51+(I24/100)*$G$52+(K24/100)*$G$53+(M24/100)*$G$54+(O24)*$G$55+(Q24*$G$56))</f>
        <v>507.06499553305457</v>
      </c>
    </row>
    <row r="25">
      <c r="B25">
        <f>B24+4</f>
        <v>35</v>
      </c>
      <c r="C25">
        <f>$J$11+B25</f>
        <v>39849</v>
      </c>
      <c r="E25">
        <f>E24</f>
        <v>7.755880665465657</v>
      </c>
      <c r="G25">
        <f>G24</f>
        <v>9.378131304347823</v>
      </c>
      <c r="I25">
        <f>I24</f>
        <v>18.41050322222222</v>
      </c>
      <c r="K25">
        <f>K24</f>
        <v>8.19253274722171</v>
      </c>
      <c r="M25">
        <f>M24</f>
        <v>16.886933981995444</v>
      </c>
      <c r="O25">
        <f>O24</f>
        <v>246.18130121951222</v>
      </c>
      <c r="S25">
        <f>((E25/100)*$G$50+(G25/100)*$G$51+(I25/100)*$G$52+(K25/100)*$G$53+(M25/100)*$G$54+(O25)*$G$55+(Q25*$G$56))</f>
        <v>451.0089955330546</v>
      </c>
    </row>
    <row r="26">
      <c r="A26">
        <v>6</v>
      </c>
      <c r="B26">
        <f>B25+3</f>
        <v>38</v>
      </c>
      <c r="C26">
        <f>$J$11+B26</f>
        <v>39852</v>
      </c>
      <c r="E26">
        <f>IF(((SUM(ReDiarioFert!C42:C48)/2)*$C$12)&lt;=0,"0",(((SUM(ReDiarioFert!C42:C48)/2)*$C$12)))</f>
        <v>9.580793763222283</v>
      </c>
      <c r="G26">
        <f>IF(((SUM(ReDiarioFert!E42:E48)/2)*$C$12)&lt;=0,"0",(((SUM(ReDiarioFert!E42:E48)/2)*$C$12)))</f>
        <v>11.584750434782608</v>
      </c>
      <c r="I26">
        <f>IF(((SUM(ReDiarioFert!G42:G48)/2)*$C$12)&lt;=0,"0",(((SUM(ReDiarioFert!G42:G48)/2)*$C$12)))</f>
        <v>22.742386333333325</v>
      </c>
      <c r="K26">
        <f>IF(((SUM(ReDiarioFert!I42:I48)/2)*$C$12)&lt;=0,"0",(((SUM(ReDiarioFert!I42:I48)/2)*$C$12)))</f>
        <v>10.120187511273878</v>
      </c>
      <c r="M26">
        <f>IF(((SUM(ReDiarioFert!K42:K48)/2)*$C$12)&lt;=0,"0",(((SUM(ReDiarioFert!K42:K48)/2)*$C$12)))</f>
        <v>20.860330213053192</v>
      </c>
      <c r="O26">
        <f>IF(((SUM(ReDiarioFert!M42:M48)/2)*$C$12)&lt;=0,"0",(((SUM(ReDiarioFert!M42:M48)/2)*$C$12)))</f>
        <v>295.9158641463415</v>
      </c>
      <c r="Q26">
        <f>$C$12*Main!$D$63</f>
        <v>20.019999999999996</v>
      </c>
      <c r="S26">
        <f>((E26/100)*$G$50+(G26/100)*$G$51+(I26/100)*$G$52+(K26/100)*$G$53+(M26/100)*$G$54+(O26)*$G$55+(Q26*$G$56))</f>
        <v>612.857141222898</v>
      </c>
    </row>
    <row r="27">
      <c r="B27">
        <f>B26+4</f>
        <v>42</v>
      </c>
      <c r="C27">
        <f>$J$11+B27</f>
        <v>39856</v>
      </c>
      <c r="E27">
        <f>E26</f>
        <v>9.580793763222283</v>
      </c>
      <c r="G27">
        <f>G26</f>
        <v>11.584750434782608</v>
      </c>
      <c r="I27">
        <f>I26</f>
        <v>22.742386333333325</v>
      </c>
      <c r="K27">
        <f>K26</f>
        <v>10.120187511273878</v>
      </c>
      <c r="M27">
        <f>M26</f>
        <v>20.860330213053192</v>
      </c>
      <c r="O27">
        <f>O26</f>
        <v>295.9158641463415</v>
      </c>
      <c r="S27">
        <f>((E27/100)*$G$50+(G27/100)*$G$51+(I27/100)*$G$52+(K27/100)*$G$53+(M27/100)*$G$54+(O27)*$G$55+(Q27*$G$56))</f>
        <v>556.8011412228981</v>
      </c>
    </row>
    <row r="28">
      <c r="A28">
        <v>7</v>
      </c>
      <c r="B28">
        <f>B27+3</f>
        <v>45</v>
      </c>
      <c r="C28">
        <f>$J$11+B28</f>
        <v>39859</v>
      </c>
      <c r="E28">
        <f>IF(((SUM(ReDiarioFert!C49:C55)/2)*$C$12)&lt;=0,"0",(((SUM(ReDiarioFert!C49:C55)/2)*$C$12)))</f>
        <v>10.493250312100596</v>
      </c>
      <c r="G28">
        <f>IF(((SUM(ReDiarioFert!E49:E55)/2)*$C$12)&lt;=0,"0",(((SUM(ReDiarioFert!E49:E55)/2)*$C$12)))</f>
        <v>12.688059999999998</v>
      </c>
      <c r="I28">
        <f>IF(((SUM(ReDiarioFert!G49:G55)/2)*$C$12)&lt;=0,"0",(((SUM(ReDiarioFert!G49:G55)/2)*$C$12)))</f>
        <v>24.908327888888884</v>
      </c>
      <c r="K28">
        <f>IF(((SUM(ReDiarioFert!I49:I55)/2)*$C$12)&lt;=0,"0",(((SUM(ReDiarioFert!I49:I55)/2)*$C$12)))</f>
        <v>11.084014893299962</v>
      </c>
      <c r="M28">
        <f>IF(((SUM(ReDiarioFert!K49:K55)/2)*$C$12)&lt;=0,"0",(((SUM(ReDiarioFert!K49:K55)/2)*$C$12)))</f>
        <v>22.84702832858207</v>
      </c>
      <c r="O28">
        <f>IF(((SUM(ReDiarioFert!M49:M55)/2)*$C$12)&lt;=0,"0",(((SUM(ReDiarioFert!M49:M55)/2)*$C$12)))</f>
        <v>325.75591829268296</v>
      </c>
      <c r="Q28">
        <f>$C$12*Main!$D$63</f>
        <v>20.019999999999996</v>
      </c>
      <c r="S28">
        <f>((E28/100)*$G$50+(G28/100)*$G$51+(I28/100)*$G$52+(K28/100)*$G$53+(M28/100)*$G$54+(O28)*$G$55+(Q28*$G$56))</f>
        <v>665.9521249751369</v>
      </c>
    </row>
    <row r="29">
      <c r="B29">
        <f>B28+4</f>
        <v>49</v>
      </c>
      <c r="C29">
        <f>$J$11+B29</f>
        <v>39863</v>
      </c>
      <c r="E29">
        <f>E28</f>
        <v>10.493250312100596</v>
      </c>
      <c r="G29">
        <f>G28</f>
        <v>12.688059999999998</v>
      </c>
      <c r="I29">
        <f>I28</f>
        <v>24.908327888888884</v>
      </c>
      <c r="K29">
        <f>K28</f>
        <v>11.084014893299962</v>
      </c>
      <c r="M29">
        <f>M28</f>
        <v>22.84702832858207</v>
      </c>
      <c r="O29">
        <f>O28</f>
        <v>325.75591829268296</v>
      </c>
      <c r="S29">
        <f>((E29/100)*$G$50+(G29/100)*$G$51+(I29/100)*$G$52+(K29/100)*$G$53+(M29/100)*$G$54+(O29)*$G$55+(Q29*$G$56))</f>
        <v>609.896124975137</v>
      </c>
    </row>
    <row r="30">
      <c r="A30">
        <v>8</v>
      </c>
      <c r="B30">
        <f>B29+3</f>
        <v>52</v>
      </c>
      <c r="C30">
        <f>$J$11+B30</f>
        <v>39866</v>
      </c>
      <c r="E30">
        <f>IF(((SUM(ReDiarioFert!C56:C62)/2)*$C$12)&lt;=0,"0",(((SUM(ReDiarioFert!C56:C62)/2)*$C$12)))</f>
        <v>12.774391684296376</v>
      </c>
      <c r="G30">
        <f>IF(((SUM(ReDiarioFert!E56:E62)/2)*$C$12)&lt;=0,"0",(((SUM(ReDiarioFert!E56:E62)/2)*$C$12)))</f>
        <v>15.446333913043478</v>
      </c>
      <c r="I30">
        <f>IF(((SUM(ReDiarioFert!G56:G62)/2)*$C$12)&lt;=0,"0",(((SUM(ReDiarioFert!G56:G62)/2)*$C$12)))</f>
        <v>30.32318177777778</v>
      </c>
      <c r="K30">
        <f>IF(((SUM(ReDiarioFert!I56:I62)/2)*$C$12)&lt;=0,"0",(((SUM(ReDiarioFert!I56:I62)/2)*$C$12)))</f>
        <v>13.493583348365169</v>
      </c>
      <c r="M30">
        <f>IF(((SUM(ReDiarioFert!K56:K62)/2)*$C$12)&lt;=0,"0",(((SUM(ReDiarioFert!K56:K62)/2)*$C$12)))</f>
        <v>27.81377361740426</v>
      </c>
      <c r="O30">
        <f>IF(((SUM(ReDiarioFert!M56:M62)/2)*$C$12)&lt;=0,"0",(((SUM(ReDiarioFert!M56:M62)/2)*$C$12)))</f>
        <v>400.35605365853655</v>
      </c>
      <c r="Q30">
        <f>$C$12*Main!$D$63</f>
        <v>20.019999999999996</v>
      </c>
      <c r="S30">
        <f>((E30/100)*$G$50+(G30/100)*$G$51+(I30/100)*$G$52+(K30/100)*$G$53+(M30/100)*$G$54+(O30)*$G$55+(Q30*$G$56))</f>
        <v>798.689584355734</v>
      </c>
    </row>
    <row r="31">
      <c r="B31">
        <f>B30+4</f>
        <v>56</v>
      </c>
      <c r="C31">
        <f>$J$11+B31</f>
        <v>39870</v>
      </c>
      <c r="E31">
        <f>E30</f>
        <v>12.774391684296376</v>
      </c>
      <c r="G31">
        <f>G30</f>
        <v>15.446333913043478</v>
      </c>
      <c r="I31">
        <f>I30</f>
        <v>30.32318177777778</v>
      </c>
      <c r="K31">
        <f>K30</f>
        <v>13.493583348365169</v>
      </c>
      <c r="M31">
        <f>M30</f>
        <v>27.81377361740426</v>
      </c>
      <c r="O31">
        <f>O30</f>
        <v>400.35605365853655</v>
      </c>
      <c r="S31">
        <f>((E31/100)*$G$50+(G31/100)*$G$51+(I31/100)*$G$52+(K31/100)*$G$53+(M31/100)*$G$54+(O31)*$G$55+(Q31*$G$56))</f>
        <v>742.6335843557341</v>
      </c>
    </row>
    <row r="32">
      <c r="A32">
        <v>9</v>
      </c>
      <c r="B32">
        <f>B31+3</f>
        <v>59</v>
      </c>
      <c r="C32">
        <f>$J$11+B32</f>
        <v>39873</v>
      </c>
      <c r="E32">
        <f>IF(((SUM(ReDiarioFert!C63:C69)/2)*$C$12)&lt;=0,"0",(((SUM(ReDiarioFert!C63:C69)/2)*$C$12)))</f>
        <v>13.23061995873553</v>
      </c>
      <c r="G32">
        <f>IF(((SUM(ReDiarioFert!E63:E69)/2)*$C$12)&lt;=0,"0",(((SUM(ReDiarioFert!E63:E69)/2)*$C$12)))</f>
        <v>15.997988695652172</v>
      </c>
      <c r="I32">
        <f>IF(((SUM(ReDiarioFert!G63:G69)/2)*$C$12)&lt;=0,"0",(((SUM(ReDiarioFert!G63:G69)/2)*$C$12)))</f>
        <v>31.406152555555558</v>
      </c>
      <c r="K32">
        <f>IF(((SUM(ReDiarioFert!I63:I69)/2)*$C$12)&lt;=0,"0",(((SUM(ReDiarioFert!I63:I69)/2)*$C$12)))</f>
        <v>13.97549703937821</v>
      </c>
      <c r="M32">
        <f>IF(((SUM(ReDiarioFert!K63:K69)/2)*$C$12)&lt;=0,"0",(((SUM(ReDiarioFert!K63:K69)/2)*$C$12)))</f>
        <v>28.8071226751687</v>
      </c>
      <c r="O32">
        <f>IF(((SUM(ReDiarioFert!M63:M69)/2)*$C$12)&lt;=0,"0",(((SUM(ReDiarioFert!M63:M69)/2)*$C$12)))</f>
        <v>415.27632487804874</v>
      </c>
      <c r="Q32">
        <f>$C$12*Main!$D$63</f>
        <v>20.019999999999996</v>
      </c>
      <c r="S32">
        <f>((E32/100)*$G$50+(G32/100)*$G$51+(I32/100)*$G$52+(K32/100)*$G$53+(M32/100)*$G$54+(O32)*$G$55+(Q32*$G$56))</f>
        <v>825.2370859977073</v>
      </c>
    </row>
    <row r="33">
      <c r="B33">
        <f>B32+4</f>
        <v>63</v>
      </c>
      <c r="C33">
        <f>$J$11+B33</f>
        <v>39877</v>
      </c>
      <c r="E33">
        <f>E32</f>
        <v>13.23061995873553</v>
      </c>
      <c r="G33">
        <f>G32</f>
        <v>15.997988695652172</v>
      </c>
      <c r="I33">
        <f>I32</f>
        <v>31.406152555555558</v>
      </c>
      <c r="K33">
        <f>K32</f>
        <v>13.97549703937821</v>
      </c>
      <c r="M33">
        <f>M32</f>
        <v>28.8071226751687</v>
      </c>
      <c r="O33">
        <f>O32</f>
        <v>415.27632487804874</v>
      </c>
      <c r="S33">
        <f>((E33/100)*$G$50+(G33/100)*$G$51+(I33/100)*$G$52+(K33/100)*$G$53+(M33/100)*$G$54+(O33)*$G$55+(Q33*$G$56))</f>
        <v>769.1810859977072</v>
      </c>
    </row>
    <row r="34">
      <c r="A34">
        <v>10</v>
      </c>
      <c r="B34">
        <f>B33+3</f>
        <v>66</v>
      </c>
      <c r="C34">
        <f>$J$11+B34</f>
        <v>39880</v>
      </c>
      <c r="E34">
        <f>IF(((SUM(ReDiarioFert!C70:C76)/2)*$C$12)&lt;=0,"0",(((SUM(ReDiarioFert!C70:C76)/2)*$C$12)))</f>
        <v>15.967989605370462</v>
      </c>
      <c r="G34">
        <f>IF(((SUM(ReDiarioFert!E70:E76)/2)*$C$12)&lt;=0,"0",(((SUM(ReDiarioFert!E70:E76)/2)*$C$12)))</f>
        <v>19.307917391304336</v>
      </c>
      <c r="I34">
        <f>IF(((SUM(ReDiarioFert!G70:G76)/2)*$C$12)&lt;=0,"0",(((SUM(ReDiarioFert!G70:G76)/2)*$C$12)))</f>
        <v>37.903977222222224</v>
      </c>
      <c r="K34">
        <f>IF(((SUM(ReDiarioFert!I70:I76)/2)*$C$12)&lt;=0,"0",(((SUM(ReDiarioFert!I70:I76)/2)*$C$12)))</f>
        <v>16.86697918545646</v>
      </c>
      <c r="M34">
        <f>IF(((SUM(ReDiarioFert!K70:K76)/2)*$C$12)&lt;=0,"0",(((SUM(ReDiarioFert!K70:K76)/2)*$C$12)))</f>
        <v>34.767217021755336</v>
      </c>
      <c r="O34">
        <f>IF(((SUM(ReDiarioFert!M70:M76)/2)*$C$12)&lt;=0,"0",(((SUM(ReDiarioFert!M70:M76)/2)*$C$12)))</f>
        <v>504.797952195122</v>
      </c>
      <c r="Q34">
        <f>$C$12*Main!$D$63</f>
        <v>20.019999999999996</v>
      </c>
      <c r="S34">
        <f>((E34/100)*$G$50+(G34/100)*$G$51+(I34/100)*$G$52+(K34/100)*$G$53+(M34/100)*$G$54+(O34)*$G$55+(Q34*$G$56))</f>
        <v>984.5220958495456</v>
      </c>
    </row>
    <row r="35">
      <c r="B35">
        <f>B34+4</f>
        <v>70</v>
      </c>
      <c r="C35">
        <f>$J$11+B35</f>
        <v>39884</v>
      </c>
      <c r="E35">
        <f>E34</f>
        <v>15.967989605370462</v>
      </c>
      <c r="G35">
        <f>G34</f>
        <v>19.307917391304336</v>
      </c>
      <c r="I35">
        <f>I34</f>
        <v>37.903977222222224</v>
      </c>
      <c r="K35">
        <f>K34</f>
        <v>16.86697918545646</v>
      </c>
      <c r="M35">
        <f>M34</f>
        <v>34.767217021755336</v>
      </c>
      <c r="O35">
        <f>O34</f>
        <v>504.797952195122</v>
      </c>
      <c r="S35">
        <f>((E35/100)*$G$50+(G35/100)*$G$51+(I35/100)*$G$52+(K35/100)*$G$53+(M35/100)*$G$54+(O35)*$G$55+(Q35*$G$56))</f>
        <v>928.4660958495457</v>
      </c>
    </row>
    <row r="36">
      <c r="A36">
        <v>11</v>
      </c>
      <c r="B36">
        <f>B35+3</f>
        <v>73</v>
      </c>
      <c r="C36">
        <f>$J$11+B36</f>
        <v>39887</v>
      </c>
      <c r="E36">
        <f>IF(((SUM(ReDiarioFert!C77:C83)/2)*$C$12)&lt;=0,"0",(((SUM(ReDiarioFert!C77:C83)/2)*$C$12)))</f>
        <v>15.967989605370462</v>
      </c>
      <c r="G36">
        <f>IF(((SUM(ReDiarioFert!E77:E83)/2)*$C$12)&lt;=0,"0",(((SUM(ReDiarioFert!E77:E83)/2)*$C$12)))</f>
        <v>19.307917391304336</v>
      </c>
      <c r="I36">
        <f>IF(((SUM(ReDiarioFert!G77:G83)/2)*$C$12)&lt;=0,"0",(((SUM(ReDiarioFert!G77:G83)/2)*$C$12)))</f>
        <v>37.903977222222224</v>
      </c>
      <c r="K36">
        <f>IF(((SUM(ReDiarioFert!I77:I83)/2)*$C$12)&lt;=0,"0",(((SUM(ReDiarioFert!I77:I83)/2)*$C$12)))</f>
        <v>16.86697918545646</v>
      </c>
      <c r="M36">
        <f>IF(((SUM(ReDiarioFert!K77:K83)/2)*$C$12)&lt;=0,"0",(((SUM(ReDiarioFert!K77:K83)/2)*$C$12)))</f>
        <v>34.767217021755336</v>
      </c>
      <c r="O36">
        <f>IF(((SUM(ReDiarioFert!M77:M83)/2)*$C$12)&lt;=0,"0",(((SUM(ReDiarioFert!M77:M83)/2)*$C$12)))</f>
        <v>504.797952195122</v>
      </c>
      <c r="Q36">
        <f>$C$12*Main!$D$63</f>
        <v>20.019999999999996</v>
      </c>
      <c r="S36">
        <f>((E36/100)*$G$50+(G36/100)*$G$51+(I36/100)*$G$52+(K36/100)*$G$53+(M36/100)*$G$54+(O36)*$G$55+(Q36*$G$56))</f>
        <v>984.5220958495456</v>
      </c>
    </row>
    <row r="37">
      <c r="B37">
        <f>B36+4</f>
        <v>77</v>
      </c>
      <c r="C37">
        <f>$J$11+B37</f>
        <v>39891</v>
      </c>
      <c r="E37">
        <f>E36</f>
        <v>15.967989605370462</v>
      </c>
      <c r="G37">
        <f>G36</f>
        <v>19.307917391304336</v>
      </c>
      <c r="I37">
        <f>I36</f>
        <v>37.903977222222224</v>
      </c>
      <c r="K37">
        <f>K36</f>
        <v>16.86697918545646</v>
      </c>
      <c r="M37">
        <f>M36</f>
        <v>34.767217021755336</v>
      </c>
      <c r="O37">
        <f>O36</f>
        <v>504.797952195122</v>
      </c>
      <c r="S37">
        <f>((E37/100)*$G$50+(G37/100)*$G$51+(I37/100)*$G$52+(K37/100)*$G$53+(M37/100)*$G$54+(O37)*$G$55+(Q37*$G$56))</f>
        <v>928.4660958495457</v>
      </c>
    </row>
    <row r="38">
      <c r="A38">
        <v>12</v>
      </c>
      <c r="B38">
        <f>B37+3</f>
        <v>80</v>
      </c>
      <c r="C38">
        <f>$J$11+B38</f>
        <v>39894</v>
      </c>
      <c r="E38">
        <f>IF(((SUM(ReDiarioFert!C84:C90)/2)*$C$12)&lt;=0,"0",(((SUM(ReDiarioFert!C84:C90)/2)*$C$12)))</f>
        <v>17.792902703127094</v>
      </c>
      <c r="G38">
        <f>IF(((SUM(ReDiarioFert!E84:E90)/2)*$C$12)&lt;=0,"0",(((SUM(ReDiarioFert!E84:E90)/2)*$C$12)))</f>
        <v>21.514536521739124</v>
      </c>
      <c r="I38">
        <f>IF(((SUM(ReDiarioFert!G84:G90)/2)*$C$12)&lt;=0,"0",(((SUM(ReDiarioFert!G84:G90)/2)*$C$12)))</f>
        <v>42.235860333333335</v>
      </c>
      <c r="K38">
        <f>IF(((SUM(ReDiarioFert!I84:I90)/2)*$C$12)&lt;=0,"0",(((SUM(ReDiarioFert!I84:I90)/2)*$C$12)))</f>
        <v>18.79463394950863</v>
      </c>
      <c r="M38">
        <f>IF(((SUM(ReDiarioFert!K84:K90)/2)*$C$12)&lt;=0,"0",(((SUM(ReDiarioFert!K84:K90)/2)*$C$12)))</f>
        <v>38.740613252813084</v>
      </c>
      <c r="O38">
        <f>IF(((SUM(ReDiarioFert!M84:M90)/2)*$C$12)&lt;=0,"0",(((SUM(ReDiarioFert!M84:M90)/2)*$C$12)))</f>
        <v>564.4780604878048</v>
      </c>
      <c r="Q38">
        <f>$C$12*Main!$D$63</f>
        <v>20.019999999999996</v>
      </c>
      <c r="S38">
        <f>((E38/100)*$G$50+(G38/100)*$G$51+(I38/100)*$G$52+(K38/100)*$G$53+(M38/100)*$G$54+(O38)*$G$55+(Q38*$G$56))</f>
        <v>1090.7120633540237</v>
      </c>
    </row>
    <row r="39">
      <c r="B39">
        <f>B38+4</f>
        <v>84</v>
      </c>
      <c r="C39">
        <f>$J$11+B39</f>
        <v>39898</v>
      </c>
      <c r="E39">
        <f>E38</f>
        <v>17.792902703127094</v>
      </c>
      <c r="G39">
        <f>G38</f>
        <v>21.514536521739124</v>
      </c>
      <c r="I39">
        <f>I38</f>
        <v>42.235860333333335</v>
      </c>
      <c r="K39">
        <f>K38</f>
        <v>18.79463394950863</v>
      </c>
      <c r="M39">
        <f>M38</f>
        <v>38.740613252813084</v>
      </c>
      <c r="O39">
        <f>O38</f>
        <v>564.4780604878048</v>
      </c>
      <c r="S39">
        <f>((E39/100)*$G$50+(G39/100)*$G$51+(I39/100)*$G$52+(K39/100)*$G$53+(M39/100)*$G$54+(O39)*$G$55+(Q39*$G$56))</f>
        <v>1034.6560633540237</v>
      </c>
    </row>
    <row r="40" ht="18" customHeight="1">
      <c r="A40">
        <v>13</v>
      </c>
      <c r="B40">
        <f>B39+3</f>
        <v>87</v>
      </c>
      <c r="C40">
        <f>$J$11+B40</f>
        <v>39901</v>
      </c>
      <c r="E40">
        <f>IF(((SUM(ReDiarioFert!C91:C97)/2)*$C$12)&lt;=0,"0",(((SUM(ReDiarioFert!C91:C97)/2)*$C$12)))</f>
        <v>19.161587526444567</v>
      </c>
      <c r="G40">
        <f>IF(((SUM(ReDiarioFert!E91:E97)/2)*$C$12)&lt;=0,"0",(((SUM(ReDiarioFert!E91:E97)/2)*$C$12)))</f>
        <v>23.169500869565216</v>
      </c>
      <c r="I40">
        <f>IF(((SUM(ReDiarioFert!G91:G97)/2)*$C$12)&lt;=0,"0",(((SUM(ReDiarioFert!G91:G97)/2)*$C$12)))</f>
        <v>45.48477266666665</v>
      </c>
      <c r="K40">
        <f>IF(((SUM(ReDiarioFert!I91:I97)/2)*$C$12)&lt;=0,"0",(((SUM(ReDiarioFert!I91:I97)/2)*$C$12)))</f>
        <v>20.240375022547756</v>
      </c>
      <c r="M40">
        <f>IF(((SUM(ReDiarioFert!K91:K97)/2)*$C$12)&lt;=0,"0",(((SUM(ReDiarioFert!K91:K97)/2)*$C$12)))</f>
        <v>41.720660426106384</v>
      </c>
      <c r="O40">
        <f>IF(((SUM(ReDiarioFert!M91:M97)/2)*$C$12)&lt;=0,"0",(((SUM(ReDiarioFert!M91:M97)/2)*$C$12)))</f>
        <v>609.2381417073171</v>
      </c>
      <c r="Q40">
        <f>$C$12*Main!$D$63</f>
        <v>20.019999999999996</v>
      </c>
      <c r="S40">
        <f>((E40/100)*$G$50+(G40/100)*$G$51+(I40/100)*$G$52+(K40/100)*$G$53+(M40/100)*$G$54+(O40)*$G$55+(Q40*$G$56))</f>
        <v>1170.3545389823817</v>
      </c>
    </row>
    <row r="41" ht="18" customHeight="1">
      <c r="B41">
        <f>B40+4</f>
        <v>91</v>
      </c>
      <c r="C41">
        <f>$J$11+B41</f>
        <v>39905</v>
      </c>
      <c r="E41">
        <f>E40</f>
        <v>19.161587526444567</v>
      </c>
      <c r="G41">
        <f>G40</f>
        <v>23.169500869565216</v>
      </c>
      <c r="I41">
        <f>I40</f>
        <v>45.48477266666665</v>
      </c>
      <c r="K41">
        <f>K40</f>
        <v>20.240375022547756</v>
      </c>
      <c r="M41">
        <f>M40</f>
        <v>41.720660426106384</v>
      </c>
      <c r="O41">
        <f>O40</f>
        <v>609.2381417073171</v>
      </c>
      <c r="S41">
        <f>((E41/100)*$G$50+(G41/100)*$G$51+(I41/100)*$G$52+(K41/100)*$G$53+(M41/100)*$G$54+(O41)*$G$55+(Q41*$G$56))</f>
        <v>1114.2985389823816</v>
      </c>
    </row>
    <row r="42">
      <c r="A42">
        <v>14</v>
      </c>
      <c r="B42">
        <f>B41+3</f>
        <v>94</v>
      </c>
      <c r="C42">
        <f>$J$11+B42</f>
        <v>39908</v>
      </c>
      <c r="E42">
        <f>IF(((SUM(ReDiarioFert!C98:C104)/2)*$C$12)&lt;=0,"0",(((SUM(ReDiarioFert!C98:C104)/2)*$C$12)))</f>
        <v>19.161587526444567</v>
      </c>
      <c r="G42">
        <f>IF(((SUM(ReDiarioFert!E98:E104)/2)*$C$12)&lt;=0,"0",(((SUM(ReDiarioFert!E98:E104)/2)*$C$12)))</f>
        <v>23.169500869565216</v>
      </c>
      <c r="I42">
        <f>IF(((SUM(ReDiarioFert!G98:G104)/2)*$C$12)&lt;=0,"0",(((SUM(ReDiarioFert!G98:G104)/2)*$C$12)))</f>
        <v>45.48477266666665</v>
      </c>
      <c r="K42">
        <f>IF(((SUM(ReDiarioFert!I98:I104)/2)*$C$12)&lt;=0,"0",(((SUM(ReDiarioFert!I98:I104)/2)*$C$12)))</f>
        <v>20.240375022547756</v>
      </c>
      <c r="M42">
        <f>IF(((SUM(ReDiarioFert!K98:K104)/2)*$C$12)&lt;=0,"0",(((SUM(ReDiarioFert!K98:K104)/2)*$C$12)))</f>
        <v>41.720660426106384</v>
      </c>
      <c r="O42">
        <f>IF(((SUM(ReDiarioFert!M98:M104)/2)*$C$12)&lt;=0,"0",(((SUM(ReDiarioFert!M98:M104)/2)*$C$12)))</f>
        <v>609.2381417073171</v>
      </c>
      <c r="Q42">
        <f>$C$12*Main!$D$63</f>
        <v>20.019999999999996</v>
      </c>
      <c r="S42">
        <f>((E42/100)*$G$50+(G42/100)*$G$51+(I42/100)*$G$52+(K42/100)*$G$53+(M42/100)*$G$54+(O42)*$G$55+(Q42*$G$56))</f>
        <v>1170.3545389823817</v>
      </c>
    </row>
    <row r="43">
      <c r="B43">
        <f>B42+4</f>
        <v>98</v>
      </c>
      <c r="C43">
        <f>$J$11+B43</f>
        <v>39912</v>
      </c>
      <c r="E43">
        <f>E42</f>
        <v>19.161587526444567</v>
      </c>
      <c r="G43">
        <f>G42</f>
        <v>23.169500869565216</v>
      </c>
      <c r="I43">
        <f>I42</f>
        <v>45.48477266666665</v>
      </c>
      <c r="K43">
        <f>K42</f>
        <v>20.240375022547756</v>
      </c>
      <c r="M43">
        <f>M42</f>
        <v>41.720660426106384</v>
      </c>
      <c r="O43">
        <f>O42</f>
        <v>609.2381417073171</v>
      </c>
      <c r="S43">
        <f>((E43/100)*$G$50+(G43/100)*$G$51+(I43/100)*$G$52+(K43/100)*$G$53+(M43/100)*$G$54+(O43)*$G$55+(Q43*$G$56))</f>
        <v>1114.2985389823816</v>
      </c>
    </row>
    <row r="44">
      <c r="A44">
        <v>15</v>
      </c>
      <c r="B44">
        <f>B43+3</f>
        <v>101</v>
      </c>
      <c r="C44">
        <f>$J$11+B44</f>
        <v>39915</v>
      </c>
      <c r="E44">
        <f>IF(((SUM(ReDiarioFert!C105:C111)/2)*$C$12)&lt;=0,"0",(((SUM(ReDiarioFert!C105:C111)/2)*$C$12)))</f>
        <v>19.161587526444567</v>
      </c>
      <c r="G44">
        <f>IF(((SUM(ReDiarioFert!E105:E111)/2)*$C$12)&lt;=0,"0",(((SUM(ReDiarioFert!E105:E111)/2)*$C$12)))</f>
        <v>23.169500869565216</v>
      </c>
      <c r="I44">
        <f>IF(((SUM(ReDiarioFert!G105:G111)/2)*$C$12)&lt;=0,"0",(((SUM(ReDiarioFert!G105:G111)/2)*$C$12)))</f>
        <v>45.48477266666665</v>
      </c>
      <c r="K44">
        <f>IF(((SUM(ReDiarioFert!I105:I111)/2)*$C$12)&lt;=0,"0",(((SUM(ReDiarioFert!I105:I111)/2)*$C$12)))</f>
        <v>20.240375022547756</v>
      </c>
      <c r="M44">
        <f>IF(((SUM(ReDiarioFert!K105:K111)/2)*$C$12)&lt;=0,"0",(((SUM(ReDiarioFert!K105:K111)/2)*$C$12)))</f>
        <v>41.720660426106384</v>
      </c>
      <c r="O44">
        <f>IF(((SUM(ReDiarioFert!M105:M111)/2)*$C$12)&lt;=0,"0",(((SUM(ReDiarioFert!M105:M111)/2)*$C$12)))</f>
        <v>609.2381417073171</v>
      </c>
      <c r="Q44">
        <f>$C$12*Main!$D$63</f>
        <v>20.019999999999996</v>
      </c>
      <c r="S44">
        <f>((E44/100)*$G$50+(G44/100)*$G$51+(I44/100)*$G$52+(K44/100)*$G$53+(M44/100)*$G$54+(O44)*$G$55+(Q44*$G$56))</f>
        <v>1170.3545389823817</v>
      </c>
    </row>
    <row r="45">
      <c r="B45">
        <f>B44+4</f>
        <v>105</v>
      </c>
      <c r="C45">
        <f>$J$11+B45</f>
        <v>39919</v>
      </c>
      <c r="E45">
        <f>E44</f>
        <v>19.161587526444567</v>
      </c>
      <c r="G45">
        <f>G44</f>
        <v>23.169500869565216</v>
      </c>
      <c r="I45">
        <f>I44</f>
        <v>45.48477266666665</v>
      </c>
      <c r="K45">
        <f>K44</f>
        <v>20.240375022547756</v>
      </c>
      <c r="M45">
        <f>M44</f>
        <v>41.720660426106384</v>
      </c>
      <c r="O45">
        <f>O44</f>
        <v>609.2381417073171</v>
      </c>
      <c r="S45">
        <f>((E45/100)*$G$50+(G45/100)*$G$51+(I45/100)*$G$52+(K45/100)*$G$53+(M45/100)*$G$54+(O45)*$G$55+(Q45*$G$56))</f>
        <v>1114.2985389823816</v>
      </c>
    </row>
    <row r="46">
      <c r="C46" t="str">
        <v>Total</v>
      </c>
      <c r="E46">
        <f>SUM(E16:E45)</f>
        <v>360.87656508137263</v>
      </c>
      <c r="G46">
        <f>SUM(G16:G45)</f>
        <v>436.35893304347826</v>
      </c>
      <c r="I46">
        <f>SUM(I16:I45)</f>
        <v>856.6298852222224</v>
      </c>
      <c r="K46">
        <f>SUM(K16:K45)</f>
        <v>381.1937295913161</v>
      </c>
      <c r="M46">
        <f>SUM(M16:M45)</f>
        <v>785.7391046916706</v>
      </c>
      <c r="O46">
        <f>SUM(O16:O45)</f>
        <v>11389.01910487805</v>
      </c>
      <c r="Q46">
        <f>SUM(Q16:Q45)</f>
        <v>300.29999999999984</v>
      </c>
      <c r="S46">
        <f>SUM(S16:S45)</f>
        <v>21823.397181610464</v>
      </c>
    </row>
    <row r="47">
      <c r="D47" t="str">
        <v>OJO cualquier cultivo que no se termine la cosecha en el ultimo día del calendario solo seguir repitiendo la ultima aplicación de fertilizante.</v>
      </c>
    </row>
    <row r="48" ht="39.75" customHeight="1">
      <c r="B48" t="str">
        <v>Producto</v>
      </c>
      <c r="F48" t="str">
        <v>Lbs/Ha</v>
      </c>
      <c r="G48" t="str">
        <v>Costo por qq</v>
      </c>
    </row>
    <row r="49" ht="24" customHeight="1">
      <c r="G49" t="str">
        <f>Main!$E$25</f>
        <v>Lempiras</v>
      </c>
    </row>
    <row r="50">
      <c r="B50" t="str">
        <f>Main!D42</f>
        <v>Urea</v>
      </c>
      <c r="F50">
        <f>E46/C12</f>
        <v>360.51604903234033</v>
      </c>
      <c r="G50">
        <f>Main!D43</f>
        <v>505</v>
      </c>
    </row>
    <row r="51">
      <c r="B51" t="str">
        <f>Main!D32</f>
        <v>DAP 18-46-0</v>
      </c>
      <c r="F51">
        <f>G46/C12</f>
        <v>435.9230100334449</v>
      </c>
      <c r="G51">
        <f>Main!D33</f>
        <v>808</v>
      </c>
    </row>
    <row r="52">
      <c r="B52" t="str">
        <f>Main!D37</f>
        <v>Sulfato de Potasio</v>
      </c>
      <c r="F52">
        <f>I46/C12</f>
        <v>855.7741111111113</v>
      </c>
      <c r="G52">
        <f>Main!D38</f>
        <v>780</v>
      </c>
    </row>
    <row r="53">
      <c r="B53" t="str">
        <f>Main!D47</f>
        <v>Sulfato de Magnesio</v>
      </c>
      <c r="F53">
        <f>K46/C12</f>
        <v>380.81291667464154</v>
      </c>
      <c r="G53">
        <f>Main!D48</f>
        <v>477</v>
      </c>
    </row>
    <row r="54">
      <c r="B54" t="str">
        <f>Main!D52</f>
        <v>Nitrato de Calcio</v>
      </c>
      <c r="F54">
        <f>M46/C12</f>
        <v>784.9541505411296</v>
      </c>
      <c r="G54">
        <f>Main!D53</f>
        <v>850</v>
      </c>
    </row>
    <row r="55">
      <c r="B55" t="str">
        <f>Main!D57</f>
        <v>Solubor</v>
      </c>
      <c r="F55">
        <f>O46/C12</f>
        <v>11377.641463414637</v>
      </c>
      <c r="G55">
        <f>Main!D58</f>
        <v>0.04</v>
      </c>
      <c r="I55" t="str">
        <v xml:space="preserve">Preparado y Autorizado Por </v>
      </c>
    </row>
    <row r="56" ht="18" customHeight="1">
      <c r="B56" t="str">
        <f>Main!D61</f>
        <v>Melaza</v>
      </c>
      <c r="F56">
        <f>Q46/C12</f>
        <v>299.9999999999999</v>
      </c>
      <c r="G56">
        <f>Main!D62</f>
        <v>2.8</v>
      </c>
      <c r="I56" t="str">
        <v>MSc Ricardo D. Lardizábal</v>
      </c>
    </row>
    <row r="57" ht="17.4" customHeight="1">
      <c r="B57" t="str">
        <v>NOTA: El Nitrato de Calcio se debe de diluir en un barril aparte para inyectarse al sistema</v>
      </c>
    </row>
    <row r="60">
      <c r="B60" t="str">
        <v>Abreviaciones usadas</v>
      </c>
    </row>
    <row r="61">
      <c r="B61" t="str">
        <v>Mz.-Manzanas, Ha-Hectáreas, Lbs-Libras, Lts-Litros y DDT-Días después de Trasplante</v>
      </c>
    </row>
  </sheetData>
  <sheetProtection sheet="1"/>
  <mergeCells count="53">
    <mergeCell ref="G51:H51"/>
    <mergeCell ref="J9:N9"/>
    <mergeCell ref="J10:N10"/>
    <mergeCell ref="J11:N11"/>
    <mergeCell ref="J12:N12"/>
    <mergeCell ref="G11:I11"/>
    <mergeCell ref="G12:I12"/>
    <mergeCell ref="G52:H52"/>
    <mergeCell ref="S14:S15"/>
    <mergeCell ref="O14:P14"/>
    <mergeCell ref="Q14:R14"/>
    <mergeCell ref="G14:H14"/>
    <mergeCell ref="I14:J14"/>
    <mergeCell ref="K14:L14"/>
    <mergeCell ref="M14:N14"/>
    <mergeCell ref="G49:H49"/>
    <mergeCell ref="G50:H50"/>
    <mergeCell ref="A14:A15"/>
    <mergeCell ref="B14:B15"/>
    <mergeCell ref="A11:B11"/>
    <mergeCell ref="A12:B12"/>
    <mergeCell ref="C11:F11"/>
    <mergeCell ref="C12:F12"/>
    <mergeCell ref="B61:S61"/>
    <mergeCell ref="E14:F14"/>
    <mergeCell ref="B60:C60"/>
    <mergeCell ref="B56:E56"/>
    <mergeCell ref="B48:E48"/>
    <mergeCell ref="B50:E50"/>
    <mergeCell ref="B51:E51"/>
    <mergeCell ref="B52:E52"/>
    <mergeCell ref="C14:D14"/>
    <mergeCell ref="G48:H48"/>
    <mergeCell ref="B57:I58"/>
    <mergeCell ref="B54:E54"/>
    <mergeCell ref="B53:E53"/>
    <mergeCell ref="I56:Q56"/>
    <mergeCell ref="B55:E55"/>
    <mergeCell ref="G56:H56"/>
    <mergeCell ref="G55:H55"/>
    <mergeCell ref="G53:H53"/>
    <mergeCell ref="G54:H54"/>
    <mergeCell ref="I55:Q55"/>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70"/>
  </ignoredErrors>
  <legacyDrawing r:id="rId1"/>
</worksheet>
</file>

<file path=xl/worksheets/sheet7.xml><?xml version="1.0" encoding="utf-8"?>
<worksheet xmlns="http://schemas.openxmlformats.org/spreadsheetml/2006/main" xmlns:r="http://schemas.openxmlformats.org/officeDocument/2006/relationships">
  <dimension ref="A1:V53"/>
  <sheetViews>
    <sheetView workbookViewId="0" rightToLeft="0"/>
  </sheetViews>
  <sheetData>
    <row r="1" ht="32.7" customHeight="1"/>
    <row r="2" ht="32.7" customHeight="1">
      <c r="P2" t="str">
        <v>Calendario de Fertilización para Goteo 1 Vez Por Semana</v>
      </c>
    </row>
    <row r="3" ht="32.7" customHeight="1"/>
    <row r="5">
      <c r="P5" t="str">
        <f>Main!$E$21</f>
        <v>Tabaco</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Habano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39884</v>
      </c>
    </row>
    <row r="13" ht="19.5" customHeight="1"/>
    <row r="14" ht="26.399999999999995" customHeight="1">
      <c r="A14" t="str">
        <v>Semana</v>
      </c>
      <c r="B14" t="str">
        <v>DDT</v>
      </c>
      <c r="C14" t="str">
        <v>FECHA</v>
      </c>
      <c r="E14" t="str">
        <f>Main!$D$42</f>
        <v>Urea</v>
      </c>
      <c r="G14" t="str">
        <f>Main!$D$32</f>
        <v>DAP 18-46-0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39815</v>
      </c>
      <c r="E16">
        <f>IF((SUM(ReDiarioFert!C7:C13)*$C$12)&lt;=0,"0",((SUM(ReDiarioFert!C7:C13)*$C$12)))</f>
        <v>6.387195842148188</v>
      </c>
      <c r="G16">
        <f>IF((SUM(ReDiarioFert!E7:E13)*$C$12)&lt;=0,"0",((SUM(ReDiarioFert!E7:E13)*$C$12)))</f>
        <v>7.723166956521739</v>
      </c>
      <c r="I16">
        <f>IF((SUM(ReDiarioFert!G7:G13)*$C$12)&lt;=0,"0",((SUM(ReDiarioFert!G7:G13)*$C$12)))</f>
        <v>15.16159088888889</v>
      </c>
      <c r="K16">
        <f>IF((SUM(ReDiarioFert!I7:I13)*$C$12)&lt;=0,"0",((SUM(ReDiarioFert!I7:I13)*$C$12)))</f>
        <v>6.746791674182584</v>
      </c>
      <c r="M16">
        <f>IF((SUM(ReDiarioFert!K7:K13)*$C$12)&lt;=0,"0",((SUM(ReDiarioFert!K7:K13)*$C$12)))</f>
        <v>13.90688680870213</v>
      </c>
      <c r="O16">
        <f>IF((SUM(ReDiarioFert!M7:M13)*$C$12)&lt;=0,"0",((SUM(ReDiarioFert!M7:M13)*$C$12)))</f>
        <v>174.06755219512195</v>
      </c>
      <c r="Q16">
        <f>$C$12*Main!$D$63</f>
        <v>20.019999999999996</v>
      </c>
      <c r="S16">
        <f>((E16/100)*$G$35+(G16/100)*$G$36+(I16/100)*$G$37+(K16/100)*$G$38+(M16/100)*$G$39+(O16)*$G$40+(Q16*$G$41))</f>
        <v>426.3283731925012</v>
      </c>
    </row>
    <row r="17">
      <c r="A17">
        <v>2</v>
      </c>
      <c r="B17">
        <v>8</v>
      </c>
      <c r="C17">
        <f>$J$11+B17</f>
        <v>39822</v>
      </c>
      <c r="E17">
        <f>IF((SUM(ReDiarioFert!C14:C20)*$C$12)&lt;=0,"0",((SUM(ReDiarioFert!C14:C20)*$C$12)))</f>
        <v>8.212108939904812</v>
      </c>
      <c r="G17">
        <f>IF((SUM(ReDiarioFert!E14:E20)*$C$12)&lt;=0,"0",((SUM(ReDiarioFert!E14:E20)*$C$12)))</f>
        <v>9.92978608695652</v>
      </c>
      <c r="I17">
        <f>IF((SUM(ReDiarioFert!G14:G20)*$C$12)&lt;=0,"0",((SUM(ReDiarioFert!G14:G20)*$C$12)))</f>
        <v>19.493474000000003</v>
      </c>
      <c r="K17">
        <f>IF((SUM(ReDiarioFert!I14:I20)*$C$12)&lt;=0,"0",((SUM(ReDiarioFert!I14:I20)*$C$12)))</f>
        <v>8.674446438234751</v>
      </c>
      <c r="M17">
        <f>IF((SUM(ReDiarioFert!K14:K20)*$C$12)&lt;=0,"0",((SUM(ReDiarioFert!K14:K20)*$C$12)))</f>
        <v>17.88028303975988</v>
      </c>
      <c r="O17">
        <f>IF((SUM(ReDiarioFert!M14:M20)*$C$12)&lt;=0,"0",((SUM(ReDiarioFert!M14:M20)*$C$12)))</f>
        <v>253.64168097560975</v>
      </c>
      <c r="Q17">
        <f>$C$12*Main!$D$63</f>
        <v>20.019999999999996</v>
      </c>
      <c r="S17">
        <f>((E17/100)*$G$35+(G17/100)*$G$36+(I17/100)*$G$37+(K17/100)*$G$38+(M17/100)*$G$39+(O17)*$G$40+(Q17*$G$41))</f>
        <v>533.3141015164911</v>
      </c>
    </row>
    <row r="18">
      <c r="A18">
        <v>3</v>
      </c>
      <c r="B18">
        <v>15</v>
      </c>
      <c r="C18">
        <f>$J$11+B18</f>
        <v>39829</v>
      </c>
      <c r="E18">
        <f>IF((SUM(ReDiarioFert!C21:C27)*$C$12)&lt;=0,"0",((SUM(ReDiarioFert!C21:C27)*$C$12)))</f>
        <v>11.405706860978908</v>
      </c>
      <c r="G18">
        <f>IF((SUM(ReDiarioFert!E21:E27)*$C$12)&lt;=0,"0",((SUM(ReDiarioFert!E21:E27)*$C$12)))</f>
        <v>13.791369565217392</v>
      </c>
      <c r="I18">
        <f>IF((SUM(ReDiarioFert!G21:G27)*$C$12)&lt;=0,"0",((SUM(ReDiarioFert!G21:G27)*$C$12)))</f>
        <v>27.074269444444443</v>
      </c>
      <c r="K18">
        <f>IF((SUM(ReDiarioFert!I21:I27)*$C$12)&lt;=0,"0",((SUM(ReDiarioFert!I21:I27)*$C$12)))</f>
        <v>12.047842275326044</v>
      </c>
      <c r="M18">
        <f>IF((SUM(ReDiarioFert!K21:K27)*$C$12)&lt;=0,"0",((SUM(ReDiarioFert!K21:K27)*$C$12)))</f>
        <v>24.833726444110944</v>
      </c>
      <c r="O18">
        <f>IF((SUM(ReDiarioFert!M21:M27)*$C$12)&lt;=0,"0",((SUM(ReDiarioFert!M21:M27)*$C$12)))</f>
        <v>373.00140926829266</v>
      </c>
      <c r="Q18">
        <f>$C$12*Main!$D$63</f>
        <v>20.019999999999996</v>
      </c>
      <c r="S18">
        <f>((E18/100)*$G$35+(G18/100)*$G$36+(I18/100)*$G$37+(K18/100)*$G$38+(M18/100)*$G$39+(O18)*$G$40+(Q18*$G$41))</f>
        <v>719.7433262005466</v>
      </c>
    </row>
    <row r="19">
      <c r="A19">
        <v>4</v>
      </c>
      <c r="B19">
        <v>22</v>
      </c>
      <c r="C19">
        <f>$J$11+B19</f>
        <v>39836</v>
      </c>
      <c r="E19">
        <f>IF((SUM(ReDiarioFert!C28:C34)*$C$12)&lt;=0,"0",((SUM(ReDiarioFert!C28:C34)*$C$12)))</f>
        <v>12.774391684296376</v>
      </c>
      <c r="G19">
        <f>IF((SUM(ReDiarioFert!E28:E34)*$C$12)&lt;=0,"0",((SUM(ReDiarioFert!E28:E34)*$C$12)))</f>
        <v>15.446333913043478</v>
      </c>
      <c r="I19">
        <f>IF((SUM(ReDiarioFert!G28:G34)*$C$12)&lt;=0,"0",((SUM(ReDiarioFert!G28:G34)*$C$12)))</f>
        <v>30.32318177777778</v>
      </c>
      <c r="K19">
        <f>IF((SUM(ReDiarioFert!I28:I34)*$C$12)&lt;=0,"0",((SUM(ReDiarioFert!I28:I34)*$C$12)))</f>
        <v>13.493583348365169</v>
      </c>
      <c r="M19">
        <f>IF((SUM(ReDiarioFert!K28:K34)*$C$12)&lt;=0,"0",((SUM(ReDiarioFert!K28:K34)*$C$12)))</f>
        <v>27.81377361740426</v>
      </c>
      <c r="O19">
        <f>IF((SUM(ReDiarioFert!M28:M34)*$C$12)&lt;=0,"0",((SUM(ReDiarioFert!M28:M34)*$C$12)))</f>
        <v>417.7607580487805</v>
      </c>
      <c r="Q19">
        <f>$C$12*Main!$D$63</f>
        <v>20.019999999999996</v>
      </c>
      <c r="S19">
        <f>((E19/100)*$G$35+(G19/100)*$G$36+(I19/100)*$G$37+(K19/100)*$G$38+(M19/100)*$G$39+(O19)*$G$40+(Q19*$G$41))</f>
        <v>799.385772531344</v>
      </c>
    </row>
    <row r="20">
      <c r="A20">
        <v>5</v>
      </c>
      <c r="B20">
        <v>29</v>
      </c>
      <c r="C20">
        <f>$J$11+B20</f>
        <v>39843</v>
      </c>
      <c r="E20">
        <f>IF((SUM(ReDiarioFert!C35:C41)*$C$12)&lt;=0,"0",((SUM(ReDiarioFert!C35:C41)*$C$12)))</f>
        <v>15.511761330931314</v>
      </c>
      <c r="G20">
        <f>IF((SUM(ReDiarioFert!E35:E41)*$C$12)&lt;=0,"0",((SUM(ReDiarioFert!E35:E41)*$C$12)))</f>
        <v>18.756262608695646</v>
      </c>
      <c r="I20">
        <f>IF((SUM(ReDiarioFert!G35:G41)*$C$12)&lt;=0,"0",((SUM(ReDiarioFert!G35:G41)*$C$12)))</f>
        <v>36.82100644444444</v>
      </c>
      <c r="K20">
        <f>IF((SUM(ReDiarioFert!I35:I41)*$C$12)&lt;=0,"0",((SUM(ReDiarioFert!I35:I41)*$C$12)))</f>
        <v>16.38506549444342</v>
      </c>
      <c r="M20">
        <f>IF((SUM(ReDiarioFert!K35:K41)*$C$12)&lt;=0,"0",((SUM(ReDiarioFert!K35:K41)*$C$12)))</f>
        <v>33.77386796399089</v>
      </c>
      <c r="O20">
        <f>IF((SUM(ReDiarioFert!M35:M41)*$C$12)&lt;=0,"0",((SUM(ReDiarioFert!M35:M41)*$C$12)))</f>
        <v>492.36260243902444</v>
      </c>
      <c r="Q20">
        <f>$C$12*Main!$D$63</f>
        <v>20.019999999999996</v>
      </c>
      <c r="S20">
        <f>((E20/100)*$G$35+(G20/100)*$G$36+(I20/100)*$G$37+(K20/100)*$G$38+(M20/100)*$G$39+(O20)*$G$40+(Q20*$G$41))</f>
        <v>958.0739910661091</v>
      </c>
    </row>
    <row r="21">
      <c r="A21">
        <v>6</v>
      </c>
      <c r="B21">
        <v>36</v>
      </c>
      <c r="C21">
        <f>$J$11+B21</f>
        <v>39850</v>
      </c>
      <c r="E21">
        <f>IF((SUM(ReDiarioFert!C42:C48)*$C$12)&lt;=0,"0",((SUM(ReDiarioFert!C42:C48)*$C$12)))</f>
        <v>19.161587526444567</v>
      </c>
      <c r="G21">
        <f>IF((SUM(ReDiarioFert!E42:E48)*$C$12)&lt;=0,"0",((SUM(ReDiarioFert!E42:E48)*$C$12)))</f>
        <v>23.169500869565216</v>
      </c>
      <c r="I21">
        <f>IF((SUM(ReDiarioFert!G42:G48)*$C$12)&lt;=0,"0",((SUM(ReDiarioFert!G42:G48)*$C$12)))</f>
        <v>45.48477266666665</v>
      </c>
      <c r="K21">
        <f>IF((SUM(ReDiarioFert!I42:I48)*$C$12)&lt;=0,"0",((SUM(ReDiarioFert!I42:I48)*$C$12)))</f>
        <v>20.240375022547756</v>
      </c>
      <c r="M21">
        <f>IF((SUM(ReDiarioFert!K42:K48)*$C$12)&lt;=0,"0",((SUM(ReDiarioFert!K42:K48)*$C$12)))</f>
        <v>41.720660426106384</v>
      </c>
      <c r="O21">
        <f>IF((SUM(ReDiarioFert!M42:M48)*$C$12)&lt;=0,"0",((SUM(ReDiarioFert!M42:M48)*$C$12)))</f>
        <v>591.831728292683</v>
      </c>
      <c r="Q21">
        <f>$C$12*Main!$D$63</f>
        <v>20.019999999999996</v>
      </c>
      <c r="S21">
        <f>((E21/100)*$G$35+(G21/100)*$G$36+(I21/100)*$G$37+(K21/100)*$G$38+(M21/100)*$G$39+(O21)*$G$40+(Q21*$G$41))</f>
        <v>1169.6582824457962</v>
      </c>
    </row>
    <row r="22">
      <c r="A22">
        <v>7</v>
      </c>
      <c r="B22">
        <v>43</v>
      </c>
      <c r="C22">
        <f>$J$11+B22</f>
        <v>39857</v>
      </c>
      <c r="E22">
        <f>IF((SUM(ReDiarioFert!C49:C55)*$C$12)&lt;=0,"0",((SUM(ReDiarioFert!C49:C55)*$C$12)))</f>
        <v>20.98650062420119</v>
      </c>
      <c r="G22">
        <f>IF((SUM(ReDiarioFert!E49:E55)*$C$12)&lt;=0,"0",((SUM(ReDiarioFert!E49:E55)*$C$12)))</f>
        <v>25.376119999999997</v>
      </c>
      <c r="I22">
        <f>IF((SUM(ReDiarioFert!G49:G55)*$C$12)&lt;=0,"0",((SUM(ReDiarioFert!G49:G55)*$C$12)))</f>
        <v>49.81665577777777</v>
      </c>
      <c r="K22">
        <f>IF((SUM(ReDiarioFert!I49:I55)*$C$12)&lt;=0,"0",((SUM(ReDiarioFert!I49:I55)*$C$12)))</f>
        <v>22.168029786599924</v>
      </c>
      <c r="M22">
        <f>IF((SUM(ReDiarioFert!K49:K55)*$C$12)&lt;=0,"0",((SUM(ReDiarioFert!K49:K55)*$C$12)))</f>
        <v>45.69405665716414</v>
      </c>
      <c r="O22">
        <f>IF((SUM(ReDiarioFert!M49:M55)*$C$12)&lt;=0,"0",((SUM(ReDiarioFert!M49:M55)*$C$12)))</f>
        <v>651.5118365853659</v>
      </c>
      <c r="Q22">
        <f>$C$12*Main!$D$63</f>
        <v>20.019999999999996</v>
      </c>
      <c r="S22">
        <f>((E22/100)*$G$35+(G22/100)*$G$36+(I22/100)*$G$37+(K22/100)*$G$38+(M22/100)*$G$39+(O22)*$G$40+(Q22*$G$41))</f>
        <v>1275.848249950274</v>
      </c>
    </row>
    <row r="23">
      <c r="A23">
        <v>8</v>
      </c>
      <c r="B23">
        <v>50</v>
      </c>
      <c r="C23">
        <f>$J$11+B23</f>
        <v>39864</v>
      </c>
      <c r="E23">
        <f>IF((SUM(ReDiarioFert!C56:C62)*$C$12)&lt;=0,"0",((SUM(ReDiarioFert!C56:C62)*$C$12)))</f>
        <v>25.54878336859275</v>
      </c>
      <c r="G23">
        <f>IF((SUM(ReDiarioFert!E56:E62)*$C$12)&lt;=0,"0",((SUM(ReDiarioFert!E56:E62)*$C$12)))</f>
        <v>30.892667826086956</v>
      </c>
      <c r="I23">
        <f>IF((SUM(ReDiarioFert!G56:G62)*$C$12)&lt;=0,"0",((SUM(ReDiarioFert!G56:G62)*$C$12)))</f>
        <v>60.64636355555556</v>
      </c>
      <c r="K23">
        <f>IF((SUM(ReDiarioFert!I56:I62)*$C$12)&lt;=0,"0",((SUM(ReDiarioFert!I56:I62)*$C$12)))</f>
        <v>26.987166696730338</v>
      </c>
      <c r="M23">
        <f>IF((SUM(ReDiarioFert!K56:K62)*$C$12)&lt;=0,"0",((SUM(ReDiarioFert!K56:K62)*$C$12)))</f>
        <v>55.62754723480852</v>
      </c>
      <c r="O23">
        <f>IF((SUM(ReDiarioFert!M56:M62)*$C$12)&lt;=0,"0",((SUM(ReDiarioFert!M56:M62)*$C$12)))</f>
        <v>800.7121073170731</v>
      </c>
      <c r="Q23">
        <f>$C$12*Main!$D$63</f>
        <v>20.019999999999996</v>
      </c>
      <c r="S23">
        <f>((E23/100)*$G$35+(G23/100)*$G$36+(I23/100)*$G$37+(K23/100)*$G$38+(M23/100)*$G$39+(O23)*$G$40+(Q23*$G$41))</f>
        <v>1541.3231687114683</v>
      </c>
    </row>
    <row r="24">
      <c r="A24">
        <v>9</v>
      </c>
      <c r="B24">
        <v>57</v>
      </c>
      <c r="C24">
        <f>$J$11+B24</f>
        <v>39871</v>
      </c>
      <c r="E24">
        <f>IF((SUM(ReDiarioFert!C63:C69)*$C$12)&lt;=0,"0",((SUM(ReDiarioFert!C63:C69)*$C$12)))</f>
        <v>26.46123991747106</v>
      </c>
      <c r="G24">
        <f>IF((SUM(ReDiarioFert!E63:E69)*$C$12)&lt;=0,"0",((SUM(ReDiarioFert!E63:E69)*$C$12)))</f>
        <v>31.995977391304343</v>
      </c>
      <c r="I24">
        <f>IF((SUM(ReDiarioFert!G63:G69)*$C$12)&lt;=0,"0",((SUM(ReDiarioFert!G63:G69)*$C$12)))</f>
        <v>62.812305111111115</v>
      </c>
      <c r="K24">
        <f>IF((SUM(ReDiarioFert!I63:I69)*$C$12)&lt;=0,"0",((SUM(ReDiarioFert!I63:I69)*$C$12)))</f>
        <v>27.95099407875642</v>
      </c>
      <c r="M24">
        <f>IF((SUM(ReDiarioFert!K63:K69)*$C$12)&lt;=0,"0",((SUM(ReDiarioFert!K63:K69)*$C$12)))</f>
        <v>57.6142453503374</v>
      </c>
      <c r="O24">
        <f>IF((SUM(ReDiarioFert!M63:M69)*$C$12)&lt;=0,"0",((SUM(ReDiarioFert!M63:M69)*$C$12)))</f>
        <v>830.5526497560975</v>
      </c>
      <c r="Q24">
        <f>$C$12*Main!$D$63</f>
        <v>20.019999999999996</v>
      </c>
      <c r="S24">
        <f>((E24/100)*$G$35+(G24/100)*$G$36+(I24/100)*$G$37+(K24/100)*$G$38+(M24/100)*$G$39+(O24)*$G$40+(Q24*$G$41))</f>
        <v>1594.4181719954145</v>
      </c>
    </row>
    <row r="25">
      <c r="A25">
        <v>10</v>
      </c>
      <c r="B25">
        <v>64</v>
      </c>
      <c r="C25">
        <f>$J$11+B25</f>
        <v>39878</v>
      </c>
      <c r="E25">
        <f>IF((SUM(ReDiarioFert!C70:C76)*$C$12)&lt;=0,"0",((SUM(ReDiarioFert!C70:C76)*$C$12)))</f>
        <v>31.935979210740925</v>
      </c>
      <c r="G25">
        <f>IF((SUM(ReDiarioFert!E70:E76)*$C$12)&lt;=0,"0",((SUM(ReDiarioFert!E70:E76)*$C$12)))</f>
        <v>38.61583478260867</v>
      </c>
      <c r="I25">
        <f>IF((SUM(ReDiarioFert!G70:G76)*$C$12)&lt;=0,"0",((SUM(ReDiarioFert!G70:G76)*$C$12)))</f>
        <v>75.80795444444445</v>
      </c>
      <c r="K25">
        <f>IF((SUM(ReDiarioFert!I70:I76)*$C$12)&lt;=0,"0",((SUM(ReDiarioFert!I70:I76)*$C$12)))</f>
        <v>33.73395837091292</v>
      </c>
      <c r="M25">
        <f>IF((SUM(ReDiarioFert!K70:K76)*$C$12)&lt;=0,"0",((SUM(ReDiarioFert!K70:K76)*$C$12)))</f>
        <v>69.53443404351067</v>
      </c>
      <c r="O25">
        <f>IF((SUM(ReDiarioFert!M70:M76)*$C$12)&lt;=0,"0",((SUM(ReDiarioFert!M70:M76)*$C$12)))</f>
        <v>1009.595904390244</v>
      </c>
      <c r="Q25">
        <f>$C$12*Main!$D$63</f>
        <v>20.019999999999996</v>
      </c>
      <c r="S25">
        <f>((E25/100)*$G$35+(G25/100)*$G$36+(I25/100)*$G$37+(K25/100)*$G$38+(M25/100)*$G$39+(O25)*$G$40+(Q25*$G$41))</f>
        <v>1912.9881916990914</v>
      </c>
    </row>
    <row r="26">
      <c r="A26">
        <v>11</v>
      </c>
      <c r="B26">
        <v>71</v>
      </c>
      <c r="C26">
        <f>$J$11+B26</f>
        <v>39885</v>
      </c>
      <c r="E26">
        <f>IF((SUM(ReDiarioFert!C77:C83)*$C$12)&lt;=0,"0",((SUM(ReDiarioFert!C77:C83)*$C$12)))</f>
        <v>31.935979210740925</v>
      </c>
      <c r="G26">
        <f>IF((SUM(ReDiarioFert!E77:E83)*$C$12)&lt;=0,"0",((SUM(ReDiarioFert!E77:E83)*$C$12)))</f>
        <v>38.61583478260867</v>
      </c>
      <c r="I26">
        <f>IF((SUM(ReDiarioFert!G77:G83)*$C$12)&lt;=0,"0",((SUM(ReDiarioFert!G77:G83)*$C$12)))</f>
        <v>75.80795444444445</v>
      </c>
      <c r="K26">
        <f>IF((SUM(ReDiarioFert!I77:I83)*$C$12)&lt;=0,"0",((SUM(ReDiarioFert!I77:I83)*$C$12)))</f>
        <v>33.73395837091292</v>
      </c>
      <c r="M26">
        <f>IF((SUM(ReDiarioFert!K77:K83)*$C$12)&lt;=0,"0",((SUM(ReDiarioFert!K77:K83)*$C$12)))</f>
        <v>69.53443404351067</v>
      </c>
      <c r="O26">
        <f>IF((SUM(ReDiarioFert!M77:M83)*$C$12)&lt;=0,"0",((SUM(ReDiarioFert!M77:M83)*$C$12)))</f>
        <v>1009.595904390244</v>
      </c>
      <c r="Q26">
        <f>$C$12*Main!$D$63</f>
        <v>20.019999999999996</v>
      </c>
      <c r="S26">
        <f>((E26/100)*$G$35+(G26/100)*$G$36+(I26/100)*$G$37+(K26/100)*$G$38+(M26/100)*$G$39+(O26)*$G$40+(Q26*$G$41))</f>
        <v>1912.9881916990914</v>
      </c>
    </row>
    <row r="27">
      <c r="A27">
        <v>12</v>
      </c>
      <c r="B27">
        <v>78</v>
      </c>
      <c r="C27">
        <f>$J$11+B27</f>
        <v>39892</v>
      </c>
      <c r="E27">
        <f>IF((SUM(ReDiarioFert!C84:C90)*$C$12)&lt;=0,"0",((SUM(ReDiarioFert!C84:C90)*$C$12)))</f>
        <v>35.58580540625419</v>
      </c>
      <c r="G27">
        <f>IF((SUM(ReDiarioFert!E84:E90)*$C$12)&lt;=0,"0",((SUM(ReDiarioFert!E84:E90)*$C$12)))</f>
        <v>43.02907304347825</v>
      </c>
      <c r="I27">
        <f>IF((SUM(ReDiarioFert!G84:G90)*$C$12)&lt;=0,"0",((SUM(ReDiarioFert!G84:G90)*$C$12)))</f>
        <v>84.47172066666667</v>
      </c>
      <c r="K27">
        <f>IF((SUM(ReDiarioFert!I84:I90)*$C$12)&lt;=0,"0",((SUM(ReDiarioFert!I84:I90)*$C$12)))</f>
        <v>37.58926789901726</v>
      </c>
      <c r="M27">
        <f>IF((SUM(ReDiarioFert!K84:K90)*$C$12)&lt;=0,"0",((SUM(ReDiarioFert!K84:K90)*$C$12)))</f>
        <v>77.48122650562617</v>
      </c>
      <c r="O27">
        <f>IF((SUM(ReDiarioFert!M84:M90)*$C$12)&lt;=0,"0",((SUM(ReDiarioFert!M84:M90)*$C$12)))</f>
        <v>1128.9561209756096</v>
      </c>
      <c r="Q27">
        <f>$C$12*Main!$D$63</f>
        <v>20.019999999999996</v>
      </c>
      <c r="S27">
        <f>((E27/100)*$G$35+(G27/100)*$G$36+(I27/100)*$G$37+(K27/100)*$G$38+(M27/100)*$G$39+(O27)*$G$40+(Q27*$G$41))</f>
        <v>2125.3681267080474</v>
      </c>
    </row>
    <row r="28" ht="18" customHeight="1">
      <c r="A28">
        <v>13</v>
      </c>
      <c r="B28">
        <v>85</v>
      </c>
      <c r="C28">
        <f>$J$11+B28</f>
        <v>39899</v>
      </c>
      <c r="E28">
        <f>IF((SUM(ReDiarioFert!C91:C97)*$C$12)&lt;=0,"0",((SUM(ReDiarioFert!C91:C97)*$C$12)))</f>
        <v>38.323175052889134</v>
      </c>
      <c r="G28">
        <f>IF((SUM(ReDiarioFert!E91:E97)*$C$12)&lt;=0,"0",((SUM(ReDiarioFert!E91:E97)*$C$12)))</f>
        <v>46.33900173913043</v>
      </c>
      <c r="I28">
        <f>IF((SUM(ReDiarioFert!G91:G97)*$C$12)&lt;=0,"0",((SUM(ReDiarioFert!G91:G97)*$C$12)))</f>
        <v>90.9695453333333</v>
      </c>
      <c r="K28">
        <f>IF((SUM(ReDiarioFert!I91:I97)*$C$12)&lt;=0,"0",((SUM(ReDiarioFert!I91:I97)*$C$12)))</f>
        <v>40.48075004509551</v>
      </c>
      <c r="M28">
        <f>IF((SUM(ReDiarioFert!K91:K97)*$C$12)&lt;=0,"0",((SUM(ReDiarioFert!K91:K97)*$C$12)))</f>
        <v>83.44132085221277</v>
      </c>
      <c r="O28">
        <f>IF((SUM(ReDiarioFert!M91:M97)*$C$12)&lt;=0,"0",((SUM(ReDiarioFert!M91:M97)*$C$12)))</f>
        <v>1218.4762834146343</v>
      </c>
      <c r="Q28">
        <f>$C$12*Main!$D$63</f>
        <v>20.019999999999996</v>
      </c>
      <c r="S28">
        <f>((E28/100)*$G$35+(G28/100)*$G$36+(I28/100)*$G$37+(K28/100)*$G$38+(M28/100)*$G$39+(O28)*$G$40+(Q28*$G$41))</f>
        <v>2284.6530779647633</v>
      </c>
    </row>
    <row r="29">
      <c r="A29">
        <v>14</v>
      </c>
      <c r="B29">
        <v>92</v>
      </c>
      <c r="C29">
        <f>$J$11+B29</f>
        <v>39906</v>
      </c>
      <c r="E29">
        <f>IF((SUM(ReDiarioFert!C98:C104)*$C$12)&lt;=0,"0",((SUM(ReDiarioFert!C98:C104)*$C$12)))</f>
        <v>38.323175052889134</v>
      </c>
      <c r="G29">
        <f>IF((SUM(ReDiarioFert!E98:E104)*$C$12)&lt;=0,"0",((SUM(ReDiarioFert!E98:E104)*$C$12)))</f>
        <v>46.33900173913043</v>
      </c>
      <c r="I29">
        <f>IF((SUM(ReDiarioFert!G98:G104)*$C$12)&lt;=0,"0",((SUM(ReDiarioFert!G98:G104)*$C$12)))</f>
        <v>90.9695453333333</v>
      </c>
      <c r="K29">
        <f>IF((SUM(ReDiarioFert!I98:I104)*$C$12)&lt;=0,"0",((SUM(ReDiarioFert!I98:I104)*$C$12)))</f>
        <v>40.48075004509551</v>
      </c>
      <c r="M29">
        <f>IF((SUM(ReDiarioFert!K98:K104)*$C$12)&lt;=0,"0",((SUM(ReDiarioFert!K98:K104)*$C$12)))</f>
        <v>83.44132085221277</v>
      </c>
      <c r="O29">
        <f>IF((SUM(ReDiarioFert!M98:M104)*$C$12)&lt;=0,"0",((SUM(ReDiarioFert!M98:M104)*$C$12)))</f>
        <v>1218.4762834146343</v>
      </c>
      <c r="Q29">
        <f>$C$12*Main!$D$63</f>
        <v>20.019999999999996</v>
      </c>
      <c r="S29">
        <f>((E29/100)*$G$35+(G29/100)*$G$36+(I29/100)*$G$37+(K29/100)*$G$38+(M29/100)*$G$39+(O29)*$G$40+(Q29*$G$41))</f>
        <v>2284.6530779647633</v>
      </c>
    </row>
    <row r="30">
      <c r="A30">
        <v>15</v>
      </c>
      <c r="B30">
        <v>99</v>
      </c>
      <c r="C30">
        <f>$J$11+B30</f>
        <v>39913</v>
      </c>
      <c r="E30">
        <f>IF((SUM(ReDiarioFert!C105:C111)*$C$12)&lt;=0,"0",((SUM(ReDiarioFert!C105:C111)*$C$12)))</f>
        <v>38.323175052889134</v>
      </c>
      <c r="G30">
        <f>IF((SUM(ReDiarioFert!E105:E111)*$C$12)&lt;=0,"0",((SUM(ReDiarioFert!E105:E111)*$C$12)))</f>
        <v>46.33900173913043</v>
      </c>
      <c r="I30">
        <f>IF((SUM(ReDiarioFert!G105:G111)*$C$12)&lt;=0,"0",((SUM(ReDiarioFert!G105:G111)*$C$12)))</f>
        <v>90.9695453333333</v>
      </c>
      <c r="K30">
        <f>IF((SUM(ReDiarioFert!I105:I111)*$C$12)&lt;=0,"0",((SUM(ReDiarioFert!I105:I111)*$C$12)))</f>
        <v>40.48075004509551</v>
      </c>
      <c r="M30">
        <f>IF((SUM(ReDiarioFert!K105:K111)*$C$12)&lt;=0,"0",((SUM(ReDiarioFert!K105:K111)*$C$12)))</f>
        <v>83.44132085221277</v>
      </c>
      <c r="O30">
        <f>IF((SUM(ReDiarioFert!M105:M111)*$C$12)&lt;=0,"0",((SUM(ReDiarioFert!M105:M111)*$C$12)))</f>
        <v>1218.4762834146343</v>
      </c>
      <c r="Q30">
        <f>$C$12*Main!$D$63</f>
        <v>20.019999999999996</v>
      </c>
      <c r="S30">
        <f>((E30/100)*$G$35+(G30/100)*$G$36+(I30/100)*$G$37+(K30/100)*$G$38+(M30/100)*$G$39+(O30)*$G$40+(Q30*$G$41))</f>
        <v>2284.6530779647633</v>
      </c>
    </row>
    <row r="31">
      <c r="C31" t="str">
        <v>Total</v>
      </c>
      <c r="E31">
        <f>SUM(E16:E30)</f>
        <v>360.8765650813727</v>
      </c>
      <c r="G31">
        <f>SUM(G16:G30)</f>
        <v>436.35893304347815</v>
      </c>
      <c r="I31">
        <f>SUM(I16:I30)</f>
        <v>856.629885222222</v>
      </c>
      <c r="K31">
        <f>SUM(K16:K30)</f>
        <v>381.19372959131607</v>
      </c>
      <c r="M31">
        <f>SUM(M16:M30)</f>
        <v>785.7391046916704</v>
      </c>
      <c r="O31">
        <f>SUM(O16:O30)</f>
        <v>11389.01910487805</v>
      </c>
      <c r="Q31">
        <f>SUM(Q16:Q30)</f>
        <v>300.29999999999984</v>
      </c>
      <c r="S31">
        <f>SUM(S16:S30)</f>
        <v>21823.39718161046</v>
      </c>
    </row>
    <row r="32">
      <c r="D32" t="str">
        <v>OJO cualquier cultivo que no se termine la cosecha en el ultimo día del calendario solo seguir repitiendo la ultima aplicación de fertilizante.</v>
      </c>
    </row>
    <row r="33" ht="39.75" customHeight="1">
      <c r="B33" t="str">
        <v>Producto</v>
      </c>
      <c r="F33" t="str">
        <v>Lbs/Ha</v>
      </c>
      <c r="G33" t="str">
        <v>Costo por qq</v>
      </c>
    </row>
    <row r="34" ht="24" customHeight="1">
      <c r="G34" t="str">
        <f>Main!$E$25</f>
        <v>Lempiras</v>
      </c>
    </row>
    <row r="35">
      <c r="B35" t="str">
        <f>Main!D42</f>
        <v>Urea</v>
      </c>
      <c r="F35">
        <f>E31/C12</f>
        <v>360.5160490323404</v>
      </c>
      <c r="G35">
        <f>Main!D43</f>
        <v>505</v>
      </c>
    </row>
    <row r="36">
      <c r="B36" t="str">
        <f>Main!D32</f>
        <v>DAP 18-46-0</v>
      </c>
      <c r="F36">
        <f>G31/C12</f>
        <v>435.92301003344477</v>
      </c>
      <c r="G36">
        <f>Main!D33</f>
        <v>808</v>
      </c>
    </row>
    <row r="37">
      <c r="B37" t="str">
        <f>Main!D37</f>
        <v>Sulfato de Potasio</v>
      </c>
      <c r="F37">
        <f>I31/C12</f>
        <v>855.774111111111</v>
      </c>
      <c r="G37">
        <f>Main!D38</f>
        <v>780</v>
      </c>
    </row>
    <row r="38">
      <c r="B38" t="str">
        <f>Main!D47</f>
        <v>Sulfato de Magnesio</v>
      </c>
      <c r="F38">
        <f>K31/C12</f>
        <v>380.8129166746415</v>
      </c>
      <c r="G38">
        <f>Main!D48</f>
        <v>477</v>
      </c>
    </row>
    <row r="39">
      <c r="B39" t="str">
        <f>Main!D52</f>
        <v>Nitrato de Calcio</v>
      </c>
      <c r="F39">
        <f>M31/C12</f>
        <v>784.9541505411294</v>
      </c>
      <c r="G39">
        <f>Main!D53</f>
        <v>850</v>
      </c>
    </row>
    <row r="40">
      <c r="B40" t="str">
        <f>Main!D57</f>
        <v>Solubor</v>
      </c>
      <c r="F40">
        <f>O31/C12</f>
        <v>11377.641463414637</v>
      </c>
      <c r="G40">
        <f>Main!D58</f>
        <v>0.04</v>
      </c>
      <c r="I40" t="str">
        <v xml:space="preserve">Preparado y Autorizado Por </v>
      </c>
    </row>
    <row r="41" ht="18" customHeight="1">
      <c r="B41" t="str">
        <f>Main!D61</f>
        <v>Melaza</v>
      </c>
      <c r="F41">
        <f>Q31/C12</f>
        <v>299.9999999999999</v>
      </c>
      <c r="G41">
        <f>Main!D62</f>
        <v>2.8</v>
      </c>
      <c r="I41" t="str">
        <v>MSc Ricardo D. Lardizábal</v>
      </c>
    </row>
    <row r="42" ht="17.4" customHeight="1">
      <c r="B42" t="str">
        <v>NOTA: El Nitrato de Calcio se debe de diluir en un barril aparte para inyectarse al sistema</v>
      </c>
    </row>
    <row r="44">
      <c r="B44" t="str">
        <v>Abreviaciones usadas</v>
      </c>
    </row>
    <row r="45">
      <c r="B45" t="str">
        <v>Mz.-Manzanas, Ha-Hectáreas, Lbs-Libras, Lts-Litros y DDT-Días después de Trasplante</v>
      </c>
    </row>
  </sheetData>
  <sheetProtection sheet="1"/>
  <mergeCells count="55">
    <mergeCell ref="I40:Q40"/>
    <mergeCell ref="I41:Q41"/>
    <mergeCell ref="G12:I12"/>
    <mergeCell ref="J12:M12"/>
    <mergeCell ref="I38:Q38"/>
    <mergeCell ref="I37:Q37"/>
    <mergeCell ref="G37:H37"/>
    <mergeCell ref="G38:H38"/>
    <mergeCell ref="G36:H36"/>
    <mergeCell ref="G14:H14"/>
    <mergeCell ref="B38:E38"/>
    <mergeCell ref="B33:E33"/>
    <mergeCell ref="B35:E35"/>
    <mergeCell ref="G33:H33"/>
    <mergeCell ref="G34:H34"/>
    <mergeCell ref="B40:E40"/>
    <mergeCell ref="G39:H39"/>
    <mergeCell ref="G40:H40"/>
    <mergeCell ref="G35:H35"/>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4:C44"/>
    <mergeCell ref="B36:E36"/>
    <mergeCell ref="B37:E37"/>
    <mergeCell ref="P9:S12"/>
    <mergeCell ref="G11:I11"/>
    <mergeCell ref="J10:M10"/>
    <mergeCell ref="B41:E41"/>
    <mergeCell ref="B39:E39"/>
    <mergeCell ref="B42:I43"/>
    <mergeCell ref="G41:H41"/>
    <mergeCell ref="B45:S45"/>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3"/>
  </ignoredErrors>
  <legacyDrawing r:id="rId1"/>
</worksheet>
</file>

<file path=xl/worksheets/sheet8.xml><?xml version="1.0" encoding="utf-8"?>
<worksheet xmlns="http://schemas.openxmlformats.org/spreadsheetml/2006/main" xmlns:r="http://schemas.openxmlformats.org/officeDocument/2006/relationships">
  <dimension ref="A1:T39"/>
  <sheetViews>
    <sheetView workbookViewId="0" rightToLeft="0"/>
  </sheetViews>
  <sheetData>
    <row r="1" ht="32.7" customHeight="1"/>
    <row r="2" ht="32.7" customHeight="1">
      <c r="P2" t="str">
        <v>Calendario de Fertilización Cada 14 Días o a Mano</v>
      </c>
    </row>
    <row r="3" ht="32.4" customHeight="1"/>
    <row r="5">
      <c r="P5" t="str">
        <f>Main!$E$21</f>
        <v>Tabaco</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Habano</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39814</v>
      </c>
    </row>
    <row r="12" ht="19.95" customHeight="1">
      <c r="A12" t="str">
        <v>Área Ha.</v>
      </c>
      <c r="C12">
        <f>Main!I22</f>
        <v>1.001</v>
      </c>
      <c r="F12" t="str">
        <v>Fecha  de Cosecha</v>
      </c>
      <c r="I12">
        <f>'1 Por Sem'!J12</f>
        <v>39884</v>
      </c>
    </row>
    <row r="14" ht="28.95" customHeight="1">
      <c r="A14" t="str">
        <v>Semana</v>
      </c>
      <c r="B14" t="str">
        <v>DDT</v>
      </c>
      <c r="C14" t="str">
        <v>FECHA</v>
      </c>
      <c r="E14" t="str">
        <f>Main!$D$42</f>
        <v>Urea</v>
      </c>
      <c r="G14" t="str">
        <f>Main!$D$32</f>
        <v>DAP 18-46-0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39815</v>
      </c>
      <c r="E16">
        <f>IF((SUM(ReDiarioFert!C7:C20)*$C$12)&lt;=0,"0",((SUM(ReDiarioFert!C7:C20)*$C$12)))</f>
        <v>14.599304782053002</v>
      </c>
      <c r="G16">
        <f>IF((SUM(ReDiarioFert!E7:E20)*$C$12)&lt;=0,"0",((SUM(ReDiarioFert!E7:E20)*$C$12)))</f>
        <v>17.652953043478263</v>
      </c>
      <c r="I16">
        <f>IF((SUM(ReDiarioFert!G7:G20)*$C$12)&lt;=0,"0",((SUM(ReDiarioFert!G7:G20)*$C$12)))</f>
        <v>34.65506488888889</v>
      </c>
      <c r="K16">
        <f>IF((SUM(ReDiarioFert!I7:I20)*$C$12)&lt;=0,"0",((SUM(ReDiarioFert!I7:I20)*$C$12)))</f>
        <v>15.421238112417338</v>
      </c>
      <c r="M16">
        <f>IF((SUM(ReDiarioFert!K7:K20)*$C$12)&lt;=0,"0",((SUM(ReDiarioFert!K7:K20)*$C$12)))</f>
        <v>31.787169848462007</v>
      </c>
      <c r="O16">
        <f>IF((SUM(ReDiarioFert!M7:M20)*$C$12)&lt;=0,"0",((SUM(ReDiarioFert!M7:M20)*$C$12)))</f>
        <v>427.70923317073175</v>
      </c>
      <c r="Q16">
        <f>$C$12*Main!$D$63</f>
        <v>20.019999999999996</v>
      </c>
      <c r="S16">
        <f>((E16/100)*$F$28+(G16/100)*$F$29+(I16/100)*$F$30+(K16/100)*$F$31+(M16/100)*$F$32+(O16)*$F$33+(Q16*$F$34))</f>
        <v>903.5864747089922</v>
      </c>
    </row>
    <row r="17">
      <c r="A17">
        <v>4</v>
      </c>
      <c r="B17">
        <v>15</v>
      </c>
      <c r="C17">
        <f>$I$11+B17</f>
        <v>39829</v>
      </c>
      <c r="E17">
        <f>IF((SUM(ReDiarioFert!C21:C34)*$C$12)&lt;=0,"0",((SUM(ReDiarioFert!C21:C34)*$C$12)))</f>
        <v>24.180098545275285</v>
      </c>
      <c r="G17">
        <f>IF((SUM(ReDiarioFert!E21:E34)*$C$12)&lt;=0,"0",((SUM(ReDiarioFert!E21:E34)*$C$12)))</f>
        <v>29.237703478260872</v>
      </c>
      <c r="I17">
        <f>IF((SUM(ReDiarioFert!G21:G34)*$C$12)&lt;=0,"0",((SUM(ReDiarioFert!G21:G34)*$C$12)))</f>
        <v>57.397451222222216</v>
      </c>
      <c r="K17">
        <f>IF((SUM(ReDiarioFert!I21:I34)*$C$12)&lt;=0,"0",((SUM(ReDiarioFert!I21:I34)*$C$12)))</f>
        <v>25.541425623691207</v>
      </c>
      <c r="M17">
        <f>IF((SUM(ReDiarioFert!K21:K34)*$C$12)&lt;=0,"0",((SUM(ReDiarioFert!K21:K34)*$C$12)))</f>
        <v>52.647500061515224</v>
      </c>
      <c r="O17">
        <f>IF((SUM(ReDiarioFert!M21:M34)*$C$12)&lt;=0,"0",((SUM(ReDiarioFert!M21:M34)*$C$12)))</f>
        <v>790.7621673170731</v>
      </c>
      <c r="Q17">
        <f>$C$12*Main!$D$63</f>
        <v>20.019999999999996</v>
      </c>
      <c r="S17">
        <f>((E17/100)*$F$28+(G17/100)*$F$29+(I17/100)*$F$30+(K17/100)*$F$31+(M17/100)*$F$32+(O17)*$F$33+(Q17*$F$34))</f>
        <v>1463.073098731891</v>
      </c>
    </row>
    <row r="18">
      <c r="A18">
        <v>6</v>
      </c>
      <c r="B18">
        <v>29</v>
      </c>
      <c r="C18">
        <f>$I$11+B18</f>
        <v>39843</v>
      </c>
      <c r="E18">
        <f>IF((SUM(ReDiarioFert!C35:C48)*$C$12)&lt;=0,"0",((SUM(ReDiarioFert!C35:C48)*$C$12)))</f>
        <v>34.673348857375885</v>
      </c>
      <c r="G18">
        <f>IF((SUM(ReDiarioFert!E35:E48)*$C$12)&lt;=0,"0",((SUM(ReDiarioFert!E35:E48)*$C$12)))</f>
        <v>41.92576347826086</v>
      </c>
      <c r="I18">
        <f>IF((SUM(ReDiarioFert!G35:G48)*$C$12)&lt;=0,"0",((SUM(ReDiarioFert!G35:G48)*$C$12)))</f>
        <v>82.30577911111108</v>
      </c>
      <c r="K18">
        <f>IF((SUM(ReDiarioFert!I35:I48)*$C$12)&lt;=0,"0",((SUM(ReDiarioFert!I35:I48)*$C$12)))</f>
        <v>36.62544051699118</v>
      </c>
      <c r="M18">
        <f>IF((SUM(ReDiarioFert!K35:K48)*$C$12)&lt;=0,"0",((SUM(ReDiarioFert!K35:K48)*$C$12)))</f>
        <v>75.49452839009726</v>
      </c>
      <c r="O18">
        <f>IF((SUM(ReDiarioFert!M35:M48)*$C$12)&lt;=0,"0",((SUM(ReDiarioFert!M35:M48)*$C$12)))</f>
        <v>1084.1943307317076</v>
      </c>
      <c r="Q18">
        <f>$C$12*Main!$D$63</f>
        <v>20.019999999999996</v>
      </c>
      <c r="S18">
        <f>((E18/100)*$F$28+(G18/100)*$F$29+(I18/100)*$F$30+(K18/100)*$F$31+(M18/100)*$F$32+(O18)*$F$33+(Q18*$F$34))</f>
        <v>2071.676273511905</v>
      </c>
    </row>
    <row r="19">
      <c r="A19">
        <v>8</v>
      </c>
      <c r="B19">
        <v>43</v>
      </c>
      <c r="C19">
        <f>$I$11+B19</f>
        <v>39857</v>
      </c>
      <c r="E19">
        <f>IF((SUM(ReDiarioFert!C49:C62)*$C$12)&lt;=0,"0",((SUM(ReDiarioFert!C49:C62)*$C$12)))</f>
        <v>46.53528399279394</v>
      </c>
      <c r="G19">
        <f>IF((SUM(ReDiarioFert!E49:E62)*$C$12)&lt;=0,"0",((SUM(ReDiarioFert!E49:E62)*$C$12)))</f>
        <v>56.268787826086964</v>
      </c>
      <c r="I19">
        <f>IF((SUM(ReDiarioFert!G49:G62)*$C$12)&lt;=0,"0",((SUM(ReDiarioFert!G49:G62)*$C$12)))</f>
        <v>110.46301933333332</v>
      </c>
      <c r="K19">
        <f>IF((SUM(ReDiarioFert!I49:I62)*$C$12)&lt;=0,"0",((SUM(ReDiarioFert!I49:I62)*$C$12)))</f>
        <v>49.15519648333025</v>
      </c>
      <c r="M19">
        <f>IF((SUM(ReDiarioFert!K49:K62)*$C$12)&lt;=0,"0",((SUM(ReDiarioFert!K49:K62)*$C$12)))</f>
        <v>101.32160389197269</v>
      </c>
      <c r="O19">
        <f>IF((SUM(ReDiarioFert!M49:M62)*$C$12)&lt;=0,"0",((SUM(ReDiarioFert!M49:M62)*$C$12)))</f>
        <v>1452.2239439024388</v>
      </c>
      <c r="Q19">
        <f>$C$12*Main!$D$63</f>
        <v>20.019999999999996</v>
      </c>
      <c r="S19">
        <f>((E19/100)*$F$28+(G19/100)*$F$29+(I19/100)*$F$30+(K19/100)*$F$31+(M19/100)*$F$32+(O19)*$F$33+(Q19*$F$34))</f>
        <v>2761.1154186617423</v>
      </c>
    </row>
    <row r="20">
      <c r="A20">
        <v>10</v>
      </c>
      <c r="B20">
        <v>57</v>
      </c>
      <c r="C20">
        <f>$I$11+B20</f>
        <v>39871</v>
      </c>
      <c r="E20">
        <f>IF((SUM(ReDiarioFert!C63:C76)*$C$12)&lt;=0,"0",((SUM(ReDiarioFert!C63:C76)*$C$12)))</f>
        <v>58.39721912821197</v>
      </c>
      <c r="G20">
        <f>IF((SUM(ReDiarioFert!E63:E76)*$C$12)&lt;=0,"0",((SUM(ReDiarioFert!E63:E76)*$C$12)))</f>
        <v>70.61181217391302</v>
      </c>
      <c r="I20">
        <f>IF((SUM(ReDiarioFert!G63:G76)*$C$12)&lt;=0,"0",((SUM(ReDiarioFert!G63:G76)*$C$12)))</f>
        <v>138.62025955555558</v>
      </c>
      <c r="K20">
        <f>IF((SUM(ReDiarioFert!I63:I76)*$C$12)&lt;=0,"0",((SUM(ReDiarioFert!I63:I76)*$C$12)))</f>
        <v>61.684952449669346</v>
      </c>
      <c r="M20">
        <f>IF((SUM(ReDiarioFert!K63:K76)*$C$12)&lt;=0,"0",((SUM(ReDiarioFert!K63:K76)*$C$12)))</f>
        <v>127.14867939384806</v>
      </c>
      <c r="O20">
        <f>IF((SUM(ReDiarioFert!M63:M76)*$C$12)&lt;=0,"0",((SUM(ReDiarioFert!M63:M76)*$C$12)))</f>
        <v>1840.148554146341</v>
      </c>
      <c r="Q20">
        <f>$C$12*Main!$D$63</f>
        <v>20.019999999999996</v>
      </c>
      <c r="S20">
        <f>((E20/100)*$F$28+(G20/100)*$F$29+(I20/100)*$F$30+(K20/100)*$F$31+(M20/100)*$F$32+(O20)*$F$33+(Q20*$F$34))</f>
        <v>3451.3503636945065</v>
      </c>
    </row>
    <row r="21">
      <c r="A21">
        <v>12</v>
      </c>
      <c r="B21">
        <v>71</v>
      </c>
      <c r="C21">
        <f>$I$11+B21</f>
        <v>39885</v>
      </c>
      <c r="E21">
        <f>IF((SUM(ReDiarioFert!C77:C90)*$C$12)&lt;=0,"0",((SUM(ReDiarioFert!C77:C90)*$C$12)))</f>
        <v>67.5217846169951</v>
      </c>
      <c r="G21">
        <f>IF((SUM(ReDiarioFert!E77:E90)*$C$12)&lt;=0,"0",((SUM(ReDiarioFert!E77:E90)*$C$12)))</f>
        <v>81.64490782608692</v>
      </c>
      <c r="I21">
        <f>IF((SUM(ReDiarioFert!G77:G90)*$C$12)&lt;=0,"0",((SUM(ReDiarioFert!G77:G90)*$C$12)))</f>
        <v>160.2796751111111</v>
      </c>
      <c r="K21">
        <f>IF((SUM(ReDiarioFert!I77:I90)*$C$12)&lt;=0,"0",((SUM(ReDiarioFert!I77:I90)*$C$12)))</f>
        <v>71.32322626993019</v>
      </c>
      <c r="M21">
        <f>IF((SUM(ReDiarioFert!K77:K90)*$C$12)&lt;=0,"0",((SUM(ReDiarioFert!K77:K90)*$C$12)))</f>
        <v>147.0156605491368</v>
      </c>
      <c r="O21">
        <f>IF((SUM(ReDiarioFert!M77:M90)*$C$12)&lt;=0,"0",((SUM(ReDiarioFert!M77:M90)*$C$12)))</f>
        <v>2138.5520253658533</v>
      </c>
      <c r="Q21">
        <f>$C$12*Main!$D$63</f>
        <v>20.019999999999996</v>
      </c>
      <c r="S21">
        <f>((E21/100)*$F$28+(G21/100)*$F$29+(I21/100)*$F$30+(K21/100)*$F$31+(M21/100)*$F$32+(O21)*$F$33+(Q21*$F$34))</f>
        <v>3982.3003184071385</v>
      </c>
    </row>
    <row r="22">
      <c r="A22">
        <v>14</v>
      </c>
      <c r="B22">
        <v>85</v>
      </c>
      <c r="C22">
        <f>$I$11+B22</f>
        <v>39899</v>
      </c>
      <c r="E22">
        <f>IF((SUM(ReDiarioFert!C91:C104)*$C$12)&lt;=0,"0",((SUM(ReDiarioFert!C91:C104)*$C$12)))</f>
        <v>76.64635010577828</v>
      </c>
      <c r="G22">
        <f>IF((SUM(ReDiarioFert!E91:E104)*$C$12)&lt;=0,"0",((SUM(ReDiarioFert!E91:E104)*$C$12)))</f>
        <v>92.67800347826086</v>
      </c>
      <c r="I22">
        <f>IF((SUM(ReDiarioFert!G91:G104)*$C$12)&lt;=0,"0",((SUM(ReDiarioFert!G91:G104)*$C$12)))</f>
        <v>181.93909066666657</v>
      </c>
      <c r="K22">
        <f>IF((SUM(ReDiarioFert!I91:I104)*$C$12)&lt;=0,"0",((SUM(ReDiarioFert!I91:I104)*$C$12)))</f>
        <v>80.96150009019104</v>
      </c>
      <c r="M22">
        <f>IF((SUM(ReDiarioFert!K91:K104)*$C$12)&lt;=0,"0",((SUM(ReDiarioFert!K91:K104)*$C$12)))</f>
        <v>166.8826417044255</v>
      </c>
      <c r="O22">
        <f>IF((SUM(ReDiarioFert!M91:M104)*$C$12)&lt;=0,"0",((SUM(ReDiarioFert!M91:M104)*$C$12)))</f>
        <v>2436.952566829269</v>
      </c>
      <c r="Q22">
        <f>$C$12*Main!$D$63</f>
        <v>20.019999999999996</v>
      </c>
      <c r="S22">
        <f>((E22/100)*$F$28+(G22/100)*$F$29+(I22/100)*$F$30+(K22/100)*$F$31+(M22/100)*$F$32+(O22)*$F$33+(Q22*$F$34))</f>
        <v>4513.250155929526</v>
      </c>
    </row>
    <row r="23">
      <c r="A23">
        <v>16</v>
      </c>
      <c r="B23">
        <v>99</v>
      </c>
      <c r="C23">
        <f>$I$11+B23</f>
        <v>39913</v>
      </c>
      <c r="E23">
        <f>IF((SUM(ReDiarioFert!C105:C111)*$C$12)&lt;=0,"0",((SUM(ReDiarioFert!C105:C111)*$C$12)))</f>
        <v>38.323175052889134</v>
      </c>
      <c r="G23">
        <f>IF((SUM(ReDiarioFert!E105:E111)*$C$12)&lt;=0,"0",((SUM(ReDiarioFert!E105:E111)*$C$12)))</f>
        <v>46.33900173913043</v>
      </c>
      <c r="I23">
        <f>IF((SUM(ReDiarioFert!G105:G111)*$C$12)&lt;=0,"0",((SUM(ReDiarioFert!G105:G111)*$C$12)))</f>
        <v>90.9695453333333</v>
      </c>
      <c r="K23">
        <f>IF((SUM(ReDiarioFert!I105:I111)*$C$12)&lt;=0,"0",((SUM(ReDiarioFert!I105:I111)*$C$12)))</f>
        <v>40.48075004509551</v>
      </c>
      <c r="M23">
        <f>IF((SUM(ReDiarioFert!K105:K111)*$C$12)&lt;=0,"0",((SUM(ReDiarioFert!K105:K111)*$C$12)))</f>
        <v>83.44132085221277</v>
      </c>
      <c r="O23">
        <f>IF((SUM(ReDiarioFert!M105:M111)*$C$12)&lt;=0,"0",((SUM(ReDiarioFert!M105:M111)*$C$12)))</f>
        <v>1218.4762834146343</v>
      </c>
      <c r="Q23">
        <f>$C$12*Main!$D$63</f>
        <v>20.019999999999996</v>
      </c>
      <c r="S23">
        <f>((E23/100)*$F$28+(G23/100)*$F$29+(I23/100)*$F$30+(K23/100)*$F$31+(M23/100)*$F$32+(O23)*$F$33+(Q23*$F$34))</f>
        <v>2284.6530779647633</v>
      </c>
    </row>
    <row r="24">
      <c r="C24" t="str">
        <v>Total</v>
      </c>
      <c r="E24">
        <f>SUM(E16:E23)</f>
        <v>360.87656508137263</v>
      </c>
      <c r="G24">
        <f>SUM(G16:G23)</f>
        <v>436.3589330434782</v>
      </c>
      <c r="I24">
        <f>SUM(I16:I23)</f>
        <v>856.629885222222</v>
      </c>
      <c r="K24">
        <f>SUM(K16:K23)</f>
        <v>381.1937295913161</v>
      </c>
      <c r="M24">
        <f>SUM(M16:M23)</f>
        <v>785.7391046916704</v>
      </c>
      <c r="O24">
        <f>SUM(O16:O23)</f>
        <v>11389.01910487805</v>
      </c>
      <c r="Q24">
        <f>SUM(Q16:Q23)</f>
        <v>160.15999999999997</v>
      </c>
      <c r="S24">
        <f>SUM(S16:S23)</f>
        <v>21431.005181610464</v>
      </c>
    </row>
    <row r="25">
      <c r="D25" t="str">
        <v>OJO cualquier cultivo que no se termine la cosecha en el ultimo día del calendario solo seguir repitiendo la ultima aplicación de fertilizante.</v>
      </c>
    </row>
    <row r="26" ht="33.75" customHeight="1">
      <c r="B26" t="str">
        <v>Producto</v>
      </c>
      <c r="E26" t="str">
        <v>Lbs/Ha</v>
      </c>
      <c r="F26" t="str">
        <v>Costo por qq</v>
      </c>
    </row>
    <row r="27" ht="24" customHeight="1">
      <c r="F27" t="str">
        <f>Main!$E$25</f>
        <v>Lempiras</v>
      </c>
    </row>
    <row r="28">
      <c r="B28" t="str">
        <f>Main!D42</f>
        <v>Urea</v>
      </c>
      <c r="E28">
        <f>E24/$C$12</f>
        <v>360.51604903234033</v>
      </c>
      <c r="F28">
        <f>Main!D43</f>
        <v>505</v>
      </c>
    </row>
    <row r="29">
      <c r="B29" t="str">
        <f>Main!D32</f>
        <v>DAP 18-46-0</v>
      </c>
      <c r="E29">
        <f>G24/$C$12</f>
        <v>435.9230100334448</v>
      </c>
      <c r="F29">
        <f>Main!D33</f>
        <v>808</v>
      </c>
    </row>
    <row r="30">
      <c r="B30" t="str">
        <f>Main!D37</f>
        <v>Sulfato de Potasio</v>
      </c>
      <c r="E30">
        <f>I24/$C$12</f>
        <v>855.774111111111</v>
      </c>
      <c r="F30">
        <f>Main!D38</f>
        <v>780</v>
      </c>
    </row>
    <row r="31">
      <c r="B31" t="str">
        <f>Main!D47</f>
        <v>Sulfato de Magnesio</v>
      </c>
      <c r="E31">
        <f>K24/$C$12</f>
        <v>380.81291667464154</v>
      </c>
      <c r="F31">
        <f>Main!D48</f>
        <v>477</v>
      </c>
    </row>
    <row r="32">
      <c r="B32" t="str">
        <f>Main!D52</f>
        <v>Nitrato de Calcio</v>
      </c>
      <c r="E32">
        <f>M24/$C$12</f>
        <v>784.9541505411294</v>
      </c>
      <c r="F32">
        <f>Main!D53</f>
        <v>850</v>
      </c>
    </row>
    <row r="33">
      <c r="B33" t="str">
        <f>Main!D57</f>
        <v>Solubor</v>
      </c>
      <c r="E33">
        <f>O24/$C$12</f>
        <v>11377.641463414637</v>
      </c>
      <c r="F33">
        <f>Main!D58</f>
        <v>0.04</v>
      </c>
      <c r="I33" t="str">
        <v xml:space="preserve">Preparado y Autorizado Por </v>
      </c>
    </row>
    <row r="34">
      <c r="B34" t="str">
        <f>Main!D61</f>
        <v>Melaza</v>
      </c>
      <c r="E34">
        <f>Q24/$C$12</f>
        <v>160</v>
      </c>
      <c r="F34">
        <f>Main!D62</f>
        <v>2.8</v>
      </c>
      <c r="I34" t="str">
        <v>MSc Ricardo D. Lardizábal</v>
      </c>
    </row>
    <row r="35">
      <c r="B35" t="str">
        <v>NOTA: El Nitrato de Calcio se debe de diluir en un barril aparte para inyectarse al sistema</v>
      </c>
    </row>
    <row r="36" ht="18.6" customHeight="1"/>
    <row r="38">
      <c r="B38" t="str">
        <v>Abreviaciones usadas</v>
      </c>
    </row>
    <row r="39">
      <c r="B39"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30:G30"/>
    <mergeCell ref="C12:E12"/>
    <mergeCell ref="B26:D26"/>
    <mergeCell ref="B29:D29"/>
    <mergeCell ref="B30:D30"/>
    <mergeCell ref="B31:D31"/>
    <mergeCell ref="I11:M11"/>
    <mergeCell ref="I12:M12"/>
    <mergeCell ref="I14:J14"/>
    <mergeCell ref="K14:L14"/>
    <mergeCell ref="M14:N14"/>
    <mergeCell ref="F11:H11"/>
    <mergeCell ref="B34:D34"/>
    <mergeCell ref="F31:G31"/>
    <mergeCell ref="S14:S15"/>
    <mergeCell ref="Q14:R14"/>
    <mergeCell ref="O14:P14"/>
    <mergeCell ref="G14:H14"/>
    <mergeCell ref="F32:G32"/>
    <mergeCell ref="F33:G33"/>
    <mergeCell ref="F34:G34"/>
    <mergeCell ref="F29:G29"/>
    <mergeCell ref="C9:E9"/>
    <mergeCell ref="F9:H9"/>
    <mergeCell ref="B39:Q39"/>
    <mergeCell ref="B38:C38"/>
    <mergeCell ref="B35:I36"/>
    <mergeCell ref="F27:G27"/>
    <mergeCell ref="F28:G28"/>
    <mergeCell ref="B28:D28"/>
    <mergeCell ref="B32:D32"/>
    <mergeCell ref="B33:D33"/>
    <mergeCell ref="I9:M9"/>
    <mergeCell ref="I10:M10"/>
    <mergeCell ref="B14:B15"/>
    <mergeCell ref="F26:G26"/>
    <mergeCell ref="P5:S7"/>
    <mergeCell ref="P2:S3"/>
    <mergeCell ref="A8:M8"/>
    <mergeCell ref="P9:S12"/>
    <mergeCell ref="A7:K7"/>
    <mergeCell ref="A9:B9"/>
  </mergeCells>
  <pageMargins left="0.81" right="0.47" top="0.26" bottom="0.37" header="0.18" footer="0.16"/>
  <ignoredErrors>
    <ignoredError numberStoredAsText="1" sqref="A1:T39"/>
  </ignoredErrors>
  <legacyDrawing r:id="rId1"/>
</worksheet>
</file>

<file path=xl/worksheets/sheet9.xml><?xml version="1.0" encoding="utf-8"?>
<worksheet xmlns="http://schemas.openxmlformats.org/spreadsheetml/2006/main" xmlns:r="http://schemas.openxmlformats.org/officeDocument/2006/relationships">
  <dimension ref="A1:Q113"/>
  <sheetViews>
    <sheetView workbookViewId="0" rightToLeft="0"/>
  </sheetViews>
  <sheetData>
    <row r="1">
      <c r="A1" t="str">
        <v>Requerimientos Diario para:</v>
      </c>
      <c r="E1" t="str">
        <f>Main!E21</f>
        <v>Tabaco</v>
      </c>
    </row>
    <row r="4" ht="30" customHeight="1">
      <c r="A4" t="str">
        <v>Semana</v>
      </c>
      <c r="B4" t="str">
        <v>N</v>
      </c>
      <c r="C4" t="str">
        <f>Main!D42</f>
        <v>Urea</v>
      </c>
      <c r="D4" t="str">
        <v>P2O5</v>
      </c>
      <c r="E4" t="str">
        <f>Main!D32</f>
        <v>DAP 18-46-0</v>
      </c>
      <c r="F4" t="str">
        <v>K2O</v>
      </c>
      <c r="G4" t="str">
        <f>Main!D37</f>
        <v>Sulfato de Potasio</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52</v>
      </c>
      <c r="I5">
        <f>Main!I46</f>
        <v>16</v>
      </c>
      <c r="K5">
        <f>Main!H51</f>
        <v>27</v>
      </c>
      <c r="M5">
        <f>Main!K56</f>
        <v>20.5</v>
      </c>
    </row>
    <row r="6">
      <c r="C6">
        <f>Main!E41/100</f>
        <v>0.46</v>
      </c>
      <c r="E6">
        <f>(Main!F31/100)/Main!F72</f>
        <v>0.46</v>
      </c>
      <c r="G6">
        <f>(Main!G36/100)/Main!F73</f>
        <v>0.52</v>
      </c>
      <c r="I6">
        <f>(I5/100)/Main!F74</f>
        <v>0.16</v>
      </c>
      <c r="K6">
        <f>(K5/100)/Main!F75</f>
        <v>0.27</v>
      </c>
      <c r="M6">
        <f>M5/100</f>
        <v>0.205</v>
      </c>
    </row>
    <row r="7">
      <c r="A7">
        <v>1</v>
      </c>
      <c r="B7">
        <f>'Req. Diario'!D6</f>
        <v>0.9253386035266035</v>
      </c>
      <c r="C7">
        <f>(B7-((E7*(Main!$E$31/100))+(G7*(Main!$E$36/100))+(I7*(Main!$E$46/100))+(K7*(Main!$E$51/100))))/$C$6</f>
        <v>0.9115450038744383</v>
      </c>
      <c r="D7">
        <f>'Req. Diario'!E6</f>
        <v>0.5070153846153846</v>
      </c>
      <c r="E7">
        <f>(D7-((C7*(Main!$F$41/100))+(G7*(Main!$F$36/100))+(I7*(Main!$F$46/100))+(K7*(Main!$F$51/100))))/$E$6</f>
        <v>1.1022073578595317</v>
      </c>
      <c r="F7">
        <f>'Req. Diario'!F6</f>
        <v>1.1251644444444446</v>
      </c>
      <c r="G7">
        <f>(F7-((C7*(Main!$G$41/100))+(E7*(Main!$G$31/100))+(I7*(Main!$G$46/100))+(K7*(Main!$G$51/100))))/$G$6</f>
        <v>2.1637777777777782</v>
      </c>
      <c r="H7">
        <f>'Req. Diario'!G6</f>
        <v>0.154058322801372</v>
      </c>
      <c r="I7">
        <f>H7/$I$6</f>
        <v>0.9628645175085749</v>
      </c>
      <c r="J7">
        <f>'Req. Diario'!H6</f>
        <v>0.5358726185742223</v>
      </c>
      <c r="K7">
        <f>J7/$K$6</f>
        <v>1.9847134021267492</v>
      </c>
      <c r="L7">
        <f>'Req. Diario'!I6</f>
        <v>5.0926</v>
      </c>
      <c r="M7">
        <f>L7/$M$6</f>
        <v>24.841951219512197</v>
      </c>
    </row>
    <row r="8">
      <c r="B8">
        <f>'Req. Diario'!D7</f>
        <v>0.9253386035266035</v>
      </c>
      <c r="C8">
        <f>(B8-((E8*(Main!$E$31/100))+(G8*(Main!$E$36/100))+(I8*(Main!$E$46/100))+(K8*(Main!$E$51/100))))/$C$6</f>
        <v>0.9115450038744383</v>
      </c>
      <c r="D8">
        <f>'Req. Diario'!E7</f>
        <v>0.5070153846153846</v>
      </c>
      <c r="E8">
        <f>(D8-((C8*(Main!$F$41/100))+(G8*(Main!$F$36/100))+(I8*(Main!$F$46/100))+(K8*(Main!$F$51/100))))/$E$6</f>
        <v>1.1022073578595317</v>
      </c>
      <c r="F8">
        <f>'Req. Diario'!F7</f>
        <v>1.1251644444444446</v>
      </c>
      <c r="G8">
        <f>(F8-((C8*(Main!$G$41/100))+(E8*(Main!$G$31/100))+(I8*(Main!$G$46/100))+(K8*(Main!$G$51/100))))/$G$6</f>
        <v>2.1637777777777782</v>
      </c>
      <c r="H8">
        <f>'Req. Diario'!G7</f>
        <v>0.154058322801372</v>
      </c>
      <c r="I8">
        <f>H8/$I$6</f>
        <v>0.9628645175085749</v>
      </c>
      <c r="J8">
        <f>'Req. Diario'!H7</f>
        <v>0.5358726185742223</v>
      </c>
      <c r="K8">
        <f>J8/$K$6</f>
        <v>1.9847134021267492</v>
      </c>
      <c r="L8">
        <f>'Req. Diario'!I7</f>
        <v>5.0926</v>
      </c>
      <c r="M8">
        <f>L8/$M$6</f>
        <v>24.841951219512197</v>
      </c>
    </row>
    <row r="9">
      <c r="B9">
        <f>'Req. Diario'!D8</f>
        <v>0.9253386035266035</v>
      </c>
      <c r="C9">
        <f>(B9-((E9*(Main!$E$31/100))+(G9*(Main!$E$36/100))+(I9*(Main!$E$46/100))+(K9*(Main!$E$51/100))))/$C$6</f>
        <v>0.9115450038744383</v>
      </c>
      <c r="D9">
        <f>'Req. Diario'!E8</f>
        <v>0.5070153846153846</v>
      </c>
      <c r="E9">
        <f>(D9-((C9*(Main!$F$41/100))+(G9*(Main!$F$36/100))+(I9*(Main!$F$46/100))+(K9*(Main!$F$51/100))))/$E$6</f>
        <v>1.1022073578595317</v>
      </c>
      <c r="F9">
        <f>'Req. Diario'!F8</f>
        <v>1.1251644444444446</v>
      </c>
      <c r="G9">
        <f>(F9-((C9*(Main!$G$41/100))+(E9*(Main!$G$31/100))+(I9*(Main!$G$46/100))+(K9*(Main!$G$51/100))))/$G$6</f>
        <v>2.1637777777777782</v>
      </c>
      <c r="H9">
        <f>'Req. Diario'!G8</f>
        <v>0.154058322801372</v>
      </c>
      <c r="I9">
        <f>H9/$I$6</f>
        <v>0.9628645175085749</v>
      </c>
      <c r="J9">
        <f>'Req. Diario'!H8</f>
        <v>0.5358726185742223</v>
      </c>
      <c r="K9">
        <f>J9/$K$6</f>
        <v>1.9847134021267492</v>
      </c>
      <c r="L9">
        <f>'Req. Diario'!I8</f>
        <v>5.0926</v>
      </c>
      <c r="M9">
        <f>L9/$M$6</f>
        <v>24.841951219512197</v>
      </c>
    </row>
    <row r="10">
      <c r="B10">
        <f>'Req. Diario'!D9</f>
        <v>0.9253386035266035</v>
      </c>
      <c r="C10">
        <f>(B10-((E10*(Main!$E$31/100))+(G10*(Main!$E$36/100))+(I10*(Main!$E$46/100))+(K10*(Main!$E$51/100))))/$C$6</f>
        <v>0.9115450038744383</v>
      </c>
      <c r="D10">
        <f>'Req. Diario'!E9</f>
        <v>0.5070153846153846</v>
      </c>
      <c r="E10">
        <f>(D10-((C10*(Main!$F$41/100))+(G10*(Main!$F$36/100))+(I10*(Main!$F$46/100))+(K10*(Main!$F$51/100))))/$E$6</f>
        <v>1.1022073578595317</v>
      </c>
      <c r="F10">
        <f>'Req. Diario'!F9</f>
        <v>1.1251644444444446</v>
      </c>
      <c r="G10">
        <f>(F10-((C10*(Main!$G$41/100))+(E10*(Main!$G$31/100))+(I10*(Main!$G$46/100))+(K10*(Main!$G$51/100))))/$G$6</f>
        <v>2.1637777777777782</v>
      </c>
      <c r="H10">
        <f>'Req. Diario'!G9</f>
        <v>0.154058322801372</v>
      </c>
      <c r="I10">
        <f>H10/$I$6</f>
        <v>0.9628645175085749</v>
      </c>
      <c r="J10">
        <f>'Req. Diario'!H9</f>
        <v>0.5358726185742223</v>
      </c>
      <c r="K10">
        <f>J10/$K$6</f>
        <v>1.9847134021267492</v>
      </c>
      <c r="L10">
        <f>'Req. Diario'!I9</f>
        <v>5.0926</v>
      </c>
      <c r="M10">
        <f>L10/$M$6</f>
        <v>24.841951219512197</v>
      </c>
    </row>
    <row r="11">
      <c r="B11">
        <f>'Req. Diario'!D10</f>
        <v>0.9253386035266035</v>
      </c>
      <c r="C11">
        <f>(B11-((E11*(Main!$E$31/100))+(G11*(Main!$E$36/100))+(I11*(Main!$E$46/100))+(K11*(Main!$E$51/100))))/$C$6</f>
        <v>0.9115450038744383</v>
      </c>
      <c r="D11">
        <f>'Req. Diario'!E10</f>
        <v>0.5070153846153846</v>
      </c>
      <c r="E11">
        <f>(D11-((C11*(Main!$F$41/100))+(G11*(Main!$F$36/100))+(I11*(Main!$F$46/100))+(K11*(Main!$F$51/100))))/$E$6</f>
        <v>1.1022073578595317</v>
      </c>
      <c r="F11">
        <f>'Req. Diario'!F10</f>
        <v>1.1251644444444446</v>
      </c>
      <c r="G11">
        <f>(F11-((C11*(Main!$G$41/100))+(E11*(Main!$G$31/100))+(I11*(Main!$G$46/100))+(K11*(Main!$G$51/100))))/$G$6</f>
        <v>2.1637777777777782</v>
      </c>
      <c r="H11">
        <f>'Req. Diario'!G10</f>
        <v>0.154058322801372</v>
      </c>
      <c r="I11">
        <f>H11/$I$6</f>
        <v>0.9628645175085749</v>
      </c>
      <c r="J11">
        <f>'Req. Diario'!H10</f>
        <v>0.5358726185742223</v>
      </c>
      <c r="K11">
        <f>J11/$K$6</f>
        <v>1.9847134021267492</v>
      </c>
      <c r="L11">
        <f>'Req. Diario'!I10</f>
        <v>5.0926</v>
      </c>
      <c r="M11">
        <f>L11/$M$6</f>
        <v>24.841951219512197</v>
      </c>
    </row>
    <row r="12">
      <c r="B12">
        <f>'Req. Diario'!D11</f>
        <v>0.9253386035266035</v>
      </c>
      <c r="C12">
        <f>(B12-((E12*(Main!$E$31/100))+(G12*(Main!$E$36/100))+(I12*(Main!$E$46/100))+(K12*(Main!$E$51/100))))/$C$6</f>
        <v>0.9115450038744383</v>
      </c>
      <c r="D12">
        <f>'Req. Diario'!E11</f>
        <v>0.5070153846153846</v>
      </c>
      <c r="E12">
        <f>(D12-((C12*(Main!$F$41/100))+(G12*(Main!$F$36/100))+(I12*(Main!$F$46/100))+(K12*(Main!$F$51/100))))/$E$6</f>
        <v>1.1022073578595317</v>
      </c>
      <c r="F12">
        <f>'Req. Diario'!F11</f>
        <v>1.1251644444444446</v>
      </c>
      <c r="G12">
        <f>(F12-((C12*(Main!$G$41/100))+(E12*(Main!$G$31/100))+(I12*(Main!$G$46/100))+(K12*(Main!$G$51/100))))/$G$6</f>
        <v>2.1637777777777782</v>
      </c>
      <c r="H12">
        <f>'Req. Diario'!G11</f>
        <v>0.154058322801372</v>
      </c>
      <c r="I12">
        <f>H12/$I$6</f>
        <v>0.9628645175085749</v>
      </c>
      <c r="J12">
        <f>'Req. Diario'!H11</f>
        <v>0.5358726185742223</v>
      </c>
      <c r="K12">
        <f>J12/$K$6</f>
        <v>1.9847134021267492</v>
      </c>
      <c r="L12">
        <f>'Req. Diario'!I11</f>
        <v>5.0926</v>
      </c>
      <c r="M12">
        <f>L12/$M$6</f>
        <v>24.841951219512197</v>
      </c>
    </row>
    <row r="13">
      <c r="B13">
        <f>'Req. Diario'!D12</f>
        <v>0.9253386035266035</v>
      </c>
      <c r="C13">
        <f>(B13-((E13*(Main!$E$31/100))+(G13*(Main!$E$36/100))+(I13*(Main!$E$46/100))+(K13*(Main!$E$51/100))))/$C$6</f>
        <v>0.9115450038744383</v>
      </c>
      <c r="D13">
        <f>'Req. Diario'!E12</f>
        <v>0.5070153846153846</v>
      </c>
      <c r="E13">
        <f>(D13-((C13*(Main!$F$41/100))+(G13*(Main!$F$36/100))+(I13*(Main!$F$46/100))+(K13*(Main!$F$51/100))))/$E$6</f>
        <v>1.1022073578595317</v>
      </c>
      <c r="F13">
        <f>'Req. Diario'!F12</f>
        <v>1.1251644444444446</v>
      </c>
      <c r="G13">
        <f>(F13-((C13*(Main!$G$41/100))+(E13*(Main!$G$31/100))+(I13*(Main!$G$46/100))+(K13*(Main!$G$51/100))))/$G$6</f>
        <v>2.1637777777777782</v>
      </c>
      <c r="H13">
        <f>'Req. Diario'!G12</f>
        <v>0.154058322801372</v>
      </c>
      <c r="I13">
        <f>H13/$I$6</f>
        <v>0.9628645175085749</v>
      </c>
      <c r="J13">
        <f>'Req. Diario'!H12</f>
        <v>0.5358726185742223</v>
      </c>
      <c r="K13">
        <f>J13/$K$6</f>
        <v>1.9847134021267492</v>
      </c>
      <c r="L13">
        <f>'Req. Diario'!I12</f>
        <v>5.0926</v>
      </c>
      <c r="M13">
        <f>L13/$M$6</f>
        <v>24.841951219512197</v>
      </c>
    </row>
    <row r="14">
      <c r="A14">
        <v>2</v>
      </c>
      <c r="B14">
        <f>'Req. Diario'!D13</f>
        <v>0.9253386035266035</v>
      </c>
      <c r="C14">
        <f>(B14-((E14*(Main!$E$31/100))+(G14*(Main!$E$36/100))+(I14*(Main!$E$46/100))+(K14*(Main!$E$51/100))))/$C$6</f>
        <v>0.9115450038744383</v>
      </c>
      <c r="D14">
        <f>'Req. Diario'!E13</f>
        <v>0.5070153846153846</v>
      </c>
      <c r="E14">
        <f>(D14-((C14*(Main!$F$41/100))+(G14*(Main!$F$36/100))+(I14*(Main!$F$46/100))+(K14*(Main!$F$51/100))))/$E$6</f>
        <v>1.1022073578595317</v>
      </c>
      <c r="F14">
        <f>'Req. Diario'!F13</f>
        <v>1.1251644444444446</v>
      </c>
      <c r="G14">
        <f>(F14-((C14*(Main!$G$41/100))+(E14*(Main!$G$31/100))+(I14*(Main!$G$46/100))+(K14*(Main!$G$51/100))))/$G$6</f>
        <v>2.1637777777777782</v>
      </c>
      <c r="H14">
        <f>'Req. Diario'!G13</f>
        <v>0.154058322801372</v>
      </c>
      <c r="I14">
        <f>H14/$I$6</f>
        <v>0.9628645175085749</v>
      </c>
      <c r="J14">
        <f>'Req. Diario'!H13</f>
        <v>0.5358726185742223</v>
      </c>
      <c r="K14">
        <f>J14/$K$6</f>
        <v>1.9847134021267492</v>
      </c>
      <c r="L14">
        <f>'Req. Diario'!I13</f>
        <v>5.0926</v>
      </c>
      <c r="M14">
        <f>L14/$M$6</f>
        <v>24.841951219512197</v>
      </c>
    </row>
    <row r="15">
      <c r="B15">
        <f>'Req. Diario'!D14</f>
        <v>0.9253386035266035</v>
      </c>
      <c r="C15">
        <f>(B15-((E15*(Main!$E$31/100))+(G15*(Main!$E$36/100))+(I15*(Main!$E$46/100))+(K15*(Main!$E$51/100))))/$C$6</f>
        <v>0.9115450038744383</v>
      </c>
      <c r="D15">
        <f>'Req. Diario'!E14</f>
        <v>0.5070153846153846</v>
      </c>
      <c r="E15">
        <f>(D15-((C15*(Main!$F$41/100))+(G15*(Main!$F$36/100))+(I15*(Main!$F$46/100))+(K15*(Main!$F$51/100))))/$E$6</f>
        <v>1.1022073578595317</v>
      </c>
      <c r="F15">
        <f>'Req. Diario'!F14</f>
        <v>1.1251644444444446</v>
      </c>
      <c r="G15">
        <f>(F15-((C15*(Main!$G$41/100))+(E15*(Main!$G$31/100))+(I15*(Main!$G$46/100))+(K15*(Main!$G$51/100))))/$G$6</f>
        <v>2.1637777777777782</v>
      </c>
      <c r="H15">
        <f>'Req. Diario'!G14</f>
        <v>0.154058322801372</v>
      </c>
      <c r="I15">
        <f>H15/$I$6</f>
        <v>0.9628645175085749</v>
      </c>
      <c r="J15">
        <f>'Req. Diario'!H14</f>
        <v>0.5358726185742223</v>
      </c>
      <c r="K15">
        <f>J15/$K$6</f>
        <v>1.9847134021267492</v>
      </c>
      <c r="L15">
        <f>'Req. Diario'!I14</f>
        <v>5.0926</v>
      </c>
      <c r="M15">
        <f>L15/$M$6</f>
        <v>24.841951219512197</v>
      </c>
    </row>
    <row r="16">
      <c r="B16">
        <f>'Req. Diario'!D15</f>
        <v>0.9253386035266035</v>
      </c>
      <c r="C16">
        <f>(B16-((E16*(Main!$E$31/100))+(G16*(Main!$E$36/100))+(I16*(Main!$E$46/100))+(K16*(Main!$E$51/100))))/$C$6</f>
        <v>0.9115450038744383</v>
      </c>
      <c r="D16">
        <f>'Req. Diario'!E15</f>
        <v>0.5070153846153846</v>
      </c>
      <c r="E16">
        <f>(D16-((C16*(Main!$F$41/100))+(G16*(Main!$F$36/100))+(I16*(Main!$F$46/100))+(K16*(Main!$F$51/100))))/$E$6</f>
        <v>1.1022073578595317</v>
      </c>
      <c r="F16">
        <f>'Req. Diario'!F15</f>
        <v>1.1251644444444446</v>
      </c>
      <c r="G16">
        <f>(F16-((C16*(Main!$G$41/100))+(E16*(Main!$G$31/100))+(I16*(Main!$G$46/100))+(K16*(Main!$G$51/100))))/$G$6</f>
        <v>2.1637777777777782</v>
      </c>
      <c r="H16">
        <f>'Req. Diario'!G15</f>
        <v>0.154058322801372</v>
      </c>
      <c r="I16">
        <f>H16/$I$6</f>
        <v>0.9628645175085749</v>
      </c>
      <c r="J16">
        <f>'Req. Diario'!H15</f>
        <v>0.5358726185742223</v>
      </c>
      <c r="K16">
        <f>J16/$K$6</f>
        <v>1.9847134021267492</v>
      </c>
      <c r="L16">
        <f>'Req. Diario'!I15</f>
        <v>5.0926</v>
      </c>
      <c r="M16">
        <f>L16/$M$6</f>
        <v>24.841951219512197</v>
      </c>
    </row>
    <row r="17">
      <c r="B17">
        <f>'Req. Diario'!D16</f>
        <v>1.3880079052899053</v>
      </c>
      <c r="C17">
        <f>(B17-((E17*(Main!$E$31/100))+(G17*(Main!$E$36/100))+(I17*(Main!$E$46/100))+(K17*(Main!$E$51/100))))/$C$6</f>
        <v>1.3673175058116576</v>
      </c>
      <c r="D17">
        <f>'Req. Diario'!E16</f>
        <v>0.760523076923077</v>
      </c>
      <c r="E17">
        <f>(D17-((C17*(Main!$F$41/100))+(G17*(Main!$F$36/100))+(I17*(Main!$F$46/100))+(K17*(Main!$F$51/100))))/$E$6</f>
        <v>1.6533110367892976</v>
      </c>
      <c r="F17">
        <f>'Req. Diario'!F16</f>
        <v>1.6877466666666667</v>
      </c>
      <c r="G17">
        <f>(F17-((C17*(Main!$G$41/100))+(E17*(Main!$G$31/100))+(I17*(Main!$G$46/100))+(K17*(Main!$G$51/100))))/$G$6</f>
        <v>3.2456666666666667</v>
      </c>
      <c r="H17">
        <f>'Req. Diario'!G16</f>
        <v>0.23108748420205802</v>
      </c>
      <c r="I17">
        <f>H17/$I$6</f>
        <v>1.4442967762628627</v>
      </c>
      <c r="J17">
        <f>'Req. Diario'!H16</f>
        <v>0.8038089278613335</v>
      </c>
      <c r="K17">
        <f>J17/$K$6</f>
        <v>2.977070103190124</v>
      </c>
      <c r="L17">
        <f>'Req. Diario'!I16</f>
        <v>9.1667</v>
      </c>
      <c r="M17">
        <f>L17/$M$6</f>
        <v>44.715609756097564</v>
      </c>
    </row>
    <row r="18">
      <c r="B18">
        <f>'Req. Diario'!D17</f>
        <v>1.3880079052899053</v>
      </c>
      <c r="C18">
        <f>(B18-((E18*(Main!$E$31/100))+(G18*(Main!$E$36/100))+(I18*(Main!$E$46/100))+(K18*(Main!$E$51/100))))/$C$6</f>
        <v>1.3673175058116576</v>
      </c>
      <c r="D18">
        <f>'Req. Diario'!E17</f>
        <v>0.760523076923077</v>
      </c>
      <c r="E18">
        <f>(D18-((C18*(Main!$F$41/100))+(G18*(Main!$F$36/100))+(I18*(Main!$F$46/100))+(K18*(Main!$F$51/100))))/$E$6</f>
        <v>1.6533110367892976</v>
      </c>
      <c r="F18">
        <f>'Req. Diario'!F17</f>
        <v>1.6877466666666667</v>
      </c>
      <c r="G18">
        <f>(F18-((C18*(Main!$G$41/100))+(E18*(Main!$G$31/100))+(I18*(Main!$G$46/100))+(K18*(Main!$G$51/100))))/$G$6</f>
        <v>3.2456666666666667</v>
      </c>
      <c r="H18">
        <f>'Req. Diario'!G17</f>
        <v>0.23108748420205802</v>
      </c>
      <c r="I18">
        <f>H18/$I$6</f>
        <v>1.4442967762628627</v>
      </c>
      <c r="J18">
        <f>'Req. Diario'!H17</f>
        <v>0.8038089278613335</v>
      </c>
      <c r="K18">
        <f>J18/$K$6</f>
        <v>2.977070103190124</v>
      </c>
      <c r="L18">
        <f>'Req. Diario'!I17</f>
        <v>9.1667</v>
      </c>
      <c r="M18">
        <f>L18/$M$6</f>
        <v>44.715609756097564</v>
      </c>
    </row>
    <row r="19">
      <c r="B19">
        <f>'Req. Diario'!D18</f>
        <v>1.3880079052899053</v>
      </c>
      <c r="C19">
        <f>(B19-((E19*(Main!$E$31/100))+(G19*(Main!$E$36/100))+(I19*(Main!$E$46/100))+(K19*(Main!$E$51/100))))/$C$6</f>
        <v>1.3673175058116576</v>
      </c>
      <c r="D19">
        <f>'Req. Diario'!E18</f>
        <v>0.760523076923077</v>
      </c>
      <c r="E19">
        <f>(D19-((C19*(Main!$F$41/100))+(G19*(Main!$F$36/100))+(I19*(Main!$F$46/100))+(K19*(Main!$F$51/100))))/$E$6</f>
        <v>1.6533110367892976</v>
      </c>
      <c r="F19">
        <f>'Req. Diario'!F18</f>
        <v>1.6877466666666667</v>
      </c>
      <c r="G19">
        <f>(F19-((C19*(Main!$G$41/100))+(E19*(Main!$G$31/100))+(I19*(Main!$G$46/100))+(K19*(Main!$G$51/100))))/$G$6</f>
        <v>3.2456666666666667</v>
      </c>
      <c r="H19">
        <f>'Req. Diario'!G18</f>
        <v>0.23108748420205802</v>
      </c>
      <c r="I19">
        <f>H19/$I$6</f>
        <v>1.4442967762628627</v>
      </c>
      <c r="J19">
        <f>'Req. Diario'!H18</f>
        <v>0.8038089278613335</v>
      </c>
      <c r="K19">
        <f>J19/$K$6</f>
        <v>2.977070103190124</v>
      </c>
      <c r="L19">
        <f>'Req. Diario'!I18</f>
        <v>9.1667</v>
      </c>
      <c r="M19">
        <f>L19/$M$6</f>
        <v>44.715609756097564</v>
      </c>
    </row>
    <row r="20">
      <c r="B20">
        <f>'Req. Diario'!D19</f>
        <v>1.3880079052899053</v>
      </c>
      <c r="C20">
        <f>(B20-((E20*(Main!$E$31/100))+(G20*(Main!$E$36/100))+(I20*(Main!$E$46/100))+(K20*(Main!$E$51/100))))/$C$6</f>
        <v>1.3673175058116576</v>
      </c>
      <c r="D20">
        <f>'Req. Diario'!E19</f>
        <v>0.760523076923077</v>
      </c>
      <c r="E20">
        <f>(D20-((C20*(Main!$F$41/100))+(G20*(Main!$F$36/100))+(I20*(Main!$F$46/100))+(K20*(Main!$F$51/100))))/$E$6</f>
        <v>1.6533110367892976</v>
      </c>
      <c r="F20">
        <f>'Req. Diario'!F19</f>
        <v>1.6877466666666667</v>
      </c>
      <c r="G20">
        <f>(F20-((C20*(Main!$G$41/100))+(E20*(Main!$G$31/100))+(I20*(Main!$G$46/100))+(K20*(Main!$G$51/100))))/$G$6</f>
        <v>3.2456666666666667</v>
      </c>
      <c r="H20">
        <f>'Req. Diario'!G19</f>
        <v>0.23108748420205802</v>
      </c>
      <c r="I20">
        <f>H20/$I$6</f>
        <v>1.4442967762628627</v>
      </c>
      <c r="J20">
        <f>'Req. Diario'!H19</f>
        <v>0.8038089278613335</v>
      </c>
      <c r="K20">
        <f>J20/$K$6</f>
        <v>2.977070103190124</v>
      </c>
      <c r="L20">
        <f>'Req. Diario'!I19</f>
        <v>9.1667</v>
      </c>
      <c r="M20">
        <f>L20/$M$6</f>
        <v>44.715609756097564</v>
      </c>
    </row>
    <row r="21">
      <c r="A21">
        <v>3</v>
      </c>
      <c r="B21">
        <f>'Req. Diario'!D20</f>
        <v>1.3880079052899053</v>
      </c>
      <c r="C21">
        <f>(B21-((E21*(Main!$E$31/100))+(G21*(Main!$E$36/100))+(I21*(Main!$E$46/100))+(K21*(Main!$E$51/100))))/$C$6</f>
        <v>1.3673175058116576</v>
      </c>
      <c r="D21">
        <f>'Req. Diario'!E20</f>
        <v>0.760523076923077</v>
      </c>
      <c r="E21">
        <f>(D21-((C21*(Main!$F$41/100))+(G21*(Main!$F$36/100))+(I21*(Main!$F$46/100))+(K21*(Main!$F$51/100))))/$E$6</f>
        <v>1.6533110367892976</v>
      </c>
      <c r="F21">
        <f>'Req. Diario'!F20</f>
        <v>1.6877466666666667</v>
      </c>
      <c r="G21">
        <f>(F21-((C21*(Main!$G$41/100))+(E21*(Main!$G$31/100))+(I21*(Main!$G$46/100))+(K21*(Main!$G$51/100))))/$G$6</f>
        <v>3.2456666666666667</v>
      </c>
      <c r="H21">
        <f>'Req. Diario'!G20</f>
        <v>0.23108748420205802</v>
      </c>
      <c r="I21">
        <f>H21/$I$6</f>
        <v>1.4442967762628627</v>
      </c>
      <c r="J21">
        <f>'Req. Diario'!H20</f>
        <v>0.8038089278613335</v>
      </c>
      <c r="K21">
        <f>J21/$K$6</f>
        <v>2.977070103190124</v>
      </c>
      <c r="L21">
        <f>'Req. Diario'!I20</f>
        <v>9.1667</v>
      </c>
      <c r="M21">
        <f>L21/$M$6</f>
        <v>44.715609756097564</v>
      </c>
    </row>
    <row r="22">
      <c r="B22">
        <f>'Req. Diario'!D21</f>
        <v>1.3880079052899053</v>
      </c>
      <c r="C22">
        <f>(B22-((E22*(Main!$E$31/100))+(G22*(Main!$E$36/100))+(I22*(Main!$E$46/100))+(K22*(Main!$E$51/100))))/$C$6</f>
        <v>1.3673175058116576</v>
      </c>
      <c r="D22">
        <f>'Req. Diario'!E21</f>
        <v>0.760523076923077</v>
      </c>
      <c r="E22">
        <f>(D22-((C22*(Main!$F$41/100))+(G22*(Main!$F$36/100))+(I22*(Main!$F$46/100))+(K22*(Main!$F$51/100))))/$E$6</f>
        <v>1.6533110367892976</v>
      </c>
      <c r="F22">
        <f>'Req. Diario'!F21</f>
        <v>1.6877466666666667</v>
      </c>
      <c r="G22">
        <f>(F22-((C22*(Main!$G$41/100))+(E22*(Main!$G$31/100))+(I22*(Main!$G$46/100))+(K22*(Main!$G$51/100))))/$G$6</f>
        <v>3.2456666666666667</v>
      </c>
      <c r="H22">
        <f>'Req. Diario'!G21</f>
        <v>0.23108748420205802</v>
      </c>
      <c r="I22">
        <f>H22/$I$6</f>
        <v>1.4442967762628627</v>
      </c>
      <c r="J22">
        <f>'Req. Diario'!H21</f>
        <v>0.8038089278613335</v>
      </c>
      <c r="K22">
        <f>J22/$K$6</f>
        <v>2.977070103190124</v>
      </c>
      <c r="L22">
        <f>'Req. Diario'!I21</f>
        <v>9.1667</v>
      </c>
      <c r="M22">
        <f>L22/$M$6</f>
        <v>44.715609756097564</v>
      </c>
    </row>
    <row r="23">
      <c r="B23">
        <f>'Req. Diario'!D22</f>
        <v>1.3880079052899053</v>
      </c>
      <c r="C23">
        <f>(B23-((E23*(Main!$E$31/100))+(G23*(Main!$E$36/100))+(I23*(Main!$E$46/100))+(K23*(Main!$E$51/100))))/$C$6</f>
        <v>1.3673175058116576</v>
      </c>
      <c r="D23">
        <f>'Req. Diario'!E22</f>
        <v>0.760523076923077</v>
      </c>
      <c r="E23">
        <f>(D23-((C23*(Main!$F$41/100))+(G23*(Main!$F$36/100))+(I23*(Main!$F$46/100))+(K23*(Main!$F$51/100))))/$E$6</f>
        <v>1.6533110367892976</v>
      </c>
      <c r="F23">
        <f>'Req. Diario'!F22</f>
        <v>1.6877466666666667</v>
      </c>
      <c r="G23">
        <f>(F23-((C23*(Main!$G$41/100))+(E23*(Main!$G$31/100))+(I23*(Main!$G$46/100))+(K23*(Main!$G$51/100))))/$G$6</f>
        <v>3.2456666666666667</v>
      </c>
      <c r="H23">
        <f>'Req. Diario'!G22</f>
        <v>0.23108748420205802</v>
      </c>
      <c r="I23">
        <f>H23/$I$6</f>
        <v>1.4442967762628627</v>
      </c>
      <c r="J23">
        <f>'Req. Diario'!H22</f>
        <v>0.8038089278613335</v>
      </c>
      <c r="K23">
        <f>J23/$K$6</f>
        <v>2.977070103190124</v>
      </c>
      <c r="L23">
        <f>'Req. Diario'!I22</f>
        <v>9.1667</v>
      </c>
      <c r="M23">
        <f>L23/$M$6</f>
        <v>44.715609756097564</v>
      </c>
    </row>
    <row r="24">
      <c r="B24">
        <f>'Req. Diario'!D23</f>
        <v>1.850677207053207</v>
      </c>
      <c r="C24">
        <f>(B24-((E24*(Main!$E$31/100))+(G24*(Main!$E$36/100))+(I24*(Main!$E$46/100))+(K24*(Main!$E$51/100))))/$C$6</f>
        <v>1.8230900077488765</v>
      </c>
      <c r="D24">
        <f>'Req. Diario'!E23</f>
        <v>1.0140307692307693</v>
      </c>
      <c r="E24">
        <f>(D24-((C24*(Main!$F$41/100))+(G24*(Main!$F$36/100))+(I24*(Main!$F$46/100))+(K24*(Main!$F$51/100))))/$E$6</f>
        <v>2.2044147157190634</v>
      </c>
      <c r="F24">
        <f>'Req. Diario'!F23</f>
        <v>2.2503288888888893</v>
      </c>
      <c r="G24">
        <f>(F24-((C24*(Main!$G$41/100))+(E24*(Main!$G$31/100))+(I24*(Main!$G$46/100))+(K24*(Main!$G$51/100))))/$G$6</f>
        <v>4.3275555555555565</v>
      </c>
      <c r="H24">
        <f>'Req. Diario'!G23</f>
        <v>0.308116645602744</v>
      </c>
      <c r="I24">
        <f>H24/$I$6</f>
        <v>1.9257290350171499</v>
      </c>
      <c r="J24">
        <f>'Req. Diario'!H23</f>
        <v>1.0717452371484446</v>
      </c>
      <c r="K24">
        <f>J24/$K$6</f>
        <v>3.9694268042534984</v>
      </c>
      <c r="L24">
        <f>'Req. Diario'!I23</f>
        <v>12.2222</v>
      </c>
      <c r="M24">
        <f>L24/$M$6</f>
        <v>59.62048780487805</v>
      </c>
    </row>
    <row r="25">
      <c r="B25">
        <f>'Req. Diario'!D24</f>
        <v>1.850677207053207</v>
      </c>
      <c r="C25">
        <f>(B25-((E25*(Main!$E$31/100))+(G25*(Main!$E$36/100))+(I25*(Main!$E$46/100))+(K25*(Main!$E$51/100))))/$C$6</f>
        <v>1.8230900077488765</v>
      </c>
      <c r="D25">
        <f>'Req. Diario'!E24</f>
        <v>1.0140307692307693</v>
      </c>
      <c r="E25">
        <f>(D25-((C25*(Main!$F$41/100))+(G25*(Main!$F$36/100))+(I25*(Main!$F$46/100))+(K25*(Main!$F$51/100))))/$E$6</f>
        <v>2.2044147157190634</v>
      </c>
      <c r="F25">
        <f>'Req. Diario'!F24</f>
        <v>2.2503288888888893</v>
      </c>
      <c r="G25">
        <f>(F25-((C25*(Main!$G$41/100))+(E25*(Main!$G$31/100))+(I25*(Main!$G$46/100))+(K25*(Main!$G$51/100))))/$G$6</f>
        <v>4.3275555555555565</v>
      </c>
      <c r="H25">
        <f>'Req. Diario'!G24</f>
        <v>0.308116645602744</v>
      </c>
      <c r="I25">
        <f>H25/$I$6</f>
        <v>1.9257290350171499</v>
      </c>
      <c r="J25">
        <f>'Req. Diario'!H24</f>
        <v>1.0717452371484446</v>
      </c>
      <c r="K25">
        <f>J25/$K$6</f>
        <v>3.9694268042534984</v>
      </c>
      <c r="L25">
        <f>'Req. Diario'!I24</f>
        <v>12.2222</v>
      </c>
      <c r="M25">
        <f>L25/$M$6</f>
        <v>59.62048780487805</v>
      </c>
    </row>
    <row r="26">
      <c r="B26">
        <f>'Req. Diario'!D25</f>
        <v>1.850677207053207</v>
      </c>
      <c r="C26">
        <f>(B26-((E26*(Main!$E$31/100))+(G26*(Main!$E$36/100))+(I26*(Main!$E$46/100))+(K26*(Main!$E$51/100))))/$C$6</f>
        <v>1.8230900077488765</v>
      </c>
      <c r="D26">
        <f>'Req. Diario'!E25</f>
        <v>1.0140307692307693</v>
      </c>
      <c r="E26">
        <f>(D26-((C26*(Main!$F$41/100))+(G26*(Main!$F$36/100))+(I26*(Main!$F$46/100))+(K26*(Main!$F$51/100))))/$E$6</f>
        <v>2.2044147157190634</v>
      </c>
      <c r="F26">
        <f>'Req. Diario'!F25</f>
        <v>2.2503288888888893</v>
      </c>
      <c r="G26">
        <f>(F26-((C26*(Main!$G$41/100))+(E26*(Main!$G$31/100))+(I26*(Main!$G$46/100))+(K26*(Main!$G$51/100))))/$G$6</f>
        <v>4.3275555555555565</v>
      </c>
      <c r="H26">
        <f>'Req. Diario'!G25</f>
        <v>0.308116645602744</v>
      </c>
      <c r="I26">
        <f>H26/$I$6</f>
        <v>1.9257290350171499</v>
      </c>
      <c r="J26">
        <f>'Req. Diario'!H25</f>
        <v>1.0717452371484446</v>
      </c>
      <c r="K26">
        <f>J26/$K$6</f>
        <v>3.9694268042534984</v>
      </c>
      <c r="L26">
        <f>'Req. Diario'!I25</f>
        <v>12.2222</v>
      </c>
      <c r="M26">
        <f>L26/$M$6</f>
        <v>59.62048780487805</v>
      </c>
    </row>
    <row r="27">
      <c r="B27">
        <f>'Req. Diario'!D26</f>
        <v>1.850677207053207</v>
      </c>
      <c r="C27">
        <f>(B27-((E27*(Main!$E$31/100))+(G27*(Main!$E$36/100))+(I27*(Main!$E$46/100))+(K27*(Main!$E$51/100))))/$C$6</f>
        <v>1.8230900077488765</v>
      </c>
      <c r="D27">
        <f>'Req. Diario'!E26</f>
        <v>1.0140307692307693</v>
      </c>
      <c r="E27">
        <f>(D27-((C27*(Main!$F$41/100))+(G27*(Main!$F$36/100))+(I27*(Main!$F$46/100))+(K27*(Main!$F$51/100))))/$E$6</f>
        <v>2.2044147157190634</v>
      </c>
      <c r="F27">
        <f>'Req. Diario'!F26</f>
        <v>2.2503288888888893</v>
      </c>
      <c r="G27">
        <f>(F27-((C27*(Main!$G$41/100))+(E27*(Main!$G$31/100))+(I27*(Main!$G$46/100))+(K27*(Main!$G$51/100))))/$G$6</f>
        <v>4.3275555555555565</v>
      </c>
      <c r="H27">
        <f>'Req. Diario'!G26</f>
        <v>0.308116645602744</v>
      </c>
      <c r="I27">
        <f>H27/$I$6</f>
        <v>1.9257290350171499</v>
      </c>
      <c r="J27">
        <f>'Req. Diario'!H26</f>
        <v>1.0717452371484446</v>
      </c>
      <c r="K27">
        <f>J27/$K$6</f>
        <v>3.9694268042534984</v>
      </c>
      <c r="L27">
        <f>'Req. Diario'!I26</f>
        <v>12.2222</v>
      </c>
      <c r="M27">
        <f>L27/$M$6</f>
        <v>59.62048780487805</v>
      </c>
    </row>
    <row r="28">
      <c r="A28">
        <v>4</v>
      </c>
      <c r="B28">
        <f>'Req. Diario'!D27</f>
        <v>1.850677207053207</v>
      </c>
      <c r="C28">
        <f>(B28-((E28*(Main!$E$31/100))+(G28*(Main!$E$36/100))+(I28*(Main!$E$46/100))+(K28*(Main!$E$51/100))))/$C$6</f>
        <v>1.8230900077488765</v>
      </c>
      <c r="D28">
        <f>'Req. Diario'!E27</f>
        <v>1.0140307692307693</v>
      </c>
      <c r="E28">
        <f>(D28-((C28*(Main!$F$41/100))+(G28*(Main!$F$36/100))+(I28*(Main!$F$46/100))+(K28*(Main!$F$51/100))))/$E$6</f>
        <v>2.2044147157190634</v>
      </c>
      <c r="F28">
        <f>'Req. Diario'!F27</f>
        <v>2.2503288888888893</v>
      </c>
      <c r="G28">
        <f>(F28-((C28*(Main!$G$41/100))+(E28*(Main!$G$31/100))+(I28*(Main!$G$46/100))+(K28*(Main!$G$51/100))))/$G$6</f>
        <v>4.3275555555555565</v>
      </c>
      <c r="H28">
        <f>'Req. Diario'!G27</f>
        <v>0.308116645602744</v>
      </c>
      <c r="I28">
        <f>H28/$I$6</f>
        <v>1.9257290350171499</v>
      </c>
      <c r="J28">
        <f>'Req. Diario'!H27</f>
        <v>1.0717452371484446</v>
      </c>
      <c r="K28">
        <f>J28/$K$6</f>
        <v>3.9694268042534984</v>
      </c>
      <c r="L28">
        <f>'Req. Diario'!I27</f>
        <v>12.2222</v>
      </c>
      <c r="M28">
        <f>L28/$M$6</f>
        <v>59.62048780487805</v>
      </c>
    </row>
    <row r="29">
      <c r="B29">
        <f>'Req. Diario'!D28</f>
        <v>1.850677207053207</v>
      </c>
      <c r="C29">
        <f>(B29-((E29*(Main!$E$31/100))+(G29*(Main!$E$36/100))+(I29*(Main!$E$46/100))+(K29*(Main!$E$51/100))))/$C$6</f>
        <v>1.8230900077488765</v>
      </c>
      <c r="D29">
        <f>'Req. Diario'!E28</f>
        <v>1.0140307692307693</v>
      </c>
      <c r="E29">
        <f>(D29-((C29*(Main!$F$41/100))+(G29*(Main!$F$36/100))+(I29*(Main!$F$46/100))+(K29*(Main!$F$51/100))))/$E$6</f>
        <v>2.2044147157190634</v>
      </c>
      <c r="F29">
        <f>'Req. Diario'!F28</f>
        <v>2.2503288888888893</v>
      </c>
      <c r="G29">
        <f>(F29-((C29*(Main!$G$41/100))+(E29*(Main!$G$31/100))+(I29*(Main!$G$46/100))+(K29*(Main!$G$51/100))))/$G$6</f>
        <v>4.3275555555555565</v>
      </c>
      <c r="H29">
        <f>'Req. Diario'!G28</f>
        <v>0.308116645602744</v>
      </c>
      <c r="I29">
        <f>H29/$I$6</f>
        <v>1.9257290350171499</v>
      </c>
      <c r="J29">
        <f>'Req. Diario'!H28</f>
        <v>1.0717452371484446</v>
      </c>
      <c r="K29">
        <f>J29/$K$6</f>
        <v>3.9694268042534984</v>
      </c>
      <c r="L29">
        <f>'Req. Diario'!I28</f>
        <v>12.2222</v>
      </c>
      <c r="M29">
        <f>L29/$M$6</f>
        <v>59.62048780487805</v>
      </c>
    </row>
    <row r="30">
      <c r="B30">
        <f>'Req. Diario'!D29</f>
        <v>1.850677207053207</v>
      </c>
      <c r="C30">
        <f>(B30-((E30*(Main!$E$31/100))+(G30*(Main!$E$36/100))+(I30*(Main!$E$46/100))+(K30*(Main!$E$51/100))))/$C$6</f>
        <v>1.8230900077488765</v>
      </c>
      <c r="D30">
        <f>'Req. Diario'!E29</f>
        <v>1.0140307692307693</v>
      </c>
      <c r="E30">
        <f>(D30-((C30*(Main!$F$41/100))+(G30*(Main!$F$36/100))+(I30*(Main!$F$46/100))+(K30*(Main!$F$51/100))))/$E$6</f>
        <v>2.2044147157190634</v>
      </c>
      <c r="F30">
        <f>'Req. Diario'!F29</f>
        <v>2.2503288888888893</v>
      </c>
      <c r="G30">
        <f>(F30-((C30*(Main!$G$41/100))+(E30*(Main!$G$31/100))+(I30*(Main!$G$46/100))+(K30*(Main!$G$51/100))))/$G$6</f>
        <v>4.3275555555555565</v>
      </c>
      <c r="H30">
        <f>'Req. Diario'!G29</f>
        <v>0.308116645602744</v>
      </c>
      <c r="I30">
        <f>H30/$I$6</f>
        <v>1.9257290350171499</v>
      </c>
      <c r="J30">
        <f>'Req. Diario'!H29</f>
        <v>1.0717452371484446</v>
      </c>
      <c r="K30">
        <f>J30/$K$6</f>
        <v>3.9694268042534984</v>
      </c>
      <c r="L30">
        <f>'Req. Diario'!I29</f>
        <v>12.2222</v>
      </c>
      <c r="M30">
        <f>L30/$M$6</f>
        <v>59.62048780487805</v>
      </c>
    </row>
    <row r="31">
      <c r="B31">
        <f>'Req. Diario'!D30</f>
        <v>1.850677207053207</v>
      </c>
      <c r="C31">
        <f>(B31-((E31*(Main!$E$31/100))+(G31*(Main!$E$36/100))+(I31*(Main!$E$46/100))+(K31*(Main!$E$51/100))))/$C$6</f>
        <v>1.8230900077488765</v>
      </c>
      <c r="D31">
        <f>'Req. Diario'!E30</f>
        <v>1.0140307692307693</v>
      </c>
      <c r="E31">
        <f>(D31-((C31*(Main!$F$41/100))+(G31*(Main!$F$36/100))+(I31*(Main!$F$46/100))+(K31*(Main!$F$51/100))))/$E$6</f>
        <v>2.2044147157190634</v>
      </c>
      <c r="F31">
        <f>'Req. Diario'!F30</f>
        <v>2.2503288888888893</v>
      </c>
      <c r="G31">
        <f>(F31-((C31*(Main!$G$41/100))+(E31*(Main!$G$31/100))+(I31*(Main!$G$46/100))+(K31*(Main!$G$51/100))))/$G$6</f>
        <v>4.3275555555555565</v>
      </c>
      <c r="H31">
        <f>'Req. Diario'!G30</f>
        <v>0.308116645602744</v>
      </c>
      <c r="I31">
        <f>H31/$I$6</f>
        <v>1.9257290350171499</v>
      </c>
      <c r="J31">
        <f>'Req. Diario'!H30</f>
        <v>1.0717452371484446</v>
      </c>
      <c r="K31">
        <f>J31/$K$6</f>
        <v>3.9694268042534984</v>
      </c>
      <c r="L31">
        <f>'Req. Diario'!I30</f>
        <v>12.2222</v>
      </c>
      <c r="M31">
        <f>L31/$M$6</f>
        <v>59.62048780487805</v>
      </c>
    </row>
    <row r="32">
      <c r="B32">
        <f>'Req. Diario'!D31</f>
        <v>1.850677207053207</v>
      </c>
      <c r="C32">
        <f>(B32-((E32*(Main!$E$31/100))+(G32*(Main!$E$36/100))+(I32*(Main!$E$46/100))+(K32*(Main!$E$51/100))))/$C$6</f>
        <v>1.8230900077488765</v>
      </c>
      <c r="D32">
        <f>'Req. Diario'!E31</f>
        <v>1.0140307692307693</v>
      </c>
      <c r="E32">
        <f>(D32-((C32*(Main!$F$41/100))+(G32*(Main!$F$36/100))+(I32*(Main!$F$46/100))+(K32*(Main!$F$51/100))))/$E$6</f>
        <v>2.2044147157190634</v>
      </c>
      <c r="F32">
        <f>'Req. Diario'!F31</f>
        <v>2.2503288888888893</v>
      </c>
      <c r="G32">
        <f>(F32-((C32*(Main!$G$41/100))+(E32*(Main!$G$31/100))+(I32*(Main!$G$46/100))+(K32*(Main!$G$51/100))))/$G$6</f>
        <v>4.3275555555555565</v>
      </c>
      <c r="H32">
        <f>'Req. Diario'!G31</f>
        <v>0.308116645602744</v>
      </c>
      <c r="I32">
        <f>H32/$I$6</f>
        <v>1.9257290350171499</v>
      </c>
      <c r="J32">
        <f>'Req. Diario'!H31</f>
        <v>1.0717452371484446</v>
      </c>
      <c r="K32">
        <f>J32/$K$6</f>
        <v>3.9694268042534984</v>
      </c>
      <c r="L32">
        <f>'Req. Diario'!I31</f>
        <v>12.2222</v>
      </c>
      <c r="M32">
        <f>L32/$M$6</f>
        <v>59.62048780487805</v>
      </c>
    </row>
    <row r="33">
      <c r="B33">
        <f>'Req. Diario'!D32</f>
        <v>1.850677207053207</v>
      </c>
      <c r="C33">
        <f>(B33-((E33*(Main!$E$31/100))+(G33*(Main!$E$36/100))+(I33*(Main!$E$46/100))+(K33*(Main!$E$51/100))))/$C$6</f>
        <v>1.8230900077488765</v>
      </c>
      <c r="D33">
        <f>'Req. Diario'!E32</f>
        <v>1.0140307692307693</v>
      </c>
      <c r="E33">
        <f>(D33-((C33*(Main!$F$41/100))+(G33*(Main!$F$36/100))+(I33*(Main!$F$46/100))+(K33*(Main!$F$51/100))))/$E$6</f>
        <v>2.2044147157190634</v>
      </c>
      <c r="F33">
        <f>'Req. Diario'!F32</f>
        <v>2.2503288888888893</v>
      </c>
      <c r="G33">
        <f>(F33-((C33*(Main!$G$41/100))+(E33*(Main!$G$31/100))+(I33*(Main!$G$46/100))+(K33*(Main!$G$51/100))))/$G$6</f>
        <v>4.3275555555555565</v>
      </c>
      <c r="H33">
        <f>'Req. Diario'!G32</f>
        <v>0.308116645602744</v>
      </c>
      <c r="I33">
        <f>H33/$I$6</f>
        <v>1.9257290350171499</v>
      </c>
      <c r="J33">
        <f>'Req. Diario'!H32</f>
        <v>1.0717452371484446</v>
      </c>
      <c r="K33">
        <f>J33/$K$6</f>
        <v>3.9694268042534984</v>
      </c>
      <c r="L33">
        <f>'Req. Diario'!I32</f>
        <v>12.2222</v>
      </c>
      <c r="M33">
        <f>L33/$M$6</f>
        <v>59.62048780487805</v>
      </c>
    </row>
    <row r="34">
      <c r="B34">
        <f>'Req. Diario'!D33</f>
        <v>1.850677207053207</v>
      </c>
      <c r="C34">
        <f>(B34-((E34*(Main!$E$31/100))+(G34*(Main!$E$36/100))+(I34*(Main!$E$46/100))+(K34*(Main!$E$51/100))))/$C$6</f>
        <v>1.8230900077488765</v>
      </c>
      <c r="D34">
        <f>'Req. Diario'!E33</f>
        <v>1.0140307692307693</v>
      </c>
      <c r="E34">
        <f>(D34-((C34*(Main!$F$41/100))+(G34*(Main!$F$36/100))+(I34*(Main!$F$46/100))+(K34*(Main!$F$51/100))))/$E$6</f>
        <v>2.2044147157190634</v>
      </c>
      <c r="F34">
        <f>'Req. Diario'!F33</f>
        <v>2.2503288888888893</v>
      </c>
      <c r="G34">
        <f>(F34-((C34*(Main!$G$41/100))+(E34*(Main!$G$31/100))+(I34*(Main!$G$46/100))+(K34*(Main!$G$51/100))))/$G$6</f>
        <v>4.3275555555555565</v>
      </c>
      <c r="H34">
        <f>'Req. Diario'!G33</f>
        <v>0.308116645602744</v>
      </c>
      <c r="I34">
        <f>H34/$I$6</f>
        <v>1.9257290350171499</v>
      </c>
      <c r="J34">
        <f>'Req. Diario'!H33</f>
        <v>1.0717452371484446</v>
      </c>
      <c r="K34">
        <f>J34/$K$6</f>
        <v>3.9694268042534984</v>
      </c>
      <c r="L34">
        <f>'Req. Diario'!I33</f>
        <v>12.2222</v>
      </c>
      <c r="M34">
        <f>L34/$M$6</f>
        <v>59.62048780487805</v>
      </c>
    </row>
    <row r="35">
      <c r="A35">
        <v>5</v>
      </c>
      <c r="B35">
        <f>'Req. Diario'!D34</f>
        <v>1.850677207053207</v>
      </c>
      <c r="C35">
        <f>(B35-((E35*(Main!$E$31/100))+(G35*(Main!$E$36/100))+(I35*(Main!$E$46/100))+(K35*(Main!$E$51/100))))/$C$6</f>
        <v>1.8230900077488765</v>
      </c>
      <c r="D35">
        <f>'Req. Diario'!E34</f>
        <v>1.0140307692307693</v>
      </c>
      <c r="E35">
        <f>(D35-((C35*(Main!$F$41/100))+(G35*(Main!$F$36/100))+(I35*(Main!$F$46/100))+(K35*(Main!$F$51/100))))/$E$6</f>
        <v>2.2044147157190634</v>
      </c>
      <c r="F35">
        <f>'Req. Diario'!F34</f>
        <v>2.2503288888888893</v>
      </c>
      <c r="G35">
        <f>(F35-((C35*(Main!$G$41/100))+(E35*(Main!$G$31/100))+(I35*(Main!$G$46/100))+(K35*(Main!$G$51/100))))/$G$6</f>
        <v>4.3275555555555565</v>
      </c>
      <c r="H35">
        <f>'Req. Diario'!G34</f>
        <v>0.308116645602744</v>
      </c>
      <c r="I35">
        <f>H35/$I$6</f>
        <v>1.9257290350171499</v>
      </c>
      <c r="J35">
        <f>'Req. Diario'!H34</f>
        <v>1.0717452371484446</v>
      </c>
      <c r="K35">
        <f>J35/$K$6</f>
        <v>3.9694268042534984</v>
      </c>
      <c r="L35">
        <f>'Req. Diario'!I34</f>
        <v>12.2222</v>
      </c>
      <c r="M35">
        <f>L35/$M$6</f>
        <v>59.62048780487805</v>
      </c>
    </row>
    <row r="36">
      <c r="B36">
        <f>'Req. Diario'!D35</f>
        <v>1.850677207053207</v>
      </c>
      <c r="C36">
        <f>(B36-((E36*(Main!$E$31/100))+(G36*(Main!$E$36/100))+(I36*(Main!$E$46/100))+(K36*(Main!$E$51/100))))/$C$6</f>
        <v>1.8230900077488765</v>
      </c>
      <c r="D36">
        <f>'Req. Diario'!E35</f>
        <v>1.0140307692307693</v>
      </c>
      <c r="E36">
        <f>(D36-((C36*(Main!$F$41/100))+(G36*(Main!$F$36/100))+(I36*(Main!$F$46/100))+(K36*(Main!$F$51/100))))/$E$6</f>
        <v>2.2044147157190634</v>
      </c>
      <c r="F36">
        <f>'Req. Diario'!F35</f>
        <v>2.2503288888888893</v>
      </c>
      <c r="G36">
        <f>(F36-((C36*(Main!$G$41/100))+(E36*(Main!$G$31/100))+(I36*(Main!$G$46/100))+(K36*(Main!$G$51/100))))/$G$6</f>
        <v>4.3275555555555565</v>
      </c>
      <c r="H36">
        <f>'Req. Diario'!G35</f>
        <v>0.308116645602744</v>
      </c>
      <c r="I36">
        <f>H36/$I$6</f>
        <v>1.9257290350171499</v>
      </c>
      <c r="J36">
        <f>'Req. Diario'!H35</f>
        <v>1.0717452371484446</v>
      </c>
      <c r="K36">
        <f>J36/$K$6</f>
        <v>3.9694268042534984</v>
      </c>
      <c r="L36">
        <f>'Req. Diario'!I35</f>
        <v>12.2222</v>
      </c>
      <c r="M36">
        <f>L36/$M$6</f>
        <v>59.62048780487805</v>
      </c>
    </row>
    <row r="37">
      <c r="B37">
        <f>'Req. Diario'!D36</f>
        <v>1.850677207053207</v>
      </c>
      <c r="C37">
        <f>(B37-((E37*(Main!$E$31/100))+(G37*(Main!$E$36/100))+(I37*(Main!$E$46/100))+(K37*(Main!$E$51/100))))/$C$6</f>
        <v>1.8230900077488765</v>
      </c>
      <c r="D37">
        <f>'Req. Diario'!E36</f>
        <v>1.0140307692307693</v>
      </c>
      <c r="E37">
        <f>(D37-((C37*(Main!$F$41/100))+(G37*(Main!$F$36/100))+(I37*(Main!$F$46/100))+(K37*(Main!$F$51/100))))/$E$6</f>
        <v>2.2044147157190634</v>
      </c>
      <c r="F37">
        <f>'Req. Diario'!F36</f>
        <v>2.2503288888888893</v>
      </c>
      <c r="G37">
        <f>(F37-((C37*(Main!$G$41/100))+(E37*(Main!$G$31/100))+(I37*(Main!$G$46/100))+(K37*(Main!$G$51/100))))/$G$6</f>
        <v>4.3275555555555565</v>
      </c>
      <c r="H37">
        <f>'Req. Diario'!G36</f>
        <v>0.308116645602744</v>
      </c>
      <c r="I37">
        <f>H37/$I$6</f>
        <v>1.9257290350171499</v>
      </c>
      <c r="J37">
        <f>'Req. Diario'!H36</f>
        <v>1.0717452371484446</v>
      </c>
      <c r="K37">
        <f>J37/$K$6</f>
        <v>3.9694268042534984</v>
      </c>
      <c r="L37">
        <f>'Req. Diario'!I36</f>
        <v>12.2222</v>
      </c>
      <c r="M37">
        <f>L37/$M$6</f>
        <v>59.62048780487805</v>
      </c>
    </row>
    <row r="38">
      <c r="B38">
        <f>'Req. Diario'!D37</f>
        <v>1.850677207053207</v>
      </c>
      <c r="C38">
        <f>(B38-((E38*(Main!$E$31/100))+(G38*(Main!$E$36/100))+(I38*(Main!$E$46/100))+(K38*(Main!$E$51/100))))/$C$6</f>
        <v>1.8230900077488765</v>
      </c>
      <c r="D38">
        <f>'Req. Diario'!E37</f>
        <v>1.0140307692307693</v>
      </c>
      <c r="E38">
        <f>(D38-((C38*(Main!$F$41/100))+(G38*(Main!$F$36/100))+(I38*(Main!$F$46/100))+(K38*(Main!$F$51/100))))/$E$6</f>
        <v>2.2044147157190634</v>
      </c>
      <c r="F38">
        <f>'Req. Diario'!F37</f>
        <v>2.2503288888888893</v>
      </c>
      <c r="G38">
        <f>(F38-((C38*(Main!$G$41/100))+(E38*(Main!$G$31/100))+(I38*(Main!$G$46/100))+(K38*(Main!$G$51/100))))/$G$6</f>
        <v>4.3275555555555565</v>
      </c>
      <c r="H38">
        <f>'Req. Diario'!G37</f>
        <v>0.308116645602744</v>
      </c>
      <c r="I38">
        <f>H38/$I$6</f>
        <v>1.9257290350171499</v>
      </c>
      <c r="J38">
        <f>'Req. Diario'!H37</f>
        <v>1.0717452371484446</v>
      </c>
      <c r="K38">
        <f>J38/$K$6</f>
        <v>3.9694268042534984</v>
      </c>
      <c r="L38">
        <f>'Req. Diario'!I37</f>
        <v>12.2222</v>
      </c>
      <c r="M38">
        <f>L38/$M$6</f>
        <v>59.62048780487805</v>
      </c>
    </row>
    <row r="39">
      <c r="B39">
        <f>'Req. Diario'!D38</f>
        <v>2.7760158105798105</v>
      </c>
      <c r="C39">
        <f>(B39-((E39*(Main!$E$31/100))+(G39*(Main!$E$36/100))+(I39*(Main!$E$46/100))+(K39*(Main!$E$51/100))))/$C$6</f>
        <v>2.734635011623315</v>
      </c>
      <c r="D39">
        <f>'Req. Diario'!E38</f>
        <v>1.521046153846154</v>
      </c>
      <c r="E39">
        <f>(D39-((C39*(Main!$F$41/100))+(G39*(Main!$F$36/100))+(I39*(Main!$F$46/100))+(K39*(Main!$F$51/100))))/$E$6</f>
        <v>3.306622073578595</v>
      </c>
      <c r="F39">
        <f>'Req. Diario'!F38</f>
        <v>3.3754933333333335</v>
      </c>
      <c r="G39">
        <f>(F39-((C39*(Main!$G$41/100))+(E39*(Main!$G$31/100))+(I39*(Main!$G$46/100))+(K39*(Main!$G$51/100))))/$G$6</f>
        <v>6.491333333333333</v>
      </c>
      <c r="H39">
        <f>'Req. Diario'!G38</f>
        <v>0.46217496840411604</v>
      </c>
      <c r="I39">
        <f>H39/$I$6</f>
        <v>2.8885935525257254</v>
      </c>
      <c r="J39">
        <f>'Req. Diario'!H38</f>
        <v>1.607617855722667</v>
      </c>
      <c r="K39">
        <f>J39/$K$6</f>
        <v>5.954140206380248</v>
      </c>
      <c r="L39">
        <f>'Req. Diario'!I38</f>
        <v>17.3149</v>
      </c>
      <c r="M39">
        <f>L39/$M$6</f>
        <v>84.46292682926831</v>
      </c>
    </row>
    <row r="40">
      <c r="B40">
        <f>'Req. Diario'!D39</f>
        <v>2.7760158105798105</v>
      </c>
      <c r="C40">
        <f>(B40-((E40*(Main!$E$31/100))+(G40*(Main!$E$36/100))+(I40*(Main!$E$46/100))+(K40*(Main!$E$51/100))))/$C$6</f>
        <v>2.734635011623315</v>
      </c>
      <c r="D40">
        <f>'Req. Diario'!E39</f>
        <v>1.521046153846154</v>
      </c>
      <c r="E40">
        <f>(D40-((C40*(Main!$F$41/100))+(G40*(Main!$F$36/100))+(I40*(Main!$F$46/100))+(K40*(Main!$F$51/100))))/$E$6</f>
        <v>3.306622073578595</v>
      </c>
      <c r="F40">
        <f>'Req. Diario'!F39</f>
        <v>3.3754933333333335</v>
      </c>
      <c r="G40">
        <f>(F40-((C40*(Main!$G$41/100))+(E40*(Main!$G$31/100))+(I40*(Main!$G$46/100))+(K40*(Main!$G$51/100))))/$G$6</f>
        <v>6.491333333333333</v>
      </c>
      <c r="H40">
        <f>'Req. Diario'!G39</f>
        <v>0.46217496840411604</v>
      </c>
      <c r="I40">
        <f>H40/$I$6</f>
        <v>2.8885935525257254</v>
      </c>
      <c r="J40">
        <f>'Req. Diario'!H39</f>
        <v>1.607617855722667</v>
      </c>
      <c r="K40">
        <f>J40/$K$6</f>
        <v>5.954140206380248</v>
      </c>
      <c r="L40">
        <f>'Req. Diario'!I39</f>
        <v>17.3149</v>
      </c>
      <c r="M40">
        <f>L40/$M$6</f>
        <v>84.46292682926831</v>
      </c>
    </row>
    <row r="41">
      <c r="B41">
        <f>'Req. Diario'!D40</f>
        <v>2.7760158105798105</v>
      </c>
      <c r="C41">
        <f>(B41-((E41*(Main!$E$31/100))+(G41*(Main!$E$36/100))+(I41*(Main!$E$46/100))+(K41*(Main!$E$51/100))))/$C$6</f>
        <v>2.734635011623315</v>
      </c>
      <c r="D41">
        <f>'Req. Diario'!E40</f>
        <v>1.521046153846154</v>
      </c>
      <c r="E41">
        <f>(D41-((C41*(Main!$F$41/100))+(G41*(Main!$F$36/100))+(I41*(Main!$F$46/100))+(K41*(Main!$F$51/100))))/$E$6</f>
        <v>3.306622073578595</v>
      </c>
      <c r="F41">
        <f>'Req. Diario'!F40</f>
        <v>3.3754933333333335</v>
      </c>
      <c r="G41">
        <f>(F41-((C41*(Main!$G$41/100))+(E41*(Main!$G$31/100))+(I41*(Main!$G$46/100))+(K41*(Main!$G$51/100))))/$G$6</f>
        <v>6.491333333333333</v>
      </c>
      <c r="H41">
        <f>'Req. Diario'!G40</f>
        <v>0.46217496840411604</v>
      </c>
      <c r="I41">
        <f>H41/$I$6</f>
        <v>2.8885935525257254</v>
      </c>
      <c r="J41">
        <f>'Req. Diario'!H40</f>
        <v>1.607617855722667</v>
      </c>
      <c r="K41">
        <f>J41/$K$6</f>
        <v>5.954140206380248</v>
      </c>
      <c r="L41">
        <f>'Req. Diario'!I40</f>
        <v>17.3149</v>
      </c>
      <c r="M41">
        <f>L41/$M$6</f>
        <v>84.46292682926831</v>
      </c>
    </row>
    <row r="42">
      <c r="A42">
        <v>6</v>
      </c>
      <c r="B42">
        <f>'Req. Diario'!D41</f>
        <v>2.7760158105798105</v>
      </c>
      <c r="C42">
        <f>(B42-((E42*(Main!$E$31/100))+(G42*(Main!$E$36/100))+(I42*(Main!$E$46/100))+(K42*(Main!$E$51/100))))/$C$6</f>
        <v>2.734635011623315</v>
      </c>
      <c r="D42">
        <f>'Req. Diario'!E41</f>
        <v>1.521046153846154</v>
      </c>
      <c r="E42">
        <f>(D42-((C42*(Main!$F$41/100))+(G42*(Main!$F$36/100))+(I42*(Main!$F$46/100))+(K42*(Main!$F$51/100))))/$E$6</f>
        <v>3.306622073578595</v>
      </c>
      <c r="F42">
        <f>'Req. Diario'!F41</f>
        <v>3.3754933333333335</v>
      </c>
      <c r="G42">
        <f>(F42-((C42*(Main!$G$41/100))+(E42*(Main!$G$31/100))+(I42*(Main!$G$46/100))+(K42*(Main!$G$51/100))))/$G$6</f>
        <v>6.491333333333333</v>
      </c>
      <c r="H42">
        <f>'Req. Diario'!G41</f>
        <v>0.46217496840411604</v>
      </c>
      <c r="I42">
        <f>H42/$I$6</f>
        <v>2.8885935525257254</v>
      </c>
      <c r="J42">
        <f>'Req. Diario'!H41</f>
        <v>1.607617855722667</v>
      </c>
      <c r="K42">
        <f>J42/$K$6</f>
        <v>5.954140206380248</v>
      </c>
      <c r="L42">
        <f>'Req. Diario'!I41</f>
        <v>17.3149</v>
      </c>
      <c r="M42">
        <f>L42/$M$6</f>
        <v>84.46292682926831</v>
      </c>
    </row>
    <row r="43">
      <c r="B43">
        <f>'Req. Diario'!D42</f>
        <v>2.7760158105798105</v>
      </c>
      <c r="C43">
        <f>(B43-((E43*(Main!$E$31/100))+(G43*(Main!$E$36/100))+(I43*(Main!$E$46/100))+(K43*(Main!$E$51/100))))/$C$6</f>
        <v>2.734635011623315</v>
      </c>
      <c r="D43">
        <f>'Req. Diario'!E42</f>
        <v>1.521046153846154</v>
      </c>
      <c r="E43">
        <f>(D43-((C43*(Main!$F$41/100))+(G43*(Main!$F$36/100))+(I43*(Main!$F$46/100))+(K43*(Main!$F$51/100))))/$E$6</f>
        <v>3.306622073578595</v>
      </c>
      <c r="F43">
        <f>'Req. Diario'!F42</f>
        <v>3.3754933333333335</v>
      </c>
      <c r="G43">
        <f>(F43-((C43*(Main!$G$41/100))+(E43*(Main!$G$31/100))+(I43*(Main!$G$46/100))+(K43*(Main!$G$51/100))))/$G$6</f>
        <v>6.491333333333333</v>
      </c>
      <c r="H43">
        <f>'Req. Diario'!G42</f>
        <v>0.46217496840411604</v>
      </c>
      <c r="I43">
        <f>H43/$I$6</f>
        <v>2.8885935525257254</v>
      </c>
      <c r="J43">
        <f>'Req. Diario'!H42</f>
        <v>1.607617855722667</v>
      </c>
      <c r="K43">
        <f>J43/$K$6</f>
        <v>5.954140206380248</v>
      </c>
      <c r="L43">
        <f>'Req. Diario'!I42</f>
        <v>17.3149</v>
      </c>
      <c r="M43">
        <f>L43/$M$6</f>
        <v>84.46292682926831</v>
      </c>
    </row>
    <row r="44">
      <c r="B44">
        <f>'Req. Diario'!D43</f>
        <v>2.7760158105798105</v>
      </c>
      <c r="C44">
        <f>(B44-((E44*(Main!$E$31/100))+(G44*(Main!$E$36/100))+(I44*(Main!$E$46/100))+(K44*(Main!$E$51/100))))/$C$6</f>
        <v>2.734635011623315</v>
      </c>
      <c r="D44">
        <f>'Req. Diario'!E43</f>
        <v>1.521046153846154</v>
      </c>
      <c r="E44">
        <f>(D44-((C44*(Main!$F$41/100))+(G44*(Main!$F$36/100))+(I44*(Main!$F$46/100))+(K44*(Main!$F$51/100))))/$E$6</f>
        <v>3.306622073578595</v>
      </c>
      <c r="F44">
        <f>'Req. Diario'!F43</f>
        <v>3.3754933333333335</v>
      </c>
      <c r="G44">
        <f>(F44-((C44*(Main!$G$41/100))+(E44*(Main!$G$31/100))+(I44*(Main!$G$46/100))+(K44*(Main!$G$51/100))))/$G$6</f>
        <v>6.491333333333333</v>
      </c>
      <c r="H44">
        <f>'Req. Diario'!G43</f>
        <v>0.46217496840411604</v>
      </c>
      <c r="I44">
        <f>H44/$I$6</f>
        <v>2.8885935525257254</v>
      </c>
      <c r="J44">
        <f>'Req. Diario'!H43</f>
        <v>1.607617855722667</v>
      </c>
      <c r="K44">
        <f>J44/$K$6</f>
        <v>5.954140206380248</v>
      </c>
      <c r="L44">
        <f>'Req. Diario'!I43</f>
        <v>17.3149</v>
      </c>
      <c r="M44">
        <f>L44/$M$6</f>
        <v>84.46292682926831</v>
      </c>
    </row>
    <row r="45">
      <c r="B45">
        <f>'Req. Diario'!D44</f>
        <v>2.7760158105798105</v>
      </c>
      <c r="C45">
        <f>(B45-((E45*(Main!$E$31/100))+(G45*(Main!$E$36/100))+(I45*(Main!$E$46/100))+(K45*(Main!$E$51/100))))/$C$6</f>
        <v>2.734635011623315</v>
      </c>
      <c r="D45">
        <f>'Req. Diario'!E44</f>
        <v>1.521046153846154</v>
      </c>
      <c r="E45">
        <f>(D45-((C45*(Main!$F$41/100))+(G45*(Main!$F$36/100))+(I45*(Main!$F$46/100))+(K45*(Main!$F$51/100))))/$E$6</f>
        <v>3.306622073578595</v>
      </c>
      <c r="F45">
        <f>'Req. Diario'!F44</f>
        <v>3.3754933333333335</v>
      </c>
      <c r="G45">
        <f>(F45-((C45*(Main!$G$41/100))+(E45*(Main!$G$31/100))+(I45*(Main!$G$46/100))+(K45*(Main!$G$51/100))))/$G$6</f>
        <v>6.491333333333333</v>
      </c>
      <c r="H45">
        <f>'Req. Diario'!G44</f>
        <v>0.46217496840411604</v>
      </c>
      <c r="I45">
        <f>H45/$I$6</f>
        <v>2.8885935525257254</v>
      </c>
      <c r="J45">
        <f>'Req. Diario'!H44</f>
        <v>1.607617855722667</v>
      </c>
      <c r="K45">
        <f>J45/$K$6</f>
        <v>5.954140206380248</v>
      </c>
      <c r="L45">
        <f>'Req. Diario'!I44</f>
        <v>17.3149</v>
      </c>
      <c r="M45">
        <f>L45/$M$6</f>
        <v>84.46292682926831</v>
      </c>
    </row>
    <row r="46">
      <c r="B46">
        <f>'Req. Diario'!D45</f>
        <v>2.7760158105798105</v>
      </c>
      <c r="C46">
        <f>(B46-((E46*(Main!$E$31/100))+(G46*(Main!$E$36/100))+(I46*(Main!$E$46/100))+(K46*(Main!$E$51/100))))/$C$6</f>
        <v>2.734635011623315</v>
      </c>
      <c r="D46">
        <f>'Req. Diario'!E45</f>
        <v>1.521046153846154</v>
      </c>
      <c r="E46">
        <f>(D46-((C46*(Main!$F$41/100))+(G46*(Main!$F$36/100))+(I46*(Main!$F$46/100))+(K46*(Main!$F$51/100))))/$E$6</f>
        <v>3.306622073578595</v>
      </c>
      <c r="F46">
        <f>'Req. Diario'!F45</f>
        <v>3.3754933333333335</v>
      </c>
      <c r="G46">
        <f>(F46-((C46*(Main!$G$41/100))+(E46*(Main!$G$31/100))+(I46*(Main!$G$46/100))+(K46*(Main!$G$51/100))))/$G$6</f>
        <v>6.491333333333333</v>
      </c>
      <c r="H46">
        <f>'Req. Diario'!G45</f>
        <v>0.46217496840411604</v>
      </c>
      <c r="I46">
        <f>H46/$I$6</f>
        <v>2.8885935525257254</v>
      </c>
      <c r="J46">
        <f>'Req. Diario'!H45</f>
        <v>1.607617855722667</v>
      </c>
      <c r="K46">
        <f>J46/$K$6</f>
        <v>5.954140206380248</v>
      </c>
      <c r="L46">
        <f>'Req. Diario'!I45</f>
        <v>17.3149</v>
      </c>
      <c r="M46">
        <f>L46/$M$6</f>
        <v>84.46292682926831</v>
      </c>
    </row>
    <row r="47">
      <c r="B47">
        <f>'Req. Diario'!D46</f>
        <v>2.7760158105798105</v>
      </c>
      <c r="C47">
        <f>(B47-((E47*(Main!$E$31/100))+(G47*(Main!$E$36/100))+(I47*(Main!$E$46/100))+(K47*(Main!$E$51/100))))/$C$6</f>
        <v>2.734635011623315</v>
      </c>
      <c r="D47">
        <f>'Req. Diario'!E46</f>
        <v>1.521046153846154</v>
      </c>
      <c r="E47">
        <f>(D47-((C47*(Main!$F$41/100))+(G47*(Main!$F$36/100))+(I47*(Main!$F$46/100))+(K47*(Main!$F$51/100))))/$E$6</f>
        <v>3.306622073578595</v>
      </c>
      <c r="F47">
        <f>'Req. Diario'!F46</f>
        <v>3.3754933333333335</v>
      </c>
      <c r="G47">
        <f>(F47-((C47*(Main!$G$41/100))+(E47*(Main!$G$31/100))+(I47*(Main!$G$46/100))+(K47*(Main!$G$51/100))))/$G$6</f>
        <v>6.491333333333333</v>
      </c>
      <c r="H47">
        <f>'Req. Diario'!G46</f>
        <v>0.46217496840411604</v>
      </c>
      <c r="I47">
        <f>H47/$I$6</f>
        <v>2.8885935525257254</v>
      </c>
      <c r="J47">
        <f>'Req. Diario'!H46</f>
        <v>1.607617855722667</v>
      </c>
      <c r="K47">
        <f>J47/$K$6</f>
        <v>5.954140206380248</v>
      </c>
      <c r="L47">
        <f>'Req. Diario'!I46</f>
        <v>17.3149</v>
      </c>
      <c r="M47">
        <f>L47/$M$6</f>
        <v>84.46292682926831</v>
      </c>
    </row>
    <row r="48">
      <c r="B48">
        <f>'Req. Diario'!D47</f>
        <v>2.7760158105798105</v>
      </c>
      <c r="C48">
        <f>(B48-((E48*(Main!$E$31/100))+(G48*(Main!$E$36/100))+(I48*(Main!$E$46/100))+(K48*(Main!$E$51/100))))/$C$6</f>
        <v>2.734635011623315</v>
      </c>
      <c r="D48">
        <f>'Req. Diario'!E47</f>
        <v>1.521046153846154</v>
      </c>
      <c r="E48">
        <f>(D48-((C48*(Main!$F$41/100))+(G48*(Main!$F$36/100))+(I48*(Main!$F$46/100))+(K48*(Main!$F$51/100))))/$E$6</f>
        <v>3.306622073578595</v>
      </c>
      <c r="F48">
        <f>'Req. Diario'!F47</f>
        <v>3.3754933333333335</v>
      </c>
      <c r="G48">
        <f>(F48-((C48*(Main!$G$41/100))+(E48*(Main!$G$31/100))+(I48*(Main!$G$46/100))+(K48*(Main!$G$51/100))))/$G$6</f>
        <v>6.491333333333333</v>
      </c>
      <c r="H48">
        <f>'Req. Diario'!G47</f>
        <v>0.46217496840411604</v>
      </c>
      <c r="I48">
        <f>H48/$I$6</f>
        <v>2.8885935525257254</v>
      </c>
      <c r="J48">
        <f>'Req. Diario'!H47</f>
        <v>1.607617855722667</v>
      </c>
      <c r="K48">
        <f>J48/$K$6</f>
        <v>5.954140206380248</v>
      </c>
      <c r="L48">
        <f>'Req. Diario'!I47</f>
        <v>17.3149</v>
      </c>
      <c r="M48">
        <f>L48/$M$6</f>
        <v>84.46292682926831</v>
      </c>
    </row>
    <row r="49">
      <c r="A49">
        <v>7</v>
      </c>
      <c r="B49">
        <f>'Req. Diario'!D48</f>
        <v>2.7760158105798105</v>
      </c>
      <c r="C49">
        <f>(B49-((E49*(Main!$E$31/100))+(G49*(Main!$E$36/100))+(I49*(Main!$E$46/100))+(K49*(Main!$E$51/100))))/$C$6</f>
        <v>2.734635011623315</v>
      </c>
      <c r="D49">
        <f>'Req. Diario'!E48</f>
        <v>1.521046153846154</v>
      </c>
      <c r="E49">
        <f>(D49-((C49*(Main!$F$41/100))+(G49*(Main!$F$36/100))+(I49*(Main!$F$46/100))+(K49*(Main!$F$51/100))))/$E$6</f>
        <v>3.306622073578595</v>
      </c>
      <c r="F49">
        <f>'Req. Diario'!F48</f>
        <v>3.3754933333333335</v>
      </c>
      <c r="G49">
        <f>(F49-((C49*(Main!$G$41/100))+(E49*(Main!$G$31/100))+(I49*(Main!$G$46/100))+(K49*(Main!$G$51/100))))/$G$6</f>
        <v>6.491333333333333</v>
      </c>
      <c r="H49">
        <f>'Req. Diario'!G48</f>
        <v>0.46217496840411604</v>
      </c>
      <c r="I49">
        <f>H49/$I$6</f>
        <v>2.8885935525257254</v>
      </c>
      <c r="J49">
        <f>'Req. Diario'!H48</f>
        <v>1.607617855722667</v>
      </c>
      <c r="K49">
        <f>J49/$K$6</f>
        <v>5.954140206380248</v>
      </c>
      <c r="L49">
        <f>'Req. Diario'!I48</f>
        <v>17.3149</v>
      </c>
      <c r="M49">
        <f>L49/$M$6</f>
        <v>84.46292682926831</v>
      </c>
    </row>
    <row r="50">
      <c r="B50">
        <f>'Req. Diario'!D49</f>
        <v>2.7760158105798105</v>
      </c>
      <c r="C50">
        <f>(B50-((E50*(Main!$E$31/100))+(G50*(Main!$E$36/100))+(I50*(Main!$E$46/100))+(K50*(Main!$E$51/100))))/$C$6</f>
        <v>2.734635011623315</v>
      </c>
      <c r="D50">
        <f>'Req. Diario'!E49</f>
        <v>1.521046153846154</v>
      </c>
      <c r="E50">
        <f>(D50-((C50*(Main!$F$41/100))+(G50*(Main!$F$36/100))+(I50*(Main!$F$46/100))+(K50*(Main!$F$51/100))))/$E$6</f>
        <v>3.306622073578595</v>
      </c>
      <c r="F50">
        <f>'Req. Diario'!F49</f>
        <v>3.3754933333333335</v>
      </c>
      <c r="G50">
        <f>(F50-((C50*(Main!$G$41/100))+(E50*(Main!$G$31/100))+(I50*(Main!$G$46/100))+(K50*(Main!$G$51/100))))/$G$6</f>
        <v>6.491333333333333</v>
      </c>
      <c r="H50">
        <f>'Req. Diario'!G49</f>
        <v>0.46217496840411604</v>
      </c>
      <c r="I50">
        <f>H50/$I$6</f>
        <v>2.8885935525257254</v>
      </c>
      <c r="J50">
        <f>'Req. Diario'!H49</f>
        <v>1.607617855722667</v>
      </c>
      <c r="K50">
        <f>J50/$K$6</f>
        <v>5.954140206380248</v>
      </c>
      <c r="L50">
        <f>'Req. Diario'!I49</f>
        <v>17.3149</v>
      </c>
      <c r="M50">
        <f>L50/$M$6</f>
        <v>84.46292682926831</v>
      </c>
    </row>
    <row r="51">
      <c r="B51">
        <f>'Req. Diario'!D50</f>
        <v>2.7760158105798105</v>
      </c>
      <c r="C51">
        <f>(B51-((E51*(Main!$E$31/100))+(G51*(Main!$E$36/100))+(I51*(Main!$E$46/100))+(K51*(Main!$E$51/100))))/$C$6</f>
        <v>2.734635011623315</v>
      </c>
      <c r="D51">
        <f>'Req. Diario'!E50</f>
        <v>1.521046153846154</v>
      </c>
      <c r="E51">
        <f>(D51-((C51*(Main!$F$41/100))+(G51*(Main!$F$36/100))+(I51*(Main!$F$46/100))+(K51*(Main!$F$51/100))))/$E$6</f>
        <v>3.306622073578595</v>
      </c>
      <c r="F51">
        <f>'Req. Diario'!F50</f>
        <v>3.3754933333333335</v>
      </c>
      <c r="G51">
        <f>(F51-((C51*(Main!$G$41/100))+(E51*(Main!$G$31/100))+(I51*(Main!$G$46/100))+(K51*(Main!$G$51/100))))/$G$6</f>
        <v>6.491333333333333</v>
      </c>
      <c r="H51">
        <f>'Req. Diario'!G50</f>
        <v>0.46217496840411604</v>
      </c>
      <c r="I51">
        <f>H51/$I$6</f>
        <v>2.8885935525257254</v>
      </c>
      <c r="J51">
        <f>'Req. Diario'!H50</f>
        <v>1.607617855722667</v>
      </c>
      <c r="K51">
        <f>J51/$K$6</f>
        <v>5.954140206380248</v>
      </c>
      <c r="L51">
        <f>'Req. Diario'!I50</f>
        <v>17.3149</v>
      </c>
      <c r="M51">
        <f>L51/$M$6</f>
        <v>84.46292682926831</v>
      </c>
    </row>
    <row r="52">
      <c r="B52">
        <f>'Req. Diario'!D51</f>
        <v>2.7760158105798105</v>
      </c>
      <c r="C52">
        <f>(B52-((E52*(Main!$E$31/100))+(G52*(Main!$E$36/100))+(I52*(Main!$E$46/100))+(K52*(Main!$E$51/100))))/$C$6</f>
        <v>2.734635011623315</v>
      </c>
      <c r="D52">
        <f>'Req. Diario'!E51</f>
        <v>1.521046153846154</v>
      </c>
      <c r="E52">
        <f>(D52-((C52*(Main!$F$41/100))+(G52*(Main!$F$36/100))+(I52*(Main!$F$46/100))+(K52*(Main!$F$51/100))))/$E$6</f>
        <v>3.306622073578595</v>
      </c>
      <c r="F52">
        <f>'Req. Diario'!F51</f>
        <v>3.3754933333333335</v>
      </c>
      <c r="G52">
        <f>(F52-((C52*(Main!$G$41/100))+(E52*(Main!$G$31/100))+(I52*(Main!$G$46/100))+(K52*(Main!$G$51/100))))/$G$6</f>
        <v>6.491333333333333</v>
      </c>
      <c r="H52">
        <f>'Req. Diario'!G51</f>
        <v>0.46217496840411604</v>
      </c>
      <c r="I52">
        <f>H52/$I$6</f>
        <v>2.8885935525257254</v>
      </c>
      <c r="J52">
        <f>'Req. Diario'!H51</f>
        <v>1.607617855722667</v>
      </c>
      <c r="K52">
        <f>J52/$K$6</f>
        <v>5.954140206380248</v>
      </c>
      <c r="L52">
        <f>'Req. Diario'!I51</f>
        <v>17.3149</v>
      </c>
      <c r="M52">
        <f>L52/$M$6</f>
        <v>84.46292682926831</v>
      </c>
    </row>
    <row r="53">
      <c r="B53">
        <f>'Req. Diario'!D52</f>
        <v>2.7760158105798105</v>
      </c>
      <c r="C53">
        <f>(B53-((E53*(Main!$E$31/100))+(G53*(Main!$E$36/100))+(I53*(Main!$E$46/100))+(K53*(Main!$E$51/100))))/$C$6</f>
        <v>2.734635011623315</v>
      </c>
      <c r="D53">
        <f>'Req. Diario'!E52</f>
        <v>1.521046153846154</v>
      </c>
      <c r="E53">
        <f>(D53-((C53*(Main!$F$41/100))+(G53*(Main!$F$36/100))+(I53*(Main!$F$46/100))+(K53*(Main!$F$51/100))))/$E$6</f>
        <v>3.306622073578595</v>
      </c>
      <c r="F53">
        <f>'Req. Diario'!F52</f>
        <v>3.3754933333333335</v>
      </c>
      <c r="G53">
        <f>(F53-((C53*(Main!$G$41/100))+(E53*(Main!$G$31/100))+(I53*(Main!$G$46/100))+(K53*(Main!$G$51/100))))/$G$6</f>
        <v>6.491333333333333</v>
      </c>
      <c r="H53">
        <f>'Req. Diario'!G52</f>
        <v>0.46217496840411604</v>
      </c>
      <c r="I53">
        <f>H53/$I$6</f>
        <v>2.8885935525257254</v>
      </c>
      <c r="J53">
        <f>'Req. Diario'!H52</f>
        <v>1.607617855722667</v>
      </c>
      <c r="K53">
        <f>J53/$K$6</f>
        <v>5.954140206380248</v>
      </c>
      <c r="L53">
        <f>'Req. Diario'!I52</f>
        <v>17.3149</v>
      </c>
      <c r="M53">
        <f>L53/$M$6</f>
        <v>84.46292682926831</v>
      </c>
    </row>
    <row r="54">
      <c r="B54">
        <f>'Req. Diario'!D53</f>
        <v>3.701354414106414</v>
      </c>
      <c r="C54">
        <f>(B54-((E54*(Main!$E$31/100))+(G54*(Main!$E$36/100))+(I54*(Main!$E$46/100))+(K54*(Main!$E$51/100))))/$C$6</f>
        <v>3.646180015497753</v>
      </c>
      <c r="D54">
        <f>'Req. Diario'!E53</f>
        <v>2.0280615384615386</v>
      </c>
      <c r="E54">
        <f>(D54-((C54*(Main!$F$41/100))+(G54*(Main!$F$36/100))+(I54*(Main!$F$46/100))+(K54*(Main!$F$51/100))))/$E$6</f>
        <v>4.408829431438127</v>
      </c>
      <c r="F54">
        <f>'Req. Diario'!F53</f>
        <v>4.5006577777777785</v>
      </c>
      <c r="G54">
        <f>(F54-((C54*(Main!$G$41/100))+(E54*(Main!$G$31/100))+(I54*(Main!$G$46/100))+(K54*(Main!$G$51/100))))/$G$6</f>
        <v>8.655111111111113</v>
      </c>
      <c r="H54">
        <f>'Req. Diario'!G53</f>
        <v>0.616233291205488</v>
      </c>
      <c r="I54">
        <f>H54/$I$6</f>
        <v>3.8514580700342997</v>
      </c>
      <c r="J54">
        <f>'Req. Diario'!H53</f>
        <v>2.143490474296889</v>
      </c>
      <c r="K54">
        <f>J54/$K$6</f>
        <v>7.938853608506997</v>
      </c>
      <c r="L54">
        <f>'Req. Diario'!I53</f>
        <v>23.426</v>
      </c>
      <c r="M54">
        <f>L54/$M$6</f>
        <v>114.27317073170731</v>
      </c>
    </row>
    <row r="55">
      <c r="B55">
        <f>'Req. Diario'!D54</f>
        <v>3.701354414106414</v>
      </c>
      <c r="C55">
        <f>(B55-((E55*(Main!$E$31/100))+(G55*(Main!$E$36/100))+(I55*(Main!$E$46/100))+(K55*(Main!$E$51/100))))/$C$6</f>
        <v>3.646180015497753</v>
      </c>
      <c r="D55">
        <f>'Req. Diario'!E54</f>
        <v>2.0280615384615386</v>
      </c>
      <c r="E55">
        <f>(D55-((C55*(Main!$F$41/100))+(G55*(Main!$F$36/100))+(I55*(Main!$F$46/100))+(K55*(Main!$F$51/100))))/$E$6</f>
        <v>4.408829431438127</v>
      </c>
      <c r="F55">
        <f>'Req. Diario'!F54</f>
        <v>4.5006577777777785</v>
      </c>
      <c r="G55">
        <f>(F55-((C55*(Main!$G$41/100))+(E55*(Main!$G$31/100))+(I55*(Main!$G$46/100))+(K55*(Main!$G$51/100))))/$G$6</f>
        <v>8.655111111111113</v>
      </c>
      <c r="H55">
        <f>'Req. Diario'!G54</f>
        <v>0.616233291205488</v>
      </c>
      <c r="I55">
        <f>H55/$I$6</f>
        <v>3.8514580700342997</v>
      </c>
      <c r="J55">
        <f>'Req. Diario'!H54</f>
        <v>2.143490474296889</v>
      </c>
      <c r="K55">
        <f>J55/$K$6</f>
        <v>7.938853608506997</v>
      </c>
      <c r="L55">
        <f>'Req. Diario'!I54</f>
        <v>23.426</v>
      </c>
      <c r="M55">
        <f>L55/$M$6</f>
        <v>114.27317073170731</v>
      </c>
    </row>
    <row r="56">
      <c r="A56">
        <v>8</v>
      </c>
      <c r="B56">
        <f>'Req. Diario'!D55</f>
        <v>3.701354414106414</v>
      </c>
      <c r="C56">
        <f>(B56-((E56*(Main!$E$31/100))+(G56*(Main!$E$36/100))+(I56*(Main!$E$46/100))+(K56*(Main!$E$51/100))))/$C$6</f>
        <v>3.646180015497753</v>
      </c>
      <c r="D56">
        <f>'Req. Diario'!E55</f>
        <v>2.0280615384615386</v>
      </c>
      <c r="E56">
        <f>(D56-((C56*(Main!$F$41/100))+(G56*(Main!$F$36/100))+(I56*(Main!$F$46/100))+(K56*(Main!$F$51/100))))/$E$6</f>
        <v>4.408829431438127</v>
      </c>
      <c r="F56">
        <f>'Req. Diario'!F55</f>
        <v>4.5006577777777785</v>
      </c>
      <c r="G56">
        <f>(F56-((C56*(Main!$G$41/100))+(E56*(Main!$G$31/100))+(I56*(Main!$G$46/100))+(K56*(Main!$G$51/100))))/$G$6</f>
        <v>8.655111111111113</v>
      </c>
      <c r="H56">
        <f>'Req. Diario'!G55</f>
        <v>0.616233291205488</v>
      </c>
      <c r="I56">
        <f>H56/$I$6</f>
        <v>3.8514580700342997</v>
      </c>
      <c r="J56">
        <f>'Req. Diario'!H55</f>
        <v>2.143490474296889</v>
      </c>
      <c r="K56">
        <f>J56/$K$6</f>
        <v>7.938853608506997</v>
      </c>
      <c r="L56">
        <f>'Req. Diario'!I55</f>
        <v>23.426</v>
      </c>
      <c r="M56">
        <f>L56/$M$6</f>
        <v>114.27317073170731</v>
      </c>
    </row>
    <row r="57">
      <c r="B57">
        <f>'Req. Diario'!D56</f>
        <v>3.701354414106414</v>
      </c>
      <c r="C57">
        <f>(B57-((E57*(Main!$E$31/100))+(G57*(Main!$E$36/100))+(I57*(Main!$E$46/100))+(K57*(Main!$E$51/100))))/$C$6</f>
        <v>3.646180015497753</v>
      </c>
      <c r="D57">
        <f>'Req. Diario'!E56</f>
        <v>2.0280615384615386</v>
      </c>
      <c r="E57">
        <f>(D57-((C57*(Main!$F$41/100))+(G57*(Main!$F$36/100))+(I57*(Main!$F$46/100))+(K57*(Main!$F$51/100))))/$E$6</f>
        <v>4.408829431438127</v>
      </c>
      <c r="F57">
        <f>'Req. Diario'!F56</f>
        <v>4.5006577777777785</v>
      </c>
      <c r="G57">
        <f>(F57-((C57*(Main!$G$41/100))+(E57*(Main!$G$31/100))+(I57*(Main!$G$46/100))+(K57*(Main!$G$51/100))))/$G$6</f>
        <v>8.655111111111113</v>
      </c>
      <c r="H57">
        <f>'Req. Diario'!G56</f>
        <v>0.616233291205488</v>
      </c>
      <c r="I57">
        <f>H57/$I$6</f>
        <v>3.8514580700342997</v>
      </c>
      <c r="J57">
        <f>'Req. Diario'!H56</f>
        <v>2.143490474296889</v>
      </c>
      <c r="K57">
        <f>J57/$K$6</f>
        <v>7.938853608506997</v>
      </c>
      <c r="L57">
        <f>'Req. Diario'!I56</f>
        <v>23.426</v>
      </c>
      <c r="M57">
        <f>L57/$M$6</f>
        <v>114.27317073170731</v>
      </c>
    </row>
    <row r="58">
      <c r="B58">
        <f>'Req. Diario'!D57</f>
        <v>3.701354414106414</v>
      </c>
      <c r="C58">
        <f>(B58-((E58*(Main!$E$31/100))+(G58*(Main!$E$36/100))+(I58*(Main!$E$46/100))+(K58*(Main!$E$51/100))))/$C$6</f>
        <v>3.646180015497753</v>
      </c>
      <c r="D58">
        <f>'Req. Diario'!E57</f>
        <v>2.0280615384615386</v>
      </c>
      <c r="E58">
        <f>(D58-((C58*(Main!$F$41/100))+(G58*(Main!$F$36/100))+(I58*(Main!$F$46/100))+(K58*(Main!$F$51/100))))/$E$6</f>
        <v>4.408829431438127</v>
      </c>
      <c r="F58">
        <f>'Req. Diario'!F57</f>
        <v>4.5006577777777785</v>
      </c>
      <c r="G58">
        <f>(F58-((C58*(Main!$G$41/100))+(E58*(Main!$G$31/100))+(I58*(Main!$G$46/100))+(K58*(Main!$G$51/100))))/$G$6</f>
        <v>8.655111111111113</v>
      </c>
      <c r="H58">
        <f>'Req. Diario'!G57</f>
        <v>0.616233291205488</v>
      </c>
      <c r="I58">
        <f>H58/$I$6</f>
        <v>3.8514580700342997</v>
      </c>
      <c r="J58">
        <f>'Req. Diario'!H57</f>
        <v>2.143490474296889</v>
      </c>
      <c r="K58">
        <f>J58/$K$6</f>
        <v>7.938853608506997</v>
      </c>
      <c r="L58">
        <f>'Req. Diario'!I57</f>
        <v>23.426</v>
      </c>
      <c r="M58">
        <f>L58/$M$6</f>
        <v>114.27317073170731</v>
      </c>
    </row>
    <row r="59">
      <c r="B59">
        <f>'Req. Diario'!D58</f>
        <v>3.701354414106414</v>
      </c>
      <c r="C59">
        <f>(B59-((E59*(Main!$E$31/100))+(G59*(Main!$E$36/100))+(I59*(Main!$E$46/100))+(K59*(Main!$E$51/100))))/$C$6</f>
        <v>3.646180015497753</v>
      </c>
      <c r="D59">
        <f>'Req. Diario'!E58</f>
        <v>2.0280615384615386</v>
      </c>
      <c r="E59">
        <f>(D59-((C59*(Main!$F$41/100))+(G59*(Main!$F$36/100))+(I59*(Main!$F$46/100))+(K59*(Main!$F$51/100))))/$E$6</f>
        <v>4.408829431438127</v>
      </c>
      <c r="F59">
        <f>'Req. Diario'!F58</f>
        <v>4.5006577777777785</v>
      </c>
      <c r="G59">
        <f>(F59-((C59*(Main!$G$41/100))+(E59*(Main!$G$31/100))+(I59*(Main!$G$46/100))+(K59*(Main!$G$51/100))))/$G$6</f>
        <v>8.655111111111113</v>
      </c>
      <c r="H59">
        <f>'Req. Diario'!G58</f>
        <v>0.616233291205488</v>
      </c>
      <c r="I59">
        <f>H59/$I$6</f>
        <v>3.8514580700342997</v>
      </c>
      <c r="J59">
        <f>'Req. Diario'!H58</f>
        <v>2.143490474296889</v>
      </c>
      <c r="K59">
        <f>J59/$K$6</f>
        <v>7.938853608506997</v>
      </c>
      <c r="L59">
        <f>'Req. Diario'!I58</f>
        <v>23.426</v>
      </c>
      <c r="M59">
        <f>L59/$M$6</f>
        <v>114.27317073170731</v>
      </c>
    </row>
    <row r="60">
      <c r="B60">
        <f>'Req. Diario'!D59</f>
        <v>3.701354414106414</v>
      </c>
      <c r="C60">
        <f>(B60-((E60*(Main!$E$31/100))+(G60*(Main!$E$36/100))+(I60*(Main!$E$46/100))+(K60*(Main!$E$51/100))))/$C$6</f>
        <v>3.646180015497753</v>
      </c>
      <c r="D60">
        <f>'Req. Diario'!E59</f>
        <v>2.0280615384615386</v>
      </c>
      <c r="E60">
        <f>(D60-((C60*(Main!$F$41/100))+(G60*(Main!$F$36/100))+(I60*(Main!$F$46/100))+(K60*(Main!$F$51/100))))/$E$6</f>
        <v>4.408829431438127</v>
      </c>
      <c r="F60">
        <f>'Req. Diario'!F59</f>
        <v>4.5006577777777785</v>
      </c>
      <c r="G60">
        <f>(F60-((C60*(Main!$G$41/100))+(E60*(Main!$G$31/100))+(I60*(Main!$G$46/100))+(K60*(Main!$G$51/100))))/$G$6</f>
        <v>8.655111111111113</v>
      </c>
      <c r="H60">
        <f>'Req. Diario'!G59</f>
        <v>0.616233291205488</v>
      </c>
      <c r="I60">
        <f>H60/$I$6</f>
        <v>3.8514580700342997</v>
      </c>
      <c r="J60">
        <f>'Req. Diario'!H59</f>
        <v>2.143490474296889</v>
      </c>
      <c r="K60">
        <f>J60/$K$6</f>
        <v>7.938853608506997</v>
      </c>
      <c r="L60">
        <f>'Req. Diario'!I59</f>
        <v>23.426</v>
      </c>
      <c r="M60">
        <f>L60/$M$6</f>
        <v>114.27317073170731</v>
      </c>
    </row>
    <row r="61">
      <c r="B61">
        <f>'Req. Diario'!D60</f>
        <v>3.701354414106414</v>
      </c>
      <c r="C61">
        <f>(B61-((E61*(Main!$E$31/100))+(G61*(Main!$E$36/100))+(I61*(Main!$E$46/100))+(K61*(Main!$E$51/100))))/$C$6</f>
        <v>3.646180015497753</v>
      </c>
      <c r="D61">
        <f>'Req. Diario'!E60</f>
        <v>2.0280615384615386</v>
      </c>
      <c r="E61">
        <f>(D61-((C61*(Main!$F$41/100))+(G61*(Main!$F$36/100))+(I61*(Main!$F$46/100))+(K61*(Main!$F$51/100))))/$E$6</f>
        <v>4.408829431438127</v>
      </c>
      <c r="F61">
        <f>'Req. Diario'!F60</f>
        <v>4.5006577777777785</v>
      </c>
      <c r="G61">
        <f>(F61-((C61*(Main!$G$41/100))+(E61*(Main!$G$31/100))+(I61*(Main!$G$46/100))+(K61*(Main!$G$51/100))))/$G$6</f>
        <v>8.655111111111113</v>
      </c>
      <c r="H61">
        <f>'Req. Diario'!G60</f>
        <v>0.616233291205488</v>
      </c>
      <c r="I61">
        <f>H61/$I$6</f>
        <v>3.8514580700342997</v>
      </c>
      <c r="J61">
        <f>'Req. Diario'!H60</f>
        <v>2.143490474296889</v>
      </c>
      <c r="K61">
        <f>J61/$K$6</f>
        <v>7.938853608506997</v>
      </c>
      <c r="L61">
        <f>'Req. Diario'!I60</f>
        <v>23.426</v>
      </c>
      <c r="M61">
        <f>L61/$M$6</f>
        <v>114.27317073170731</v>
      </c>
    </row>
    <row r="62">
      <c r="B62">
        <f>'Req. Diario'!D61</f>
        <v>3.701354414106414</v>
      </c>
      <c r="C62">
        <f>(B62-((E62*(Main!$E$31/100))+(G62*(Main!$E$36/100))+(I62*(Main!$E$46/100))+(K62*(Main!$E$51/100))))/$C$6</f>
        <v>3.646180015497753</v>
      </c>
      <c r="D62">
        <f>'Req. Diario'!E61</f>
        <v>2.0280615384615386</v>
      </c>
      <c r="E62">
        <f>(D62-((C62*(Main!$F$41/100))+(G62*(Main!$F$36/100))+(I62*(Main!$F$46/100))+(K62*(Main!$F$51/100))))/$E$6</f>
        <v>4.408829431438127</v>
      </c>
      <c r="F62">
        <f>'Req. Diario'!F61</f>
        <v>4.5006577777777785</v>
      </c>
      <c r="G62">
        <f>(F62-((C62*(Main!$G$41/100))+(E62*(Main!$G$31/100))+(I62*(Main!$G$46/100))+(K62*(Main!$G$51/100))))/$G$6</f>
        <v>8.655111111111113</v>
      </c>
      <c r="H62">
        <f>'Req. Diario'!G61</f>
        <v>0.616233291205488</v>
      </c>
      <c r="I62">
        <f>H62/$I$6</f>
        <v>3.8514580700342997</v>
      </c>
      <c r="J62">
        <f>'Req. Diario'!H61</f>
        <v>2.143490474296889</v>
      </c>
      <c r="K62">
        <f>J62/$K$6</f>
        <v>7.938853608506997</v>
      </c>
      <c r="L62">
        <f>'Req. Diario'!I61</f>
        <v>23.426</v>
      </c>
      <c r="M62">
        <f>L62/$M$6</f>
        <v>114.27317073170731</v>
      </c>
    </row>
    <row r="63">
      <c r="A63">
        <v>9</v>
      </c>
      <c r="B63">
        <f>'Req. Diario'!D62</f>
        <v>3.701354414106414</v>
      </c>
      <c r="C63">
        <f>(B63-((E63*(Main!$E$31/100))+(G63*(Main!$E$36/100))+(I63*(Main!$E$46/100))+(K63*(Main!$E$51/100))))/$C$6</f>
        <v>3.646180015497753</v>
      </c>
      <c r="D63">
        <f>'Req. Diario'!E62</f>
        <v>2.0280615384615386</v>
      </c>
      <c r="E63">
        <f>(D63-((C63*(Main!$F$41/100))+(G63*(Main!$F$36/100))+(I63*(Main!$F$46/100))+(K63*(Main!$F$51/100))))/$E$6</f>
        <v>4.408829431438127</v>
      </c>
      <c r="F63">
        <f>'Req. Diario'!F62</f>
        <v>4.5006577777777785</v>
      </c>
      <c r="G63">
        <f>(F63-((C63*(Main!$G$41/100))+(E63*(Main!$G$31/100))+(I63*(Main!$G$46/100))+(K63*(Main!$G$51/100))))/$G$6</f>
        <v>8.655111111111113</v>
      </c>
      <c r="H63">
        <f>'Req. Diario'!G62</f>
        <v>0.616233291205488</v>
      </c>
      <c r="I63">
        <f>H63/$I$6</f>
        <v>3.8514580700342997</v>
      </c>
      <c r="J63">
        <f>'Req. Diario'!H62</f>
        <v>2.143490474296889</v>
      </c>
      <c r="K63">
        <f>J63/$K$6</f>
        <v>7.938853608506997</v>
      </c>
      <c r="L63">
        <f>'Req. Diario'!I62</f>
        <v>23.426</v>
      </c>
      <c r="M63">
        <f>L63/$M$6</f>
        <v>114.27317073170731</v>
      </c>
    </row>
    <row r="64">
      <c r="B64">
        <f>'Req. Diario'!D63</f>
        <v>3.701354414106414</v>
      </c>
      <c r="C64">
        <f>(B64-((E64*(Main!$E$31/100))+(G64*(Main!$E$36/100))+(I64*(Main!$E$46/100))+(K64*(Main!$E$51/100))))/$C$6</f>
        <v>3.646180015497753</v>
      </c>
      <c r="D64">
        <f>'Req. Diario'!E63</f>
        <v>2.0280615384615386</v>
      </c>
      <c r="E64">
        <f>(D64-((C64*(Main!$F$41/100))+(G64*(Main!$F$36/100))+(I64*(Main!$F$46/100))+(K64*(Main!$F$51/100))))/$E$6</f>
        <v>4.408829431438127</v>
      </c>
      <c r="F64">
        <f>'Req. Diario'!F63</f>
        <v>4.5006577777777785</v>
      </c>
      <c r="G64">
        <f>(F64-((C64*(Main!$G$41/100))+(E64*(Main!$G$31/100))+(I64*(Main!$G$46/100))+(K64*(Main!$G$51/100))))/$G$6</f>
        <v>8.655111111111113</v>
      </c>
      <c r="H64">
        <f>'Req. Diario'!G63</f>
        <v>0.616233291205488</v>
      </c>
      <c r="I64">
        <f>H64/$I$6</f>
        <v>3.8514580700342997</v>
      </c>
      <c r="J64">
        <f>'Req. Diario'!H63</f>
        <v>2.143490474296889</v>
      </c>
      <c r="K64">
        <f>J64/$K$6</f>
        <v>7.938853608506997</v>
      </c>
      <c r="L64">
        <f>'Req. Diario'!I63</f>
        <v>23.426</v>
      </c>
      <c r="M64">
        <f>L64/$M$6</f>
        <v>114.27317073170731</v>
      </c>
    </row>
    <row r="65">
      <c r="B65">
        <f>'Req. Diario'!D64</f>
        <v>3.701354414106414</v>
      </c>
      <c r="C65">
        <f>(B65-((E65*(Main!$E$31/100))+(G65*(Main!$E$36/100))+(I65*(Main!$E$46/100))+(K65*(Main!$E$51/100))))/$C$6</f>
        <v>3.646180015497753</v>
      </c>
      <c r="D65">
        <f>'Req. Diario'!E64</f>
        <v>2.0280615384615386</v>
      </c>
      <c r="E65">
        <f>(D65-((C65*(Main!$F$41/100))+(G65*(Main!$F$36/100))+(I65*(Main!$F$46/100))+(K65*(Main!$F$51/100))))/$E$6</f>
        <v>4.408829431438127</v>
      </c>
      <c r="F65">
        <f>'Req. Diario'!F64</f>
        <v>4.5006577777777785</v>
      </c>
      <c r="G65">
        <f>(F65-((C65*(Main!$G$41/100))+(E65*(Main!$G$31/100))+(I65*(Main!$G$46/100))+(K65*(Main!$G$51/100))))/$G$6</f>
        <v>8.655111111111113</v>
      </c>
      <c r="H65">
        <f>'Req. Diario'!G64</f>
        <v>0.616233291205488</v>
      </c>
      <c r="I65">
        <f>H65/$I$6</f>
        <v>3.8514580700342997</v>
      </c>
      <c r="J65">
        <f>'Req. Diario'!H64</f>
        <v>2.143490474296889</v>
      </c>
      <c r="K65">
        <f>J65/$K$6</f>
        <v>7.938853608506997</v>
      </c>
      <c r="L65">
        <f>'Req. Diario'!I64</f>
        <v>23.426</v>
      </c>
      <c r="M65">
        <f>L65/$M$6</f>
        <v>114.27317073170731</v>
      </c>
    </row>
    <row r="66">
      <c r="B66">
        <f>'Req. Diario'!D65</f>
        <v>3.701354414106414</v>
      </c>
      <c r="C66">
        <f>(B66-((E66*(Main!$E$31/100))+(G66*(Main!$E$36/100))+(I66*(Main!$E$46/100))+(K66*(Main!$E$51/100))))/$C$6</f>
        <v>3.646180015497753</v>
      </c>
      <c r="D66">
        <f>'Req. Diario'!E65</f>
        <v>2.0280615384615386</v>
      </c>
      <c r="E66">
        <f>(D66-((C66*(Main!$F$41/100))+(G66*(Main!$F$36/100))+(I66*(Main!$F$46/100))+(K66*(Main!$F$51/100))))/$E$6</f>
        <v>4.408829431438127</v>
      </c>
      <c r="F66">
        <f>'Req. Diario'!F65</f>
        <v>4.5006577777777785</v>
      </c>
      <c r="G66">
        <f>(F66-((C66*(Main!$G$41/100))+(E66*(Main!$G$31/100))+(I66*(Main!$G$46/100))+(K66*(Main!$G$51/100))))/$G$6</f>
        <v>8.655111111111113</v>
      </c>
      <c r="H66">
        <f>'Req. Diario'!G65</f>
        <v>0.616233291205488</v>
      </c>
      <c r="I66">
        <f>H66/$I$6</f>
        <v>3.8514580700342997</v>
      </c>
      <c r="J66">
        <f>'Req. Diario'!H65</f>
        <v>2.143490474296889</v>
      </c>
      <c r="K66">
        <f>J66/$K$6</f>
        <v>7.938853608506997</v>
      </c>
      <c r="L66">
        <f>'Req. Diario'!I65</f>
        <v>23.426</v>
      </c>
      <c r="M66">
        <f>L66/$M$6</f>
        <v>114.27317073170731</v>
      </c>
    </row>
    <row r="67">
      <c r="B67">
        <f>'Req. Diario'!D66</f>
        <v>3.701354414106414</v>
      </c>
      <c r="C67">
        <f>(B67-((E67*(Main!$E$31/100))+(G67*(Main!$E$36/100))+(I67*(Main!$E$46/100))+(K67*(Main!$E$51/100))))/$C$6</f>
        <v>3.646180015497753</v>
      </c>
      <c r="D67">
        <f>'Req. Diario'!E66</f>
        <v>2.0280615384615386</v>
      </c>
      <c r="E67">
        <f>(D67-((C67*(Main!$F$41/100))+(G67*(Main!$F$36/100))+(I67*(Main!$F$46/100))+(K67*(Main!$F$51/100))))/$E$6</f>
        <v>4.408829431438127</v>
      </c>
      <c r="F67">
        <f>'Req. Diario'!F66</f>
        <v>4.5006577777777785</v>
      </c>
      <c r="G67">
        <f>(F67-((C67*(Main!$G$41/100))+(E67*(Main!$G$31/100))+(I67*(Main!$G$46/100))+(K67*(Main!$G$51/100))))/$G$6</f>
        <v>8.655111111111113</v>
      </c>
      <c r="H67">
        <f>'Req. Diario'!G66</f>
        <v>0.616233291205488</v>
      </c>
      <c r="I67">
        <f>H67/$I$6</f>
        <v>3.8514580700342997</v>
      </c>
      <c r="J67">
        <f>'Req. Diario'!H66</f>
        <v>2.143490474296889</v>
      </c>
      <c r="K67">
        <f>J67/$K$6</f>
        <v>7.938853608506997</v>
      </c>
      <c r="L67">
        <f>'Req. Diario'!I66</f>
        <v>23.426</v>
      </c>
      <c r="M67">
        <f>L67/$M$6</f>
        <v>114.27317073170731</v>
      </c>
    </row>
    <row r="68">
      <c r="B68">
        <f>'Req. Diario'!D67</f>
        <v>3.701354414106414</v>
      </c>
      <c r="C68">
        <f>(B68-((E68*(Main!$E$31/100))+(G68*(Main!$E$36/100))+(I68*(Main!$E$46/100))+(K68*(Main!$E$51/100))))/$C$6</f>
        <v>3.646180015497753</v>
      </c>
      <c r="D68">
        <f>'Req. Diario'!E67</f>
        <v>2.0280615384615386</v>
      </c>
      <c r="E68">
        <f>(D68-((C68*(Main!$F$41/100))+(G68*(Main!$F$36/100))+(I68*(Main!$F$46/100))+(K68*(Main!$F$51/100))))/$E$6</f>
        <v>4.408829431438127</v>
      </c>
      <c r="F68">
        <f>'Req. Diario'!F67</f>
        <v>4.5006577777777785</v>
      </c>
      <c r="G68">
        <f>(F68-((C68*(Main!$G$41/100))+(E68*(Main!$G$31/100))+(I68*(Main!$G$46/100))+(K68*(Main!$G$51/100))))/$G$6</f>
        <v>8.655111111111113</v>
      </c>
      <c r="H68">
        <f>'Req. Diario'!G67</f>
        <v>0.616233291205488</v>
      </c>
      <c r="I68">
        <f>H68/$I$6</f>
        <v>3.8514580700342997</v>
      </c>
      <c r="J68">
        <f>'Req. Diario'!H67</f>
        <v>2.143490474296889</v>
      </c>
      <c r="K68">
        <f>J68/$K$6</f>
        <v>7.938853608506997</v>
      </c>
      <c r="L68">
        <f>'Req. Diario'!I67</f>
        <v>23.426</v>
      </c>
      <c r="M68">
        <f>L68/$M$6</f>
        <v>114.27317073170731</v>
      </c>
    </row>
    <row r="69">
      <c r="B69">
        <f>'Req. Diario'!D68</f>
        <v>4.626693017633016</v>
      </c>
      <c r="C69">
        <f>(B69-((E69*(Main!$E$31/100))+(G69*(Main!$E$36/100))+(I69*(Main!$E$46/100))+(K69*(Main!$E$51/100))))/$C$6</f>
        <v>4.557725019372189</v>
      </c>
      <c r="D69">
        <f>'Req. Diario'!E68</f>
        <v>2.5350769230769226</v>
      </c>
      <c r="E69">
        <f>(D69-((C69*(Main!$F$41/100))+(G69*(Main!$F$36/100))+(I69*(Main!$F$46/100))+(K69*(Main!$F$51/100))))/$E$6</f>
        <v>5.511036789297657</v>
      </c>
      <c r="F69">
        <f>'Req. Diario'!F68</f>
        <v>5.625822222222223</v>
      </c>
      <c r="G69">
        <f>(F69-((C69*(Main!$G$41/100))+(E69*(Main!$G$31/100))+(I69*(Main!$G$46/100))+(K69*(Main!$G$51/100))))/$G$6</f>
        <v>10.81888888888889</v>
      </c>
      <c r="H69">
        <f>'Req. Diario'!G68</f>
        <v>0.7702916140068601</v>
      </c>
      <c r="I69">
        <f>H69/$I$6</f>
        <v>4.8143225875428755</v>
      </c>
      <c r="J69">
        <f>'Req. Diario'!H68</f>
        <v>2.679363092871112</v>
      </c>
      <c r="K69">
        <f>J69/$K$6</f>
        <v>9.923567010633748</v>
      </c>
      <c r="L69">
        <f>'Req. Diario'!I68</f>
        <v>29.5372</v>
      </c>
      <c r="M69">
        <f>L69/$M$6</f>
        <v>144.0839024390244</v>
      </c>
    </row>
    <row r="70">
      <c r="A70">
        <v>10</v>
      </c>
      <c r="B70">
        <f>'Req. Diario'!D69</f>
        <v>4.626693017633016</v>
      </c>
      <c r="C70">
        <f>(B70-((E70*(Main!$E$31/100))+(G70*(Main!$E$36/100))+(I70*(Main!$E$46/100))+(K70*(Main!$E$51/100))))/$C$6</f>
        <v>4.557725019372189</v>
      </c>
      <c r="D70">
        <f>'Req. Diario'!E69</f>
        <v>2.5350769230769226</v>
      </c>
      <c r="E70">
        <f>(D70-((C70*(Main!$F$41/100))+(G70*(Main!$F$36/100))+(I70*(Main!$F$46/100))+(K70*(Main!$F$51/100))))/$E$6</f>
        <v>5.511036789297657</v>
      </c>
      <c r="F70">
        <f>'Req. Diario'!F69</f>
        <v>5.625822222222223</v>
      </c>
      <c r="G70">
        <f>(F70-((C70*(Main!$G$41/100))+(E70*(Main!$G$31/100))+(I70*(Main!$G$46/100))+(K70*(Main!$G$51/100))))/$G$6</f>
        <v>10.81888888888889</v>
      </c>
      <c r="H70">
        <f>'Req. Diario'!G69</f>
        <v>0.7702916140068601</v>
      </c>
      <c r="I70">
        <f>H70/$I$6</f>
        <v>4.8143225875428755</v>
      </c>
      <c r="J70">
        <f>'Req. Diario'!H69</f>
        <v>2.679363092871112</v>
      </c>
      <c r="K70">
        <f>J70/$K$6</f>
        <v>9.923567010633748</v>
      </c>
      <c r="L70">
        <f>'Req. Diario'!I69</f>
        <v>29.5372</v>
      </c>
      <c r="M70">
        <f>L70/$M$6</f>
        <v>144.0839024390244</v>
      </c>
    </row>
    <row r="71">
      <c r="B71">
        <f>'Req. Diario'!D70</f>
        <v>4.626693017633016</v>
      </c>
      <c r="C71">
        <f>(B71-((E71*(Main!$E$31/100))+(G71*(Main!$E$36/100))+(I71*(Main!$E$46/100))+(K71*(Main!$E$51/100))))/$C$6</f>
        <v>4.557725019372189</v>
      </c>
      <c r="D71">
        <f>'Req. Diario'!E70</f>
        <v>2.5350769230769226</v>
      </c>
      <c r="E71">
        <f>(D71-((C71*(Main!$F$41/100))+(G71*(Main!$F$36/100))+(I71*(Main!$F$46/100))+(K71*(Main!$F$51/100))))/$E$6</f>
        <v>5.511036789297657</v>
      </c>
      <c r="F71">
        <f>'Req. Diario'!F70</f>
        <v>5.625822222222223</v>
      </c>
      <c r="G71">
        <f>(F71-((C71*(Main!$G$41/100))+(E71*(Main!$G$31/100))+(I71*(Main!$G$46/100))+(K71*(Main!$G$51/100))))/$G$6</f>
        <v>10.81888888888889</v>
      </c>
      <c r="H71">
        <f>'Req. Diario'!G70</f>
        <v>0.7702916140068601</v>
      </c>
      <c r="I71">
        <f>H71/$I$6</f>
        <v>4.8143225875428755</v>
      </c>
      <c r="J71">
        <f>'Req. Diario'!H70</f>
        <v>2.679363092871112</v>
      </c>
      <c r="K71">
        <f>J71/$K$6</f>
        <v>9.923567010633748</v>
      </c>
      <c r="L71">
        <f>'Req. Diario'!I70</f>
        <v>29.5372</v>
      </c>
      <c r="M71">
        <f>L71/$M$6</f>
        <v>144.0839024390244</v>
      </c>
    </row>
    <row r="72">
      <c r="B72">
        <f>'Req. Diario'!D71</f>
        <v>4.626693017633016</v>
      </c>
      <c r="C72">
        <f>(B72-((E72*(Main!$E$31/100))+(G72*(Main!$E$36/100))+(I72*(Main!$E$46/100))+(K72*(Main!$E$51/100))))/$C$6</f>
        <v>4.557725019372189</v>
      </c>
      <c r="D72">
        <f>'Req. Diario'!E71</f>
        <v>2.5350769230769226</v>
      </c>
      <c r="E72">
        <f>(D72-((C72*(Main!$F$41/100))+(G72*(Main!$F$36/100))+(I72*(Main!$F$46/100))+(K72*(Main!$F$51/100))))/$E$6</f>
        <v>5.511036789297657</v>
      </c>
      <c r="F72">
        <f>'Req. Diario'!F71</f>
        <v>5.625822222222223</v>
      </c>
      <c r="G72">
        <f>(F72-((C72*(Main!$G$41/100))+(E72*(Main!$G$31/100))+(I72*(Main!$G$46/100))+(K72*(Main!$G$51/100))))/$G$6</f>
        <v>10.81888888888889</v>
      </c>
      <c r="H72">
        <f>'Req. Diario'!G71</f>
        <v>0.7702916140068601</v>
      </c>
      <c r="I72">
        <f>H72/$I$6</f>
        <v>4.8143225875428755</v>
      </c>
      <c r="J72">
        <f>'Req. Diario'!H71</f>
        <v>2.679363092871112</v>
      </c>
      <c r="K72">
        <f>J72/$K$6</f>
        <v>9.923567010633748</v>
      </c>
      <c r="L72">
        <f>'Req. Diario'!I71</f>
        <v>29.5372</v>
      </c>
      <c r="M72">
        <f>L72/$M$6</f>
        <v>144.0839024390244</v>
      </c>
    </row>
    <row r="73">
      <c r="B73">
        <f>'Req. Diario'!D72</f>
        <v>4.626693017633016</v>
      </c>
      <c r="C73">
        <f>(B73-((E73*(Main!$E$31/100))+(G73*(Main!$E$36/100))+(I73*(Main!$E$46/100))+(K73*(Main!$E$51/100))))/$C$6</f>
        <v>4.557725019372189</v>
      </c>
      <c r="D73">
        <f>'Req. Diario'!E72</f>
        <v>2.5350769230769226</v>
      </c>
      <c r="E73">
        <f>(D73-((C73*(Main!$F$41/100))+(G73*(Main!$F$36/100))+(I73*(Main!$F$46/100))+(K73*(Main!$F$51/100))))/$E$6</f>
        <v>5.511036789297657</v>
      </c>
      <c r="F73">
        <f>'Req. Diario'!F72</f>
        <v>5.625822222222223</v>
      </c>
      <c r="G73">
        <f>(F73-((C73*(Main!$G$41/100))+(E73*(Main!$G$31/100))+(I73*(Main!$G$46/100))+(K73*(Main!$G$51/100))))/$G$6</f>
        <v>10.81888888888889</v>
      </c>
      <c r="H73">
        <f>'Req. Diario'!G72</f>
        <v>0.7702916140068601</v>
      </c>
      <c r="I73">
        <f>H73/$I$6</f>
        <v>4.8143225875428755</v>
      </c>
      <c r="J73">
        <f>'Req. Diario'!H72</f>
        <v>2.679363092871112</v>
      </c>
      <c r="K73">
        <f>J73/$K$6</f>
        <v>9.923567010633748</v>
      </c>
      <c r="L73">
        <f>'Req. Diario'!I72</f>
        <v>29.5372</v>
      </c>
      <c r="M73">
        <f>L73/$M$6</f>
        <v>144.0839024390244</v>
      </c>
    </row>
    <row r="74">
      <c r="B74">
        <f>'Req. Diario'!D73</f>
        <v>4.626693017633016</v>
      </c>
      <c r="C74">
        <f>(B74-((E74*(Main!$E$31/100))+(G74*(Main!$E$36/100))+(I74*(Main!$E$46/100))+(K74*(Main!$E$51/100))))/$C$6</f>
        <v>4.557725019372189</v>
      </c>
      <c r="D74">
        <f>'Req. Diario'!E73</f>
        <v>2.5350769230769226</v>
      </c>
      <c r="E74">
        <f>(D74-((C74*(Main!$F$41/100))+(G74*(Main!$F$36/100))+(I74*(Main!$F$46/100))+(K74*(Main!$F$51/100))))/$E$6</f>
        <v>5.511036789297657</v>
      </c>
      <c r="F74">
        <f>'Req. Diario'!F73</f>
        <v>5.625822222222223</v>
      </c>
      <c r="G74">
        <f>(F74-((C74*(Main!$G$41/100))+(E74*(Main!$G$31/100))+(I74*(Main!$G$46/100))+(K74*(Main!$G$51/100))))/$G$6</f>
        <v>10.81888888888889</v>
      </c>
      <c r="H74">
        <f>'Req. Diario'!G73</f>
        <v>0.7702916140068601</v>
      </c>
      <c r="I74">
        <f>H74/$I$6</f>
        <v>4.8143225875428755</v>
      </c>
      <c r="J74">
        <f>'Req. Diario'!H73</f>
        <v>2.679363092871112</v>
      </c>
      <c r="K74">
        <f>J74/$K$6</f>
        <v>9.923567010633748</v>
      </c>
      <c r="L74">
        <f>'Req. Diario'!I73</f>
        <v>29.5372</v>
      </c>
      <c r="M74">
        <f>L74/$M$6</f>
        <v>144.0839024390244</v>
      </c>
    </row>
    <row r="75">
      <c r="B75">
        <f>'Req. Diario'!D74</f>
        <v>4.626693017633016</v>
      </c>
      <c r="C75">
        <f>(B75-((E75*(Main!$E$31/100))+(G75*(Main!$E$36/100))+(I75*(Main!$E$46/100))+(K75*(Main!$E$51/100))))/$C$6</f>
        <v>4.557725019372189</v>
      </c>
      <c r="D75">
        <f>'Req. Diario'!E74</f>
        <v>2.5350769230769226</v>
      </c>
      <c r="E75">
        <f>(D75-((C75*(Main!$F$41/100))+(G75*(Main!$F$36/100))+(I75*(Main!$F$46/100))+(K75*(Main!$F$51/100))))/$E$6</f>
        <v>5.511036789297657</v>
      </c>
      <c r="F75">
        <f>'Req. Diario'!F74</f>
        <v>5.625822222222223</v>
      </c>
      <c r="G75">
        <f>(F75-((C75*(Main!$G$41/100))+(E75*(Main!$G$31/100))+(I75*(Main!$G$46/100))+(K75*(Main!$G$51/100))))/$G$6</f>
        <v>10.81888888888889</v>
      </c>
      <c r="H75">
        <f>'Req. Diario'!G74</f>
        <v>0.7702916140068601</v>
      </c>
      <c r="I75">
        <f>H75/$I$6</f>
        <v>4.8143225875428755</v>
      </c>
      <c r="J75">
        <f>'Req. Diario'!H74</f>
        <v>2.679363092871112</v>
      </c>
      <c r="K75">
        <f>J75/$K$6</f>
        <v>9.923567010633748</v>
      </c>
      <c r="L75">
        <f>'Req. Diario'!I74</f>
        <v>29.5372</v>
      </c>
      <c r="M75">
        <f>L75/$M$6</f>
        <v>144.0839024390244</v>
      </c>
    </row>
    <row r="76">
      <c r="B76">
        <f>'Req. Diario'!D75</f>
        <v>4.626693017633016</v>
      </c>
      <c r="C76">
        <f>(B76-((E76*(Main!$E$31/100))+(G76*(Main!$E$36/100))+(I76*(Main!$E$46/100))+(K76*(Main!$E$51/100))))/$C$6</f>
        <v>4.557725019372189</v>
      </c>
      <c r="D76">
        <f>'Req. Diario'!E75</f>
        <v>2.5350769230769226</v>
      </c>
      <c r="E76">
        <f>(D76-((C76*(Main!$F$41/100))+(G76*(Main!$F$36/100))+(I76*(Main!$F$46/100))+(K76*(Main!$F$51/100))))/$E$6</f>
        <v>5.511036789297657</v>
      </c>
      <c r="F76">
        <f>'Req. Diario'!F75</f>
        <v>5.625822222222223</v>
      </c>
      <c r="G76">
        <f>(F76-((C76*(Main!$G$41/100))+(E76*(Main!$G$31/100))+(I76*(Main!$G$46/100))+(K76*(Main!$G$51/100))))/$G$6</f>
        <v>10.81888888888889</v>
      </c>
      <c r="H76">
        <f>'Req. Diario'!G75</f>
        <v>0.7702916140068601</v>
      </c>
      <c r="I76">
        <f>H76/$I$6</f>
        <v>4.8143225875428755</v>
      </c>
      <c r="J76">
        <f>'Req. Diario'!H75</f>
        <v>2.679363092871112</v>
      </c>
      <c r="K76">
        <f>J76/$K$6</f>
        <v>9.923567010633748</v>
      </c>
      <c r="L76">
        <f>'Req. Diario'!I75</f>
        <v>29.5372</v>
      </c>
      <c r="M76">
        <f>L76/$M$6</f>
        <v>144.0839024390244</v>
      </c>
    </row>
    <row r="77">
      <c r="A77">
        <v>11</v>
      </c>
      <c r="B77">
        <f>'Req. Diario'!D76</f>
        <v>4.626693017633016</v>
      </c>
      <c r="C77">
        <f>(B77-((E77*(Main!$E$31/100))+(G77*(Main!$E$36/100))+(I77*(Main!$E$46/100))+(K77*(Main!$E$51/100))))/$C$6</f>
        <v>4.557725019372189</v>
      </c>
      <c r="D77">
        <f>'Req. Diario'!E76</f>
        <v>2.5350769230769226</v>
      </c>
      <c r="E77">
        <f>(D77-((C77*(Main!$F$41/100))+(G77*(Main!$F$36/100))+(I77*(Main!$F$46/100))+(K77*(Main!$F$51/100))))/$E$6</f>
        <v>5.511036789297657</v>
      </c>
      <c r="F77">
        <f>'Req. Diario'!F76</f>
        <v>5.625822222222223</v>
      </c>
      <c r="G77">
        <f>(F77-((C77*(Main!$G$41/100))+(E77*(Main!$G$31/100))+(I77*(Main!$G$46/100))+(K77*(Main!$G$51/100))))/$G$6</f>
        <v>10.81888888888889</v>
      </c>
      <c r="H77">
        <f>'Req. Diario'!G76</f>
        <v>0.7702916140068601</v>
      </c>
      <c r="I77">
        <f>H77/$I$6</f>
        <v>4.8143225875428755</v>
      </c>
      <c r="J77">
        <f>'Req. Diario'!H76</f>
        <v>2.679363092871112</v>
      </c>
      <c r="K77">
        <f>J77/$K$6</f>
        <v>9.923567010633748</v>
      </c>
      <c r="L77">
        <f>'Req. Diario'!I76</f>
        <v>29.5372</v>
      </c>
      <c r="M77">
        <f>L77/$M$6</f>
        <v>144.0839024390244</v>
      </c>
    </row>
    <row r="78">
      <c r="B78">
        <f>'Req. Diario'!D77</f>
        <v>4.626693017633016</v>
      </c>
      <c r="C78">
        <f>(B78-((E78*(Main!$E$31/100))+(G78*(Main!$E$36/100))+(I78*(Main!$E$46/100))+(K78*(Main!$E$51/100))))/$C$6</f>
        <v>4.557725019372189</v>
      </c>
      <c r="D78">
        <f>'Req. Diario'!E77</f>
        <v>2.5350769230769226</v>
      </c>
      <c r="E78">
        <f>(D78-((C78*(Main!$F$41/100))+(G78*(Main!$F$36/100))+(I78*(Main!$F$46/100))+(K78*(Main!$F$51/100))))/$E$6</f>
        <v>5.511036789297657</v>
      </c>
      <c r="F78">
        <f>'Req. Diario'!F77</f>
        <v>5.625822222222223</v>
      </c>
      <c r="G78">
        <f>(F78-((C78*(Main!$G$41/100))+(E78*(Main!$G$31/100))+(I78*(Main!$G$46/100))+(K78*(Main!$G$51/100))))/$G$6</f>
        <v>10.81888888888889</v>
      </c>
      <c r="H78">
        <f>'Req. Diario'!G77</f>
        <v>0.7702916140068601</v>
      </c>
      <c r="I78">
        <f>H78/$I$6</f>
        <v>4.8143225875428755</v>
      </c>
      <c r="J78">
        <f>'Req. Diario'!H77</f>
        <v>2.679363092871112</v>
      </c>
      <c r="K78">
        <f>J78/$K$6</f>
        <v>9.923567010633748</v>
      </c>
      <c r="L78">
        <f>'Req. Diario'!I77</f>
        <v>29.5372</v>
      </c>
      <c r="M78">
        <f>L78/$M$6</f>
        <v>144.0839024390244</v>
      </c>
    </row>
    <row r="79">
      <c r="B79">
        <f>'Req. Diario'!D78</f>
        <v>4.626693017633016</v>
      </c>
      <c r="C79">
        <f>(B79-((E79*(Main!$E$31/100))+(G79*(Main!$E$36/100))+(I79*(Main!$E$46/100))+(K79*(Main!$E$51/100))))/$C$6</f>
        <v>4.557725019372189</v>
      </c>
      <c r="D79">
        <f>'Req. Diario'!E78</f>
        <v>2.5350769230769226</v>
      </c>
      <c r="E79">
        <f>(D79-((C79*(Main!$F$41/100))+(G79*(Main!$F$36/100))+(I79*(Main!$F$46/100))+(K79*(Main!$F$51/100))))/$E$6</f>
        <v>5.511036789297657</v>
      </c>
      <c r="F79">
        <f>'Req. Diario'!F78</f>
        <v>5.625822222222223</v>
      </c>
      <c r="G79">
        <f>(F79-((C79*(Main!$G$41/100))+(E79*(Main!$G$31/100))+(I79*(Main!$G$46/100))+(K79*(Main!$G$51/100))))/$G$6</f>
        <v>10.81888888888889</v>
      </c>
      <c r="H79">
        <f>'Req. Diario'!G78</f>
        <v>0.7702916140068601</v>
      </c>
      <c r="I79">
        <f>H79/$I$6</f>
        <v>4.8143225875428755</v>
      </c>
      <c r="J79">
        <f>'Req. Diario'!H78</f>
        <v>2.679363092871112</v>
      </c>
      <c r="K79">
        <f>J79/$K$6</f>
        <v>9.923567010633748</v>
      </c>
      <c r="L79">
        <f>'Req. Diario'!I78</f>
        <v>29.5372</v>
      </c>
      <c r="M79">
        <f>L79/$M$6</f>
        <v>144.0839024390244</v>
      </c>
    </row>
    <row r="80">
      <c r="B80">
        <f>'Req. Diario'!D79</f>
        <v>4.626693017633016</v>
      </c>
      <c r="C80">
        <f>(B80-((E80*(Main!$E$31/100))+(G80*(Main!$E$36/100))+(I80*(Main!$E$46/100))+(K80*(Main!$E$51/100))))/$C$6</f>
        <v>4.557725019372189</v>
      </c>
      <c r="D80">
        <f>'Req. Diario'!E79</f>
        <v>2.5350769230769226</v>
      </c>
      <c r="E80">
        <f>(D80-((C80*(Main!$F$41/100))+(G80*(Main!$F$36/100))+(I80*(Main!$F$46/100))+(K80*(Main!$F$51/100))))/$E$6</f>
        <v>5.511036789297657</v>
      </c>
      <c r="F80">
        <f>'Req. Diario'!F79</f>
        <v>5.625822222222223</v>
      </c>
      <c r="G80">
        <f>(F80-((C80*(Main!$G$41/100))+(E80*(Main!$G$31/100))+(I80*(Main!$G$46/100))+(K80*(Main!$G$51/100))))/$G$6</f>
        <v>10.81888888888889</v>
      </c>
      <c r="H80">
        <f>'Req. Diario'!G79</f>
        <v>0.7702916140068601</v>
      </c>
      <c r="I80">
        <f>H80/$I$6</f>
        <v>4.8143225875428755</v>
      </c>
      <c r="J80">
        <f>'Req. Diario'!H79</f>
        <v>2.679363092871112</v>
      </c>
      <c r="K80">
        <f>J80/$K$6</f>
        <v>9.923567010633748</v>
      </c>
      <c r="L80">
        <f>'Req. Diario'!I79</f>
        <v>29.5372</v>
      </c>
      <c r="M80">
        <f>L80/$M$6</f>
        <v>144.0839024390244</v>
      </c>
    </row>
    <row r="81">
      <c r="B81">
        <f>'Req. Diario'!D80</f>
        <v>4.626693017633016</v>
      </c>
      <c r="C81">
        <f>(B81-((E81*(Main!$E$31/100))+(G81*(Main!$E$36/100))+(I81*(Main!$E$46/100))+(K81*(Main!$E$51/100))))/$C$6</f>
        <v>4.557725019372189</v>
      </c>
      <c r="D81">
        <f>'Req. Diario'!E80</f>
        <v>2.5350769230769226</v>
      </c>
      <c r="E81">
        <f>(D81-((C81*(Main!$F$41/100))+(G81*(Main!$F$36/100))+(I81*(Main!$F$46/100))+(K81*(Main!$F$51/100))))/$E$6</f>
        <v>5.511036789297657</v>
      </c>
      <c r="F81">
        <f>'Req. Diario'!F80</f>
        <v>5.625822222222223</v>
      </c>
      <c r="G81">
        <f>(F81-((C81*(Main!$G$41/100))+(E81*(Main!$G$31/100))+(I81*(Main!$G$46/100))+(K81*(Main!$G$51/100))))/$G$6</f>
        <v>10.81888888888889</v>
      </c>
      <c r="H81">
        <f>'Req. Diario'!G80</f>
        <v>0.7702916140068601</v>
      </c>
      <c r="I81">
        <f>H81/$I$6</f>
        <v>4.8143225875428755</v>
      </c>
      <c r="J81">
        <f>'Req. Diario'!H80</f>
        <v>2.679363092871112</v>
      </c>
      <c r="K81">
        <f>J81/$K$6</f>
        <v>9.923567010633748</v>
      </c>
      <c r="L81">
        <f>'Req. Diario'!I80</f>
        <v>29.5372</v>
      </c>
      <c r="M81">
        <f>L81/$M$6</f>
        <v>144.0839024390244</v>
      </c>
    </row>
    <row r="82">
      <c r="B82">
        <f>'Req. Diario'!D81</f>
        <v>4.626693017633016</v>
      </c>
      <c r="C82">
        <f>(B82-((E82*(Main!$E$31/100))+(G82*(Main!$E$36/100))+(I82*(Main!$E$46/100))+(K82*(Main!$E$51/100))))/$C$6</f>
        <v>4.557725019372189</v>
      </c>
      <c r="D82">
        <f>'Req. Diario'!E81</f>
        <v>2.5350769230769226</v>
      </c>
      <c r="E82">
        <f>(D82-((C82*(Main!$F$41/100))+(G82*(Main!$F$36/100))+(I82*(Main!$F$46/100))+(K82*(Main!$F$51/100))))/$E$6</f>
        <v>5.511036789297657</v>
      </c>
      <c r="F82">
        <f>'Req. Diario'!F81</f>
        <v>5.625822222222223</v>
      </c>
      <c r="G82">
        <f>(F82-((C82*(Main!$G$41/100))+(E82*(Main!$G$31/100))+(I82*(Main!$G$46/100))+(K82*(Main!$G$51/100))))/$G$6</f>
        <v>10.81888888888889</v>
      </c>
      <c r="H82">
        <f>'Req. Diario'!G81</f>
        <v>0.7702916140068601</v>
      </c>
      <c r="I82">
        <f>H82/$I$6</f>
        <v>4.8143225875428755</v>
      </c>
      <c r="J82">
        <f>'Req. Diario'!H81</f>
        <v>2.679363092871112</v>
      </c>
      <c r="K82">
        <f>J82/$K$6</f>
        <v>9.923567010633748</v>
      </c>
      <c r="L82">
        <f>'Req. Diario'!I81</f>
        <v>29.5372</v>
      </c>
      <c r="M82">
        <f>L82/$M$6</f>
        <v>144.0839024390244</v>
      </c>
    </row>
    <row r="83">
      <c r="B83">
        <f>'Req. Diario'!D82</f>
        <v>4.626693017633016</v>
      </c>
      <c r="C83">
        <f>(B83-((E83*(Main!$E$31/100))+(G83*(Main!$E$36/100))+(I83*(Main!$E$46/100))+(K83*(Main!$E$51/100))))/$C$6</f>
        <v>4.557725019372189</v>
      </c>
      <c r="D83">
        <f>'Req. Diario'!E82</f>
        <v>2.5350769230769226</v>
      </c>
      <c r="E83">
        <f>(D83-((C83*(Main!$F$41/100))+(G83*(Main!$F$36/100))+(I83*(Main!$F$46/100))+(K83*(Main!$F$51/100))))/$E$6</f>
        <v>5.511036789297657</v>
      </c>
      <c r="F83">
        <f>'Req. Diario'!F82</f>
        <v>5.625822222222223</v>
      </c>
      <c r="G83">
        <f>(F83-((C83*(Main!$G$41/100))+(E83*(Main!$G$31/100))+(I83*(Main!$G$46/100))+(K83*(Main!$G$51/100))))/$G$6</f>
        <v>10.81888888888889</v>
      </c>
      <c r="H83">
        <f>'Req. Diario'!G82</f>
        <v>0.7702916140068601</v>
      </c>
      <c r="I83">
        <f>H83/$I$6</f>
        <v>4.8143225875428755</v>
      </c>
      <c r="J83">
        <f>'Req. Diario'!H82</f>
        <v>2.679363092871112</v>
      </c>
      <c r="K83">
        <f>J83/$K$6</f>
        <v>9.923567010633748</v>
      </c>
      <c r="L83">
        <f>'Req. Diario'!I82</f>
        <v>29.5372</v>
      </c>
      <c r="M83">
        <f>L83/$M$6</f>
        <v>144.0839024390244</v>
      </c>
    </row>
    <row r="84">
      <c r="A84">
        <v>12</v>
      </c>
      <c r="B84">
        <f>'Req. Diario'!D83</f>
        <v>4.626693017633016</v>
      </c>
      <c r="C84">
        <f>(B84-((E84*(Main!$E$31/100))+(G84*(Main!$E$36/100))+(I84*(Main!$E$46/100))+(K84*(Main!$E$51/100))))/$C$6</f>
        <v>4.557725019372189</v>
      </c>
      <c r="D84">
        <f>'Req. Diario'!E83</f>
        <v>2.5350769230769226</v>
      </c>
      <c r="E84">
        <f>(D84-((C84*(Main!$F$41/100))+(G84*(Main!$F$36/100))+(I84*(Main!$F$46/100))+(K84*(Main!$F$51/100))))/$E$6</f>
        <v>5.511036789297657</v>
      </c>
      <c r="F84">
        <f>'Req. Diario'!F83</f>
        <v>5.625822222222223</v>
      </c>
      <c r="G84">
        <f>(F84-((C84*(Main!$G$41/100))+(E84*(Main!$G$31/100))+(I84*(Main!$G$46/100))+(K84*(Main!$G$51/100))))/$G$6</f>
        <v>10.81888888888889</v>
      </c>
      <c r="H84">
        <f>'Req. Diario'!G83</f>
        <v>0.7702916140068601</v>
      </c>
      <c r="I84">
        <f>H84/$I$6</f>
        <v>4.8143225875428755</v>
      </c>
      <c r="J84">
        <f>'Req. Diario'!H83</f>
        <v>2.679363092871112</v>
      </c>
      <c r="K84">
        <f>J84/$K$6</f>
        <v>9.923567010633748</v>
      </c>
      <c r="L84">
        <f>'Req. Diario'!I83</f>
        <v>29.5372</v>
      </c>
      <c r="M84">
        <f>L84/$M$6</f>
        <v>144.0839024390244</v>
      </c>
    </row>
    <row r="85">
      <c r="B85">
        <f>'Req. Diario'!D84</f>
        <v>4.626693017633016</v>
      </c>
      <c r="C85">
        <f>(B85-((E85*(Main!$E$31/100))+(G85*(Main!$E$36/100))+(I85*(Main!$E$46/100))+(K85*(Main!$E$51/100))))/$C$6</f>
        <v>4.557725019372189</v>
      </c>
      <c r="D85">
        <f>'Req. Diario'!E84</f>
        <v>2.5350769230769226</v>
      </c>
      <c r="E85">
        <f>(D85-((C85*(Main!$F$41/100))+(G85*(Main!$F$36/100))+(I85*(Main!$F$46/100))+(K85*(Main!$F$51/100))))/$E$6</f>
        <v>5.511036789297657</v>
      </c>
      <c r="F85">
        <f>'Req. Diario'!F84</f>
        <v>5.625822222222223</v>
      </c>
      <c r="G85">
        <f>(F85-((C85*(Main!$G$41/100))+(E85*(Main!$G$31/100))+(I85*(Main!$G$46/100))+(K85*(Main!$G$51/100))))/$G$6</f>
        <v>10.81888888888889</v>
      </c>
      <c r="H85">
        <f>'Req. Diario'!G84</f>
        <v>0.7702916140068601</v>
      </c>
      <c r="I85">
        <f>H85/$I$6</f>
        <v>4.8143225875428755</v>
      </c>
      <c r="J85">
        <f>'Req. Diario'!H84</f>
        <v>2.679363092871112</v>
      </c>
      <c r="K85">
        <f>J85/$K$6</f>
        <v>9.923567010633748</v>
      </c>
      <c r="L85">
        <f>'Req. Diario'!I84</f>
        <v>29.5372</v>
      </c>
      <c r="M85">
        <f>L85/$M$6</f>
        <v>144.0839024390244</v>
      </c>
    </row>
    <row r="86">
      <c r="B86">
        <f>'Req. Diario'!D85</f>
        <v>4.626693017633016</v>
      </c>
      <c r="C86">
        <f>(B86-((E86*(Main!$E$31/100))+(G86*(Main!$E$36/100))+(I86*(Main!$E$46/100))+(K86*(Main!$E$51/100))))/$C$6</f>
        <v>4.557725019372189</v>
      </c>
      <c r="D86">
        <f>'Req. Diario'!E85</f>
        <v>2.5350769230769226</v>
      </c>
      <c r="E86">
        <f>(D86-((C86*(Main!$F$41/100))+(G86*(Main!$F$36/100))+(I86*(Main!$F$46/100))+(K86*(Main!$F$51/100))))/$E$6</f>
        <v>5.511036789297657</v>
      </c>
      <c r="F86">
        <f>'Req. Diario'!F85</f>
        <v>5.625822222222223</v>
      </c>
      <c r="G86">
        <f>(F86-((C86*(Main!$G$41/100))+(E86*(Main!$G$31/100))+(I86*(Main!$G$46/100))+(K86*(Main!$G$51/100))))/$G$6</f>
        <v>10.81888888888889</v>
      </c>
      <c r="H86">
        <f>'Req. Diario'!G85</f>
        <v>0.7702916140068601</v>
      </c>
      <c r="I86">
        <f>H86/$I$6</f>
        <v>4.8143225875428755</v>
      </c>
      <c r="J86">
        <f>'Req. Diario'!H85</f>
        <v>2.679363092871112</v>
      </c>
      <c r="K86">
        <f>J86/$K$6</f>
        <v>9.923567010633748</v>
      </c>
      <c r="L86">
        <f>'Req. Diario'!I85</f>
        <v>29.5372</v>
      </c>
      <c r="M86">
        <f>L86/$M$6</f>
        <v>144.0839024390244</v>
      </c>
    </row>
    <row r="87">
      <c r="B87">
        <f>'Req. Diario'!D86</f>
        <v>5.552031621159621</v>
      </c>
      <c r="C87">
        <f>(B87-((E87*(Main!$E$31/100))+(G87*(Main!$E$36/100))+(I87*(Main!$E$46/100))+(K87*(Main!$E$51/100))))/$C$6</f>
        <v>5.46927002324663</v>
      </c>
      <c r="D87">
        <f>'Req. Diario'!E86</f>
        <v>3.042092307692308</v>
      </c>
      <c r="E87">
        <f>(D87-((C87*(Main!$F$41/100))+(G87*(Main!$F$36/100))+(I87*(Main!$F$46/100))+(K87*(Main!$F$51/100))))/$E$6</f>
        <v>6.61324414715719</v>
      </c>
      <c r="F87">
        <f>'Req. Diario'!F86</f>
        <v>6.750986666666667</v>
      </c>
      <c r="G87">
        <f>(F87-((C87*(Main!$G$41/100))+(E87*(Main!$G$31/100))+(I87*(Main!$G$46/100))+(K87*(Main!$G$51/100))))/$G$6</f>
        <v>12.982666666666667</v>
      </c>
      <c r="H87">
        <f>'Req. Diario'!G86</f>
        <v>0.9243499368082321</v>
      </c>
      <c r="I87">
        <f>H87/$I$6</f>
        <v>5.777187105051451</v>
      </c>
      <c r="J87">
        <f>'Req. Diario'!H86</f>
        <v>3.215235711445334</v>
      </c>
      <c r="K87">
        <f>J87/$K$6</f>
        <v>11.908280412760496</v>
      </c>
      <c r="L87">
        <f>'Req. Diario'!I86</f>
        <v>35.6483</v>
      </c>
      <c r="M87">
        <f>L87/$M$6</f>
        <v>173.89414634146343</v>
      </c>
    </row>
    <row r="88">
      <c r="B88">
        <f>'Req. Diario'!D87</f>
        <v>5.552031621159621</v>
      </c>
      <c r="C88">
        <f>(B88-((E88*(Main!$E$31/100))+(G88*(Main!$E$36/100))+(I88*(Main!$E$46/100))+(K88*(Main!$E$51/100))))/$C$6</f>
        <v>5.46927002324663</v>
      </c>
      <c r="D88">
        <f>'Req. Diario'!E87</f>
        <v>3.042092307692308</v>
      </c>
      <c r="E88">
        <f>(D88-((C88*(Main!$F$41/100))+(G88*(Main!$F$36/100))+(I88*(Main!$F$46/100))+(K88*(Main!$F$51/100))))/$E$6</f>
        <v>6.61324414715719</v>
      </c>
      <c r="F88">
        <f>'Req. Diario'!F87</f>
        <v>6.750986666666667</v>
      </c>
      <c r="G88">
        <f>(F88-((C88*(Main!$G$41/100))+(E88*(Main!$G$31/100))+(I88*(Main!$G$46/100))+(K88*(Main!$G$51/100))))/$G$6</f>
        <v>12.982666666666667</v>
      </c>
      <c r="H88">
        <f>'Req. Diario'!G87</f>
        <v>0.9243499368082321</v>
      </c>
      <c r="I88">
        <f>H88/$I$6</f>
        <v>5.777187105051451</v>
      </c>
      <c r="J88">
        <f>'Req. Diario'!H87</f>
        <v>3.215235711445334</v>
      </c>
      <c r="K88">
        <f>J88/$K$6</f>
        <v>11.908280412760496</v>
      </c>
      <c r="L88">
        <f>'Req. Diario'!I87</f>
        <v>35.6483</v>
      </c>
      <c r="M88">
        <f>L88/$M$6</f>
        <v>173.89414634146343</v>
      </c>
    </row>
    <row r="89">
      <c r="B89">
        <f>'Req. Diario'!D88</f>
        <v>5.552031621159621</v>
      </c>
      <c r="C89">
        <f>(B89-((E89*(Main!$E$31/100))+(G89*(Main!$E$36/100))+(I89*(Main!$E$46/100))+(K89*(Main!$E$51/100))))/$C$6</f>
        <v>5.46927002324663</v>
      </c>
      <c r="D89">
        <f>'Req. Diario'!E88</f>
        <v>3.042092307692308</v>
      </c>
      <c r="E89">
        <f>(D89-((C89*(Main!$F$41/100))+(G89*(Main!$F$36/100))+(I89*(Main!$F$46/100))+(K89*(Main!$F$51/100))))/$E$6</f>
        <v>6.61324414715719</v>
      </c>
      <c r="F89">
        <f>'Req. Diario'!F88</f>
        <v>6.750986666666667</v>
      </c>
      <c r="G89">
        <f>(F89-((C89*(Main!$G$41/100))+(E89*(Main!$G$31/100))+(I89*(Main!$G$46/100))+(K89*(Main!$G$51/100))))/$G$6</f>
        <v>12.982666666666667</v>
      </c>
      <c r="H89">
        <f>'Req. Diario'!G88</f>
        <v>0.9243499368082321</v>
      </c>
      <c r="I89">
        <f>H89/$I$6</f>
        <v>5.777187105051451</v>
      </c>
      <c r="J89">
        <f>'Req. Diario'!H88</f>
        <v>3.215235711445334</v>
      </c>
      <c r="K89">
        <f>J89/$K$6</f>
        <v>11.908280412760496</v>
      </c>
      <c r="L89">
        <f>'Req. Diario'!I88</f>
        <v>35.6483</v>
      </c>
      <c r="M89">
        <f>L89/$M$6</f>
        <v>173.89414634146343</v>
      </c>
    </row>
    <row r="90">
      <c r="B90">
        <f>'Req. Diario'!D89</f>
        <v>5.552031621159621</v>
      </c>
      <c r="C90">
        <f>(B90-((E90*(Main!$E$31/100))+(G90*(Main!$E$36/100))+(I90*(Main!$E$46/100))+(K90*(Main!$E$51/100))))/$C$6</f>
        <v>5.46927002324663</v>
      </c>
      <c r="D90">
        <f>'Req. Diario'!E89</f>
        <v>3.042092307692308</v>
      </c>
      <c r="E90">
        <f>(D90-((C90*(Main!$F$41/100))+(G90*(Main!$F$36/100))+(I90*(Main!$F$46/100))+(K90*(Main!$F$51/100))))/$E$6</f>
        <v>6.61324414715719</v>
      </c>
      <c r="F90">
        <f>'Req. Diario'!F89</f>
        <v>6.750986666666667</v>
      </c>
      <c r="G90">
        <f>(F90-((C90*(Main!$G$41/100))+(E90*(Main!$G$31/100))+(I90*(Main!$G$46/100))+(K90*(Main!$G$51/100))))/$G$6</f>
        <v>12.982666666666667</v>
      </c>
      <c r="H90">
        <f>'Req. Diario'!G89</f>
        <v>0.9243499368082321</v>
      </c>
      <c r="I90">
        <f>H90/$I$6</f>
        <v>5.777187105051451</v>
      </c>
      <c r="J90">
        <f>'Req. Diario'!H89</f>
        <v>3.215235711445334</v>
      </c>
      <c r="K90">
        <f>J90/$K$6</f>
        <v>11.908280412760496</v>
      </c>
      <c r="L90">
        <f>'Req. Diario'!I89</f>
        <v>35.6483</v>
      </c>
      <c r="M90">
        <f>L90/$M$6</f>
        <v>173.89414634146343</v>
      </c>
    </row>
    <row r="91">
      <c r="A91">
        <v>13</v>
      </c>
      <c r="B91">
        <f>'Req. Diario'!D90</f>
        <v>5.552031621159621</v>
      </c>
      <c r="C91">
        <f>(B91-((E91*(Main!$E$31/100))+(G91*(Main!$E$36/100))+(I91*(Main!$E$46/100))+(K91*(Main!$E$51/100))))/$C$6</f>
        <v>5.46927002324663</v>
      </c>
      <c r="D91">
        <f>'Req. Diario'!E90</f>
        <v>3.042092307692308</v>
      </c>
      <c r="E91">
        <f>(D91-((C91*(Main!$F$41/100))+(G91*(Main!$F$36/100))+(I91*(Main!$F$46/100))+(K91*(Main!$F$51/100))))/$E$6</f>
        <v>6.61324414715719</v>
      </c>
      <c r="F91">
        <f>'Req. Diario'!F90</f>
        <v>6.750986666666667</v>
      </c>
      <c r="G91">
        <f>(F91-((C91*(Main!$G$41/100))+(E91*(Main!$G$31/100))+(I91*(Main!$G$46/100))+(K91*(Main!$G$51/100))))/$G$6</f>
        <v>12.982666666666667</v>
      </c>
      <c r="H91">
        <f>'Req. Diario'!G90</f>
        <v>0.9243499368082321</v>
      </c>
      <c r="I91">
        <f>H91/$I$6</f>
        <v>5.777187105051451</v>
      </c>
      <c r="J91">
        <f>'Req. Diario'!H90</f>
        <v>3.215235711445334</v>
      </c>
      <c r="K91">
        <f>J91/$K$6</f>
        <v>11.908280412760496</v>
      </c>
      <c r="L91">
        <f>'Req. Diario'!I90</f>
        <v>35.6483</v>
      </c>
      <c r="M91">
        <f>L91/$M$6</f>
        <v>173.89414634146343</v>
      </c>
    </row>
    <row r="92">
      <c r="B92">
        <f>'Req. Diario'!D91</f>
        <v>5.552031621159621</v>
      </c>
      <c r="C92">
        <f>(B92-((E92*(Main!$E$31/100))+(G92*(Main!$E$36/100))+(I92*(Main!$E$46/100))+(K92*(Main!$E$51/100))))/$C$6</f>
        <v>5.46927002324663</v>
      </c>
      <c r="D92">
        <f>'Req. Diario'!E91</f>
        <v>3.042092307692308</v>
      </c>
      <c r="E92">
        <f>(D92-((C92*(Main!$F$41/100))+(G92*(Main!$F$36/100))+(I92*(Main!$F$46/100))+(K92*(Main!$F$51/100))))/$E$6</f>
        <v>6.61324414715719</v>
      </c>
      <c r="F92">
        <f>'Req. Diario'!F91</f>
        <v>6.750986666666667</v>
      </c>
      <c r="G92">
        <f>(F92-((C92*(Main!$G$41/100))+(E92*(Main!$G$31/100))+(I92*(Main!$G$46/100))+(K92*(Main!$G$51/100))))/$G$6</f>
        <v>12.982666666666667</v>
      </c>
      <c r="H92">
        <f>'Req. Diario'!G91</f>
        <v>0.9243499368082321</v>
      </c>
      <c r="I92">
        <f>H92/$I$6</f>
        <v>5.777187105051451</v>
      </c>
      <c r="J92">
        <f>'Req. Diario'!H91</f>
        <v>3.215235711445334</v>
      </c>
      <c r="K92">
        <f>J92/$K$6</f>
        <v>11.908280412760496</v>
      </c>
      <c r="L92">
        <f>'Req. Diario'!I91</f>
        <v>35.6483</v>
      </c>
      <c r="M92">
        <f>L92/$M$6</f>
        <v>173.89414634146343</v>
      </c>
    </row>
    <row r="93">
      <c r="B93">
        <f>'Req. Diario'!D92</f>
        <v>5.552031621159621</v>
      </c>
      <c r="C93">
        <f>(B93-((E93*(Main!$E$31/100))+(G93*(Main!$E$36/100))+(I93*(Main!$E$46/100))+(K93*(Main!$E$51/100))))/$C$6</f>
        <v>5.46927002324663</v>
      </c>
      <c r="D93">
        <f>'Req. Diario'!E92</f>
        <v>3.042092307692308</v>
      </c>
      <c r="E93">
        <f>(D93-((C93*(Main!$F$41/100))+(G93*(Main!$F$36/100))+(I93*(Main!$F$46/100))+(K93*(Main!$F$51/100))))/$E$6</f>
        <v>6.61324414715719</v>
      </c>
      <c r="F93">
        <f>'Req. Diario'!F92</f>
        <v>6.750986666666667</v>
      </c>
      <c r="G93">
        <f>(F93-((C93*(Main!$G$41/100))+(E93*(Main!$G$31/100))+(I93*(Main!$G$46/100))+(K93*(Main!$G$51/100))))/$G$6</f>
        <v>12.982666666666667</v>
      </c>
      <c r="H93">
        <f>'Req. Diario'!G92</f>
        <v>0.9243499368082321</v>
      </c>
      <c r="I93">
        <f>H93/$I$6</f>
        <v>5.777187105051451</v>
      </c>
      <c r="J93">
        <f>'Req. Diario'!H92</f>
        <v>3.215235711445334</v>
      </c>
      <c r="K93">
        <f>J93/$K$6</f>
        <v>11.908280412760496</v>
      </c>
      <c r="L93">
        <f>'Req. Diario'!I92</f>
        <v>35.6483</v>
      </c>
      <c r="M93">
        <f>L93/$M$6</f>
        <v>173.89414634146343</v>
      </c>
    </row>
    <row r="94">
      <c r="B94">
        <f>'Req. Diario'!D93</f>
        <v>5.552031621159621</v>
      </c>
      <c r="C94">
        <f>(B94-((E94*(Main!$E$31/100))+(G94*(Main!$E$36/100))+(I94*(Main!$E$46/100))+(K94*(Main!$E$51/100))))/$C$6</f>
        <v>5.46927002324663</v>
      </c>
      <c r="D94">
        <f>'Req. Diario'!E93</f>
        <v>3.042092307692308</v>
      </c>
      <c r="E94">
        <f>(D94-((C94*(Main!$F$41/100))+(G94*(Main!$F$36/100))+(I94*(Main!$F$46/100))+(K94*(Main!$F$51/100))))/$E$6</f>
        <v>6.61324414715719</v>
      </c>
      <c r="F94">
        <f>'Req. Diario'!F93</f>
        <v>6.750986666666667</v>
      </c>
      <c r="G94">
        <f>(F94-((C94*(Main!$G$41/100))+(E94*(Main!$G$31/100))+(I94*(Main!$G$46/100))+(K94*(Main!$G$51/100))))/$G$6</f>
        <v>12.982666666666667</v>
      </c>
      <c r="H94">
        <f>'Req. Diario'!G93</f>
        <v>0.9243499368082321</v>
      </c>
      <c r="I94">
        <f>H94/$I$6</f>
        <v>5.777187105051451</v>
      </c>
      <c r="J94">
        <f>'Req. Diario'!H93</f>
        <v>3.215235711445334</v>
      </c>
      <c r="K94">
        <f>J94/$K$6</f>
        <v>11.908280412760496</v>
      </c>
      <c r="L94">
        <f>'Req. Diario'!I93</f>
        <v>35.6483</v>
      </c>
      <c r="M94">
        <f>L94/$M$6</f>
        <v>173.89414634146343</v>
      </c>
    </row>
    <row r="95">
      <c r="B95">
        <f>'Req. Diario'!D94</f>
        <v>5.552031621159621</v>
      </c>
      <c r="C95">
        <f>(B95-((E95*(Main!$E$31/100))+(G95*(Main!$E$36/100))+(I95*(Main!$E$46/100))+(K95*(Main!$E$51/100))))/$C$6</f>
        <v>5.46927002324663</v>
      </c>
      <c r="D95">
        <f>'Req. Diario'!E94</f>
        <v>3.042092307692308</v>
      </c>
      <c r="E95">
        <f>(D95-((C95*(Main!$F$41/100))+(G95*(Main!$F$36/100))+(I95*(Main!$F$46/100))+(K95*(Main!$F$51/100))))/$E$6</f>
        <v>6.61324414715719</v>
      </c>
      <c r="F95">
        <f>'Req. Diario'!F94</f>
        <v>6.750986666666667</v>
      </c>
      <c r="G95">
        <f>(F95-((C95*(Main!$G$41/100))+(E95*(Main!$G$31/100))+(I95*(Main!$G$46/100))+(K95*(Main!$G$51/100))))/$G$6</f>
        <v>12.982666666666667</v>
      </c>
      <c r="H95">
        <f>'Req. Diario'!G94</f>
        <v>0.9243499368082321</v>
      </c>
      <c r="I95">
        <f>H95/$I$6</f>
        <v>5.777187105051451</v>
      </c>
      <c r="J95">
        <f>'Req. Diario'!H94</f>
        <v>3.215235711445334</v>
      </c>
      <c r="K95">
        <f>J95/$K$6</f>
        <v>11.908280412760496</v>
      </c>
      <c r="L95">
        <f>'Req. Diario'!I94</f>
        <v>35.6483</v>
      </c>
      <c r="M95">
        <f>L95/$M$6</f>
        <v>173.89414634146343</v>
      </c>
    </row>
    <row r="96">
      <c r="B96">
        <f>'Req. Diario'!D95</f>
        <v>5.552031621159621</v>
      </c>
      <c r="C96">
        <f>(B96-((E96*(Main!$E$31/100))+(G96*(Main!$E$36/100))+(I96*(Main!$E$46/100))+(K96*(Main!$E$51/100))))/$C$6</f>
        <v>5.46927002324663</v>
      </c>
      <c r="D96">
        <f>'Req. Diario'!E95</f>
        <v>3.042092307692308</v>
      </c>
      <c r="E96">
        <f>(D96-((C96*(Main!$F$41/100))+(G96*(Main!$F$36/100))+(I96*(Main!$F$46/100))+(K96*(Main!$F$51/100))))/$E$6</f>
        <v>6.61324414715719</v>
      </c>
      <c r="F96">
        <f>'Req. Diario'!F95</f>
        <v>6.750986666666667</v>
      </c>
      <c r="G96">
        <f>(F96-((C96*(Main!$G$41/100))+(E96*(Main!$G$31/100))+(I96*(Main!$G$46/100))+(K96*(Main!$G$51/100))))/$G$6</f>
        <v>12.982666666666667</v>
      </c>
      <c r="H96">
        <f>'Req. Diario'!G95</f>
        <v>0.9243499368082321</v>
      </c>
      <c r="I96">
        <f>H96/$I$6</f>
        <v>5.777187105051451</v>
      </c>
      <c r="J96">
        <f>'Req. Diario'!H95</f>
        <v>3.215235711445334</v>
      </c>
      <c r="K96">
        <f>J96/$K$6</f>
        <v>11.908280412760496</v>
      </c>
      <c r="L96">
        <f>'Req. Diario'!I95</f>
        <v>35.6483</v>
      </c>
      <c r="M96">
        <f>L96/$M$6</f>
        <v>173.89414634146343</v>
      </c>
    </row>
    <row r="97">
      <c r="B97">
        <f>'Req. Diario'!D96</f>
        <v>5.552031621159621</v>
      </c>
      <c r="C97">
        <f>(B97-((E97*(Main!$E$31/100))+(G97*(Main!$E$36/100))+(I97*(Main!$E$46/100))+(K97*(Main!$E$51/100))))/$C$6</f>
        <v>5.46927002324663</v>
      </c>
      <c r="D97">
        <f>'Req. Diario'!E96</f>
        <v>3.042092307692308</v>
      </c>
      <c r="E97">
        <f>(D97-((C97*(Main!$F$41/100))+(G97*(Main!$F$36/100))+(I97*(Main!$F$46/100))+(K97*(Main!$F$51/100))))/$E$6</f>
        <v>6.61324414715719</v>
      </c>
      <c r="F97">
        <f>'Req. Diario'!F96</f>
        <v>6.750986666666667</v>
      </c>
      <c r="G97">
        <f>(F97-((C97*(Main!$G$41/100))+(E97*(Main!$G$31/100))+(I97*(Main!$G$46/100))+(K97*(Main!$G$51/100))))/$G$6</f>
        <v>12.982666666666667</v>
      </c>
      <c r="H97">
        <f>'Req. Diario'!G96</f>
        <v>0.9243499368082321</v>
      </c>
      <c r="I97">
        <f>H97/$I$6</f>
        <v>5.777187105051451</v>
      </c>
      <c r="J97">
        <f>'Req. Diario'!H96</f>
        <v>3.215235711445334</v>
      </c>
      <c r="K97">
        <f>J97/$K$6</f>
        <v>11.908280412760496</v>
      </c>
      <c r="L97">
        <f>'Req. Diario'!I96</f>
        <v>35.6483</v>
      </c>
      <c r="M97">
        <f>L97/$M$6</f>
        <v>173.89414634146343</v>
      </c>
    </row>
    <row r="98">
      <c r="A98">
        <v>14</v>
      </c>
      <c r="B98">
        <f>'Req. Diario'!D97</f>
        <v>5.552031621159621</v>
      </c>
      <c r="C98">
        <f>(B98-((E98*(Main!$E$31/100))+(G98*(Main!$E$36/100))+(I98*(Main!$E$46/100))+(K98*(Main!$E$51/100))))/$C$6</f>
        <v>5.46927002324663</v>
      </c>
      <c r="D98">
        <f>'Req. Diario'!E97</f>
        <v>3.042092307692308</v>
      </c>
      <c r="E98">
        <f>(D98-((C98*(Main!$F$41/100))+(G98*(Main!$F$36/100))+(I98*(Main!$F$46/100))+(K98*(Main!$F$51/100))))/$E$6</f>
        <v>6.61324414715719</v>
      </c>
      <c r="F98">
        <f>'Req. Diario'!F97</f>
        <v>6.750986666666667</v>
      </c>
      <c r="G98">
        <f>(F98-((C98*(Main!$G$41/100))+(E98*(Main!$G$31/100))+(I98*(Main!$G$46/100))+(K98*(Main!$G$51/100))))/$G$6</f>
        <v>12.982666666666667</v>
      </c>
      <c r="H98">
        <f>'Req. Diario'!G97</f>
        <v>0.9243499368082321</v>
      </c>
      <c r="I98">
        <f>H98/$I$6</f>
        <v>5.777187105051451</v>
      </c>
      <c r="J98">
        <f>'Req. Diario'!H97</f>
        <v>3.215235711445334</v>
      </c>
      <c r="K98">
        <f>J98/$K$6</f>
        <v>11.908280412760496</v>
      </c>
      <c r="L98">
        <f>'Req. Diario'!I97</f>
        <v>35.6483</v>
      </c>
      <c r="M98">
        <f>L98/$M$6</f>
        <v>173.89414634146343</v>
      </c>
    </row>
    <row r="99">
      <c r="B99">
        <f>'Req. Diario'!D98</f>
        <v>5.552031621159621</v>
      </c>
      <c r="C99">
        <f>(B99-((E99*(Main!$E$31/100))+(G99*(Main!$E$36/100))+(I99*(Main!$E$46/100))+(K99*(Main!$E$51/100))))/$C$6</f>
        <v>5.46927002324663</v>
      </c>
      <c r="D99">
        <f>'Req. Diario'!E98</f>
        <v>3.042092307692308</v>
      </c>
      <c r="E99">
        <f>(D99-((C99*(Main!$F$41/100))+(G99*(Main!$F$36/100))+(I99*(Main!$F$46/100))+(K99*(Main!$F$51/100))))/$E$6</f>
        <v>6.61324414715719</v>
      </c>
      <c r="F99">
        <f>'Req. Diario'!F98</f>
        <v>6.750986666666667</v>
      </c>
      <c r="G99">
        <f>(F99-((C99*(Main!$G$41/100))+(E99*(Main!$G$31/100))+(I99*(Main!$G$46/100))+(K99*(Main!$G$51/100))))/$G$6</f>
        <v>12.982666666666667</v>
      </c>
      <c r="H99">
        <f>'Req. Diario'!G98</f>
        <v>0.9243499368082321</v>
      </c>
      <c r="I99">
        <f>H99/$I$6</f>
        <v>5.777187105051451</v>
      </c>
      <c r="J99">
        <f>'Req. Diario'!H98</f>
        <v>3.215235711445334</v>
      </c>
      <c r="K99">
        <f>J99/$K$6</f>
        <v>11.908280412760496</v>
      </c>
      <c r="L99">
        <f>'Req. Diario'!I98</f>
        <v>35.6483</v>
      </c>
      <c r="M99">
        <f>L99/$M$6</f>
        <v>173.89414634146343</v>
      </c>
    </row>
    <row r="100">
      <c r="B100">
        <f>'Req. Diario'!D99</f>
        <v>5.552031621159621</v>
      </c>
      <c r="C100">
        <f>(B100-((E100*(Main!$E$31/100))+(G100*(Main!$E$36/100))+(I100*(Main!$E$46/100))+(K100*(Main!$E$51/100))))/$C$6</f>
        <v>5.46927002324663</v>
      </c>
      <c r="D100">
        <f>'Req. Diario'!E99</f>
        <v>3.042092307692308</v>
      </c>
      <c r="E100">
        <f>(D100-((C100*(Main!$F$41/100))+(G100*(Main!$F$36/100))+(I100*(Main!$F$46/100))+(K100*(Main!$F$51/100))))/$E$6</f>
        <v>6.61324414715719</v>
      </c>
      <c r="F100">
        <f>'Req. Diario'!F99</f>
        <v>6.750986666666667</v>
      </c>
      <c r="G100">
        <f>(F100-((C100*(Main!$G$41/100))+(E100*(Main!$G$31/100))+(I100*(Main!$G$46/100))+(K100*(Main!$G$51/100))))/$G$6</f>
        <v>12.982666666666667</v>
      </c>
      <c r="H100">
        <f>'Req. Diario'!G99</f>
        <v>0.9243499368082321</v>
      </c>
      <c r="I100">
        <f>H100/$I$6</f>
        <v>5.777187105051451</v>
      </c>
      <c r="J100">
        <f>'Req. Diario'!H99</f>
        <v>3.215235711445334</v>
      </c>
      <c r="K100">
        <f>J100/$K$6</f>
        <v>11.908280412760496</v>
      </c>
      <c r="L100">
        <f>'Req. Diario'!I99</f>
        <v>35.6483</v>
      </c>
      <c r="M100">
        <f>L100/$M$6</f>
        <v>173.89414634146343</v>
      </c>
    </row>
    <row r="101">
      <c r="B101">
        <f>'Req. Diario'!D100</f>
        <v>5.552031621159621</v>
      </c>
      <c r="C101">
        <f>(B101-((E101*(Main!$E$31/100))+(G101*(Main!$E$36/100))+(I101*(Main!$E$46/100))+(K101*(Main!$E$51/100))))/$C$6</f>
        <v>5.46927002324663</v>
      </c>
      <c r="D101">
        <f>'Req. Diario'!E100</f>
        <v>3.042092307692308</v>
      </c>
      <c r="E101">
        <f>(D101-((C101*(Main!$F$41/100))+(G101*(Main!$F$36/100))+(I101*(Main!$F$46/100))+(K101*(Main!$F$51/100))))/$E$6</f>
        <v>6.61324414715719</v>
      </c>
      <c r="F101">
        <f>'Req. Diario'!F100</f>
        <v>6.750986666666667</v>
      </c>
      <c r="G101">
        <f>(F101-((C101*(Main!$G$41/100))+(E101*(Main!$G$31/100))+(I101*(Main!$G$46/100))+(K101*(Main!$G$51/100))))/$G$6</f>
        <v>12.982666666666667</v>
      </c>
      <c r="H101">
        <f>'Req. Diario'!G100</f>
        <v>0.9243499368082321</v>
      </c>
      <c r="I101">
        <f>H101/$I$6</f>
        <v>5.777187105051451</v>
      </c>
      <c r="J101">
        <f>'Req. Diario'!H100</f>
        <v>3.215235711445334</v>
      </c>
      <c r="K101">
        <f>J101/$K$6</f>
        <v>11.908280412760496</v>
      </c>
      <c r="L101">
        <f>'Req. Diario'!I100</f>
        <v>35.6483</v>
      </c>
      <c r="M101">
        <f>L101/$M$6</f>
        <v>173.89414634146343</v>
      </c>
    </row>
    <row r="102">
      <c r="B102">
        <f>'Req. Diario'!D101</f>
        <v>5.552031621159621</v>
      </c>
      <c r="C102">
        <f>(B102-((E102*(Main!$E$31/100))+(G102*(Main!$E$36/100))+(I102*(Main!$E$46/100))+(K102*(Main!$E$51/100))))/$C$6</f>
        <v>5.46927002324663</v>
      </c>
      <c r="D102">
        <f>'Req. Diario'!E101</f>
        <v>3.042092307692308</v>
      </c>
      <c r="E102">
        <f>(D102-((C102*(Main!$F$41/100))+(G102*(Main!$F$36/100))+(I102*(Main!$F$46/100))+(K102*(Main!$F$51/100))))/$E$6</f>
        <v>6.61324414715719</v>
      </c>
      <c r="F102">
        <f>'Req. Diario'!F101</f>
        <v>6.750986666666667</v>
      </c>
      <c r="G102">
        <f>(F102-((C102*(Main!$G$41/100))+(E102*(Main!$G$31/100))+(I102*(Main!$G$46/100))+(K102*(Main!$G$51/100))))/$G$6</f>
        <v>12.982666666666667</v>
      </c>
      <c r="H102">
        <f>'Req. Diario'!G101</f>
        <v>0.9243499368082321</v>
      </c>
      <c r="I102">
        <f>H102/$I$6</f>
        <v>5.777187105051451</v>
      </c>
      <c r="J102">
        <f>'Req. Diario'!H101</f>
        <v>3.215235711445334</v>
      </c>
      <c r="K102">
        <f>J102/$K$6</f>
        <v>11.908280412760496</v>
      </c>
      <c r="L102">
        <f>'Req. Diario'!I101</f>
        <v>35.6483</v>
      </c>
      <c r="M102">
        <f>L102/$M$6</f>
        <v>173.89414634146343</v>
      </c>
    </row>
    <row r="103">
      <c r="B103">
        <f>'Req. Diario'!D102</f>
        <v>5.552031621159621</v>
      </c>
      <c r="C103">
        <f>(B103-((E103*(Main!$E$31/100))+(G103*(Main!$E$36/100))+(I103*(Main!$E$46/100))+(K103*(Main!$E$51/100))))/$C$6</f>
        <v>5.46927002324663</v>
      </c>
      <c r="D103">
        <f>'Req. Diario'!E102</f>
        <v>3.042092307692308</v>
      </c>
      <c r="E103">
        <f>(D103-((C103*(Main!$F$41/100))+(G103*(Main!$F$36/100))+(I103*(Main!$F$46/100))+(K103*(Main!$F$51/100))))/$E$6</f>
        <v>6.61324414715719</v>
      </c>
      <c r="F103">
        <f>'Req. Diario'!F102</f>
        <v>6.750986666666667</v>
      </c>
      <c r="G103">
        <f>(F103-((C103*(Main!$G$41/100))+(E103*(Main!$G$31/100))+(I103*(Main!$G$46/100))+(K103*(Main!$G$51/100))))/$G$6</f>
        <v>12.982666666666667</v>
      </c>
      <c r="H103">
        <f>'Req. Diario'!G102</f>
        <v>0.9243499368082321</v>
      </c>
      <c r="I103">
        <f>H103/$I$6</f>
        <v>5.777187105051451</v>
      </c>
      <c r="J103">
        <f>'Req. Diario'!H102</f>
        <v>3.215235711445334</v>
      </c>
      <c r="K103">
        <f>J103/$K$6</f>
        <v>11.908280412760496</v>
      </c>
      <c r="L103">
        <f>'Req. Diario'!I102</f>
        <v>35.6483</v>
      </c>
      <c r="M103">
        <f>L103/$M$6</f>
        <v>173.89414634146343</v>
      </c>
    </row>
    <row r="104">
      <c r="B104">
        <f>'Req. Diario'!D103</f>
        <v>5.552031621159621</v>
      </c>
      <c r="C104">
        <f>(B104-((E104*(Main!$E$31/100))+(G104*(Main!$E$36/100))+(I104*(Main!$E$46/100))+(K104*(Main!$E$51/100))))/$C$6</f>
        <v>5.46927002324663</v>
      </c>
      <c r="D104">
        <f>'Req. Diario'!E103</f>
        <v>3.042092307692308</v>
      </c>
      <c r="E104">
        <f>(D104-((C104*(Main!$F$41/100))+(G104*(Main!$F$36/100))+(I104*(Main!$F$46/100))+(K104*(Main!$F$51/100))))/$E$6</f>
        <v>6.61324414715719</v>
      </c>
      <c r="F104">
        <f>'Req. Diario'!F103</f>
        <v>6.750986666666667</v>
      </c>
      <c r="G104">
        <f>(F104-((C104*(Main!$G$41/100))+(E104*(Main!$G$31/100))+(I104*(Main!$G$46/100))+(K104*(Main!$G$51/100))))/$G$6</f>
        <v>12.982666666666667</v>
      </c>
      <c r="H104">
        <f>'Req. Diario'!G103</f>
        <v>0.9243499368082321</v>
      </c>
      <c r="I104">
        <f>H104/$I$6</f>
        <v>5.777187105051451</v>
      </c>
      <c r="J104">
        <f>'Req. Diario'!H103</f>
        <v>3.215235711445334</v>
      </c>
      <c r="K104">
        <f>J104/$K$6</f>
        <v>11.908280412760496</v>
      </c>
      <c r="L104">
        <f>'Req. Diario'!I103</f>
        <v>35.6483</v>
      </c>
      <c r="M104">
        <f>L104/$M$6</f>
        <v>173.89414634146343</v>
      </c>
    </row>
    <row r="105">
      <c r="A105">
        <v>15</v>
      </c>
      <c r="B105">
        <f>'Req. Diario'!D104</f>
        <v>5.552031621159621</v>
      </c>
      <c r="C105">
        <f>(B105-((E105*(Main!$E$31/100))+(G105*(Main!$E$36/100))+(I105*(Main!$E$46/100))+(K105*(Main!$E$51/100))))/$C$6</f>
        <v>5.46927002324663</v>
      </c>
      <c r="D105">
        <f>'Req. Diario'!E104</f>
        <v>3.042092307692308</v>
      </c>
      <c r="E105">
        <f>(D105-((C105*(Main!$F$41/100))+(G105*(Main!$F$36/100))+(I105*(Main!$F$46/100))+(K105*(Main!$F$51/100))))/$E$6</f>
        <v>6.61324414715719</v>
      </c>
      <c r="F105">
        <f>'Req. Diario'!F104</f>
        <v>6.750986666666667</v>
      </c>
      <c r="G105">
        <f>(F105-((C105*(Main!$G$41/100))+(E105*(Main!$G$31/100))+(I105*(Main!$G$46/100))+(K105*(Main!$G$51/100))))/$G$6</f>
        <v>12.982666666666667</v>
      </c>
      <c r="H105">
        <f>'Req. Diario'!G104</f>
        <v>0.9243499368082321</v>
      </c>
      <c r="I105">
        <f>H105/$I$6</f>
        <v>5.777187105051451</v>
      </c>
      <c r="J105">
        <f>'Req. Diario'!H104</f>
        <v>3.215235711445334</v>
      </c>
      <c r="K105">
        <f>J105/$K$6</f>
        <v>11.908280412760496</v>
      </c>
      <c r="L105">
        <f>'Req. Diario'!I104</f>
        <v>35.6483</v>
      </c>
      <c r="M105">
        <f>L105/$M$6</f>
        <v>173.89414634146343</v>
      </c>
    </row>
    <row r="106">
      <c r="B106">
        <f>'Req. Diario'!D105</f>
        <v>5.552031621159621</v>
      </c>
      <c r="C106">
        <f>(B106-((E106*(Main!$E$31/100))+(G106*(Main!$E$36/100))+(I106*(Main!$E$46/100))+(K106*(Main!$E$51/100))))/$C$6</f>
        <v>5.46927002324663</v>
      </c>
      <c r="D106">
        <f>'Req. Diario'!E105</f>
        <v>3.042092307692308</v>
      </c>
      <c r="E106">
        <f>(D106-((C106*(Main!$F$41/100))+(G106*(Main!$F$36/100))+(I106*(Main!$F$46/100))+(K106*(Main!$F$51/100))))/$E$6</f>
        <v>6.61324414715719</v>
      </c>
      <c r="F106">
        <f>'Req. Diario'!F105</f>
        <v>6.750986666666667</v>
      </c>
      <c r="G106">
        <f>(F106-((C106*(Main!$G$41/100))+(E106*(Main!$G$31/100))+(I106*(Main!$G$46/100))+(K106*(Main!$G$51/100))))/$G$6</f>
        <v>12.982666666666667</v>
      </c>
      <c r="H106">
        <f>'Req. Diario'!G105</f>
        <v>0.9243499368082321</v>
      </c>
      <c r="I106">
        <f>H106/$I$6</f>
        <v>5.777187105051451</v>
      </c>
      <c r="J106">
        <f>'Req. Diario'!H105</f>
        <v>3.215235711445334</v>
      </c>
      <c r="K106">
        <f>J106/$K$6</f>
        <v>11.908280412760496</v>
      </c>
      <c r="L106">
        <f>'Req. Diario'!I105</f>
        <v>35.6483</v>
      </c>
      <c r="M106">
        <f>L106/$M$6</f>
        <v>173.89414634146343</v>
      </c>
    </row>
    <row r="107">
      <c r="B107">
        <f>'Req. Diario'!D106</f>
        <v>5.552031621159621</v>
      </c>
      <c r="C107">
        <f>(B107-((E107*(Main!$E$31/100))+(G107*(Main!$E$36/100))+(I107*(Main!$E$46/100))+(K107*(Main!$E$51/100))))/$C$6</f>
        <v>5.46927002324663</v>
      </c>
      <c r="D107">
        <f>'Req. Diario'!E106</f>
        <v>3.042092307692308</v>
      </c>
      <c r="E107">
        <f>(D107-((C107*(Main!$F$41/100))+(G107*(Main!$F$36/100))+(I107*(Main!$F$46/100))+(K107*(Main!$F$51/100))))/$E$6</f>
        <v>6.61324414715719</v>
      </c>
      <c r="F107">
        <f>'Req. Diario'!F106</f>
        <v>6.750986666666667</v>
      </c>
      <c r="G107">
        <f>(F107-((C107*(Main!$G$41/100))+(E107*(Main!$G$31/100))+(I107*(Main!$G$46/100))+(K107*(Main!$G$51/100))))/$G$6</f>
        <v>12.982666666666667</v>
      </c>
      <c r="H107">
        <f>'Req. Diario'!G106</f>
        <v>0.9243499368082321</v>
      </c>
      <c r="I107">
        <f>H107/$I$6</f>
        <v>5.777187105051451</v>
      </c>
      <c r="J107">
        <f>'Req. Diario'!H106</f>
        <v>3.215235711445334</v>
      </c>
      <c r="K107">
        <f>J107/$K$6</f>
        <v>11.908280412760496</v>
      </c>
      <c r="L107">
        <f>'Req. Diario'!I106</f>
        <v>35.6483</v>
      </c>
      <c r="M107">
        <f>L107/$M$6</f>
        <v>173.89414634146343</v>
      </c>
    </row>
    <row r="108">
      <c r="B108">
        <f>'Req. Diario'!D107</f>
        <v>5.552031621159621</v>
      </c>
      <c r="C108">
        <f>(B108-((E108*(Main!$E$31/100))+(G108*(Main!$E$36/100))+(I108*(Main!$E$46/100))+(K108*(Main!$E$51/100))))/$C$6</f>
        <v>5.46927002324663</v>
      </c>
      <c r="D108">
        <f>'Req. Diario'!E107</f>
        <v>3.042092307692308</v>
      </c>
      <c r="E108">
        <f>(D108-((C108*(Main!$F$41/100))+(G108*(Main!$F$36/100))+(I108*(Main!$F$46/100))+(K108*(Main!$F$51/100))))/$E$6</f>
        <v>6.61324414715719</v>
      </c>
      <c r="F108">
        <f>'Req. Diario'!F107</f>
        <v>6.750986666666667</v>
      </c>
      <c r="G108">
        <f>(F108-((C108*(Main!$G$41/100))+(E108*(Main!$G$31/100))+(I108*(Main!$G$46/100))+(K108*(Main!$G$51/100))))/$G$6</f>
        <v>12.982666666666667</v>
      </c>
      <c r="H108">
        <f>'Req. Diario'!G107</f>
        <v>0.9243499368082321</v>
      </c>
      <c r="I108">
        <f>H108/$I$6</f>
        <v>5.777187105051451</v>
      </c>
      <c r="J108">
        <f>'Req. Diario'!H107</f>
        <v>3.215235711445334</v>
      </c>
      <c r="K108">
        <f>J108/$K$6</f>
        <v>11.908280412760496</v>
      </c>
      <c r="L108">
        <f>'Req. Diario'!I107</f>
        <v>35.6483</v>
      </c>
      <c r="M108">
        <f>L108/$M$6</f>
        <v>173.89414634146343</v>
      </c>
    </row>
    <row r="109">
      <c r="B109">
        <f>'Req. Diario'!D108</f>
        <v>5.552031621159621</v>
      </c>
      <c r="C109">
        <f>(B109-((E109*(Main!$E$31/100))+(G109*(Main!$E$36/100))+(I109*(Main!$E$46/100))+(K109*(Main!$E$51/100))))/$C$6</f>
        <v>5.46927002324663</v>
      </c>
      <c r="D109">
        <f>'Req. Diario'!E108</f>
        <v>3.042092307692308</v>
      </c>
      <c r="E109">
        <f>(D109-((C109*(Main!$F$41/100))+(G109*(Main!$F$36/100))+(I109*(Main!$F$46/100))+(K109*(Main!$F$51/100))))/$E$6</f>
        <v>6.61324414715719</v>
      </c>
      <c r="F109">
        <f>'Req. Diario'!F108</f>
        <v>6.750986666666667</v>
      </c>
      <c r="G109">
        <f>(F109-((C109*(Main!$G$41/100))+(E109*(Main!$G$31/100))+(I109*(Main!$G$46/100))+(K109*(Main!$G$51/100))))/$G$6</f>
        <v>12.982666666666667</v>
      </c>
      <c r="H109">
        <f>'Req. Diario'!G108</f>
        <v>0.9243499368082321</v>
      </c>
      <c r="I109">
        <f>H109/$I$6</f>
        <v>5.777187105051451</v>
      </c>
      <c r="J109">
        <f>'Req. Diario'!H108</f>
        <v>3.215235711445334</v>
      </c>
      <c r="K109">
        <f>J109/$K$6</f>
        <v>11.908280412760496</v>
      </c>
      <c r="L109">
        <f>'Req. Diario'!I108</f>
        <v>35.6483</v>
      </c>
      <c r="M109">
        <f>L109/$M$6</f>
        <v>173.89414634146343</v>
      </c>
    </row>
    <row r="110">
      <c r="B110">
        <f>'Req. Diario'!D109</f>
        <v>5.552031621159621</v>
      </c>
      <c r="C110">
        <f>(B110-((E110*(Main!$E$31/100))+(G110*(Main!$E$36/100))+(I110*(Main!$E$46/100))+(K110*(Main!$E$51/100))))/$C$6</f>
        <v>5.46927002324663</v>
      </c>
      <c r="D110">
        <f>'Req. Diario'!E109</f>
        <v>3.042092307692308</v>
      </c>
      <c r="E110">
        <f>(D110-((C110*(Main!$F$41/100))+(G110*(Main!$F$36/100))+(I110*(Main!$F$46/100))+(K110*(Main!$F$51/100))))/$E$6</f>
        <v>6.61324414715719</v>
      </c>
      <c r="F110">
        <f>'Req. Diario'!F109</f>
        <v>6.750986666666667</v>
      </c>
      <c r="G110">
        <f>(F110-((C110*(Main!$G$41/100))+(E110*(Main!$G$31/100))+(I110*(Main!$G$46/100))+(K110*(Main!$G$51/100))))/$G$6</f>
        <v>12.982666666666667</v>
      </c>
      <c r="H110">
        <f>'Req. Diario'!G109</f>
        <v>0.9243499368082321</v>
      </c>
      <c r="I110">
        <f>H110/$I$6</f>
        <v>5.777187105051451</v>
      </c>
      <c r="J110">
        <f>'Req. Diario'!H109</f>
        <v>3.215235711445334</v>
      </c>
      <c r="K110">
        <f>J110/$K$6</f>
        <v>11.908280412760496</v>
      </c>
      <c r="L110">
        <f>'Req. Diario'!I109</f>
        <v>35.6483</v>
      </c>
      <c r="M110">
        <f>L110/$M$6</f>
        <v>173.89414634146343</v>
      </c>
    </row>
    <row r="111">
      <c r="B111">
        <f>'Req. Diario'!D110</f>
        <v>5.552031621159621</v>
      </c>
      <c r="C111">
        <f>(B111-((E111*(Main!$E$31/100))+(G111*(Main!$E$36/100))+(I111*(Main!$E$46/100))+(K111*(Main!$E$51/100))))/$C$6</f>
        <v>5.46927002324663</v>
      </c>
      <c r="D111">
        <f>'Req. Diario'!E110</f>
        <v>3.042092307692308</v>
      </c>
      <c r="E111">
        <f>(D111-((C111*(Main!$F$41/100))+(G111*(Main!$F$36/100))+(I111*(Main!$F$46/100))+(K111*(Main!$F$51/100))))/$E$6</f>
        <v>6.61324414715719</v>
      </c>
      <c r="F111">
        <f>'Req. Diario'!F110</f>
        <v>6.750986666666667</v>
      </c>
      <c r="G111">
        <f>(F111-((C111*(Main!$G$41/100))+(E111*(Main!$G$31/100))+(I111*(Main!$G$46/100))+(K111*(Main!$G$51/100))))/$G$6</f>
        <v>12.982666666666667</v>
      </c>
      <c r="H111">
        <f>'Req. Diario'!G110</f>
        <v>0.9243499368082321</v>
      </c>
      <c r="I111">
        <f>H111/$I$6</f>
        <v>5.777187105051451</v>
      </c>
      <c r="J111">
        <f>'Req. Diario'!H110</f>
        <v>3.215235711445334</v>
      </c>
      <c r="K111">
        <f>J111/$K$6</f>
        <v>11.908280412760496</v>
      </c>
      <c r="L111">
        <f>'Req. Diario'!I110</f>
        <v>35.6483</v>
      </c>
      <c r="M111">
        <f>L111/$M$6</f>
        <v>173.89414634146343</v>
      </c>
    </row>
    <row r="113">
      <c r="B113">
        <f>SUM(B6:B111)</f>
        <v>365.9714176947721</v>
      </c>
      <c r="C113">
        <f>SUM(C6:C111)</f>
        <v>360.97604903234</v>
      </c>
      <c r="D113">
        <f>SUM(D6:D111)</f>
        <v>200.52458461538492</v>
      </c>
      <c r="E113">
        <f>SUM(E6:E111)</f>
        <v>436.3830100334455</v>
      </c>
      <c r="F113">
        <f>SUM(F6:F111)</f>
        <v>445.00253777777783</v>
      </c>
      <c r="G113">
        <f>SUM(G6:G111)</f>
        <v>856.2941111111107</v>
      </c>
      <c r="H113">
        <f>SUM(H6:H111)</f>
        <v>60.930066667942675</v>
      </c>
      <c r="I113">
        <f>SUM(I6:I111)</f>
        <v>380.97291667464117</v>
      </c>
      <c r="J113">
        <f>SUM(J6:J111)</f>
        <v>211.9376206461048</v>
      </c>
      <c r="K113">
        <f>SUM(K6:K111)</f>
        <v>785.2241505411299</v>
      </c>
      <c r="L113">
        <f>SUM(L6:L111)</f>
        <v>2332.4165000000003</v>
      </c>
      <c r="M113">
        <f>SUM(M6:M111)</f>
        <v>11377.846463414626</v>
      </c>
    </row>
  </sheetData>
  <sheetProtection sheet="1"/>
  <mergeCells count="1">
    <mergeCell ref="E1:J1"/>
  </mergeCells>
  <pageMargins left="0.42" right="0.75" top="0.44" bottom="0.39" header="0.25" footer="0.25"/>
  <ignoredErrors>
    <ignoredError numberStoredAsText="1" sqref="A1:Q113"/>
  </ignoredErrors>
</worksheet>
</file>

<file path=xl/worksheets/sheet10.xml><?xml version="1.0" encoding="utf-8"?>
<worksheet xmlns="http://schemas.openxmlformats.org/spreadsheetml/2006/main" xmlns:r="http://schemas.openxmlformats.org/officeDocument/2006/relationships">
  <dimension ref="A1:T111"/>
  <sheetViews>
    <sheetView workbookViewId="0" rightToLeft="0"/>
  </sheetViews>
  <sheetData>
    <row r="1">
      <c r="A1" t="str">
        <v>Requerimientos Diarios para:</v>
      </c>
      <c r="H1" t="str">
        <f>Main!E21</f>
        <v>Tabaco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0.4</v>
      </c>
    </row>
    <row r="6">
      <c r="B6">
        <v>1</v>
      </c>
      <c r="C6">
        <v>1</v>
      </c>
      <c r="D6">
        <v>0.9253386035266035</v>
      </c>
      <c r="E6">
        <v>0.5070153846153846</v>
      </c>
      <c r="F6">
        <v>1.1251644444444446</v>
      </c>
      <c r="G6">
        <f>(H6/1.39135)*$K$5</f>
        <v>0.154058322801372</v>
      </c>
      <c r="H6">
        <f>(F6*1.190654)*$L$5</f>
        <v>0.5358726185742223</v>
      </c>
      <c r="I6">
        <v>5.0926</v>
      </c>
      <c r="J6">
        <f>D6/(F6/3.362524)</f>
        <v>2.7653497920661665</v>
      </c>
      <c r="K6">
        <f>G6/(H6/1.39135)</f>
        <v>0.4000000000000001</v>
      </c>
      <c r="L6">
        <f>(H6/1.190654)/F6</f>
        <v>0.39999999999999997</v>
      </c>
    </row>
    <row r="7">
      <c r="B7">
        <v>2</v>
      </c>
      <c r="C7">
        <v>1</v>
      </c>
      <c r="D7">
        <v>0.9253386035266035</v>
      </c>
      <c r="E7">
        <v>0.5070153846153846</v>
      </c>
      <c r="F7">
        <v>1.1251644444444446</v>
      </c>
      <c r="G7">
        <f>(H7/1.39135)*$K$5</f>
        <v>0.154058322801372</v>
      </c>
      <c r="H7">
        <f>(F7*1.190654)*$L$5</f>
        <v>0.5358726185742223</v>
      </c>
      <c r="I7">
        <v>5.0926</v>
      </c>
      <c r="J7">
        <f>D7/(F7/3.362524)</f>
        <v>2.7653497920661665</v>
      </c>
      <c r="K7">
        <f>G7/(H7/1.39135)</f>
        <v>0.4000000000000001</v>
      </c>
      <c r="L7">
        <f>(H7/1.190654)/F7</f>
        <v>0.39999999999999997</v>
      </c>
    </row>
    <row r="8">
      <c r="B8">
        <v>3</v>
      </c>
      <c r="C8">
        <v>1</v>
      </c>
      <c r="D8">
        <v>0.9253386035266035</v>
      </c>
      <c r="E8">
        <v>0.5070153846153846</v>
      </c>
      <c r="F8">
        <v>1.1251644444444446</v>
      </c>
      <c r="G8">
        <f>(H8/1.39135)*$K$5</f>
        <v>0.154058322801372</v>
      </c>
      <c r="H8">
        <f>(F8*1.190654)*$L$5</f>
        <v>0.5358726185742223</v>
      </c>
      <c r="I8">
        <v>5.0926</v>
      </c>
      <c r="J8">
        <f>D8/(F8/3.362524)</f>
        <v>2.7653497920661665</v>
      </c>
      <c r="K8">
        <f>G8/(H8/1.39135)</f>
        <v>0.4000000000000001</v>
      </c>
      <c r="L8">
        <f>(H8/1.190654)/F8</f>
        <v>0.39999999999999997</v>
      </c>
    </row>
    <row r="9">
      <c r="B9">
        <v>4</v>
      </c>
      <c r="C9">
        <v>1</v>
      </c>
      <c r="D9">
        <v>0.9253386035266035</v>
      </c>
      <c r="E9">
        <v>0.5070153846153846</v>
      </c>
      <c r="F9">
        <v>1.1251644444444446</v>
      </c>
      <c r="G9">
        <f>(H9/1.39135)*$K$5</f>
        <v>0.154058322801372</v>
      </c>
      <c r="H9">
        <f>(F9*1.190654)*$L$5</f>
        <v>0.5358726185742223</v>
      </c>
      <c r="I9">
        <v>5.0926</v>
      </c>
      <c r="J9">
        <f>D9/(F9/3.362524)</f>
        <v>2.7653497920661665</v>
      </c>
      <c r="K9">
        <f>G9/(H9/1.39135)</f>
        <v>0.4000000000000001</v>
      </c>
      <c r="L9">
        <f>(H9/1.190654)/F9</f>
        <v>0.39999999999999997</v>
      </c>
    </row>
    <row r="10">
      <c r="B10">
        <v>5</v>
      </c>
      <c r="C10">
        <v>1</v>
      </c>
      <c r="D10">
        <v>0.9253386035266035</v>
      </c>
      <c r="E10">
        <v>0.5070153846153846</v>
      </c>
      <c r="F10">
        <v>1.1251644444444446</v>
      </c>
      <c r="G10">
        <f>(H10/1.39135)*$K$5</f>
        <v>0.154058322801372</v>
      </c>
      <c r="H10">
        <f>(F10*1.190654)*$L$5</f>
        <v>0.5358726185742223</v>
      </c>
      <c r="I10">
        <v>5.0926</v>
      </c>
      <c r="J10">
        <f>D10/(F10/3.362524)</f>
        <v>2.7653497920661665</v>
      </c>
      <c r="K10">
        <f>G10/(H10/1.39135)</f>
        <v>0.4000000000000001</v>
      </c>
      <c r="L10">
        <f>(H10/1.190654)/F10</f>
        <v>0.39999999999999997</v>
      </c>
    </row>
    <row r="11">
      <c r="B11">
        <v>6</v>
      </c>
      <c r="C11">
        <v>1</v>
      </c>
      <c r="D11">
        <v>0.9253386035266035</v>
      </c>
      <c r="E11">
        <v>0.5070153846153846</v>
      </c>
      <c r="F11">
        <v>1.1251644444444446</v>
      </c>
      <c r="G11">
        <f>(H11/1.39135)*$K$5</f>
        <v>0.154058322801372</v>
      </c>
      <c r="H11">
        <f>(F11*1.190654)*$L$5</f>
        <v>0.5358726185742223</v>
      </c>
      <c r="I11">
        <v>5.0926</v>
      </c>
      <c r="J11">
        <f>D11/(F11/3.362524)</f>
        <v>2.7653497920661665</v>
      </c>
      <c r="K11">
        <f>G11/(H11/1.39135)</f>
        <v>0.4000000000000001</v>
      </c>
      <c r="L11">
        <f>(H11/1.190654)/F11</f>
        <v>0.39999999999999997</v>
      </c>
    </row>
    <row r="12">
      <c r="B12">
        <v>7</v>
      </c>
      <c r="C12">
        <v>1</v>
      </c>
      <c r="D12">
        <v>0.9253386035266035</v>
      </c>
      <c r="E12">
        <v>0.5070153846153846</v>
      </c>
      <c r="F12">
        <v>1.1251644444444446</v>
      </c>
      <c r="G12">
        <f>(H12/1.39135)*$K$5</f>
        <v>0.154058322801372</v>
      </c>
      <c r="H12">
        <f>(F12*1.190654)*$L$5</f>
        <v>0.5358726185742223</v>
      </c>
      <c r="I12">
        <v>5.0926</v>
      </c>
      <c r="J12">
        <f>D12/(F12/3.362524)</f>
        <v>2.7653497920661665</v>
      </c>
      <c r="K12">
        <f>G12/(H12/1.39135)</f>
        <v>0.4000000000000001</v>
      </c>
      <c r="L12">
        <f>(H12/1.190654)/F12</f>
        <v>0.39999999999999997</v>
      </c>
    </row>
    <row r="13">
      <c r="B13">
        <v>8</v>
      </c>
      <c r="C13">
        <v>2</v>
      </c>
      <c r="D13">
        <v>0.9253386035266035</v>
      </c>
      <c r="E13">
        <v>0.5070153846153846</v>
      </c>
      <c r="F13">
        <v>1.1251644444444446</v>
      </c>
      <c r="G13">
        <f>(H13/1.39135)*$K$5</f>
        <v>0.154058322801372</v>
      </c>
      <c r="H13">
        <f>(F13*1.190654)*$L$5</f>
        <v>0.5358726185742223</v>
      </c>
      <c r="I13">
        <v>5.0926</v>
      </c>
      <c r="J13">
        <f>D13/(F13/3.362524)</f>
        <v>2.7653497920661665</v>
      </c>
      <c r="K13">
        <f>G13/(H13/1.39135)</f>
        <v>0.4000000000000001</v>
      </c>
      <c r="L13">
        <f>(H13/1.190654)/F13</f>
        <v>0.39999999999999997</v>
      </c>
    </row>
    <row r="14">
      <c r="B14">
        <v>9</v>
      </c>
      <c r="C14">
        <v>2</v>
      </c>
      <c r="D14">
        <v>0.9253386035266035</v>
      </c>
      <c r="E14">
        <v>0.5070153846153846</v>
      </c>
      <c r="F14">
        <v>1.1251644444444446</v>
      </c>
      <c r="G14">
        <f>(H14/1.39135)*$K$5</f>
        <v>0.154058322801372</v>
      </c>
      <c r="H14">
        <f>(F14*1.190654)*$L$5</f>
        <v>0.5358726185742223</v>
      </c>
      <c r="I14">
        <v>5.0926</v>
      </c>
      <c r="J14">
        <f>D14/(F14/3.362524)</f>
        <v>2.7653497920661665</v>
      </c>
      <c r="K14">
        <f>G14/(H14/1.39135)</f>
        <v>0.4000000000000001</v>
      </c>
      <c r="L14">
        <f>(H14/1.190654)/F14</f>
        <v>0.39999999999999997</v>
      </c>
    </row>
    <row r="15">
      <c r="B15">
        <v>10</v>
      </c>
      <c r="C15">
        <v>2</v>
      </c>
      <c r="D15">
        <v>0.9253386035266035</v>
      </c>
      <c r="E15">
        <v>0.5070153846153846</v>
      </c>
      <c r="F15">
        <v>1.1251644444444446</v>
      </c>
      <c r="G15">
        <f>(H15/1.39135)*$K$5</f>
        <v>0.154058322801372</v>
      </c>
      <c r="H15">
        <f>(F15*1.190654)*$L$5</f>
        <v>0.5358726185742223</v>
      </c>
      <c r="I15">
        <v>5.0926</v>
      </c>
      <c r="J15">
        <f>D15/(F15/3.362524)</f>
        <v>2.7653497920661665</v>
      </c>
      <c r="K15">
        <f>G15/(H15/1.39135)</f>
        <v>0.4000000000000001</v>
      </c>
      <c r="L15">
        <f>(H15/1.190654)/F15</f>
        <v>0.39999999999999997</v>
      </c>
    </row>
    <row r="16">
      <c r="B16">
        <v>11</v>
      </c>
      <c r="C16">
        <v>2</v>
      </c>
      <c r="D16">
        <v>1.3880079052899053</v>
      </c>
      <c r="E16">
        <v>0.760523076923077</v>
      </c>
      <c r="F16">
        <v>1.6877466666666667</v>
      </c>
      <c r="G16">
        <f>(H16/1.39135)*$K$5</f>
        <v>0.23108748420205802</v>
      </c>
      <c r="H16">
        <f>(F16*1.190654)*$L$5</f>
        <v>0.8038089278613335</v>
      </c>
      <c r="I16">
        <v>9.1667</v>
      </c>
      <c r="J16">
        <f>D16/(F16/3.362524)</f>
        <v>2.765349792066167</v>
      </c>
      <c r="K16">
        <f>G16/(H16/1.39135)</f>
        <v>0.4</v>
      </c>
      <c r="L16">
        <f>(H16/1.190654)/F16</f>
        <v>0.4</v>
      </c>
    </row>
    <row r="17">
      <c r="B17">
        <v>12</v>
      </c>
      <c r="C17">
        <v>2</v>
      </c>
      <c r="D17">
        <v>1.3880079052899053</v>
      </c>
      <c r="E17">
        <v>0.760523076923077</v>
      </c>
      <c r="F17">
        <v>1.6877466666666667</v>
      </c>
      <c r="G17">
        <f>(H17/1.39135)*$K$5</f>
        <v>0.23108748420205802</v>
      </c>
      <c r="H17">
        <f>(F17*1.190654)*$L$5</f>
        <v>0.8038089278613335</v>
      </c>
      <c r="I17">
        <v>9.1667</v>
      </c>
      <c r="J17">
        <f>D17/(F17/3.362524)</f>
        <v>2.765349792066167</v>
      </c>
      <c r="K17">
        <f>G17/(H17/1.39135)</f>
        <v>0.4</v>
      </c>
      <c r="L17">
        <f>(H17/1.190654)/F17</f>
        <v>0.4</v>
      </c>
    </row>
    <row r="18">
      <c r="B18">
        <v>13</v>
      </c>
      <c r="C18">
        <v>2</v>
      </c>
      <c r="D18">
        <v>1.3880079052899053</v>
      </c>
      <c r="E18">
        <v>0.760523076923077</v>
      </c>
      <c r="F18">
        <v>1.6877466666666667</v>
      </c>
      <c r="G18">
        <f>(H18/1.39135)*$K$5</f>
        <v>0.23108748420205802</v>
      </c>
      <c r="H18">
        <f>(F18*1.190654)*$L$5</f>
        <v>0.8038089278613335</v>
      </c>
      <c r="I18">
        <v>9.1667</v>
      </c>
      <c r="J18">
        <f>D18/(F18/3.362524)</f>
        <v>2.765349792066167</v>
      </c>
      <c r="K18">
        <f>G18/(H18/1.39135)</f>
        <v>0.4</v>
      </c>
      <c r="L18">
        <f>(H18/1.190654)/F18</f>
        <v>0.4</v>
      </c>
    </row>
    <row r="19">
      <c r="B19">
        <v>14</v>
      </c>
      <c r="C19">
        <v>2</v>
      </c>
      <c r="D19">
        <v>1.3880079052899053</v>
      </c>
      <c r="E19">
        <v>0.760523076923077</v>
      </c>
      <c r="F19">
        <v>1.6877466666666667</v>
      </c>
      <c r="G19">
        <f>(H19/1.39135)*$K$5</f>
        <v>0.23108748420205802</v>
      </c>
      <c r="H19">
        <f>(F19*1.190654)*$L$5</f>
        <v>0.8038089278613335</v>
      </c>
      <c r="I19">
        <v>9.1667</v>
      </c>
      <c r="J19">
        <f>D19/(F19/3.362524)</f>
        <v>2.765349792066167</v>
      </c>
      <c r="K19">
        <f>G19/(H19/1.39135)</f>
        <v>0.4</v>
      </c>
      <c r="L19">
        <f>(H19/1.190654)/F19</f>
        <v>0.4</v>
      </c>
    </row>
    <row r="20">
      <c r="B20">
        <v>15</v>
      </c>
      <c r="C20">
        <v>3</v>
      </c>
      <c r="D20">
        <v>1.3880079052899053</v>
      </c>
      <c r="E20">
        <v>0.760523076923077</v>
      </c>
      <c r="F20">
        <v>1.6877466666666667</v>
      </c>
      <c r="G20">
        <f>(H20/1.39135)*$K$5</f>
        <v>0.23108748420205802</v>
      </c>
      <c r="H20">
        <f>(F20*1.190654)*$L$5</f>
        <v>0.8038089278613335</v>
      </c>
      <c r="I20">
        <v>9.1667</v>
      </c>
      <c r="J20">
        <f>D20/(F20/3.362524)</f>
        <v>2.765349792066167</v>
      </c>
      <c r="K20">
        <f>G20/(H20/1.39135)</f>
        <v>0.4</v>
      </c>
      <c r="L20">
        <f>(H20/1.190654)/F20</f>
        <v>0.4</v>
      </c>
    </row>
    <row r="21">
      <c r="B21">
        <v>16</v>
      </c>
      <c r="C21">
        <v>3</v>
      </c>
      <c r="D21">
        <v>1.3880079052899053</v>
      </c>
      <c r="E21">
        <v>0.760523076923077</v>
      </c>
      <c r="F21">
        <v>1.6877466666666667</v>
      </c>
      <c r="G21">
        <f>(H21/1.39135)*$K$5</f>
        <v>0.23108748420205802</v>
      </c>
      <c r="H21">
        <f>(F21*1.190654)*$L$5</f>
        <v>0.8038089278613335</v>
      </c>
      <c r="I21">
        <v>9.1667</v>
      </c>
      <c r="J21">
        <f>D21/(F21/3.362524)</f>
        <v>2.765349792066167</v>
      </c>
      <c r="K21">
        <f>G21/(H21/1.39135)</f>
        <v>0.4</v>
      </c>
      <c r="L21">
        <f>(H21/1.190654)/F21</f>
        <v>0.4</v>
      </c>
    </row>
    <row r="22">
      <c r="B22">
        <v>17</v>
      </c>
      <c r="C22">
        <v>3</v>
      </c>
      <c r="D22">
        <v>1.3880079052899053</v>
      </c>
      <c r="E22">
        <v>0.760523076923077</v>
      </c>
      <c r="F22">
        <v>1.6877466666666667</v>
      </c>
      <c r="G22">
        <f>(H22/1.39135)*$K$5</f>
        <v>0.23108748420205802</v>
      </c>
      <c r="H22">
        <f>(F22*1.190654)*$L$5</f>
        <v>0.8038089278613335</v>
      </c>
      <c r="I22">
        <v>9.1667</v>
      </c>
      <c r="J22">
        <f>D22/(F22/3.362524)</f>
        <v>2.765349792066167</v>
      </c>
      <c r="K22">
        <f>G22/(H22/1.39135)</f>
        <v>0.4</v>
      </c>
      <c r="L22">
        <f>(H22/1.190654)/F22</f>
        <v>0.4</v>
      </c>
    </row>
    <row r="23">
      <c r="B23">
        <v>18</v>
      </c>
      <c r="C23">
        <v>3</v>
      </c>
      <c r="D23">
        <v>1.850677207053207</v>
      </c>
      <c r="E23">
        <v>1.0140307692307693</v>
      </c>
      <c r="F23">
        <v>2.2503288888888893</v>
      </c>
      <c r="G23">
        <f>(H23/1.39135)*$K$5</f>
        <v>0.308116645602744</v>
      </c>
      <c r="H23">
        <f>(F23*1.190654)*$L$5</f>
        <v>1.0717452371484446</v>
      </c>
      <c r="I23">
        <v>12.2222</v>
      </c>
      <c r="J23">
        <f>D23/(F23/3.362524)</f>
        <v>2.7653497920661665</v>
      </c>
      <c r="K23">
        <f>G23/(H23/1.39135)</f>
        <v>0.4000000000000001</v>
      </c>
      <c r="L23">
        <f>(H23/1.190654)/F23</f>
        <v>0.39999999999999997</v>
      </c>
    </row>
    <row r="24">
      <c r="B24">
        <v>19</v>
      </c>
      <c r="C24">
        <v>3</v>
      </c>
      <c r="D24">
        <v>1.850677207053207</v>
      </c>
      <c r="E24">
        <v>1.0140307692307693</v>
      </c>
      <c r="F24">
        <v>2.2503288888888893</v>
      </c>
      <c r="G24">
        <f>(H24/1.39135)*$K$5</f>
        <v>0.308116645602744</v>
      </c>
      <c r="H24">
        <f>(F24*1.190654)*$L$5</f>
        <v>1.0717452371484446</v>
      </c>
      <c r="I24">
        <v>12.2222</v>
      </c>
      <c r="J24">
        <f>D24/(F24/3.362524)</f>
        <v>2.7653497920661665</v>
      </c>
      <c r="K24">
        <f>G24/(H24/1.39135)</f>
        <v>0.4000000000000001</v>
      </c>
      <c r="L24">
        <f>(H24/1.190654)/F24</f>
        <v>0.39999999999999997</v>
      </c>
    </row>
    <row r="25">
      <c r="B25">
        <v>20</v>
      </c>
      <c r="C25">
        <v>3</v>
      </c>
      <c r="D25">
        <v>1.850677207053207</v>
      </c>
      <c r="E25">
        <v>1.0140307692307693</v>
      </c>
      <c r="F25">
        <v>2.2503288888888893</v>
      </c>
      <c r="G25">
        <f>(H25/1.39135)*$K$5</f>
        <v>0.308116645602744</v>
      </c>
      <c r="H25">
        <f>(F25*1.190654)*$L$5</f>
        <v>1.0717452371484446</v>
      </c>
      <c r="I25">
        <v>12.2222</v>
      </c>
      <c r="J25">
        <f>D25/(F25/3.362524)</f>
        <v>2.7653497920661665</v>
      </c>
      <c r="K25">
        <f>G25/(H25/1.39135)</f>
        <v>0.4000000000000001</v>
      </c>
      <c r="L25">
        <f>(H25/1.190654)/F25</f>
        <v>0.39999999999999997</v>
      </c>
    </row>
    <row r="26">
      <c r="B26">
        <v>21</v>
      </c>
      <c r="C26">
        <v>3</v>
      </c>
      <c r="D26">
        <v>1.850677207053207</v>
      </c>
      <c r="E26">
        <v>1.0140307692307693</v>
      </c>
      <c r="F26">
        <v>2.2503288888888893</v>
      </c>
      <c r="G26">
        <f>(H26/1.39135)*$K$5</f>
        <v>0.308116645602744</v>
      </c>
      <c r="H26">
        <f>(F26*1.190654)*$L$5</f>
        <v>1.0717452371484446</v>
      </c>
      <c r="I26">
        <v>12.2222</v>
      </c>
      <c r="J26">
        <f>D26/(F26/3.362524)</f>
        <v>2.7653497920661665</v>
      </c>
      <c r="K26">
        <f>G26/(H26/1.39135)</f>
        <v>0.4000000000000001</v>
      </c>
      <c r="L26">
        <f>(H26/1.190654)/F26</f>
        <v>0.39999999999999997</v>
      </c>
    </row>
    <row r="27">
      <c r="B27">
        <v>22</v>
      </c>
      <c r="C27">
        <v>4</v>
      </c>
      <c r="D27">
        <v>1.850677207053207</v>
      </c>
      <c r="E27">
        <v>1.0140307692307693</v>
      </c>
      <c r="F27">
        <v>2.2503288888888893</v>
      </c>
      <c r="G27">
        <f>(H27/1.39135)*$K$5</f>
        <v>0.308116645602744</v>
      </c>
      <c r="H27">
        <f>(F27*1.190654)*$L$5</f>
        <v>1.0717452371484446</v>
      </c>
      <c r="I27">
        <v>12.2222</v>
      </c>
      <c r="J27">
        <f>D27/(F27/3.362524)</f>
        <v>2.7653497920661665</v>
      </c>
      <c r="K27">
        <f>G27/(H27/1.39135)</f>
        <v>0.4000000000000001</v>
      </c>
      <c r="L27">
        <f>(H27/1.190654)/F27</f>
        <v>0.39999999999999997</v>
      </c>
    </row>
    <row r="28">
      <c r="B28">
        <v>23</v>
      </c>
      <c r="C28">
        <v>4</v>
      </c>
      <c r="D28">
        <v>1.850677207053207</v>
      </c>
      <c r="E28">
        <v>1.0140307692307693</v>
      </c>
      <c r="F28">
        <v>2.2503288888888893</v>
      </c>
      <c r="G28">
        <f>(H28/1.39135)*$K$5</f>
        <v>0.308116645602744</v>
      </c>
      <c r="H28">
        <f>(F28*1.190654)*$L$5</f>
        <v>1.0717452371484446</v>
      </c>
      <c r="I28">
        <v>12.2222</v>
      </c>
      <c r="J28">
        <f>D28/(F28/3.362524)</f>
        <v>2.7653497920661665</v>
      </c>
      <c r="K28">
        <f>G28/(H28/1.39135)</f>
        <v>0.4000000000000001</v>
      </c>
      <c r="L28">
        <f>(H28/1.190654)/F28</f>
        <v>0.39999999999999997</v>
      </c>
    </row>
    <row r="29">
      <c r="B29">
        <v>24</v>
      </c>
      <c r="C29">
        <v>4</v>
      </c>
      <c r="D29">
        <v>1.850677207053207</v>
      </c>
      <c r="E29">
        <v>1.0140307692307693</v>
      </c>
      <c r="F29">
        <v>2.2503288888888893</v>
      </c>
      <c r="G29">
        <f>(H29/1.39135)*$K$5</f>
        <v>0.308116645602744</v>
      </c>
      <c r="H29">
        <f>(F29*1.190654)*$L$5</f>
        <v>1.0717452371484446</v>
      </c>
      <c r="I29">
        <v>12.2222</v>
      </c>
      <c r="J29">
        <f>D29/(F29/3.362524)</f>
        <v>2.7653497920661665</v>
      </c>
      <c r="K29">
        <f>G29/(H29/1.39135)</f>
        <v>0.4000000000000001</v>
      </c>
      <c r="L29">
        <f>(H29/1.190654)/F29</f>
        <v>0.39999999999999997</v>
      </c>
    </row>
    <row r="30">
      <c r="B30">
        <v>25</v>
      </c>
      <c r="C30">
        <v>4</v>
      </c>
      <c r="D30">
        <v>1.850677207053207</v>
      </c>
      <c r="E30">
        <v>1.0140307692307693</v>
      </c>
      <c r="F30">
        <v>2.2503288888888893</v>
      </c>
      <c r="G30">
        <f>(H30/1.39135)*$K$5</f>
        <v>0.308116645602744</v>
      </c>
      <c r="H30">
        <f>(F30*1.190654)*$L$5</f>
        <v>1.0717452371484446</v>
      </c>
      <c r="I30">
        <v>12.2222</v>
      </c>
      <c r="J30">
        <f>D30/(F30/3.362524)</f>
        <v>2.7653497920661665</v>
      </c>
      <c r="K30">
        <f>G30/(H30/1.39135)</f>
        <v>0.4000000000000001</v>
      </c>
      <c r="L30">
        <f>(H30/1.190654)/F30</f>
        <v>0.39999999999999997</v>
      </c>
    </row>
    <row r="31">
      <c r="B31">
        <v>26</v>
      </c>
      <c r="C31">
        <v>4</v>
      </c>
      <c r="D31">
        <v>1.850677207053207</v>
      </c>
      <c r="E31">
        <v>1.0140307692307693</v>
      </c>
      <c r="F31">
        <v>2.2503288888888893</v>
      </c>
      <c r="G31">
        <f>(H31/1.39135)*$K$5</f>
        <v>0.308116645602744</v>
      </c>
      <c r="H31">
        <f>(F31*1.190654)*$L$5</f>
        <v>1.0717452371484446</v>
      </c>
      <c r="I31">
        <v>12.2222</v>
      </c>
      <c r="J31">
        <f>D31/(F31/3.362524)</f>
        <v>2.7653497920661665</v>
      </c>
      <c r="K31">
        <f>G31/(H31/1.39135)</f>
        <v>0.4000000000000001</v>
      </c>
      <c r="L31">
        <f>(H31/1.190654)/F31</f>
        <v>0.39999999999999997</v>
      </c>
    </row>
    <row r="32">
      <c r="B32">
        <v>27</v>
      </c>
      <c r="C32">
        <v>4</v>
      </c>
      <c r="D32">
        <v>1.850677207053207</v>
      </c>
      <c r="E32">
        <v>1.0140307692307693</v>
      </c>
      <c r="F32">
        <v>2.2503288888888893</v>
      </c>
      <c r="G32">
        <f>(H32/1.39135)*$K$5</f>
        <v>0.308116645602744</v>
      </c>
      <c r="H32">
        <f>(F32*1.190654)*$L$5</f>
        <v>1.0717452371484446</v>
      </c>
      <c r="I32">
        <v>12.2222</v>
      </c>
      <c r="J32">
        <f>D32/(F32/3.362524)</f>
        <v>2.7653497920661665</v>
      </c>
      <c r="K32">
        <f>G32/(H32/1.39135)</f>
        <v>0.4000000000000001</v>
      </c>
      <c r="L32">
        <f>(H32/1.190654)/F32</f>
        <v>0.39999999999999997</v>
      </c>
    </row>
    <row r="33">
      <c r="B33">
        <v>28</v>
      </c>
      <c r="C33">
        <v>4</v>
      </c>
      <c r="D33">
        <v>1.850677207053207</v>
      </c>
      <c r="E33">
        <v>1.0140307692307693</v>
      </c>
      <c r="F33">
        <v>2.2503288888888893</v>
      </c>
      <c r="G33">
        <f>(H33/1.39135)*$K$5</f>
        <v>0.308116645602744</v>
      </c>
      <c r="H33">
        <f>(F33*1.190654)*$L$5</f>
        <v>1.0717452371484446</v>
      </c>
      <c r="I33">
        <v>12.2222</v>
      </c>
      <c r="J33">
        <f>D33/(F33/3.362524)</f>
        <v>2.7653497920661665</v>
      </c>
      <c r="K33">
        <f>G33/(H33/1.39135)</f>
        <v>0.4000000000000001</v>
      </c>
      <c r="L33">
        <f>(H33/1.190654)/F33</f>
        <v>0.39999999999999997</v>
      </c>
    </row>
    <row r="34">
      <c r="B34">
        <v>29</v>
      </c>
      <c r="C34">
        <v>5</v>
      </c>
      <c r="D34">
        <v>1.850677207053207</v>
      </c>
      <c r="E34">
        <v>1.0140307692307693</v>
      </c>
      <c r="F34">
        <v>2.2503288888888893</v>
      </c>
      <c r="G34">
        <f>(H34/1.39135)*$K$5</f>
        <v>0.308116645602744</v>
      </c>
      <c r="H34">
        <f>(F34*1.190654)*$L$5</f>
        <v>1.0717452371484446</v>
      </c>
      <c r="I34">
        <v>12.2222</v>
      </c>
      <c r="J34">
        <f>D34/(F34/3.362524)</f>
        <v>2.7653497920661665</v>
      </c>
      <c r="K34">
        <f>G34/(H34/1.39135)</f>
        <v>0.4000000000000001</v>
      </c>
      <c r="L34">
        <f>(H34/1.190654)/F34</f>
        <v>0.39999999999999997</v>
      </c>
    </row>
    <row r="35">
      <c r="B35">
        <v>30</v>
      </c>
      <c r="C35">
        <v>5</v>
      </c>
      <c r="D35">
        <v>1.850677207053207</v>
      </c>
      <c r="E35">
        <v>1.0140307692307693</v>
      </c>
      <c r="F35">
        <v>2.2503288888888893</v>
      </c>
      <c r="G35">
        <f>(H35/1.39135)*$K$5</f>
        <v>0.308116645602744</v>
      </c>
      <c r="H35">
        <f>(F35*1.190654)*$L$5</f>
        <v>1.0717452371484446</v>
      </c>
      <c r="I35">
        <v>12.2222</v>
      </c>
      <c r="J35">
        <f>D35/(F35/3.362524)</f>
        <v>2.7653497920661665</v>
      </c>
      <c r="K35">
        <f>G35/(H35/1.39135)</f>
        <v>0.4000000000000001</v>
      </c>
      <c r="L35">
        <f>(H35/1.190654)/F35</f>
        <v>0.39999999999999997</v>
      </c>
    </row>
    <row r="36">
      <c r="B36">
        <v>31</v>
      </c>
      <c r="C36">
        <v>5</v>
      </c>
      <c r="D36">
        <v>1.850677207053207</v>
      </c>
      <c r="E36">
        <v>1.0140307692307693</v>
      </c>
      <c r="F36">
        <v>2.2503288888888893</v>
      </c>
      <c r="G36">
        <f>(H36/1.39135)*$K$5</f>
        <v>0.308116645602744</v>
      </c>
      <c r="H36">
        <f>(F36*1.190654)*$L$5</f>
        <v>1.0717452371484446</v>
      </c>
      <c r="I36">
        <v>12.2222</v>
      </c>
      <c r="J36">
        <f>D36/(F36/3.362524)</f>
        <v>2.7653497920661665</v>
      </c>
      <c r="K36">
        <f>G36/(H36/1.39135)</f>
        <v>0.4000000000000001</v>
      </c>
      <c r="L36">
        <f>(H36/1.190654)/F36</f>
        <v>0.39999999999999997</v>
      </c>
    </row>
    <row r="37">
      <c r="B37">
        <v>32</v>
      </c>
      <c r="C37">
        <v>5</v>
      </c>
      <c r="D37">
        <v>1.850677207053207</v>
      </c>
      <c r="E37">
        <v>1.0140307692307693</v>
      </c>
      <c r="F37">
        <v>2.2503288888888893</v>
      </c>
      <c r="G37">
        <f>(H37/1.39135)*$K$5</f>
        <v>0.308116645602744</v>
      </c>
      <c r="H37">
        <f>(F37*1.190654)*$L$5</f>
        <v>1.0717452371484446</v>
      </c>
      <c r="I37">
        <v>12.2222</v>
      </c>
      <c r="J37">
        <f>D37/(F37/3.362524)</f>
        <v>2.7653497920661665</v>
      </c>
      <c r="K37">
        <f>G37/(H37/1.39135)</f>
        <v>0.4000000000000001</v>
      </c>
      <c r="L37">
        <f>(H37/1.190654)/F37</f>
        <v>0.39999999999999997</v>
      </c>
    </row>
    <row r="38">
      <c r="B38">
        <v>33</v>
      </c>
      <c r="C38">
        <v>5</v>
      </c>
      <c r="D38">
        <v>2.7760158105798105</v>
      </c>
      <c r="E38">
        <v>1.521046153846154</v>
      </c>
      <c r="F38">
        <v>3.3754933333333335</v>
      </c>
      <c r="G38">
        <f>(H38/1.39135)*$K$5</f>
        <v>0.46217496840411604</v>
      </c>
      <c r="H38">
        <f>(F38*1.190654)*$L$5</f>
        <v>1.607617855722667</v>
      </c>
      <c r="I38">
        <v>17.3149</v>
      </c>
      <c r="J38">
        <f>D38/(F38/3.362524)</f>
        <v>2.765349792066167</v>
      </c>
      <c r="K38">
        <f>G38/(H38/1.39135)</f>
        <v>0.4</v>
      </c>
      <c r="L38">
        <f>(H38/1.190654)/F38</f>
        <v>0.4</v>
      </c>
    </row>
    <row r="39">
      <c r="B39">
        <v>34</v>
      </c>
      <c r="C39">
        <v>5</v>
      </c>
      <c r="D39">
        <v>2.7760158105798105</v>
      </c>
      <c r="E39">
        <v>1.521046153846154</v>
      </c>
      <c r="F39">
        <v>3.3754933333333335</v>
      </c>
      <c r="G39">
        <f>(H39/1.39135)*$K$5</f>
        <v>0.46217496840411604</v>
      </c>
      <c r="H39">
        <f>(F39*1.190654)*$L$5</f>
        <v>1.607617855722667</v>
      </c>
      <c r="I39">
        <v>17.3149</v>
      </c>
      <c r="J39">
        <f>D39/(F39/3.362524)</f>
        <v>2.765349792066167</v>
      </c>
      <c r="K39">
        <f>G39/(H39/1.39135)</f>
        <v>0.4</v>
      </c>
      <c r="L39">
        <f>(H39/1.190654)/F39</f>
        <v>0.4</v>
      </c>
    </row>
    <row r="40">
      <c r="B40">
        <v>35</v>
      </c>
      <c r="C40">
        <v>5</v>
      </c>
      <c r="D40">
        <v>2.7760158105798105</v>
      </c>
      <c r="E40">
        <v>1.521046153846154</v>
      </c>
      <c r="F40">
        <v>3.3754933333333335</v>
      </c>
      <c r="G40">
        <f>(H40/1.39135)*$K$5</f>
        <v>0.46217496840411604</v>
      </c>
      <c r="H40">
        <f>(F40*1.190654)*$L$5</f>
        <v>1.607617855722667</v>
      </c>
      <c r="I40">
        <v>17.3149</v>
      </c>
      <c r="J40">
        <f>D40/(F40/3.362524)</f>
        <v>2.765349792066167</v>
      </c>
      <c r="K40">
        <f>G40/(H40/1.39135)</f>
        <v>0.4</v>
      </c>
      <c r="L40">
        <f>(H40/1.190654)/F40</f>
        <v>0.4</v>
      </c>
    </row>
    <row r="41">
      <c r="B41">
        <v>36</v>
      </c>
      <c r="C41">
        <v>6</v>
      </c>
      <c r="D41">
        <v>2.7760158105798105</v>
      </c>
      <c r="E41">
        <v>1.521046153846154</v>
      </c>
      <c r="F41">
        <v>3.3754933333333335</v>
      </c>
      <c r="G41">
        <f>(H41/1.39135)*$K$5</f>
        <v>0.46217496840411604</v>
      </c>
      <c r="H41">
        <f>(F41*1.190654)*$L$5</f>
        <v>1.607617855722667</v>
      </c>
      <c r="I41">
        <v>17.3149</v>
      </c>
      <c r="J41">
        <f>D41/(F41/3.362524)</f>
        <v>2.765349792066167</v>
      </c>
      <c r="K41">
        <f>G41/(H41/1.39135)</f>
        <v>0.4</v>
      </c>
      <c r="L41">
        <f>(H41/1.190654)/F41</f>
        <v>0.4</v>
      </c>
    </row>
    <row r="42">
      <c r="B42">
        <v>37</v>
      </c>
      <c r="C42">
        <v>6</v>
      </c>
      <c r="D42">
        <v>2.7760158105798105</v>
      </c>
      <c r="E42">
        <v>1.521046153846154</v>
      </c>
      <c r="F42">
        <v>3.3754933333333335</v>
      </c>
      <c r="G42">
        <f>(H42/1.39135)*$K$5</f>
        <v>0.46217496840411604</v>
      </c>
      <c r="H42">
        <f>(F42*1.190654)*$L$5</f>
        <v>1.607617855722667</v>
      </c>
      <c r="I42">
        <v>17.3149</v>
      </c>
      <c r="J42">
        <f>D42/(F42/3.362524)</f>
        <v>2.765349792066167</v>
      </c>
      <c r="K42">
        <f>G42/(H42/1.39135)</f>
        <v>0.4</v>
      </c>
      <c r="L42">
        <f>(H42/1.190654)/F42</f>
        <v>0.4</v>
      </c>
    </row>
    <row r="43">
      <c r="B43">
        <v>38</v>
      </c>
      <c r="C43">
        <v>6</v>
      </c>
      <c r="D43">
        <v>2.7760158105798105</v>
      </c>
      <c r="E43">
        <v>1.521046153846154</v>
      </c>
      <c r="F43">
        <v>3.3754933333333335</v>
      </c>
      <c r="G43">
        <f>(H43/1.39135)*$K$5</f>
        <v>0.46217496840411604</v>
      </c>
      <c r="H43">
        <f>(F43*1.190654)*$L$5</f>
        <v>1.607617855722667</v>
      </c>
      <c r="I43">
        <v>17.3149</v>
      </c>
      <c r="J43">
        <f>D43/(F43/3.362524)</f>
        <v>2.765349792066167</v>
      </c>
      <c r="K43">
        <f>G43/(H43/1.39135)</f>
        <v>0.4</v>
      </c>
      <c r="L43">
        <f>(H43/1.190654)/F43</f>
        <v>0.4</v>
      </c>
    </row>
    <row r="44">
      <c r="B44">
        <v>39</v>
      </c>
      <c r="C44">
        <v>6</v>
      </c>
      <c r="D44">
        <v>2.7760158105798105</v>
      </c>
      <c r="E44">
        <v>1.521046153846154</v>
      </c>
      <c r="F44">
        <v>3.3754933333333335</v>
      </c>
      <c r="G44">
        <f>(H44/1.39135)*$K$5</f>
        <v>0.46217496840411604</v>
      </c>
      <c r="H44">
        <f>(F44*1.190654)*$L$5</f>
        <v>1.607617855722667</v>
      </c>
      <c r="I44">
        <v>17.3149</v>
      </c>
      <c r="J44">
        <f>D44/(F44/3.362524)</f>
        <v>2.765349792066167</v>
      </c>
      <c r="K44">
        <f>G44/(H44/1.39135)</f>
        <v>0.4</v>
      </c>
      <c r="L44">
        <f>(H44/1.190654)/F44</f>
        <v>0.4</v>
      </c>
    </row>
    <row r="45">
      <c r="B45">
        <v>40</v>
      </c>
      <c r="C45">
        <v>6</v>
      </c>
      <c r="D45">
        <v>2.7760158105798105</v>
      </c>
      <c r="E45">
        <v>1.521046153846154</v>
      </c>
      <c r="F45">
        <v>3.3754933333333335</v>
      </c>
      <c r="G45">
        <f>(H45/1.39135)*$K$5</f>
        <v>0.46217496840411604</v>
      </c>
      <c r="H45">
        <f>(F45*1.190654)*$L$5</f>
        <v>1.607617855722667</v>
      </c>
      <c r="I45">
        <v>17.3149</v>
      </c>
      <c r="J45">
        <f>D45/(F45/3.362524)</f>
        <v>2.765349792066167</v>
      </c>
      <c r="K45">
        <f>G45/(H45/1.39135)</f>
        <v>0.4</v>
      </c>
      <c r="L45">
        <f>(H45/1.190654)/F45</f>
        <v>0.4</v>
      </c>
    </row>
    <row r="46">
      <c r="B46">
        <v>41</v>
      </c>
      <c r="C46">
        <v>6</v>
      </c>
      <c r="D46">
        <v>2.7760158105798105</v>
      </c>
      <c r="E46">
        <v>1.521046153846154</v>
      </c>
      <c r="F46">
        <v>3.3754933333333335</v>
      </c>
      <c r="G46">
        <f>(H46/1.39135)*$K$5</f>
        <v>0.46217496840411604</v>
      </c>
      <c r="H46">
        <f>(F46*1.190654)*$L$5</f>
        <v>1.607617855722667</v>
      </c>
      <c r="I46">
        <v>17.3149</v>
      </c>
      <c r="J46">
        <f>D46/(F46/3.362524)</f>
        <v>2.765349792066167</v>
      </c>
      <c r="K46">
        <f>G46/(H46/1.39135)</f>
        <v>0.4</v>
      </c>
      <c r="L46">
        <f>(H46/1.190654)/F46</f>
        <v>0.4</v>
      </c>
    </row>
    <row r="47">
      <c r="B47">
        <v>42</v>
      </c>
      <c r="C47">
        <v>6</v>
      </c>
      <c r="D47">
        <v>2.7760158105798105</v>
      </c>
      <c r="E47">
        <v>1.521046153846154</v>
      </c>
      <c r="F47">
        <v>3.3754933333333335</v>
      </c>
      <c r="G47">
        <f>(H47/1.39135)*$K$5</f>
        <v>0.46217496840411604</v>
      </c>
      <c r="H47">
        <f>(F47*1.190654)*$L$5</f>
        <v>1.607617855722667</v>
      </c>
      <c r="I47">
        <v>17.3149</v>
      </c>
      <c r="J47">
        <f>D47/(F47/3.362524)</f>
        <v>2.765349792066167</v>
      </c>
      <c r="K47">
        <f>G47/(H47/1.39135)</f>
        <v>0.4</v>
      </c>
      <c r="L47">
        <f>(H47/1.190654)/F47</f>
        <v>0.4</v>
      </c>
    </row>
    <row r="48">
      <c r="B48">
        <v>43</v>
      </c>
      <c r="C48">
        <v>7</v>
      </c>
      <c r="D48">
        <v>2.7760158105798105</v>
      </c>
      <c r="E48">
        <v>1.521046153846154</v>
      </c>
      <c r="F48">
        <v>3.3754933333333335</v>
      </c>
      <c r="G48">
        <f>(H48/1.39135)*$K$5</f>
        <v>0.46217496840411604</v>
      </c>
      <c r="H48">
        <f>(F48*1.190654)*$L$5</f>
        <v>1.607617855722667</v>
      </c>
      <c r="I48">
        <v>17.3149</v>
      </c>
      <c r="J48">
        <f>D48/(F48/3.362524)</f>
        <v>2.765349792066167</v>
      </c>
      <c r="K48">
        <f>G48/(H48/1.39135)</f>
        <v>0.4</v>
      </c>
      <c r="L48">
        <f>(H48/1.190654)/F48</f>
        <v>0.4</v>
      </c>
    </row>
    <row r="49">
      <c r="B49">
        <v>44</v>
      </c>
      <c r="C49">
        <v>7</v>
      </c>
      <c r="D49">
        <v>2.7760158105798105</v>
      </c>
      <c r="E49">
        <v>1.521046153846154</v>
      </c>
      <c r="F49">
        <v>3.3754933333333335</v>
      </c>
      <c r="G49">
        <f>(H49/1.39135)*$K$5</f>
        <v>0.46217496840411604</v>
      </c>
      <c r="H49">
        <f>(F49*1.190654)*$L$5</f>
        <v>1.607617855722667</v>
      </c>
      <c r="I49">
        <v>17.3149</v>
      </c>
      <c r="J49">
        <f>D49/(F49/3.362524)</f>
        <v>2.765349792066167</v>
      </c>
      <c r="K49">
        <f>G49/(H49/1.39135)</f>
        <v>0.4</v>
      </c>
      <c r="L49">
        <f>(H49/1.190654)/F49</f>
        <v>0.4</v>
      </c>
    </row>
    <row r="50">
      <c r="B50">
        <v>45</v>
      </c>
      <c r="C50">
        <v>7</v>
      </c>
      <c r="D50">
        <v>2.7760158105798105</v>
      </c>
      <c r="E50">
        <v>1.521046153846154</v>
      </c>
      <c r="F50">
        <v>3.3754933333333335</v>
      </c>
      <c r="G50">
        <f>(H50/1.39135)*$K$5</f>
        <v>0.46217496840411604</v>
      </c>
      <c r="H50">
        <f>(F50*1.190654)*$L$5</f>
        <v>1.607617855722667</v>
      </c>
      <c r="I50">
        <v>17.3149</v>
      </c>
      <c r="J50">
        <f>D50/(F50/3.362524)</f>
        <v>2.765349792066167</v>
      </c>
      <c r="K50">
        <f>G50/(H50/1.39135)</f>
        <v>0.4</v>
      </c>
      <c r="L50">
        <f>(H50/1.190654)/F50</f>
        <v>0.4</v>
      </c>
    </row>
    <row r="51">
      <c r="B51">
        <v>46</v>
      </c>
      <c r="C51">
        <v>7</v>
      </c>
      <c r="D51">
        <v>2.7760158105798105</v>
      </c>
      <c r="E51">
        <v>1.521046153846154</v>
      </c>
      <c r="F51">
        <v>3.3754933333333335</v>
      </c>
      <c r="G51">
        <f>(H51/1.39135)*$K$5</f>
        <v>0.46217496840411604</v>
      </c>
      <c r="H51">
        <f>(F51*1.190654)*$L$5</f>
        <v>1.607617855722667</v>
      </c>
      <c r="I51">
        <v>17.3149</v>
      </c>
      <c r="J51">
        <f>D51/(F51/3.362524)</f>
        <v>2.765349792066167</v>
      </c>
      <c r="K51">
        <f>G51/(H51/1.39135)</f>
        <v>0.4</v>
      </c>
      <c r="L51">
        <f>(H51/1.190654)/F51</f>
        <v>0.4</v>
      </c>
    </row>
    <row r="52">
      <c r="B52">
        <v>47</v>
      </c>
      <c r="C52">
        <v>7</v>
      </c>
      <c r="D52">
        <v>2.7760158105798105</v>
      </c>
      <c r="E52">
        <v>1.521046153846154</v>
      </c>
      <c r="F52">
        <v>3.3754933333333335</v>
      </c>
      <c r="G52">
        <f>(H52/1.39135)*$K$5</f>
        <v>0.46217496840411604</v>
      </c>
      <c r="H52">
        <f>(F52*1.190654)*$L$5</f>
        <v>1.607617855722667</v>
      </c>
      <c r="I52">
        <v>17.3149</v>
      </c>
      <c r="J52">
        <f>D52/(F52/3.362524)</f>
        <v>2.765349792066167</v>
      </c>
      <c r="K52">
        <f>G52/(H52/1.39135)</f>
        <v>0.4</v>
      </c>
      <c r="L52">
        <f>(H52/1.190654)/F52</f>
        <v>0.4</v>
      </c>
    </row>
    <row r="53">
      <c r="B53">
        <v>48</v>
      </c>
      <c r="C53">
        <v>7</v>
      </c>
      <c r="D53">
        <v>3.701354414106414</v>
      </c>
      <c r="E53">
        <v>2.0280615384615386</v>
      </c>
      <c r="F53">
        <v>4.5006577777777785</v>
      </c>
      <c r="G53">
        <f>(H53/1.39135)*$K$5</f>
        <v>0.616233291205488</v>
      </c>
      <c r="H53">
        <f>(F53*1.190654)*$L$5</f>
        <v>2.143490474296889</v>
      </c>
      <c r="I53">
        <v>23.426</v>
      </c>
      <c r="J53">
        <f>D53/(F53/3.362524)</f>
        <v>2.7653497920661665</v>
      </c>
      <c r="K53">
        <f>G53/(H53/1.39135)</f>
        <v>0.4000000000000001</v>
      </c>
      <c r="L53">
        <f>(H53/1.190654)/F53</f>
        <v>0.39999999999999997</v>
      </c>
    </row>
    <row r="54">
      <c r="B54">
        <v>49</v>
      </c>
      <c r="C54">
        <v>7</v>
      </c>
      <c r="D54">
        <v>3.701354414106414</v>
      </c>
      <c r="E54">
        <v>2.0280615384615386</v>
      </c>
      <c r="F54">
        <v>4.5006577777777785</v>
      </c>
      <c r="G54">
        <f>(H54/1.39135)*$K$5</f>
        <v>0.616233291205488</v>
      </c>
      <c r="H54">
        <f>(F54*1.190654)*$L$5</f>
        <v>2.143490474296889</v>
      </c>
      <c r="I54">
        <v>23.426</v>
      </c>
      <c r="J54">
        <f>D54/(F54/3.362524)</f>
        <v>2.7653497920661665</v>
      </c>
      <c r="K54">
        <f>G54/(H54/1.39135)</f>
        <v>0.4000000000000001</v>
      </c>
      <c r="L54">
        <f>(H54/1.190654)/F54</f>
        <v>0.39999999999999997</v>
      </c>
    </row>
    <row r="55">
      <c r="B55">
        <v>50</v>
      </c>
      <c r="C55">
        <v>8</v>
      </c>
      <c r="D55">
        <v>3.701354414106414</v>
      </c>
      <c r="E55">
        <v>2.0280615384615386</v>
      </c>
      <c r="F55">
        <v>4.5006577777777785</v>
      </c>
      <c r="G55">
        <f>(H55/1.39135)*$K$5</f>
        <v>0.616233291205488</v>
      </c>
      <c r="H55">
        <f>(F55*1.190654)*$L$5</f>
        <v>2.143490474296889</v>
      </c>
      <c r="I55">
        <v>23.426</v>
      </c>
      <c r="J55">
        <f>D55/(F55/3.362524)</f>
        <v>2.7653497920661665</v>
      </c>
      <c r="K55">
        <f>G55/(H55/1.39135)</f>
        <v>0.4000000000000001</v>
      </c>
      <c r="L55">
        <f>(H55/1.190654)/F55</f>
        <v>0.39999999999999997</v>
      </c>
    </row>
    <row r="56">
      <c r="B56">
        <v>51</v>
      </c>
      <c r="C56">
        <v>8</v>
      </c>
      <c r="D56">
        <v>3.701354414106414</v>
      </c>
      <c r="E56">
        <v>2.0280615384615386</v>
      </c>
      <c r="F56">
        <v>4.5006577777777785</v>
      </c>
      <c r="G56">
        <f>(H56/1.39135)*$K$5</f>
        <v>0.616233291205488</v>
      </c>
      <c r="H56">
        <f>(F56*1.190654)*$L$5</f>
        <v>2.143490474296889</v>
      </c>
      <c r="I56">
        <v>23.426</v>
      </c>
      <c r="J56">
        <f>D56/(F56/3.362524)</f>
        <v>2.7653497920661665</v>
      </c>
      <c r="K56">
        <f>G56/(H56/1.39135)</f>
        <v>0.4000000000000001</v>
      </c>
      <c r="L56">
        <f>(H56/1.190654)/F56</f>
        <v>0.39999999999999997</v>
      </c>
    </row>
    <row r="57">
      <c r="B57">
        <v>52</v>
      </c>
      <c r="C57">
        <v>8</v>
      </c>
      <c r="D57">
        <v>3.701354414106414</v>
      </c>
      <c r="E57">
        <v>2.0280615384615386</v>
      </c>
      <c r="F57">
        <v>4.5006577777777785</v>
      </c>
      <c r="G57">
        <f>(H57/1.39135)*$K$5</f>
        <v>0.616233291205488</v>
      </c>
      <c r="H57">
        <f>(F57*1.190654)*$L$5</f>
        <v>2.143490474296889</v>
      </c>
      <c r="I57">
        <v>23.426</v>
      </c>
      <c r="J57">
        <f>D57/(F57/3.362524)</f>
        <v>2.7653497920661665</v>
      </c>
      <c r="K57">
        <f>G57/(H57/1.39135)</f>
        <v>0.4000000000000001</v>
      </c>
      <c r="L57">
        <f>(H57/1.190654)/F57</f>
        <v>0.39999999999999997</v>
      </c>
    </row>
    <row r="58">
      <c r="B58">
        <v>53</v>
      </c>
      <c r="C58">
        <v>8</v>
      </c>
      <c r="D58">
        <v>3.701354414106414</v>
      </c>
      <c r="E58">
        <v>2.0280615384615386</v>
      </c>
      <c r="F58">
        <v>4.5006577777777785</v>
      </c>
      <c r="G58">
        <f>(H58/1.39135)*$K$5</f>
        <v>0.616233291205488</v>
      </c>
      <c r="H58">
        <f>(F58*1.190654)*$L$5</f>
        <v>2.143490474296889</v>
      </c>
      <c r="I58">
        <v>23.426</v>
      </c>
      <c r="J58">
        <f>D58/(F58/3.362524)</f>
        <v>2.7653497920661665</v>
      </c>
      <c r="K58">
        <f>G58/(H58/1.39135)</f>
        <v>0.4000000000000001</v>
      </c>
      <c r="L58">
        <f>(H58/1.190654)/F58</f>
        <v>0.39999999999999997</v>
      </c>
    </row>
    <row r="59">
      <c r="B59">
        <v>54</v>
      </c>
      <c r="C59">
        <v>8</v>
      </c>
      <c r="D59">
        <v>3.701354414106414</v>
      </c>
      <c r="E59">
        <v>2.0280615384615386</v>
      </c>
      <c r="F59">
        <v>4.5006577777777785</v>
      </c>
      <c r="G59">
        <f>(H59/1.39135)*$K$5</f>
        <v>0.616233291205488</v>
      </c>
      <c r="H59">
        <f>(F59*1.190654)*$L$5</f>
        <v>2.143490474296889</v>
      </c>
      <c r="I59">
        <v>23.426</v>
      </c>
      <c r="J59">
        <f>D59/(F59/3.362524)</f>
        <v>2.7653497920661665</v>
      </c>
      <c r="K59">
        <f>G59/(H59/1.39135)</f>
        <v>0.4000000000000001</v>
      </c>
      <c r="L59">
        <f>(H59/1.190654)/F59</f>
        <v>0.39999999999999997</v>
      </c>
    </row>
    <row r="60">
      <c r="B60">
        <v>55</v>
      </c>
      <c r="C60">
        <v>8</v>
      </c>
      <c r="D60">
        <v>3.701354414106414</v>
      </c>
      <c r="E60">
        <v>2.0280615384615386</v>
      </c>
      <c r="F60">
        <v>4.5006577777777785</v>
      </c>
      <c r="G60">
        <f>(H60/1.39135)*$K$5</f>
        <v>0.616233291205488</v>
      </c>
      <c r="H60">
        <f>(F60*1.190654)*$L$5</f>
        <v>2.143490474296889</v>
      </c>
      <c r="I60">
        <v>23.426</v>
      </c>
      <c r="J60">
        <f>D60/(F60/3.362524)</f>
        <v>2.7653497920661665</v>
      </c>
      <c r="K60">
        <f>G60/(H60/1.39135)</f>
        <v>0.4000000000000001</v>
      </c>
      <c r="L60">
        <f>(H60/1.190654)/F60</f>
        <v>0.39999999999999997</v>
      </c>
    </row>
    <row r="61">
      <c r="B61">
        <v>56</v>
      </c>
      <c r="C61">
        <v>8</v>
      </c>
      <c r="D61">
        <v>3.701354414106414</v>
      </c>
      <c r="E61">
        <v>2.0280615384615386</v>
      </c>
      <c r="F61">
        <v>4.5006577777777785</v>
      </c>
      <c r="G61">
        <f>(H61/1.39135)*$K$5</f>
        <v>0.616233291205488</v>
      </c>
      <c r="H61">
        <f>(F61*1.190654)*$L$5</f>
        <v>2.143490474296889</v>
      </c>
      <c r="I61">
        <v>23.426</v>
      </c>
      <c r="J61">
        <f>D61/(F61/3.362524)</f>
        <v>2.7653497920661665</v>
      </c>
      <c r="K61">
        <f>G61/(H61/1.39135)</f>
        <v>0.4000000000000001</v>
      </c>
      <c r="L61">
        <f>(H61/1.190654)/F61</f>
        <v>0.39999999999999997</v>
      </c>
    </row>
    <row r="62">
      <c r="B62">
        <v>57</v>
      </c>
      <c r="C62">
        <v>9</v>
      </c>
      <c r="D62">
        <v>3.701354414106414</v>
      </c>
      <c r="E62">
        <v>2.0280615384615386</v>
      </c>
      <c r="F62">
        <v>4.5006577777777785</v>
      </c>
      <c r="G62">
        <f>(H62/1.39135)*$K$5</f>
        <v>0.616233291205488</v>
      </c>
      <c r="H62">
        <f>(F62*1.190654)*$L$5</f>
        <v>2.143490474296889</v>
      </c>
      <c r="I62">
        <v>23.426</v>
      </c>
      <c r="J62">
        <f>D62/(F62/3.362524)</f>
        <v>2.7653497920661665</v>
      </c>
      <c r="K62">
        <f>G62/(H62/1.39135)</f>
        <v>0.4000000000000001</v>
      </c>
      <c r="L62">
        <f>(H62/1.190654)/F62</f>
        <v>0.39999999999999997</v>
      </c>
    </row>
    <row r="63">
      <c r="B63">
        <v>58</v>
      </c>
      <c r="C63">
        <v>9</v>
      </c>
      <c r="D63">
        <v>3.701354414106414</v>
      </c>
      <c r="E63">
        <v>2.0280615384615386</v>
      </c>
      <c r="F63">
        <v>4.5006577777777785</v>
      </c>
      <c r="G63">
        <f>(H63/1.39135)*$K$5</f>
        <v>0.616233291205488</v>
      </c>
      <c r="H63">
        <f>(F63*1.190654)*$L$5</f>
        <v>2.143490474296889</v>
      </c>
      <c r="I63">
        <v>23.426</v>
      </c>
      <c r="J63">
        <f>D63/(F63/3.362524)</f>
        <v>2.7653497920661665</v>
      </c>
      <c r="K63">
        <f>G63/(H63/1.39135)</f>
        <v>0.4000000000000001</v>
      </c>
      <c r="L63">
        <f>(H63/1.190654)/F63</f>
        <v>0.39999999999999997</v>
      </c>
    </row>
    <row r="64">
      <c r="B64">
        <v>59</v>
      </c>
      <c r="C64">
        <v>9</v>
      </c>
      <c r="D64">
        <v>3.701354414106414</v>
      </c>
      <c r="E64">
        <v>2.0280615384615386</v>
      </c>
      <c r="F64">
        <v>4.5006577777777785</v>
      </c>
      <c r="G64">
        <f>(H64/1.39135)*$K$5</f>
        <v>0.616233291205488</v>
      </c>
      <c r="H64">
        <f>(F64*1.190654)*$L$5</f>
        <v>2.143490474296889</v>
      </c>
      <c r="I64">
        <v>23.426</v>
      </c>
      <c r="J64">
        <f>D64/(F64/3.362524)</f>
        <v>2.7653497920661665</v>
      </c>
      <c r="K64">
        <f>G64/(H64/1.39135)</f>
        <v>0.4000000000000001</v>
      </c>
      <c r="L64">
        <f>(H64/1.190654)/F64</f>
        <v>0.39999999999999997</v>
      </c>
    </row>
    <row r="65">
      <c r="B65">
        <v>60</v>
      </c>
      <c r="C65">
        <v>9</v>
      </c>
      <c r="D65">
        <v>3.701354414106414</v>
      </c>
      <c r="E65">
        <v>2.0280615384615386</v>
      </c>
      <c r="F65">
        <v>4.5006577777777785</v>
      </c>
      <c r="G65">
        <f>(H65/1.39135)*$K$5</f>
        <v>0.616233291205488</v>
      </c>
      <c r="H65">
        <f>(F65*1.190654)*$L$5</f>
        <v>2.143490474296889</v>
      </c>
      <c r="I65">
        <v>23.426</v>
      </c>
      <c r="J65">
        <f>D65/(F65/3.362524)</f>
        <v>2.7653497920661665</v>
      </c>
      <c r="K65">
        <f>G65/(H65/1.39135)</f>
        <v>0.4000000000000001</v>
      </c>
      <c r="L65">
        <f>(H65/1.190654)/F65</f>
        <v>0.39999999999999997</v>
      </c>
    </row>
    <row r="66">
      <c r="B66">
        <v>61</v>
      </c>
      <c r="C66">
        <v>9</v>
      </c>
      <c r="D66">
        <v>3.701354414106414</v>
      </c>
      <c r="E66">
        <v>2.0280615384615386</v>
      </c>
      <c r="F66">
        <v>4.5006577777777785</v>
      </c>
      <c r="G66">
        <f>(H66/1.39135)*$K$5</f>
        <v>0.616233291205488</v>
      </c>
      <c r="H66">
        <f>(F66*1.190654)*$L$5</f>
        <v>2.143490474296889</v>
      </c>
      <c r="I66">
        <v>23.426</v>
      </c>
      <c r="J66">
        <f>D66/(F66/3.362524)</f>
        <v>2.7653497920661665</v>
      </c>
      <c r="K66">
        <f>G66/(H66/1.39135)</f>
        <v>0.4000000000000001</v>
      </c>
      <c r="L66">
        <f>(H66/1.190654)/F66</f>
        <v>0.39999999999999997</v>
      </c>
    </row>
    <row r="67">
      <c r="B67">
        <v>62</v>
      </c>
      <c r="C67">
        <v>9</v>
      </c>
      <c r="D67">
        <v>3.701354414106414</v>
      </c>
      <c r="E67">
        <v>2.0280615384615386</v>
      </c>
      <c r="F67">
        <v>4.5006577777777785</v>
      </c>
      <c r="G67">
        <f>(H67/1.39135)*$K$5</f>
        <v>0.616233291205488</v>
      </c>
      <c r="H67">
        <f>(F67*1.190654)*$L$5</f>
        <v>2.143490474296889</v>
      </c>
      <c r="I67">
        <v>23.426</v>
      </c>
      <c r="J67">
        <f>D67/(F67/3.362524)</f>
        <v>2.7653497920661665</v>
      </c>
      <c r="K67">
        <f>G67/(H67/1.39135)</f>
        <v>0.4000000000000001</v>
      </c>
      <c r="L67">
        <f>(H67/1.190654)/F67</f>
        <v>0.39999999999999997</v>
      </c>
    </row>
    <row r="68">
      <c r="B68">
        <v>63</v>
      </c>
      <c r="C68">
        <v>9</v>
      </c>
      <c r="D68">
        <v>4.626693017633016</v>
      </c>
      <c r="E68">
        <v>2.5350769230769226</v>
      </c>
      <c r="F68">
        <v>5.625822222222223</v>
      </c>
      <c r="G68">
        <f>(H68/1.39135)*$K$5</f>
        <v>0.7702916140068601</v>
      </c>
      <c r="H68">
        <f>(F68*1.190654)*$L$5</f>
        <v>2.679363092871112</v>
      </c>
      <c r="I68">
        <v>29.5372</v>
      </c>
      <c r="J68">
        <f>D68/(F68/3.362524)</f>
        <v>2.765349792066166</v>
      </c>
      <c r="K68">
        <f>G68/(H68/1.39135)</f>
        <v>0.4</v>
      </c>
      <c r="L68">
        <f>(H68/1.190654)/F68</f>
        <v>0.4000000000000001</v>
      </c>
    </row>
    <row r="69">
      <c r="B69">
        <v>64</v>
      </c>
      <c r="C69">
        <v>10</v>
      </c>
      <c r="D69">
        <v>4.626693017633016</v>
      </c>
      <c r="E69">
        <v>2.5350769230769226</v>
      </c>
      <c r="F69">
        <v>5.625822222222223</v>
      </c>
      <c r="G69">
        <f>(H69/1.39135)*$K$5</f>
        <v>0.7702916140068601</v>
      </c>
      <c r="H69">
        <f>(F69*1.190654)*$L$5</f>
        <v>2.679363092871112</v>
      </c>
      <c r="I69">
        <v>29.5372</v>
      </c>
      <c r="J69">
        <f>D69/(F69/3.362524)</f>
        <v>2.765349792066166</v>
      </c>
      <c r="K69">
        <f>G69/(H69/1.39135)</f>
        <v>0.4</v>
      </c>
      <c r="L69">
        <f>(H69/1.190654)/F69</f>
        <v>0.4000000000000001</v>
      </c>
    </row>
    <row r="70">
      <c r="B70">
        <v>65</v>
      </c>
      <c r="C70">
        <v>10</v>
      </c>
      <c r="D70">
        <v>4.626693017633016</v>
      </c>
      <c r="E70">
        <v>2.5350769230769226</v>
      </c>
      <c r="F70">
        <v>5.625822222222223</v>
      </c>
      <c r="G70">
        <f>(H70/1.39135)*$K$5</f>
        <v>0.7702916140068601</v>
      </c>
      <c r="H70">
        <f>(F70*1.190654)*$L$5</f>
        <v>2.679363092871112</v>
      </c>
      <c r="I70">
        <v>29.5372</v>
      </c>
      <c r="J70">
        <f>D70/(F70/3.362524)</f>
        <v>2.765349792066166</v>
      </c>
      <c r="K70">
        <f>G70/(H70/1.39135)</f>
        <v>0.4</v>
      </c>
      <c r="L70">
        <f>(H70/1.190654)/F70</f>
        <v>0.4000000000000001</v>
      </c>
    </row>
    <row r="71">
      <c r="B71">
        <v>66</v>
      </c>
      <c r="C71">
        <v>10</v>
      </c>
      <c r="D71">
        <v>4.626693017633016</v>
      </c>
      <c r="E71">
        <v>2.5350769230769226</v>
      </c>
      <c r="F71">
        <v>5.625822222222223</v>
      </c>
      <c r="G71">
        <f>(H71/1.39135)*$K$5</f>
        <v>0.7702916140068601</v>
      </c>
      <c r="H71">
        <f>(F71*1.190654)*$L$5</f>
        <v>2.679363092871112</v>
      </c>
      <c r="I71">
        <v>29.5372</v>
      </c>
      <c r="J71">
        <f>D71/(F71/3.362524)</f>
        <v>2.765349792066166</v>
      </c>
      <c r="K71">
        <f>G71/(H71/1.39135)</f>
        <v>0.4</v>
      </c>
      <c r="L71">
        <f>(H71/1.190654)/F71</f>
        <v>0.4000000000000001</v>
      </c>
    </row>
    <row r="72">
      <c r="B72">
        <v>67</v>
      </c>
      <c r="C72">
        <v>10</v>
      </c>
      <c r="D72">
        <v>4.626693017633016</v>
      </c>
      <c r="E72">
        <v>2.5350769230769226</v>
      </c>
      <c r="F72">
        <v>5.625822222222223</v>
      </c>
      <c r="G72">
        <f>(H72/1.39135)*$K$5</f>
        <v>0.7702916140068601</v>
      </c>
      <c r="H72">
        <f>(F72*1.190654)*$L$5</f>
        <v>2.679363092871112</v>
      </c>
      <c r="I72">
        <v>29.5372</v>
      </c>
      <c r="J72">
        <f>D72/(F72/3.362524)</f>
        <v>2.765349792066166</v>
      </c>
      <c r="K72">
        <f>G72/(H72/1.39135)</f>
        <v>0.4</v>
      </c>
      <c r="L72">
        <f>(H72/1.190654)/F72</f>
        <v>0.4000000000000001</v>
      </c>
    </row>
    <row r="73">
      <c r="B73">
        <v>68</v>
      </c>
      <c r="C73">
        <v>10</v>
      </c>
      <c r="D73">
        <v>4.626693017633016</v>
      </c>
      <c r="E73">
        <v>2.5350769230769226</v>
      </c>
      <c r="F73">
        <v>5.625822222222223</v>
      </c>
      <c r="G73">
        <f>(H73/1.39135)*$K$5</f>
        <v>0.7702916140068601</v>
      </c>
      <c r="H73">
        <f>(F73*1.190654)*$L$5</f>
        <v>2.679363092871112</v>
      </c>
      <c r="I73">
        <v>29.5372</v>
      </c>
      <c r="J73">
        <f>D73/(F73/3.362524)</f>
        <v>2.765349792066166</v>
      </c>
      <c r="K73">
        <f>G73/(H73/1.39135)</f>
        <v>0.4</v>
      </c>
      <c r="L73">
        <f>(H73/1.190654)/F73</f>
        <v>0.4000000000000001</v>
      </c>
    </row>
    <row r="74">
      <c r="B74">
        <v>69</v>
      </c>
      <c r="C74">
        <v>10</v>
      </c>
      <c r="D74">
        <v>4.626693017633016</v>
      </c>
      <c r="E74">
        <v>2.5350769230769226</v>
      </c>
      <c r="F74">
        <v>5.625822222222223</v>
      </c>
      <c r="G74">
        <f>(H74/1.39135)*$K$5</f>
        <v>0.7702916140068601</v>
      </c>
      <c r="H74">
        <f>(F74*1.190654)*$L$5</f>
        <v>2.679363092871112</v>
      </c>
      <c r="I74">
        <v>29.5372</v>
      </c>
      <c r="J74">
        <f>D74/(F74/3.362524)</f>
        <v>2.765349792066166</v>
      </c>
      <c r="K74">
        <f>G74/(H74/1.39135)</f>
        <v>0.4</v>
      </c>
      <c r="L74">
        <f>(H74/1.190654)/F74</f>
        <v>0.4000000000000001</v>
      </c>
    </row>
    <row r="75">
      <c r="B75">
        <v>70</v>
      </c>
      <c r="C75">
        <v>10</v>
      </c>
      <c r="D75">
        <v>4.626693017633016</v>
      </c>
      <c r="E75">
        <v>2.5350769230769226</v>
      </c>
      <c r="F75">
        <v>5.625822222222223</v>
      </c>
      <c r="G75">
        <f>(H75/1.39135)*$K$5</f>
        <v>0.7702916140068601</v>
      </c>
      <c r="H75">
        <f>(F75*1.190654)*$L$5</f>
        <v>2.679363092871112</v>
      </c>
      <c r="I75">
        <v>29.5372</v>
      </c>
      <c r="J75">
        <f>D75/(F75/3.362524)</f>
        <v>2.765349792066166</v>
      </c>
      <c r="K75">
        <f>G75/(H75/1.39135)</f>
        <v>0.4</v>
      </c>
      <c r="L75">
        <f>(H75/1.190654)/F75</f>
        <v>0.4000000000000001</v>
      </c>
    </row>
    <row r="76">
      <c r="B76">
        <v>71</v>
      </c>
      <c r="C76">
        <v>11</v>
      </c>
      <c r="D76">
        <v>4.626693017633016</v>
      </c>
      <c r="E76">
        <v>2.5350769230769226</v>
      </c>
      <c r="F76">
        <v>5.625822222222223</v>
      </c>
      <c r="G76">
        <f>(H76/1.39135)*$K$5</f>
        <v>0.7702916140068601</v>
      </c>
      <c r="H76">
        <f>(F76*1.190654)*$L$5</f>
        <v>2.679363092871112</v>
      </c>
      <c r="I76">
        <v>29.5372</v>
      </c>
      <c r="J76">
        <f>D76/(F76/3.362524)</f>
        <v>2.765349792066166</v>
      </c>
      <c r="K76">
        <f>G76/(H76/1.39135)</f>
        <v>0.4</v>
      </c>
      <c r="L76">
        <f>(H76/1.190654)/F76</f>
        <v>0.4000000000000001</v>
      </c>
    </row>
    <row r="77">
      <c r="B77">
        <v>72</v>
      </c>
      <c r="C77">
        <v>11</v>
      </c>
      <c r="D77">
        <v>4.626693017633016</v>
      </c>
      <c r="E77">
        <v>2.5350769230769226</v>
      </c>
      <c r="F77">
        <v>5.625822222222223</v>
      </c>
      <c r="G77">
        <f>(H77/1.39135)*$K$5</f>
        <v>0.7702916140068601</v>
      </c>
      <c r="H77">
        <f>(F77*1.190654)*$L$5</f>
        <v>2.679363092871112</v>
      </c>
      <c r="I77">
        <v>29.5372</v>
      </c>
      <c r="J77">
        <f>D77/(F77/3.362524)</f>
        <v>2.765349792066166</v>
      </c>
      <c r="K77">
        <f>G77/(H77/1.39135)</f>
        <v>0.4</v>
      </c>
      <c r="L77">
        <f>(H77/1.190654)/F77</f>
        <v>0.4000000000000001</v>
      </c>
    </row>
    <row r="78">
      <c r="B78">
        <v>73</v>
      </c>
      <c r="C78">
        <v>11</v>
      </c>
      <c r="D78">
        <v>4.626693017633016</v>
      </c>
      <c r="E78">
        <v>2.5350769230769226</v>
      </c>
      <c r="F78">
        <v>5.625822222222223</v>
      </c>
      <c r="G78">
        <f>(H78/1.39135)*$K$5</f>
        <v>0.7702916140068601</v>
      </c>
      <c r="H78">
        <f>(F78*1.190654)*$L$5</f>
        <v>2.679363092871112</v>
      </c>
      <c r="I78">
        <v>29.5372</v>
      </c>
      <c r="J78">
        <f>D78/(F78/3.362524)</f>
        <v>2.765349792066166</v>
      </c>
      <c r="K78">
        <f>G78/(H78/1.39135)</f>
        <v>0.4</v>
      </c>
      <c r="L78">
        <f>(H78/1.190654)/F78</f>
        <v>0.4000000000000001</v>
      </c>
    </row>
    <row r="79">
      <c r="B79">
        <v>74</v>
      </c>
      <c r="C79">
        <v>11</v>
      </c>
      <c r="D79">
        <v>4.626693017633016</v>
      </c>
      <c r="E79">
        <v>2.5350769230769226</v>
      </c>
      <c r="F79">
        <v>5.625822222222223</v>
      </c>
      <c r="G79">
        <f>(H79/1.39135)*$K$5</f>
        <v>0.7702916140068601</v>
      </c>
      <c r="H79">
        <f>(F79*1.190654)*$L$5</f>
        <v>2.679363092871112</v>
      </c>
      <c r="I79">
        <v>29.5372</v>
      </c>
      <c r="J79">
        <f>D79/(F79/3.362524)</f>
        <v>2.765349792066166</v>
      </c>
      <c r="K79">
        <f>G79/(H79/1.39135)</f>
        <v>0.4</v>
      </c>
      <c r="L79">
        <f>(H79/1.190654)/F79</f>
        <v>0.4000000000000001</v>
      </c>
    </row>
    <row r="80">
      <c r="B80">
        <v>75</v>
      </c>
      <c r="C80">
        <v>11</v>
      </c>
      <c r="D80">
        <v>4.626693017633016</v>
      </c>
      <c r="E80">
        <v>2.5350769230769226</v>
      </c>
      <c r="F80">
        <v>5.625822222222223</v>
      </c>
      <c r="G80">
        <f>(H80/1.39135)*$K$5</f>
        <v>0.7702916140068601</v>
      </c>
      <c r="H80">
        <f>(F80*1.190654)*$L$5</f>
        <v>2.679363092871112</v>
      </c>
      <c r="I80">
        <v>29.5372</v>
      </c>
      <c r="J80">
        <f>D80/(F80/3.362524)</f>
        <v>2.765349792066166</v>
      </c>
      <c r="K80">
        <f>G80/(H80/1.39135)</f>
        <v>0.4</v>
      </c>
      <c r="L80">
        <f>(H80/1.190654)/F80</f>
        <v>0.4000000000000001</v>
      </c>
    </row>
    <row r="81">
      <c r="B81">
        <v>76</v>
      </c>
      <c r="C81">
        <v>11</v>
      </c>
      <c r="D81">
        <v>4.626693017633016</v>
      </c>
      <c r="E81">
        <v>2.5350769230769226</v>
      </c>
      <c r="F81">
        <v>5.625822222222223</v>
      </c>
      <c r="G81">
        <f>(H81/1.39135)*$K$5</f>
        <v>0.7702916140068601</v>
      </c>
      <c r="H81">
        <f>(F81*1.190654)*$L$5</f>
        <v>2.679363092871112</v>
      </c>
      <c r="I81">
        <v>29.5372</v>
      </c>
      <c r="J81">
        <f>D81/(F81/3.362524)</f>
        <v>2.765349792066166</v>
      </c>
      <c r="K81">
        <f>G81/(H81/1.39135)</f>
        <v>0.4</v>
      </c>
      <c r="L81">
        <f>(H81/1.190654)/F81</f>
        <v>0.4000000000000001</v>
      </c>
    </row>
    <row r="82">
      <c r="B82">
        <v>77</v>
      </c>
      <c r="C82">
        <v>11</v>
      </c>
      <c r="D82">
        <v>4.626693017633016</v>
      </c>
      <c r="E82">
        <v>2.5350769230769226</v>
      </c>
      <c r="F82">
        <v>5.625822222222223</v>
      </c>
      <c r="G82">
        <f>(H82/1.39135)*$K$5</f>
        <v>0.7702916140068601</v>
      </c>
      <c r="H82">
        <f>(F82*1.190654)*$L$5</f>
        <v>2.679363092871112</v>
      </c>
      <c r="I82">
        <v>29.5372</v>
      </c>
      <c r="J82">
        <f>D82/(F82/3.362524)</f>
        <v>2.765349792066166</v>
      </c>
      <c r="K82">
        <f>G82/(H82/1.39135)</f>
        <v>0.4</v>
      </c>
      <c r="L82">
        <f>(H82/1.190654)/F82</f>
        <v>0.4000000000000001</v>
      </c>
    </row>
    <row r="83">
      <c r="B83">
        <v>78</v>
      </c>
      <c r="C83">
        <v>12</v>
      </c>
      <c r="D83">
        <v>4.626693017633016</v>
      </c>
      <c r="E83">
        <v>2.5350769230769226</v>
      </c>
      <c r="F83">
        <v>5.625822222222223</v>
      </c>
      <c r="G83">
        <f>(H83/1.39135)*$K$5</f>
        <v>0.7702916140068601</v>
      </c>
      <c r="H83">
        <f>(F83*1.190654)*$L$5</f>
        <v>2.679363092871112</v>
      </c>
      <c r="I83">
        <v>29.5372</v>
      </c>
      <c r="J83">
        <f>D83/(F83/3.362524)</f>
        <v>2.765349792066166</v>
      </c>
      <c r="K83">
        <f>G83/(H83/1.39135)</f>
        <v>0.4</v>
      </c>
      <c r="L83">
        <f>(H83/1.190654)/F83</f>
        <v>0.4000000000000001</v>
      </c>
    </row>
    <row r="84">
      <c r="B84">
        <v>79</v>
      </c>
      <c r="C84">
        <v>12</v>
      </c>
      <c r="D84">
        <v>4.626693017633016</v>
      </c>
      <c r="E84">
        <v>2.5350769230769226</v>
      </c>
      <c r="F84">
        <v>5.625822222222223</v>
      </c>
      <c r="G84">
        <f>(H84/1.39135)*$K$5</f>
        <v>0.7702916140068601</v>
      </c>
      <c r="H84">
        <f>(F84*1.190654)*$L$5</f>
        <v>2.679363092871112</v>
      </c>
      <c r="I84">
        <v>29.5372</v>
      </c>
      <c r="J84">
        <f>D84/(F84/3.362524)</f>
        <v>2.765349792066166</v>
      </c>
      <c r="K84">
        <f>G84/(H84/1.39135)</f>
        <v>0.4</v>
      </c>
      <c r="L84">
        <f>(H84/1.190654)/F84</f>
        <v>0.4000000000000001</v>
      </c>
    </row>
    <row r="85">
      <c r="B85">
        <v>80</v>
      </c>
      <c r="C85">
        <v>12</v>
      </c>
      <c r="D85">
        <v>4.626693017633016</v>
      </c>
      <c r="E85">
        <v>2.5350769230769226</v>
      </c>
      <c r="F85">
        <v>5.625822222222223</v>
      </c>
      <c r="G85">
        <f>(H85/1.39135)*$K$5</f>
        <v>0.7702916140068601</v>
      </c>
      <c r="H85">
        <f>(F85*1.190654)*$L$5</f>
        <v>2.679363092871112</v>
      </c>
      <c r="I85">
        <v>29.5372</v>
      </c>
      <c r="J85">
        <f>D85/(F85/3.362524)</f>
        <v>2.765349792066166</v>
      </c>
      <c r="K85">
        <f>G85/(H85/1.39135)</f>
        <v>0.4</v>
      </c>
      <c r="L85">
        <f>(H85/1.190654)/F85</f>
        <v>0.4000000000000001</v>
      </c>
    </row>
    <row r="86">
      <c r="B86">
        <v>81</v>
      </c>
      <c r="C86">
        <v>12</v>
      </c>
      <c r="D86">
        <v>5.552031621159621</v>
      </c>
      <c r="E86">
        <v>3.042092307692308</v>
      </c>
      <c r="F86">
        <v>6.750986666666667</v>
      </c>
      <c r="G86">
        <f>(H86/1.39135)*$K$5</f>
        <v>0.9243499368082321</v>
      </c>
      <c r="H86">
        <f>(F86*1.190654)*$L$5</f>
        <v>3.215235711445334</v>
      </c>
      <c r="I86">
        <v>35.6483</v>
      </c>
      <c r="J86">
        <f>D86/(F86/3.362524)</f>
        <v>2.765349792066167</v>
      </c>
      <c r="K86">
        <f>G86/(H86/1.39135)</f>
        <v>0.4</v>
      </c>
      <c r="L86">
        <f>(H86/1.190654)/F86</f>
        <v>0.4</v>
      </c>
    </row>
    <row r="87">
      <c r="B87">
        <v>82</v>
      </c>
      <c r="C87">
        <v>12</v>
      </c>
      <c r="D87">
        <v>5.552031621159621</v>
      </c>
      <c r="E87">
        <v>3.042092307692308</v>
      </c>
      <c r="F87">
        <v>6.750986666666667</v>
      </c>
      <c r="G87">
        <f>(H87/1.39135)*$K$5</f>
        <v>0.9243499368082321</v>
      </c>
      <c r="H87">
        <f>(F87*1.190654)*$L$5</f>
        <v>3.215235711445334</v>
      </c>
      <c r="I87">
        <v>35.6483</v>
      </c>
      <c r="J87">
        <f>D87/(F87/3.362524)</f>
        <v>2.765349792066167</v>
      </c>
      <c r="K87">
        <f>G87/(H87/1.39135)</f>
        <v>0.4</v>
      </c>
      <c r="L87">
        <f>(H87/1.190654)/F87</f>
        <v>0.4</v>
      </c>
    </row>
    <row r="88">
      <c r="B88">
        <v>83</v>
      </c>
      <c r="C88">
        <v>12</v>
      </c>
      <c r="D88">
        <v>5.552031621159621</v>
      </c>
      <c r="E88">
        <v>3.042092307692308</v>
      </c>
      <c r="F88">
        <v>6.750986666666667</v>
      </c>
      <c r="G88">
        <f>(H88/1.39135)*$K$5</f>
        <v>0.9243499368082321</v>
      </c>
      <c r="H88">
        <f>(F88*1.190654)*$L$5</f>
        <v>3.215235711445334</v>
      </c>
      <c r="I88">
        <v>35.6483</v>
      </c>
      <c r="J88">
        <f>D88/(F88/3.362524)</f>
        <v>2.765349792066167</v>
      </c>
      <c r="K88">
        <f>G88/(H88/1.39135)</f>
        <v>0.4</v>
      </c>
      <c r="L88">
        <f>(H88/1.190654)/F88</f>
        <v>0.4</v>
      </c>
    </row>
    <row r="89">
      <c r="B89">
        <v>84</v>
      </c>
      <c r="C89">
        <v>12</v>
      </c>
      <c r="D89">
        <v>5.552031621159621</v>
      </c>
      <c r="E89">
        <v>3.042092307692308</v>
      </c>
      <c r="F89">
        <v>6.750986666666667</v>
      </c>
      <c r="G89">
        <f>(H89/1.39135)*$K$5</f>
        <v>0.9243499368082321</v>
      </c>
      <c r="H89">
        <f>(F89*1.190654)*$L$5</f>
        <v>3.215235711445334</v>
      </c>
      <c r="I89">
        <v>35.6483</v>
      </c>
      <c r="J89">
        <f>D89/(F89/3.362524)</f>
        <v>2.765349792066167</v>
      </c>
      <c r="K89">
        <f>G89/(H89/1.39135)</f>
        <v>0.4</v>
      </c>
      <c r="L89">
        <f>(H89/1.190654)/F89</f>
        <v>0.4</v>
      </c>
    </row>
    <row r="90">
      <c r="B90">
        <v>85</v>
      </c>
      <c r="C90">
        <v>13</v>
      </c>
      <c r="D90">
        <v>5.552031621159621</v>
      </c>
      <c r="E90">
        <v>3.042092307692308</v>
      </c>
      <c r="F90">
        <v>6.750986666666667</v>
      </c>
      <c r="G90">
        <f>(H90/1.39135)*$K$5</f>
        <v>0.9243499368082321</v>
      </c>
      <c r="H90">
        <f>(F90*1.190654)*$L$5</f>
        <v>3.215235711445334</v>
      </c>
      <c r="I90">
        <v>35.6483</v>
      </c>
      <c r="J90">
        <f>D90/(F90/3.362524)</f>
        <v>2.765349792066167</v>
      </c>
      <c r="K90">
        <f>G90/(H90/1.39135)</f>
        <v>0.4</v>
      </c>
      <c r="L90">
        <f>(H90/1.190654)/F90</f>
        <v>0.4</v>
      </c>
    </row>
    <row r="91">
      <c r="B91">
        <v>86</v>
      </c>
      <c r="C91">
        <v>13</v>
      </c>
      <c r="D91">
        <v>5.552031621159621</v>
      </c>
      <c r="E91">
        <v>3.042092307692308</v>
      </c>
      <c r="F91">
        <v>6.750986666666667</v>
      </c>
      <c r="G91">
        <f>(H91/1.39135)*$K$5</f>
        <v>0.9243499368082321</v>
      </c>
      <c r="H91">
        <f>(F91*1.190654)*$L$5</f>
        <v>3.215235711445334</v>
      </c>
      <c r="I91">
        <v>35.6483</v>
      </c>
      <c r="J91">
        <f>D91/(F91/3.362524)</f>
        <v>2.765349792066167</v>
      </c>
      <c r="K91">
        <f>G91/(H91/1.39135)</f>
        <v>0.4</v>
      </c>
      <c r="L91">
        <f>(H91/1.190654)/F91</f>
        <v>0.4</v>
      </c>
    </row>
    <row r="92">
      <c r="B92">
        <v>87</v>
      </c>
      <c r="C92">
        <v>13</v>
      </c>
      <c r="D92">
        <v>5.552031621159621</v>
      </c>
      <c r="E92">
        <v>3.042092307692308</v>
      </c>
      <c r="F92">
        <v>6.750986666666667</v>
      </c>
      <c r="G92">
        <f>(H92/1.39135)*$K$5</f>
        <v>0.9243499368082321</v>
      </c>
      <c r="H92">
        <f>(F92*1.190654)*$L$5</f>
        <v>3.215235711445334</v>
      </c>
      <c r="I92">
        <v>35.6483</v>
      </c>
      <c r="J92">
        <f>D92/(F92/3.362524)</f>
        <v>2.765349792066167</v>
      </c>
      <c r="K92">
        <f>G92/(H92/1.39135)</f>
        <v>0.4</v>
      </c>
      <c r="L92">
        <f>(H92/1.190654)/F92</f>
        <v>0.4</v>
      </c>
    </row>
    <row r="93">
      <c r="B93">
        <v>88</v>
      </c>
      <c r="C93">
        <v>13</v>
      </c>
      <c r="D93">
        <v>5.552031621159621</v>
      </c>
      <c r="E93">
        <v>3.042092307692308</v>
      </c>
      <c r="F93">
        <v>6.750986666666667</v>
      </c>
      <c r="G93">
        <f>(H93/1.39135)*$K$5</f>
        <v>0.9243499368082321</v>
      </c>
      <c r="H93">
        <f>(F93*1.190654)*$L$5</f>
        <v>3.215235711445334</v>
      </c>
      <c r="I93">
        <v>35.6483</v>
      </c>
      <c r="J93">
        <f>D93/(F93/3.362524)</f>
        <v>2.765349792066167</v>
      </c>
      <c r="K93">
        <f>G93/(H93/1.39135)</f>
        <v>0.4</v>
      </c>
      <c r="L93">
        <f>(H93/1.190654)/F93</f>
        <v>0.4</v>
      </c>
    </row>
    <row r="94">
      <c r="B94">
        <v>89</v>
      </c>
      <c r="C94">
        <v>13</v>
      </c>
      <c r="D94">
        <v>5.552031621159621</v>
      </c>
      <c r="E94">
        <v>3.042092307692308</v>
      </c>
      <c r="F94">
        <v>6.750986666666667</v>
      </c>
      <c r="G94">
        <f>(H94/1.39135)*$K$5</f>
        <v>0.9243499368082321</v>
      </c>
      <c r="H94">
        <f>(F94*1.190654)*$L$5</f>
        <v>3.215235711445334</v>
      </c>
      <c r="I94">
        <v>35.6483</v>
      </c>
      <c r="J94">
        <f>D94/(F94/3.362524)</f>
        <v>2.765349792066167</v>
      </c>
      <c r="K94">
        <f>G94/(H94/1.39135)</f>
        <v>0.4</v>
      </c>
      <c r="L94">
        <f>(H94/1.190654)/F94</f>
        <v>0.4</v>
      </c>
    </row>
    <row r="95">
      <c r="B95">
        <v>90</v>
      </c>
      <c r="C95">
        <v>13</v>
      </c>
      <c r="D95">
        <v>5.552031621159621</v>
      </c>
      <c r="E95">
        <v>3.042092307692308</v>
      </c>
      <c r="F95">
        <v>6.750986666666667</v>
      </c>
      <c r="G95">
        <f>(H95/1.39135)*$K$5</f>
        <v>0.9243499368082321</v>
      </c>
      <c r="H95">
        <f>(F95*1.190654)*$L$5</f>
        <v>3.215235711445334</v>
      </c>
      <c r="I95">
        <v>35.6483</v>
      </c>
      <c r="J95">
        <f>D95/(F95/3.362524)</f>
        <v>2.765349792066167</v>
      </c>
      <c r="K95">
        <f>G95/(H95/1.39135)</f>
        <v>0.4</v>
      </c>
      <c r="L95">
        <f>(H95/1.190654)/F95</f>
        <v>0.4</v>
      </c>
    </row>
    <row r="96">
      <c r="B96">
        <v>91</v>
      </c>
      <c r="C96">
        <v>13</v>
      </c>
      <c r="D96">
        <v>5.552031621159621</v>
      </c>
      <c r="E96">
        <v>3.042092307692308</v>
      </c>
      <c r="F96">
        <v>6.750986666666667</v>
      </c>
      <c r="G96">
        <f>(H96/1.39135)*$K$5</f>
        <v>0.9243499368082321</v>
      </c>
      <c r="H96">
        <f>(F96*1.190654)*$L$5</f>
        <v>3.215235711445334</v>
      </c>
      <c r="I96">
        <v>35.6483</v>
      </c>
      <c r="J96">
        <f>D96/(F96/3.362524)</f>
        <v>2.765349792066167</v>
      </c>
      <c r="K96">
        <f>G96/(H96/1.39135)</f>
        <v>0.4</v>
      </c>
      <c r="L96">
        <f>(H96/1.190654)/F96</f>
        <v>0.4</v>
      </c>
    </row>
    <row r="97">
      <c r="B97">
        <v>92</v>
      </c>
      <c r="C97">
        <v>14</v>
      </c>
      <c r="D97">
        <v>5.552031621159621</v>
      </c>
      <c r="E97">
        <v>3.042092307692308</v>
      </c>
      <c r="F97">
        <v>6.750986666666667</v>
      </c>
      <c r="G97">
        <f>(H97/1.39135)*$K$5</f>
        <v>0.9243499368082321</v>
      </c>
      <c r="H97">
        <f>(F97*1.190654)*$L$5</f>
        <v>3.215235711445334</v>
      </c>
      <c r="I97">
        <v>35.6483</v>
      </c>
      <c r="J97">
        <f>D97/(F97/3.362524)</f>
        <v>2.765349792066167</v>
      </c>
      <c r="K97">
        <f>G97/(H97/1.39135)</f>
        <v>0.4</v>
      </c>
      <c r="L97">
        <f>(H97/1.190654)/F97</f>
        <v>0.4</v>
      </c>
    </row>
    <row r="98">
      <c r="B98">
        <v>93</v>
      </c>
      <c r="C98">
        <v>14</v>
      </c>
      <c r="D98">
        <v>5.552031621159621</v>
      </c>
      <c r="E98">
        <v>3.042092307692308</v>
      </c>
      <c r="F98">
        <v>6.750986666666667</v>
      </c>
      <c r="G98">
        <f>(H98/1.39135)*$K$5</f>
        <v>0.9243499368082321</v>
      </c>
      <c r="H98">
        <f>(F98*1.190654)*$L$5</f>
        <v>3.215235711445334</v>
      </c>
      <c r="I98">
        <v>35.6483</v>
      </c>
      <c r="J98">
        <f>D98/(F98/3.362524)</f>
        <v>2.765349792066167</v>
      </c>
      <c r="K98">
        <f>G98/(H98/1.39135)</f>
        <v>0.4</v>
      </c>
      <c r="L98">
        <f>(H98/1.190654)/F98</f>
        <v>0.4</v>
      </c>
    </row>
    <row r="99">
      <c r="B99">
        <v>94</v>
      </c>
      <c r="C99">
        <v>14</v>
      </c>
      <c r="D99">
        <v>5.552031621159621</v>
      </c>
      <c r="E99">
        <v>3.042092307692308</v>
      </c>
      <c r="F99">
        <v>6.750986666666667</v>
      </c>
      <c r="G99">
        <f>(H99/1.39135)*$K$5</f>
        <v>0.9243499368082321</v>
      </c>
      <c r="H99">
        <f>(F99*1.190654)*$L$5</f>
        <v>3.215235711445334</v>
      </c>
      <c r="I99">
        <v>35.6483</v>
      </c>
      <c r="J99">
        <f>D99/(F99/3.362524)</f>
        <v>2.765349792066167</v>
      </c>
      <c r="K99">
        <f>G99/(H99/1.39135)</f>
        <v>0.4</v>
      </c>
      <c r="L99">
        <f>(H99/1.190654)/F99</f>
        <v>0.4</v>
      </c>
    </row>
    <row r="100">
      <c r="B100">
        <v>95</v>
      </c>
      <c r="C100">
        <v>14</v>
      </c>
      <c r="D100">
        <v>5.552031621159621</v>
      </c>
      <c r="E100">
        <v>3.042092307692308</v>
      </c>
      <c r="F100">
        <v>6.750986666666667</v>
      </c>
      <c r="G100">
        <f>(H100/1.39135)*$K$5</f>
        <v>0.9243499368082321</v>
      </c>
      <c r="H100">
        <f>(F100*1.190654)*$L$5</f>
        <v>3.215235711445334</v>
      </c>
      <c r="I100">
        <v>35.6483</v>
      </c>
      <c r="J100">
        <f>D100/(F100/3.362524)</f>
        <v>2.765349792066167</v>
      </c>
      <c r="K100">
        <f>G100/(H100/1.39135)</f>
        <v>0.4</v>
      </c>
      <c r="L100">
        <f>(H100/1.190654)/F100</f>
        <v>0.4</v>
      </c>
    </row>
    <row r="101">
      <c r="B101">
        <v>96</v>
      </c>
      <c r="C101">
        <v>14</v>
      </c>
      <c r="D101">
        <v>5.552031621159621</v>
      </c>
      <c r="E101">
        <v>3.042092307692308</v>
      </c>
      <c r="F101">
        <v>6.750986666666667</v>
      </c>
      <c r="G101">
        <f>(H101/1.39135)*$K$5</f>
        <v>0.9243499368082321</v>
      </c>
      <c r="H101">
        <f>(F101*1.190654)*$L$5</f>
        <v>3.215235711445334</v>
      </c>
      <c r="I101">
        <v>35.6483</v>
      </c>
      <c r="J101">
        <f>D101/(F101/3.362524)</f>
        <v>2.765349792066167</v>
      </c>
      <c r="K101">
        <f>G101/(H101/1.39135)</f>
        <v>0.4</v>
      </c>
      <c r="L101">
        <f>(H101/1.190654)/F101</f>
        <v>0.4</v>
      </c>
    </row>
    <row r="102">
      <c r="B102">
        <v>97</v>
      </c>
      <c r="C102">
        <v>14</v>
      </c>
      <c r="D102">
        <v>5.552031621159621</v>
      </c>
      <c r="E102">
        <v>3.042092307692308</v>
      </c>
      <c r="F102">
        <v>6.750986666666667</v>
      </c>
      <c r="G102">
        <f>(H102/1.39135)*$K$5</f>
        <v>0.9243499368082321</v>
      </c>
      <c r="H102">
        <f>(F102*1.190654)*$L$5</f>
        <v>3.215235711445334</v>
      </c>
      <c r="I102">
        <v>35.6483</v>
      </c>
      <c r="J102">
        <f>D102/(F102/3.362524)</f>
        <v>2.765349792066167</v>
      </c>
      <c r="K102">
        <f>G102/(H102/1.39135)</f>
        <v>0.4</v>
      </c>
      <c r="L102">
        <f>(H102/1.190654)/F102</f>
        <v>0.4</v>
      </c>
    </row>
    <row r="103">
      <c r="B103">
        <v>98</v>
      </c>
      <c r="C103">
        <v>14</v>
      </c>
      <c r="D103">
        <v>5.552031621159621</v>
      </c>
      <c r="E103">
        <v>3.042092307692308</v>
      </c>
      <c r="F103">
        <v>6.750986666666667</v>
      </c>
      <c r="G103">
        <f>(H103/1.39135)*$K$5</f>
        <v>0.9243499368082321</v>
      </c>
      <c r="H103">
        <f>(F103*1.190654)*$L$5</f>
        <v>3.215235711445334</v>
      </c>
      <c r="I103">
        <v>35.6483</v>
      </c>
      <c r="J103">
        <f>D103/(F103/3.362524)</f>
        <v>2.765349792066167</v>
      </c>
      <c r="K103">
        <f>G103/(H103/1.39135)</f>
        <v>0.4</v>
      </c>
      <c r="L103">
        <f>(H103/1.190654)/F103</f>
        <v>0.4</v>
      </c>
    </row>
    <row r="104">
      <c r="B104">
        <v>99</v>
      </c>
      <c r="C104">
        <v>15</v>
      </c>
      <c r="D104">
        <v>5.552031621159621</v>
      </c>
      <c r="E104">
        <v>3.042092307692308</v>
      </c>
      <c r="F104">
        <v>6.750986666666667</v>
      </c>
      <c r="G104">
        <f>(H104/1.39135)*$K$5</f>
        <v>0.9243499368082321</v>
      </c>
      <c r="H104">
        <f>(F104*1.190654)*$L$5</f>
        <v>3.215235711445334</v>
      </c>
      <c r="I104">
        <v>35.6483</v>
      </c>
      <c r="J104">
        <f>D104/(F104/3.362524)</f>
        <v>2.765349792066167</v>
      </c>
      <c r="K104">
        <f>G104/(H104/1.39135)</f>
        <v>0.4</v>
      </c>
      <c r="L104">
        <f>(H104/1.190654)/F104</f>
        <v>0.4</v>
      </c>
    </row>
    <row r="105">
      <c r="B105">
        <v>100</v>
      </c>
      <c r="C105">
        <v>15</v>
      </c>
      <c r="D105">
        <v>5.552031621159621</v>
      </c>
      <c r="E105">
        <v>3.042092307692308</v>
      </c>
      <c r="F105">
        <v>6.750986666666667</v>
      </c>
      <c r="G105">
        <f>(H105/1.39135)*$K$5</f>
        <v>0.9243499368082321</v>
      </c>
      <c r="H105">
        <f>(F105*1.190654)*$L$5</f>
        <v>3.215235711445334</v>
      </c>
      <c r="I105">
        <v>35.6483</v>
      </c>
      <c r="J105">
        <f>D105/(F105/3.362524)</f>
        <v>2.765349792066167</v>
      </c>
      <c r="K105">
        <f>G105/(H105/1.39135)</f>
        <v>0.4</v>
      </c>
      <c r="L105">
        <f>(H105/1.190654)/F105</f>
        <v>0.4</v>
      </c>
    </row>
    <row r="106">
      <c r="B106">
        <v>101</v>
      </c>
      <c r="C106">
        <v>15</v>
      </c>
      <c r="D106">
        <v>5.552031621159621</v>
      </c>
      <c r="E106">
        <v>3.042092307692308</v>
      </c>
      <c r="F106">
        <v>6.750986666666667</v>
      </c>
      <c r="G106">
        <f>(H106/1.39135)*$K$5</f>
        <v>0.9243499368082321</v>
      </c>
      <c r="H106">
        <f>(F106*1.190654)*$L$5</f>
        <v>3.215235711445334</v>
      </c>
      <c r="I106">
        <v>35.6483</v>
      </c>
      <c r="J106">
        <f>D106/(F106/3.362524)</f>
        <v>2.765349792066167</v>
      </c>
      <c r="K106">
        <f>G106/(H106/1.39135)</f>
        <v>0.4</v>
      </c>
      <c r="L106">
        <f>(H106/1.190654)/F106</f>
        <v>0.4</v>
      </c>
    </row>
    <row r="107">
      <c r="B107">
        <v>102</v>
      </c>
      <c r="C107">
        <v>15</v>
      </c>
      <c r="D107">
        <v>5.552031621159621</v>
      </c>
      <c r="E107">
        <v>3.042092307692308</v>
      </c>
      <c r="F107">
        <v>6.750986666666667</v>
      </c>
      <c r="G107">
        <f>(H107/1.39135)*$K$5</f>
        <v>0.9243499368082321</v>
      </c>
      <c r="H107">
        <f>(F107*1.190654)*$L$5</f>
        <v>3.215235711445334</v>
      </c>
      <c r="I107">
        <v>35.6483</v>
      </c>
      <c r="J107">
        <f>D107/(F107/3.362524)</f>
        <v>2.765349792066167</v>
      </c>
      <c r="K107">
        <f>G107/(H107/1.39135)</f>
        <v>0.4</v>
      </c>
      <c r="L107">
        <f>(H107/1.190654)/F107</f>
        <v>0.4</v>
      </c>
    </row>
    <row r="108">
      <c r="B108">
        <v>103</v>
      </c>
      <c r="C108">
        <v>15</v>
      </c>
      <c r="D108">
        <v>5.552031621159621</v>
      </c>
      <c r="E108">
        <v>3.042092307692308</v>
      </c>
      <c r="F108">
        <v>6.750986666666667</v>
      </c>
      <c r="G108">
        <f>(H108/1.39135)*$K$5</f>
        <v>0.9243499368082321</v>
      </c>
      <c r="H108">
        <f>(F108*1.190654)*$L$5</f>
        <v>3.215235711445334</v>
      </c>
      <c r="I108">
        <v>35.6483</v>
      </c>
      <c r="J108">
        <f>D108/(F108/3.362524)</f>
        <v>2.765349792066167</v>
      </c>
      <c r="K108">
        <f>G108/(H108/1.39135)</f>
        <v>0.4</v>
      </c>
      <c r="L108">
        <f>(H108/1.190654)/F108</f>
        <v>0.4</v>
      </c>
    </row>
    <row r="109">
      <c r="B109">
        <v>104</v>
      </c>
      <c r="C109">
        <v>15</v>
      </c>
      <c r="D109">
        <v>5.552031621159621</v>
      </c>
      <c r="E109">
        <v>3.042092307692308</v>
      </c>
      <c r="F109">
        <v>6.750986666666667</v>
      </c>
      <c r="G109">
        <f>(H109/1.39135)*$K$5</f>
        <v>0.9243499368082321</v>
      </c>
      <c r="H109">
        <f>(F109*1.190654)*$L$5</f>
        <v>3.215235711445334</v>
      </c>
      <c r="I109">
        <v>35.6483</v>
      </c>
      <c r="J109">
        <f>D109/(F109/3.362524)</f>
        <v>2.765349792066167</v>
      </c>
      <c r="K109">
        <f>G109/(H109/1.39135)</f>
        <v>0.4</v>
      </c>
      <c r="L109">
        <f>(H109/1.190654)/F109</f>
        <v>0.4</v>
      </c>
    </row>
    <row r="110">
      <c r="B110">
        <v>105</v>
      </c>
      <c r="C110">
        <v>15</v>
      </c>
      <c r="D110">
        <v>5.552031621159621</v>
      </c>
      <c r="E110">
        <v>3.042092307692308</v>
      </c>
      <c r="F110">
        <v>6.750986666666667</v>
      </c>
      <c r="G110">
        <f>(H110/1.39135)*$K$5</f>
        <v>0.9243499368082321</v>
      </c>
      <c r="H110">
        <f>(F110*1.190654)*$L$5</f>
        <v>3.215235711445334</v>
      </c>
      <c r="I110">
        <v>35.6483</v>
      </c>
      <c r="J110">
        <f>D110/(F110/3.362524)</f>
        <v>2.765349792066167</v>
      </c>
      <c r="K110">
        <f>G110/(H110/1.39135)</f>
        <v>0.4</v>
      </c>
      <c r="L110">
        <f>(H110/1.190654)/F110</f>
        <v>0.4</v>
      </c>
    </row>
    <row r="111">
      <c r="D111">
        <f>SUM(D6:D110)</f>
        <v>365.9714176947721</v>
      </c>
      <c r="E111">
        <f>SUM(E6:E110)</f>
        <v>200.52458461538492</v>
      </c>
      <c r="F111">
        <f>SUM(F6:F110)</f>
        <v>445.00253777777783</v>
      </c>
      <c r="G111">
        <f>SUM(G6:G110)</f>
        <v>60.930066667942675</v>
      </c>
      <c r="H111">
        <f>SUM(H6:H110)</f>
        <v>211.9376206461048</v>
      </c>
      <c r="I111">
        <f>SUM(I6:I110)</f>
        <v>2332.4165000000003</v>
      </c>
    </row>
  </sheetData>
  <sheetProtection sheet="1"/>
  <mergeCells count="4">
    <mergeCell ref="A2:M2"/>
    <mergeCell ref="A3:M3"/>
    <mergeCell ref="H1:M1"/>
    <mergeCell ref="A5:C5"/>
  </mergeCells>
  <pageMargins left="0.75" right="0.75" top="1" bottom="1" header="0.5" footer="0.5"/>
  <ignoredErrors>
    <ignoredError numberStoredAsText="1" sqref="A1:T111"/>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808</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505</v>
      </c>
      <c r="D14">
        <v>46</v>
      </c>
      <c r="E14">
        <v>0</v>
      </c>
      <c r="F14">
        <v>0</v>
      </c>
      <c r="G14">
        <v>0</v>
      </c>
      <c r="H14">
        <v>0</v>
      </c>
      <c r="I14">
        <v>0</v>
      </c>
      <c r="J14">
        <v>0</v>
      </c>
      <c r="K14" t="str">
        <v>Lbs</v>
      </c>
    </row>
    <row r="15"/>
    <row r="16"/>
    <row r="17"/>
    <row r="19">
      <c r="A19" t="str">
        <v>Kcl</v>
      </c>
      <c r="B19" t="str">
        <v>0-0-60</v>
      </c>
      <c r="C19">
        <v>726</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780</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480</v>
      </c>
      <c r="D28">
        <v>11</v>
      </c>
      <c r="E28">
        <v>0</v>
      </c>
      <c r="F28">
        <v>0</v>
      </c>
      <c r="G28">
        <v>15.7</v>
      </c>
      <c r="H28">
        <v>0</v>
      </c>
      <c r="I28">
        <v>0</v>
      </c>
      <c r="J28">
        <v>0</v>
      </c>
      <c r="K28" t="str">
        <v>Lbs</v>
      </c>
      <c r="L28" t="str">
        <v>Fertilizantes usados como Fuente de Magnesio</v>
      </c>
    </row>
    <row r="29">
      <c r="A29" t="str">
        <v>Sulfato de Magnesio</v>
      </c>
      <c r="B29" t="str">
        <v>0-0-0-31.7-16</v>
      </c>
      <c r="C29">
        <v>477</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850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2009-01-19T12:01:31Z</dcterms:modified>
  <cp:lastModifiedBy>Ricardo Lardizabal</cp:lastModifiedBy>
  <cp:lastPrinted>2007-12-18T18:13:51Z</cp:lastPrinted>
  <dc:creator>Ricardo Lardizabal</dc:creator>
  <dc:subject>Chile Jalapeno</dc:subject>
  <dc:title>Fertilization Programs</dc:title>
</cp:coreProperties>
</file>