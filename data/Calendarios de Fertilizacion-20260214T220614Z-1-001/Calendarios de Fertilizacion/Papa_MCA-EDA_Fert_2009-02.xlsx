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Preventivos'!E16:F47</definedName>
    <definedName name="_xlnm._FilterDatabase" localSheetId="0">Main!$H$80</definedName>
    <definedName name="Activadorresge">Fertilizantes!$A$86:$A$88</definedName>
    <definedName name="Activadorresoom">Fertilizantes!$A$91:$A$100</definedName>
    <definedName name="_xlnm.Print_Area" localSheetId="6">'1 Por Sem'!$A$1:$S$46</definedName>
    <definedName name="_xlnm.Print_Area" localSheetId="7">'14 Dias'!$A$1:$T$39</definedName>
    <definedName name="_xlnm.Print_Area" localSheetId="5">'2 Por Sem'!$A$1:$S$63</definedName>
    <definedName name="_xlnm.Print_Area" localSheetId="4">'2 Por Sem con Preventivos'!$A$1:$S$63</definedName>
    <definedName name="_xlnm.Print_Area" localSheetId="3">'3 Por Sem'!$A$1:$S$79</definedName>
    <definedName name="_xlnm.Print_Area" localSheetId="2">'Cal-Diario'!$A$1:$S$144</definedName>
    <definedName name="_xlnm.Print_Area" localSheetId="1">'Cal-Diario con Preventivos'!$A$1:$S$144</definedName>
    <definedName name="_xlnm.Print_Area" localSheetId="0">Main!$A$1:$M$114</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Proinssue">Fertilizantes!$A$117:$A$121</definedName>
    <definedName name="Protecinssue">Fertilizantes!$A$117:$E$121</definedName>
    <definedName name="Protecinssue1">Fertilizantes!$A$117:$E$121</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899999999999995" customHeight="1"/>
    <row r="2" ht="28.899999999999995" customHeight="1"/>
    <row r="3" ht="28.899999999999995" customHeight="1"/>
    <row r="4" ht="28.899999999999995" customHeight="1"/>
    <row r="5" ht="28.899999999999995" customHeight="1"/>
    <row r="6" ht="28.899999999999995" customHeight="1"/>
    <row r="7" ht="28.8999999999999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Papa</v>
      </c>
      <c r="G21" t="str">
        <v>Provento</v>
      </c>
    </row>
    <row r="22" ht="18" customHeight="1">
      <c r="C22" t="str">
        <v>Área en Manzanas</v>
      </c>
      <c r="E22">
        <v>2</v>
      </c>
      <c r="F22" t="str">
        <v>Área en Hectáreas</v>
      </c>
      <c r="I22">
        <f>E22*0.7</f>
        <v>1.4</v>
      </c>
    </row>
    <row r="23" ht="18" customHeight="1">
      <c r="C23" t="str">
        <v>Fecha de Siembra:</v>
      </c>
      <c r="E23">
        <v>39965</v>
      </c>
    </row>
    <row r="24">
      <c r="C24" t="str">
        <v>Cosecha - Días DDT:</v>
      </c>
      <c r="E24">
        <v>90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0-52-34,</v>
      </c>
      <c r="E31">
        <f>IF(+$D$32&lt;&gt;0,VLOOKUP(+$D$32,Fertilizante1,4,FALSE),"")</f>
        <v>0</v>
      </c>
      <c r="F31">
        <f>IF(+$D$32&lt;&gt;0,VLOOKUP(+$D$32,Fertilizante1,5,FALSE),"")</f>
        <v>52</v>
      </c>
      <c r="G31">
        <f>IF(+$D$32&lt;&gt;0,VLOOKUP(+$D$32,Fertilizante1,6,FALSE),"")</f>
        <v>34</v>
      </c>
    </row>
    <row r="32">
      <c r="C32" t="str">
        <v>Nombre:</v>
      </c>
      <c r="D32" t="str">
        <v>FofatoMonoPotasico</v>
      </c>
      <c r="E32" t="str">
        <f>VLOOKUP(D32,Fertilizante2,11,FALSE)</f>
        <v>Lbs</v>
      </c>
    </row>
    <row r="33" ht="20.25" customHeight="1">
      <c r="C33" t="str">
        <f>E25</f>
        <v>Lempiras</v>
      </c>
      <c r="D33">
        <f>IF(+D32&lt;&gt;0,VLOOKUP(+D32,Fertilizante1,3,FALSE),"")</f>
        <v>1700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580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5" customHeight="1">
      <c r="C61" t="str">
        <v>Nombre:</v>
      </c>
      <c r="D61" t="str">
        <v>Melaza</v>
      </c>
      <c r="E61" t="str">
        <f>Fertilizantes!D51</f>
        <v>Lts</v>
      </c>
    </row>
    <row r="62" ht="13.15" customHeight="1">
      <c r="C62" t="str">
        <f>E25</f>
        <v>Lempiras</v>
      </c>
      <c r="D62">
        <f>VLOOKUP(D61,Fertilizantes!A49:E54,3,FALSE)</f>
        <v>2.8</v>
      </c>
    </row>
    <row r="63" ht="13.15"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3:J13"/>
    <mergeCell ref="C15:M15"/>
    <mergeCell ref="E17:I17"/>
    <mergeCell ref="E18:I18"/>
    <mergeCell ref="C17:D17"/>
    <mergeCell ref="C14:J14"/>
    <mergeCell ref="E19:I19"/>
    <mergeCell ref="C18:D18"/>
    <mergeCell ref="E23:I23"/>
    <mergeCell ref="F22:H22"/>
    <mergeCell ref="C19:D19"/>
    <mergeCell ref="C22:D22"/>
    <mergeCell ref="E20:I20"/>
    <mergeCell ref="C20:D20"/>
    <mergeCell ref="E21:F21"/>
    <mergeCell ref="C115:I115"/>
    <mergeCell ref="C24:D24"/>
    <mergeCell ref="C28:M28"/>
    <mergeCell ref="C40:D40"/>
    <mergeCell ref="H40:M41"/>
    <mergeCell ref="J45:M46"/>
    <mergeCell ref="C103:I103"/>
    <mergeCell ref="C109:I109"/>
    <mergeCell ref="C112:I112"/>
    <mergeCell ref="C83:G83"/>
    <mergeCell ref="C35:D35"/>
    <mergeCell ref="C30:D30"/>
    <mergeCell ref="C25:D25"/>
    <mergeCell ref="E25:I25"/>
    <mergeCell ref="C45:D45"/>
    <mergeCell ref="C21:D21"/>
    <mergeCell ref="G21:I21"/>
    <mergeCell ref="C23:D23"/>
    <mergeCell ref="F74:G74"/>
    <mergeCell ref="F75:G75"/>
    <mergeCell ref="F72:G72"/>
    <mergeCell ref="F73:G73"/>
    <mergeCell ref="F71:G71"/>
    <mergeCell ref="E24:I24"/>
    <mergeCell ref="H30:M31"/>
    <mergeCell ref="H35:M36"/>
    <mergeCell ref="C80:G80"/>
    <mergeCell ref="C82:G82"/>
    <mergeCell ref="C81:G81"/>
    <mergeCell ref="C84:G84"/>
    <mergeCell ref="I50:M51"/>
    <mergeCell ref="C60:D60"/>
    <mergeCell ref="C50:D50"/>
    <mergeCell ref="C55:D55"/>
    <mergeCell ref="C78:M78"/>
    <mergeCell ref="C68:M68"/>
    <mergeCell ref="C106:I106"/>
    <mergeCell ref="C85:G85"/>
    <mergeCell ref="C86:G86"/>
    <mergeCell ref="C87:G87"/>
    <mergeCell ref="C100:I100"/>
    <mergeCell ref="C94:M94"/>
    <mergeCell ref="C97:I97"/>
    <mergeCell ref="K88:L88"/>
    <mergeCell ref="H88:I88"/>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145"/>
  <sheetViews>
    <sheetView workbookViewId="0" rightToLeft="0"/>
  </sheetViews>
  <sheetData>
    <row r="1" ht="23.45" customHeight="1"/>
    <row r="2" ht="29.25" customHeight="1"/>
    <row r="3" ht="26.25" customHeight="1"/>
    <row r="4" ht="26.25" customHeight="1"/>
    <row r="5" ht="26.25" customHeight="1">
      <c r="P5" t="str">
        <f>Main!$E$21</f>
        <v>Papa</v>
      </c>
    </row>
    <row r="6" ht="26.25" customHeight="1"/>
    <row r="7" ht="26.25" customHeight="1"/>
    <row r="8" ht="8.45" customHeight="1"/>
    <row r="9" ht="26.25" customHeight="1">
      <c r="A9" t="str">
        <f>Main!$C$13</f>
        <v>"Sin Fertilización Base"</v>
      </c>
      <c r="P9" t="str">
        <f>Main!$G$21</f>
        <v>Provento</v>
      </c>
    </row>
    <row r="10" ht="4.15"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2</v>
      </c>
      <c r="F13" t="str">
        <v>Fecha:</v>
      </c>
      <c r="I13">
        <f>Main!E23</f>
        <v>39965</v>
      </c>
      <c r="P13" t="str">
        <v>Calendario de Fertilización para Goteo Diario con los Preventivos</v>
      </c>
    </row>
    <row r="14" ht="20.1" customHeight="1">
      <c r="A14" t="str">
        <v>Área Ha.</v>
      </c>
      <c r="C14">
        <f>Main!I22</f>
        <v>1.4</v>
      </c>
      <c r="F14" t="str">
        <v>Fecha de Cosecha:</v>
      </c>
      <c r="I14">
        <f>I13+Main!E24</f>
        <v>40055</v>
      </c>
    </row>
    <row r="15" ht="19.5" customHeight="1"/>
    <row r="16" ht="28.5" customHeight="1">
      <c r="A16" t="str">
        <v>Semana</v>
      </c>
      <c r="B16" t="str">
        <v>DDT</v>
      </c>
      <c r="C16" t="str">
        <v>FECHA</v>
      </c>
      <c r="D16" t="str">
        <v>Seleccioné su opción</v>
      </c>
      <c r="E16" t="str">
        <v>Preventivos</v>
      </c>
      <c r="G16" t="str">
        <f>Main!$D$42</f>
        <v>Urea</v>
      </c>
      <c r="I16" t="str">
        <f>Main!$D$32</f>
        <v>FofatoMonoPotasico</v>
      </c>
      <c r="K16" t="str">
        <f>Main!$D$37</f>
        <v>Kcl</v>
      </c>
      <c r="M16" t="str">
        <f>Main!$D$47</f>
        <v>Sulfato de Magnesio</v>
      </c>
      <c r="O16" t="str">
        <f>Main!$D$52</f>
        <v>Nitrato de Calcio</v>
      </c>
      <c r="Q16" t="str">
        <f>Main!$D$57</f>
        <v>Solubor</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t="str">
        <f>Main!E52</f>
        <v>Lbs</v>
      </c>
      <c r="P17" t="str">
        <v>Cambios</v>
      </c>
      <c r="Q17" t="str">
        <f>Main!E57</f>
        <v>Gramos</v>
      </c>
      <c r="R17" t="str">
        <v>Cambios</v>
      </c>
      <c r="S17" t="str">
        <f>Main!$E$61</f>
        <v>Lts</v>
      </c>
    </row>
    <row r="18" ht="18.75" customHeight="1">
      <c r="A18">
        <v>1</v>
      </c>
      <c r="B18">
        <v>1</v>
      </c>
      <c r="C18">
        <f>$I$13+B18</f>
        <v>39966</v>
      </c>
      <c r="E18">
        <f>VLOOKUP(D18,Fertilizantes!$A$49:$E$123,2,FALSE)*$C$14</f>
        <v>0</v>
      </c>
      <c r="F18">
        <f>VLOOKUP(D18,Fertilizantes!$A$49:$E$123,4,FALSE)</f>
        <v>0</v>
      </c>
      <c r="G18" t="e">
        <f>IF($C$14*ReDiarioFert!C7&lt;=0,"0",$C$14*ReDiarioFert!C7)</f>
        <v>#DIV/0!</v>
      </c>
      <c r="I18" t="e">
        <f>$C$14*ReDiarioFert!E7</f>
        <v>#DIV/0!</v>
      </c>
      <c r="K18" t="e">
        <f>$C$14*ReDiarioFert!G7</f>
        <v>#DIV/0!</v>
      </c>
      <c r="M18">
        <f>$C$14*ReDiarioFert!I7</f>
        <v>1.1231777590110323</v>
      </c>
      <c r="O18">
        <f>$C$14*ReDiarioFert!K7</f>
        <v>2.315160555555555</v>
      </c>
      <c r="Q18">
        <f>$C$14*ReDiarioFert!M7</f>
        <v>34.77873170731707</v>
      </c>
      <c r="S18">
        <f>$C$14*Main!$D$63</f>
        <v>28</v>
      </c>
      <c r="T18" t="e">
        <f>((G18/100)*$G$134+(I18/100)*$G$135+(K18/100)*$G$136+(M18/100)*$G$137+(O18/100)*$G$138+(Q18)*$G$139+(S18*$G$140)+(E18*(VLOOKUP(D18,Fertilizantes!$A$49:$E$123,3,FALSE))))</f>
        <v>#DIV/0!</v>
      </c>
    </row>
    <row r="19" ht="18.75" customHeight="1">
      <c r="B19">
        <v>2</v>
      </c>
      <c r="C19">
        <f>$I$13+B19</f>
        <v>39967</v>
      </c>
      <c r="E19">
        <f>VLOOKUP(D19,Fertilizantes!$A$49:$E$123,2,FALSE)*$C$14</f>
        <v>0</v>
      </c>
      <c r="F19">
        <f>VLOOKUP(D19,Fertilizantes!$A$49:$E$123,4,FALSE)</f>
        <v>0</v>
      </c>
      <c r="G19" t="e">
        <f>IF($C$14*ReDiarioFert!C8&lt;=0,"0",$C$14*ReDiarioFert!C8)</f>
        <v>#DIV/0!</v>
      </c>
      <c r="I19" t="e">
        <f>$C$14*ReDiarioFert!E8</f>
        <v>#DIV/0!</v>
      </c>
      <c r="K19" t="e">
        <f>$C$14*ReDiarioFert!G8</f>
        <v>#DIV/0!</v>
      </c>
      <c r="M19">
        <f>$C$14*ReDiarioFert!I8</f>
        <v>1.1231777590110323</v>
      </c>
      <c r="O19">
        <f>$C$14*ReDiarioFert!K8</f>
        <v>2.315160555555555</v>
      </c>
      <c r="Q19">
        <f>$C$14*ReDiarioFert!M8</f>
        <v>34.77873170731707</v>
      </c>
      <c r="S19">
        <f>Main!$H$81</f>
        <v>0</v>
      </c>
      <c r="T19" t="e">
        <f>((G19/100)*$G$134+(I19/100)*$G$135+(K19/100)*$G$136+(M19/100)*$G$137+(O19/100)*$G$138+(Q19)*$G$139+(S19*$G$140)+(E19*(VLOOKUP(D19,Fertilizantes!$A$49:$E$123,3,FALSE))))</f>
        <v>#DIV/0!</v>
      </c>
    </row>
    <row r="20" ht="18.75" customHeight="1">
      <c r="B20">
        <v>3</v>
      </c>
      <c r="C20">
        <f>$I$13+B20</f>
        <v>39968</v>
      </c>
      <c r="E20">
        <f>VLOOKUP(D20,Fertilizantes!$A$49:$E$123,2,FALSE)*$C$14</f>
        <v>0</v>
      </c>
      <c r="F20">
        <f>VLOOKUP(D20,Fertilizantes!$A$49:$E$123,4,FALSE)</f>
        <v>0</v>
      </c>
      <c r="G20" t="e">
        <f>IF($C$14*ReDiarioFert!C9&lt;=0,"0",$C$14*ReDiarioFert!C9)</f>
        <v>#DIV/0!</v>
      </c>
      <c r="I20" t="e">
        <f>$C$14*ReDiarioFert!E9</f>
        <v>#DIV/0!</v>
      </c>
      <c r="K20" t="e">
        <f>$C$14*ReDiarioFert!G9</f>
        <v>#DIV/0!</v>
      </c>
      <c r="M20">
        <f>$C$14*ReDiarioFert!I9</f>
        <v>1.1231777590110323</v>
      </c>
      <c r="O20">
        <f>$C$14*ReDiarioFert!K9</f>
        <v>2.315160555555555</v>
      </c>
      <c r="Q20">
        <f>$C$14*ReDiarioFert!M9</f>
        <v>34.77873170731707</v>
      </c>
      <c r="T20" t="e">
        <f>((G20/100)*$G$134+(I20/100)*$G$135+(K20/100)*$G$136+(M20/100)*$G$137+(O20/100)*$G$138+(Q20)*$G$139+(S20*$G$140)+(E20*(VLOOKUP(D20,Fertilizantes!$A$49:$E$123,3,FALSE))))</f>
        <v>#DIV/0!</v>
      </c>
    </row>
    <row r="21" ht="18.75" customHeight="1">
      <c r="B21">
        <v>4</v>
      </c>
      <c r="C21">
        <f>$I$13+B21</f>
        <v>39969</v>
      </c>
      <c r="E21">
        <f>VLOOKUP(D21,Fertilizantes!$A$49:$E$123,2,FALSE)*$C$14</f>
        <v>0</v>
      </c>
      <c r="F21">
        <f>VLOOKUP(D21,Fertilizantes!$A$49:$E$123,4,FALSE)</f>
        <v>0</v>
      </c>
      <c r="G21" t="e">
        <f>IF($C$14*ReDiarioFert!C10&lt;=0,"0",$C$14*ReDiarioFert!C10)</f>
        <v>#DIV/0!</v>
      </c>
      <c r="I21" t="e">
        <f>$C$14*ReDiarioFert!E10</f>
        <v>#DIV/0!</v>
      </c>
      <c r="K21" t="e">
        <f>$C$14*ReDiarioFert!G10</f>
        <v>#DIV/0!</v>
      </c>
      <c r="M21">
        <f>$C$14*ReDiarioFert!I10</f>
        <v>1.1231777590110323</v>
      </c>
      <c r="O21">
        <f>$C$14*ReDiarioFert!K10</f>
        <v>2.315160555555555</v>
      </c>
      <c r="Q21">
        <f>$C$14*ReDiarioFert!M10</f>
        <v>34.77873170731707</v>
      </c>
      <c r="T21" t="e">
        <f>((G21/100)*$G$134+(I21/100)*$G$135+(K21/100)*$G$136+(M21/100)*$G$137+(O21/100)*$G$138+(Q21)*$G$139+(S21*$G$140)+(E21*(VLOOKUP(D21,Fertilizantes!$A$49:$E$123,3,FALSE))))</f>
        <v>#DIV/0!</v>
      </c>
    </row>
    <row r="22" ht="18.75" customHeight="1">
      <c r="B22">
        <v>5</v>
      </c>
      <c r="C22">
        <f>$I$13+B22</f>
        <v>39970</v>
      </c>
      <c r="E22">
        <f>VLOOKUP(D22,Fertilizantes!$A$49:$E$123,2,FALSE)*$C$14</f>
        <v>0</v>
      </c>
      <c r="F22">
        <f>VLOOKUP(D22,Fertilizantes!$A$49:$E$123,4,FALSE)</f>
        <v>0</v>
      </c>
      <c r="G22" t="e">
        <f>IF($C$14*ReDiarioFert!C11&lt;=0,"0",$C$14*ReDiarioFert!C11)</f>
        <v>#DIV/0!</v>
      </c>
      <c r="I22" t="e">
        <f>$C$14*ReDiarioFert!E11</f>
        <v>#DIV/0!</v>
      </c>
      <c r="K22" t="e">
        <f>$C$14*ReDiarioFert!G11</f>
        <v>#DIV/0!</v>
      </c>
      <c r="M22">
        <f>$C$14*ReDiarioFert!I11</f>
        <v>1.1231777590110323</v>
      </c>
      <c r="O22">
        <f>$C$14*ReDiarioFert!K11</f>
        <v>2.315160555555555</v>
      </c>
      <c r="Q22">
        <f>$C$14*ReDiarioFert!M11</f>
        <v>34.77873170731707</v>
      </c>
      <c r="T22" t="e">
        <f>((G22/100)*$G$134+(I22/100)*$G$135+(K22/100)*$G$136+(M22/100)*$G$137+(O22/100)*$G$138+(Q22)*$G$139+(S22*$G$140)+(E22*(VLOOKUP(D22,Fertilizantes!$A$49:$E$123,3,FALSE))))</f>
        <v>#DIV/0!</v>
      </c>
    </row>
    <row r="23" ht="18.75" customHeight="1">
      <c r="B23">
        <v>6</v>
      </c>
      <c r="C23">
        <f>$I$13+B23</f>
        <v>39971</v>
      </c>
      <c r="E23">
        <f>VLOOKUP(D23,Fertilizantes!$A$49:$E$123,2,FALSE)*$C$14</f>
        <v>0</v>
      </c>
      <c r="F23">
        <f>VLOOKUP(D23,Fertilizantes!$A$49:$E$123,4,FALSE)</f>
        <v>0</v>
      </c>
      <c r="G23" t="e">
        <f>IF($C$14*ReDiarioFert!C12&lt;=0,"0",$C$14*ReDiarioFert!C12)</f>
        <v>#DIV/0!</v>
      </c>
      <c r="I23" t="e">
        <f>$C$14*ReDiarioFert!E12</f>
        <v>#DIV/0!</v>
      </c>
      <c r="K23" t="e">
        <f>$C$14*ReDiarioFert!G12</f>
        <v>#DIV/0!</v>
      </c>
      <c r="M23">
        <f>$C$14*ReDiarioFert!I12</f>
        <v>1.1231777590110323</v>
      </c>
      <c r="O23">
        <f>$C$14*ReDiarioFert!K12</f>
        <v>2.315160555555555</v>
      </c>
      <c r="Q23">
        <f>$C$14*ReDiarioFert!M12</f>
        <v>34.77873170731707</v>
      </c>
      <c r="T23" t="e">
        <f>((G23/100)*$G$134+(I23/100)*$G$135+(K23/100)*$G$136+(M23/100)*$G$137+(O23/100)*$G$138+(Q23)*$G$139+(S23*$G$140)+(E23*(VLOOKUP(D23,Fertilizantes!$A$49:$E$123,3,FALSE))))</f>
        <v>#DIV/0!</v>
      </c>
    </row>
    <row r="24" ht="18.75" customHeight="1">
      <c r="B24">
        <v>7</v>
      </c>
      <c r="C24">
        <f>$I$13+B24</f>
        <v>39972</v>
      </c>
      <c r="E24">
        <f>VLOOKUP(D24,Fertilizantes!$A$49:$E$123,2,FALSE)*$C$14</f>
        <v>0</v>
      </c>
      <c r="F24">
        <f>VLOOKUP(D24,Fertilizantes!$A$49:$E$123,4,FALSE)</f>
        <v>0</v>
      </c>
      <c r="G24" t="e">
        <f>IF($C$14*ReDiarioFert!C13&lt;=0,"0",$C$14*ReDiarioFert!C13)</f>
        <v>#DIV/0!</v>
      </c>
      <c r="I24" t="e">
        <f>$C$14*ReDiarioFert!E13</f>
        <v>#DIV/0!</v>
      </c>
      <c r="K24" t="e">
        <f>$C$14*ReDiarioFert!G13</f>
        <v>#DIV/0!</v>
      </c>
      <c r="M24">
        <f>$C$14*ReDiarioFert!I13</f>
        <v>1.1231777590110323</v>
      </c>
      <c r="O24">
        <f>$C$14*ReDiarioFert!K13</f>
        <v>2.315160555555555</v>
      </c>
      <c r="Q24">
        <f>$C$14*ReDiarioFert!M13</f>
        <v>34.77873170731707</v>
      </c>
      <c r="T24" t="e">
        <f>((G24/100)*$G$134+(I24/100)*$G$135+(K24/100)*$G$136+(M24/100)*$G$137+(O24/100)*$G$138+(Q24)*$G$139+(S24*$G$140)+(E24*(VLOOKUP(D24,Fertilizantes!$A$49:$E$123,3,FALSE))))</f>
        <v>#DIV/0!</v>
      </c>
    </row>
    <row r="25">
      <c r="A25">
        <v>2</v>
      </c>
      <c r="B25">
        <v>8</v>
      </c>
      <c r="C25">
        <f>$I$13+B25</f>
        <v>39973</v>
      </c>
      <c r="E25">
        <f>VLOOKUP(D25,Fertilizantes!$A$49:$E$123,2,FALSE)*$C$14</f>
        <v>0</v>
      </c>
      <c r="F25">
        <f>VLOOKUP(D25,Fertilizantes!$A$49:$E$123,4,FALSE)</f>
        <v>0</v>
      </c>
      <c r="G25" t="e">
        <f>IF($C$14*ReDiarioFert!C14&lt;=0,"0",$C$14*ReDiarioFert!C14)</f>
        <v>#DIV/0!</v>
      </c>
      <c r="I25" t="e">
        <f>$C$14*ReDiarioFert!E14</f>
        <v>#DIV/0!</v>
      </c>
      <c r="K25" t="e">
        <f>$C$14*ReDiarioFert!G14</f>
        <v>#DIV/0!</v>
      </c>
      <c r="M25">
        <f>$C$14*ReDiarioFert!I14</f>
        <v>1.1231777590110323</v>
      </c>
      <c r="O25">
        <f>$C$14*ReDiarioFert!K14</f>
        <v>2.315160555555555</v>
      </c>
      <c r="Q25">
        <f>$C$14*ReDiarioFert!M14</f>
        <v>34.77873170731707</v>
      </c>
      <c r="S25">
        <f>$C$14*Main!$D$63</f>
        <v>28</v>
      </c>
      <c r="T25" t="e">
        <f>((G25/100)*$G$134+(I25/100)*$G$135+(K25/100)*$G$136+(M25/100)*$G$137+(O25/100)*$G$138+(Q25)*$G$139+(S25*$G$140)+(E25*(VLOOKUP(D25,Fertilizantes!$A$49:$E$123,3,FALSE))))</f>
        <v>#DIV/0!</v>
      </c>
    </row>
    <row r="26">
      <c r="B26">
        <v>9</v>
      </c>
      <c r="C26">
        <f>$I$13+B26</f>
        <v>39974</v>
      </c>
      <c r="E26">
        <f>VLOOKUP(D26,Fertilizantes!$A$49:$E$123,2,FALSE)*$C$14</f>
        <v>0</v>
      </c>
      <c r="F26">
        <f>VLOOKUP(D26,Fertilizantes!$A$49:$E$123,4,FALSE)</f>
        <v>0</v>
      </c>
      <c r="G26" t="e">
        <f>IF($C$14*ReDiarioFert!C15&lt;=0,"0",$C$14*ReDiarioFert!C15)</f>
        <v>#DIV/0!</v>
      </c>
      <c r="I26" t="e">
        <f>$C$14*ReDiarioFert!E15</f>
        <v>#DIV/0!</v>
      </c>
      <c r="K26" t="e">
        <f>$C$14*ReDiarioFert!G15</f>
        <v>#DIV/0!</v>
      </c>
      <c r="M26">
        <f>$C$14*ReDiarioFert!I15</f>
        <v>1.1231777590110323</v>
      </c>
      <c r="O26">
        <f>$C$14*ReDiarioFert!K15</f>
        <v>2.315160555555555</v>
      </c>
      <c r="Q26">
        <f>$C$14*ReDiarioFert!M15</f>
        <v>34.77873170731707</v>
      </c>
      <c r="T26" t="e">
        <f>((G26/100)*$G$134+(I26/100)*$G$135+(K26/100)*$G$136+(M26/100)*$G$137+(O26/100)*$G$138+(Q26)*$G$139+(S26*$G$140)+(E26*(VLOOKUP(D26,Fertilizantes!$A$49:$E$123,3,FALSE))))</f>
        <v>#DIV/0!</v>
      </c>
    </row>
    <row r="27">
      <c r="B27">
        <v>10</v>
      </c>
      <c r="C27">
        <f>$I$13+B27</f>
        <v>39975</v>
      </c>
      <c r="E27">
        <f>VLOOKUP(D27,Fertilizantes!$A$49:$E$123,2,FALSE)*$C$14</f>
        <v>0</v>
      </c>
      <c r="F27">
        <f>VLOOKUP(D27,Fertilizantes!$A$49:$E$123,4,FALSE)</f>
        <v>0</v>
      </c>
      <c r="G27" t="e">
        <f>IF($C$14*ReDiarioFert!C16&lt;=0,"0",$C$14*ReDiarioFert!C16)</f>
        <v>#DIV/0!</v>
      </c>
      <c r="I27" t="e">
        <f>$C$14*ReDiarioFert!E16</f>
        <v>#DIV/0!</v>
      </c>
      <c r="K27" t="e">
        <f>$C$14*ReDiarioFert!G16</f>
        <v>#DIV/0!</v>
      </c>
      <c r="M27">
        <f>$C$14*ReDiarioFert!I16</f>
        <v>1.1231777590110323</v>
      </c>
      <c r="O27">
        <f>$C$14*ReDiarioFert!K16</f>
        <v>2.315160555555555</v>
      </c>
      <c r="Q27">
        <f>$C$14*ReDiarioFert!M16</f>
        <v>34.77873170731707</v>
      </c>
      <c r="S27">
        <f>Main!$H$82</f>
        <v>0</v>
      </c>
      <c r="T27" t="e">
        <f>((G27/100)*$G$134+(I27/100)*$G$135+(K27/100)*$G$136+(M27/100)*$G$137+(O27/100)*$G$138+(Q27)*$G$139+(S27*$G$140)+(E27*(VLOOKUP(D27,Fertilizantes!$A$49:$E$123,3,FALSE))))</f>
        <v>#DIV/0!</v>
      </c>
    </row>
    <row r="28">
      <c r="B28">
        <v>11</v>
      </c>
      <c r="C28">
        <f>$I$13+B28</f>
        <v>39976</v>
      </c>
      <c r="E28">
        <f>VLOOKUP(D28,Fertilizantes!$A$49:$E$123,2,FALSE)*$C$14</f>
        <v>0</v>
      </c>
      <c r="F28">
        <f>VLOOKUP(D28,Fertilizantes!$A$49:$E$123,4,FALSE)</f>
        <v>0</v>
      </c>
      <c r="G28" t="e">
        <f>IF($C$14*ReDiarioFert!C17&lt;=0,"0",$C$14*ReDiarioFert!C17)</f>
        <v>#DIV/0!</v>
      </c>
      <c r="I28" t="e">
        <f>$C$14*ReDiarioFert!E17</f>
        <v>#DIV/0!</v>
      </c>
      <c r="K28" t="e">
        <f>$C$14*ReDiarioFert!G17</f>
        <v>#DIV/0!</v>
      </c>
      <c r="M28">
        <f>$C$14*ReDiarioFert!I17</f>
        <v>1.1231777590110323</v>
      </c>
      <c r="O28">
        <f>$C$14*ReDiarioFert!K17</f>
        <v>2.315160555555555</v>
      </c>
      <c r="Q28">
        <f>$C$14*ReDiarioFert!M17</f>
        <v>62.601853658536584</v>
      </c>
      <c r="T28" t="e">
        <f>((G28/100)*$G$134+(I28/100)*$G$135+(K28/100)*$G$136+(M28/100)*$G$137+(O28/100)*$G$138+(Q28)*$G$139+(S28*$G$140)+(E28*(VLOOKUP(D28,Fertilizantes!$A$49:$E$123,3,FALSE))))</f>
        <v>#DIV/0!</v>
      </c>
    </row>
    <row r="29">
      <c r="B29">
        <v>12</v>
      </c>
      <c r="C29">
        <f>$I$13+B29</f>
        <v>39977</v>
      </c>
      <c r="E29">
        <f>VLOOKUP(D29,Fertilizantes!$A$49:$E$123,2,FALSE)*$C$14</f>
        <v>0</v>
      </c>
      <c r="F29">
        <f>VLOOKUP(D29,Fertilizantes!$A$49:$E$123,4,FALSE)</f>
        <v>0</v>
      </c>
      <c r="G29" t="e">
        <f>IF($C$14*ReDiarioFert!C18&lt;=0,"0",$C$14*ReDiarioFert!C18)</f>
        <v>#DIV/0!</v>
      </c>
      <c r="I29" t="e">
        <f>$C$14*ReDiarioFert!E18</f>
        <v>#DIV/0!</v>
      </c>
      <c r="K29" t="e">
        <f>$C$14*ReDiarioFert!G18</f>
        <v>#DIV/0!</v>
      </c>
      <c r="M29">
        <f>$C$14*ReDiarioFert!I18</f>
        <v>1.1231777590110323</v>
      </c>
      <c r="O29">
        <f>$C$14*ReDiarioFert!K18</f>
        <v>2.315160555555555</v>
      </c>
      <c r="Q29">
        <f>$C$14*ReDiarioFert!M18</f>
        <v>62.601853658536584</v>
      </c>
      <c r="T29" t="e">
        <f>((G29/100)*$G$134+(I29/100)*$G$135+(K29/100)*$G$136+(M29/100)*$G$137+(O29/100)*$G$138+(Q29)*$G$139+(S29*$G$140)+(E29*(VLOOKUP(D29,Fertilizantes!$A$49:$E$123,3,FALSE))))</f>
        <v>#DIV/0!</v>
      </c>
    </row>
    <row r="30">
      <c r="B30">
        <v>13</v>
      </c>
      <c r="C30">
        <f>$I$13+B30</f>
        <v>39978</v>
      </c>
      <c r="E30">
        <f>VLOOKUP(D30,Fertilizantes!$A$49:$E$123,2,FALSE)*$C$14</f>
        <v>0</v>
      </c>
      <c r="F30">
        <f>VLOOKUP(D30,Fertilizantes!$A$49:$E$123,4,FALSE)</f>
        <v>0</v>
      </c>
      <c r="G30" t="e">
        <f>IF($C$14*ReDiarioFert!C19&lt;=0,"0",$C$14*ReDiarioFert!C19)</f>
        <v>#DIV/0!</v>
      </c>
      <c r="I30" t="e">
        <f>$C$14*ReDiarioFert!E19</f>
        <v>#DIV/0!</v>
      </c>
      <c r="K30" t="e">
        <f>$C$14*ReDiarioFert!G19</f>
        <v>#DIV/0!</v>
      </c>
      <c r="M30">
        <f>$C$14*ReDiarioFert!I19</f>
        <v>1.1231777590110323</v>
      </c>
      <c r="O30">
        <f>$C$14*ReDiarioFert!K19</f>
        <v>2.315160555555555</v>
      </c>
      <c r="Q30">
        <f>$C$14*ReDiarioFert!M19</f>
        <v>62.601853658536584</v>
      </c>
      <c r="T30" t="e">
        <f>((G30/100)*$G$134+(I30/100)*$G$135+(K30/100)*$G$136+(M30/100)*$G$137+(O30/100)*$G$138+(Q30)*$G$139+(S30*$G$140)+(E30*(VLOOKUP(D30,Fertilizantes!$A$49:$E$123,3,FALSE))))</f>
        <v>#DIV/0!</v>
      </c>
    </row>
    <row r="31">
      <c r="B31">
        <v>14</v>
      </c>
      <c r="C31">
        <f>$I$13+B31</f>
        <v>39979</v>
      </c>
      <c r="E31">
        <f>VLOOKUP(D31,Fertilizantes!$A$49:$E$123,2,FALSE)*$C$14</f>
        <v>0</v>
      </c>
      <c r="F31">
        <f>VLOOKUP(D31,Fertilizantes!$A$49:$E$123,4,FALSE)</f>
        <v>0</v>
      </c>
      <c r="G31" t="e">
        <f>IF($C$14*ReDiarioFert!C20&lt;=0,"0",$C$14*ReDiarioFert!C20)</f>
        <v>#DIV/0!</v>
      </c>
      <c r="I31" t="e">
        <f>$C$14*ReDiarioFert!E20</f>
        <v>#DIV/0!</v>
      </c>
      <c r="K31" t="e">
        <f>$C$14*ReDiarioFert!G20</f>
        <v>#DIV/0!</v>
      </c>
      <c r="M31">
        <f>$C$14*ReDiarioFert!I20</f>
        <v>1.1231777590110323</v>
      </c>
      <c r="O31">
        <f>$C$14*ReDiarioFert!K20</f>
        <v>2.315160555555555</v>
      </c>
      <c r="Q31">
        <f>$C$14*ReDiarioFert!M20</f>
        <v>62.601853658536584</v>
      </c>
      <c r="T31" t="e">
        <f>((G31/100)*$G$134+(I31/100)*$G$135+(K31/100)*$G$136+(M31/100)*$G$137+(O31/100)*$G$138+(Q31)*$G$139+(S31*$G$140)+(E31*(VLOOKUP(D31,Fertilizantes!$A$49:$E$123,3,FALSE))))</f>
        <v>#DIV/0!</v>
      </c>
    </row>
    <row r="32">
      <c r="A32">
        <v>3</v>
      </c>
      <c r="B32">
        <v>15</v>
      </c>
      <c r="C32">
        <f>$I$13+B32</f>
        <v>39980</v>
      </c>
      <c r="E32">
        <f>VLOOKUP(D32,Fertilizantes!$A$49:$E$123,2,FALSE)*$C$14</f>
        <v>0</v>
      </c>
      <c r="F32">
        <f>VLOOKUP(D32,Fertilizantes!$A$49:$E$123,4,FALSE)</f>
        <v>0</v>
      </c>
      <c r="G32" t="e">
        <f>IF($C$14*ReDiarioFert!C21&lt;=0,"0",$C$14*ReDiarioFert!C21)</f>
        <v>#DIV/0!</v>
      </c>
      <c r="I32" t="e">
        <f>$C$14*ReDiarioFert!E21</f>
        <v>#DIV/0!</v>
      </c>
      <c r="K32" t="e">
        <f>$C$14*ReDiarioFert!G21</f>
        <v>#DIV/0!</v>
      </c>
      <c r="M32">
        <f>$C$14*ReDiarioFert!I21</f>
        <v>1.1231777590110323</v>
      </c>
      <c r="O32">
        <f>$C$14*ReDiarioFert!K21</f>
        <v>2.315160555555555</v>
      </c>
      <c r="Q32">
        <f>$C$14*ReDiarioFert!M21</f>
        <v>62.601853658536584</v>
      </c>
      <c r="S32">
        <f>$C$14*Main!$D$63</f>
        <v>28</v>
      </c>
      <c r="T32" t="e">
        <f>((G32/100)*$G$134+(I32/100)*$G$135+(K32/100)*$G$136+(M32/100)*$G$137+(O32/100)*$G$138+(Q32)*$G$139+(S32*$G$140)+(E32*(VLOOKUP(D32,Fertilizantes!$A$49:$E$123,3,FALSE))))</f>
        <v>#DIV/0!</v>
      </c>
    </row>
    <row r="33">
      <c r="B33">
        <v>16</v>
      </c>
      <c r="C33">
        <f>$I$13+B33</f>
        <v>39981</v>
      </c>
      <c r="E33">
        <f>VLOOKUP(D33,Fertilizantes!$A$49:$E$123,2,FALSE)*$C$14</f>
        <v>0</v>
      </c>
      <c r="F33">
        <f>VLOOKUP(D33,Fertilizantes!$A$49:$E$123,4,FALSE)</f>
        <v>0</v>
      </c>
      <c r="G33" t="e">
        <f>IF($C$14*ReDiarioFert!C22&lt;=0,"0",$C$14*ReDiarioFert!C22)</f>
        <v>#DIV/0!</v>
      </c>
      <c r="I33" t="e">
        <f>$C$14*ReDiarioFert!E22</f>
        <v>#DIV/0!</v>
      </c>
      <c r="K33" t="e">
        <f>$C$14*ReDiarioFert!G22</f>
        <v>#DIV/0!</v>
      </c>
      <c r="M33">
        <f>$C$14*ReDiarioFert!I22</f>
        <v>1.1231777590110323</v>
      </c>
      <c r="O33">
        <f>$C$14*ReDiarioFert!K22</f>
        <v>2.315160555555555</v>
      </c>
      <c r="Q33">
        <f>$C$14*ReDiarioFert!M22</f>
        <v>62.601853658536584</v>
      </c>
      <c r="T33" t="e">
        <f>((G33/100)*$G$134+(I33/100)*$G$135+(K33/100)*$G$136+(M33/100)*$G$137+(O33/100)*$G$138+(Q33)*$G$139+(S33*$G$140)+(E33*(VLOOKUP(D33,Fertilizantes!$A$49:$E$123,3,FALSE))))</f>
        <v>#DIV/0!</v>
      </c>
    </row>
    <row r="34">
      <c r="B34">
        <v>17</v>
      </c>
      <c r="C34">
        <f>$I$13+B34</f>
        <v>39982</v>
      </c>
      <c r="E34">
        <f>VLOOKUP(D34,Fertilizantes!$A$49:$E$123,2,FALSE)*$C$14</f>
        <v>0</v>
      </c>
      <c r="F34">
        <f>VLOOKUP(D34,Fertilizantes!$A$49:$E$123,4,FALSE)</f>
        <v>0</v>
      </c>
      <c r="G34" t="e">
        <f>IF($C$14*ReDiarioFert!C23&lt;=0,"0",$C$14*ReDiarioFert!C23)</f>
        <v>#DIV/0!</v>
      </c>
      <c r="I34" t="e">
        <f>$C$14*ReDiarioFert!E23</f>
        <v>#DIV/0!</v>
      </c>
      <c r="K34" t="e">
        <f>$C$14*ReDiarioFert!G23</f>
        <v>#DIV/0!</v>
      </c>
      <c r="M34">
        <f>$C$14*ReDiarioFert!I23</f>
        <v>1.1231777590110323</v>
      </c>
      <c r="O34">
        <f>$C$14*ReDiarioFert!K23</f>
        <v>2.315160555555555</v>
      </c>
      <c r="Q34">
        <f>$C$14*ReDiarioFert!M23</f>
        <v>62.601853658536584</v>
      </c>
      <c r="T34" t="e">
        <f>((G34/100)*$G$134+(I34/100)*$G$135+(K34/100)*$G$136+(M34/100)*$G$137+(O34/100)*$G$138+(Q34)*$G$139+(S34*$G$140)+(E34*(VLOOKUP(D34,Fertilizantes!$A$49:$E$123,3,FALSE))))</f>
        <v>#DIV/0!</v>
      </c>
    </row>
    <row r="35">
      <c r="B35">
        <v>18</v>
      </c>
      <c r="C35">
        <f>$I$13+B35</f>
        <v>39983</v>
      </c>
      <c r="E35">
        <f>VLOOKUP(D35,Fertilizantes!$A$49:$E$123,2,FALSE)*$C$14</f>
        <v>0</v>
      </c>
      <c r="F35">
        <f>VLOOKUP(D35,Fertilizantes!$A$49:$E$123,4,FALSE)</f>
        <v>0</v>
      </c>
      <c r="G35" t="e">
        <f>IF($C$14*ReDiarioFert!C24&lt;=0,"0",$C$14*ReDiarioFert!C24)</f>
        <v>#DIV/0!</v>
      </c>
      <c r="I35" t="e">
        <f>$C$14*ReDiarioFert!E24</f>
        <v>#DIV/0!</v>
      </c>
      <c r="K35" t="e">
        <f>$C$14*ReDiarioFert!G24</f>
        <v>#DIV/0!</v>
      </c>
      <c r="M35">
        <f>$C$14*ReDiarioFert!I24</f>
        <v>1.1231777590110323</v>
      </c>
      <c r="O35">
        <f>$C$14*ReDiarioFert!K24</f>
        <v>2.315160555555555</v>
      </c>
      <c r="Q35">
        <f>$C$14*ReDiarioFert!M24</f>
        <v>83.46868292682927</v>
      </c>
      <c r="T35" t="e">
        <f>((G35/100)*$G$134+(I35/100)*$G$135+(K35/100)*$G$136+(M35/100)*$G$137+(O35/100)*$G$138+(Q35)*$G$139+(S35*$G$140)+(E35*(VLOOKUP(D35,Fertilizantes!$A$49:$E$123,3,FALSE))))</f>
        <v>#DIV/0!</v>
      </c>
    </row>
    <row r="36">
      <c r="B36">
        <v>19</v>
      </c>
      <c r="C36">
        <f>$I$13+B36</f>
        <v>39984</v>
      </c>
      <c r="E36">
        <f>VLOOKUP(D36,Fertilizantes!$A$49:$E$123,2,FALSE)*$C$14</f>
        <v>0</v>
      </c>
      <c r="F36">
        <f>VLOOKUP(D36,Fertilizantes!$A$49:$E$123,4,FALSE)</f>
        <v>0</v>
      </c>
      <c r="G36" t="e">
        <f>IF($C$14*ReDiarioFert!C25&lt;=0,"0",$C$14*ReDiarioFert!C25)</f>
        <v>#DIV/0!</v>
      </c>
      <c r="I36" t="e">
        <f>$C$14*ReDiarioFert!E25</f>
        <v>#DIV/0!</v>
      </c>
      <c r="K36" t="e">
        <f>$C$14*ReDiarioFert!G25</f>
        <v>#DIV/0!</v>
      </c>
      <c r="M36">
        <f>$C$14*ReDiarioFert!I25</f>
        <v>1.1231777590110323</v>
      </c>
      <c r="O36">
        <f>$C$14*ReDiarioFert!K25</f>
        <v>2.315160555555555</v>
      </c>
      <c r="Q36">
        <f>$C$14*ReDiarioFert!M25</f>
        <v>83.46868292682927</v>
      </c>
      <c r="T36" t="e">
        <f>((G36/100)*$G$134+(I36/100)*$G$135+(K36/100)*$G$136+(M36/100)*$G$137+(O36/100)*$G$138+(Q36)*$G$139+(S36*$G$140)+(E36*(VLOOKUP(D36,Fertilizantes!$A$49:$E$123,3,FALSE))))</f>
        <v>#DIV/0!</v>
      </c>
    </row>
    <row r="37">
      <c r="B37">
        <v>20</v>
      </c>
      <c r="C37">
        <f>$I$13+B37</f>
        <v>39985</v>
      </c>
      <c r="E37">
        <f>VLOOKUP(D37,Fertilizantes!$A$49:$E$123,2,FALSE)*$C$14</f>
        <v>0</v>
      </c>
      <c r="F37">
        <f>VLOOKUP(D37,Fertilizantes!$A$49:$E$123,4,FALSE)</f>
        <v>0</v>
      </c>
      <c r="G37" t="e">
        <f>IF($C$14*ReDiarioFert!C26&lt;=0,"0",$C$14*ReDiarioFert!C26)</f>
        <v>#DIV/0!</v>
      </c>
      <c r="I37" t="e">
        <f>$C$14*ReDiarioFert!E26</f>
        <v>#DIV/0!</v>
      </c>
      <c r="K37" t="e">
        <f>$C$14*ReDiarioFert!G26</f>
        <v>#DIV/0!</v>
      </c>
      <c r="M37">
        <f>$C$14*ReDiarioFert!I26</f>
        <v>1.1231777590110323</v>
      </c>
      <c r="O37">
        <f>$C$14*ReDiarioFert!K26</f>
        <v>2.315160555555555</v>
      </c>
      <c r="Q37">
        <f>$C$14*ReDiarioFert!M26</f>
        <v>83.46868292682927</v>
      </c>
      <c r="T37" t="e">
        <f>((G37/100)*$G$134+(I37/100)*$G$135+(K37/100)*$G$136+(M37/100)*$G$137+(O37/100)*$G$138+(Q37)*$G$139+(S37*$G$140)+(E37*(VLOOKUP(D37,Fertilizantes!$A$49:$E$123,3,FALSE))))</f>
        <v>#DIV/0!</v>
      </c>
    </row>
    <row r="38">
      <c r="B38">
        <v>21</v>
      </c>
      <c r="C38">
        <f>$I$13+B38</f>
        <v>39986</v>
      </c>
      <c r="E38">
        <f>VLOOKUP(D38,Fertilizantes!$A$49:$E$123,2,FALSE)*$C$14</f>
        <v>0</v>
      </c>
      <c r="F38">
        <f>VLOOKUP(D38,Fertilizantes!$A$49:$E$123,4,FALSE)</f>
        <v>0</v>
      </c>
      <c r="G38" t="e">
        <f>IF($C$14*ReDiarioFert!C27&lt;=0,"0",$C$14*ReDiarioFert!C27)</f>
        <v>#DIV/0!</v>
      </c>
      <c r="I38" t="e">
        <f>$C$14*ReDiarioFert!E27</f>
        <v>#DIV/0!</v>
      </c>
      <c r="K38" t="e">
        <f>$C$14*ReDiarioFert!G27</f>
        <v>#DIV/0!</v>
      </c>
      <c r="M38">
        <f>$C$14*ReDiarioFert!I27</f>
        <v>1.1231777590110323</v>
      </c>
      <c r="O38">
        <f>$C$14*ReDiarioFert!K27</f>
        <v>2.315160555555555</v>
      </c>
      <c r="Q38">
        <f>$C$14*ReDiarioFert!M27</f>
        <v>83.46868292682927</v>
      </c>
      <c r="T38" t="e">
        <f>((G38/100)*$G$134+(I38/100)*$G$135+(K38/100)*$G$136+(M38/100)*$G$137+(O38/100)*$G$138+(Q38)*$G$139+(S38*$G$140)+(E38*(VLOOKUP(D38,Fertilizantes!$A$49:$E$123,3,FALSE))))</f>
        <v>#DIV/0!</v>
      </c>
    </row>
    <row r="39">
      <c r="A39">
        <v>4</v>
      </c>
      <c r="B39">
        <v>22</v>
      </c>
      <c r="C39">
        <f>$I$13+B39</f>
        <v>39987</v>
      </c>
      <c r="E39">
        <f>VLOOKUP(D39,Fertilizantes!$A$49:$E$123,2,FALSE)*$C$14</f>
        <v>0</v>
      </c>
      <c r="F39">
        <f>VLOOKUP(D39,Fertilizantes!$A$49:$E$123,4,FALSE)</f>
        <v>0</v>
      </c>
      <c r="G39" t="e">
        <f>IF($C$14*ReDiarioFert!C28&lt;=0,"0",$C$14*ReDiarioFert!C28)</f>
        <v>#DIV/0!</v>
      </c>
      <c r="I39" t="e">
        <f>$C$14*ReDiarioFert!E28</f>
        <v>#DIV/0!</v>
      </c>
      <c r="K39" t="e">
        <f>$C$14*ReDiarioFert!G28</f>
        <v>#DIV/0!</v>
      </c>
      <c r="M39">
        <f>$C$14*ReDiarioFert!I28</f>
        <v>1.1231777590110323</v>
      </c>
      <c r="O39">
        <f>$C$14*ReDiarioFert!K28</f>
        <v>2.315160555555555</v>
      </c>
      <c r="Q39">
        <f>$C$14*ReDiarioFert!M28</f>
        <v>83.46868292682927</v>
      </c>
      <c r="S39">
        <f>$C$14*Main!$D$63</f>
        <v>28</v>
      </c>
      <c r="T39" t="e">
        <f>((G39/100)*$G$134+(I39/100)*$G$135+(K39/100)*$G$136+(M39/100)*$G$137+(O39/100)*$G$138+(Q39)*$G$139+(S39*$G$140)+(E39*(VLOOKUP(D39,Fertilizantes!$A$49:$E$123,3,FALSE))))</f>
        <v>#DIV/0!</v>
      </c>
    </row>
    <row r="40">
      <c r="B40">
        <v>23</v>
      </c>
      <c r="C40">
        <f>$I$13+B40</f>
        <v>39988</v>
      </c>
      <c r="E40">
        <f>VLOOKUP(D40,Fertilizantes!$A$49:$E$123,2,FALSE)*$C$14</f>
        <v>0</v>
      </c>
      <c r="F40">
        <f>VLOOKUP(D40,Fertilizantes!$A$49:$E$123,4,FALSE)</f>
        <v>0</v>
      </c>
      <c r="G40" t="e">
        <f>IF($C$14*ReDiarioFert!C29&lt;=0,"0",$C$14*ReDiarioFert!C29)</f>
        <v>#DIV/0!</v>
      </c>
      <c r="I40" t="e">
        <f>$C$14*ReDiarioFert!E29</f>
        <v>#DIV/0!</v>
      </c>
      <c r="K40" t="e">
        <f>$C$14*ReDiarioFert!G29</f>
        <v>#DIV/0!</v>
      </c>
      <c r="M40">
        <f>$C$14*ReDiarioFert!I29</f>
        <v>1.1231777590110323</v>
      </c>
      <c r="O40">
        <f>$C$14*ReDiarioFert!K29</f>
        <v>2.315160555555555</v>
      </c>
      <c r="Q40">
        <f>$C$14*ReDiarioFert!M29</f>
        <v>83.46868292682927</v>
      </c>
      <c r="T40" t="e">
        <f>((G40/100)*$G$134+(I40/100)*$G$135+(K40/100)*$G$136+(M40/100)*$G$137+(O40/100)*$G$138+(Q40)*$G$139+(S40*$G$140)+(E40*(VLOOKUP(D40,Fertilizantes!$A$49:$E$123,3,FALSE))))</f>
        <v>#DIV/0!</v>
      </c>
    </row>
    <row r="41">
      <c r="B41">
        <v>24</v>
      </c>
      <c r="C41">
        <f>$I$13+B41</f>
        <v>39989</v>
      </c>
      <c r="E41">
        <f>VLOOKUP(D41,Fertilizantes!$A$49:$E$123,2,FALSE)*$C$14</f>
        <v>0</v>
      </c>
      <c r="F41">
        <f>VLOOKUP(D41,Fertilizantes!$A$49:$E$123,4,FALSE)</f>
        <v>0</v>
      </c>
      <c r="G41" t="e">
        <f>IF($C$14*ReDiarioFert!C30&lt;=0,"0",$C$14*ReDiarioFert!C30)</f>
        <v>#DIV/0!</v>
      </c>
      <c r="I41" t="e">
        <f>$C$14*ReDiarioFert!E30</f>
        <v>#DIV/0!</v>
      </c>
      <c r="K41" t="e">
        <f>$C$14*ReDiarioFert!G30</f>
        <v>#DIV/0!</v>
      </c>
      <c r="M41">
        <f>$C$14*ReDiarioFert!I30</f>
        <v>1.1231777590110323</v>
      </c>
      <c r="O41">
        <f>$C$14*ReDiarioFert!K30</f>
        <v>2.315160555555555</v>
      </c>
      <c r="Q41">
        <f>$C$14*ReDiarioFert!M30</f>
        <v>83.46868292682927</v>
      </c>
      <c r="S41">
        <f>Main!$H$82</f>
        <v>0</v>
      </c>
      <c r="T41" t="e">
        <f>((G41/100)*$G$134+(I41/100)*$G$135+(K41/100)*$G$136+(M41/100)*$G$137+(O41/100)*$G$138+(Q41)*$G$139+(S41*$G$140)+(E41*(VLOOKUP(D41,Fertilizantes!$A$49:$E$123,3,FALSE))))</f>
        <v>#DIV/0!</v>
      </c>
    </row>
    <row r="42">
      <c r="B42">
        <v>25</v>
      </c>
      <c r="C42">
        <f>$I$13+B42</f>
        <v>39990</v>
      </c>
      <c r="E42">
        <f>VLOOKUP(D42,Fertilizantes!$A$49:$E$123,2,FALSE)*$C$14</f>
        <v>0</v>
      </c>
      <c r="F42">
        <f>VLOOKUP(D42,Fertilizantes!$A$49:$E$123,4,FALSE)</f>
        <v>0</v>
      </c>
      <c r="G42" t="e">
        <f>IF($C$14*ReDiarioFert!C31&lt;=0,"0",$C$14*ReDiarioFert!C31)</f>
        <v>#DIV/0!</v>
      </c>
      <c r="I42" t="e">
        <f>$C$14*ReDiarioFert!E31</f>
        <v>#DIV/0!</v>
      </c>
      <c r="K42" t="e">
        <f>$C$14*ReDiarioFert!G31</f>
        <v>#DIV/0!</v>
      </c>
      <c r="M42">
        <f>$C$14*ReDiarioFert!I31</f>
        <v>1.1231777590110323</v>
      </c>
      <c r="O42">
        <f>$C$14*ReDiarioFert!K31</f>
        <v>2.315160555555555</v>
      </c>
      <c r="Q42">
        <f>$C$14*ReDiarioFert!M31</f>
        <v>83.46868292682927</v>
      </c>
      <c r="T42" t="e">
        <f>((G42/100)*$G$134+(I42/100)*$G$135+(K42/100)*$G$136+(M42/100)*$G$137+(O42/100)*$G$138+(Q42)*$G$139+(S42*$G$140)+(E42*(VLOOKUP(D42,Fertilizantes!$A$49:$E$123,3,FALSE))))</f>
        <v>#DIV/0!</v>
      </c>
    </row>
    <row r="43">
      <c r="B43">
        <v>26</v>
      </c>
      <c r="C43">
        <f>$I$13+B43</f>
        <v>39991</v>
      </c>
      <c r="E43">
        <f>VLOOKUP(D43,Fertilizantes!$A$49:$E$123,2,FALSE)*$C$14</f>
        <v>0</v>
      </c>
      <c r="F43">
        <f>VLOOKUP(D43,Fertilizantes!$A$49:$E$123,4,FALSE)</f>
        <v>0</v>
      </c>
      <c r="G43" t="e">
        <f>IF($C$14*ReDiarioFert!C32&lt;=0,"0",$C$14*ReDiarioFert!C32)</f>
        <v>#DIV/0!</v>
      </c>
      <c r="I43" t="e">
        <f>$C$14*ReDiarioFert!E32</f>
        <v>#DIV/0!</v>
      </c>
      <c r="K43" t="e">
        <f>$C$14*ReDiarioFert!G32</f>
        <v>#DIV/0!</v>
      </c>
      <c r="M43">
        <f>$C$14*ReDiarioFert!I32</f>
        <v>1.1231777590110323</v>
      </c>
      <c r="O43">
        <f>$C$14*ReDiarioFert!K32</f>
        <v>2.315160555555555</v>
      </c>
      <c r="Q43">
        <f>$C$14*ReDiarioFert!M32</f>
        <v>83.46868292682927</v>
      </c>
      <c r="T43" t="e">
        <f>((G43/100)*$G$134+(I43/100)*$G$135+(K43/100)*$G$136+(M43/100)*$G$137+(O43/100)*$G$138+(Q43)*$G$139+(S43*$G$140)+(E43*(VLOOKUP(D43,Fertilizantes!$A$49:$E$123,3,FALSE))))</f>
        <v>#DIV/0!</v>
      </c>
    </row>
    <row r="44">
      <c r="B44">
        <v>27</v>
      </c>
      <c r="C44">
        <f>$I$13+B44</f>
        <v>39992</v>
      </c>
      <c r="E44">
        <f>VLOOKUP(D44,Fertilizantes!$A$49:$E$123,2,FALSE)*$C$14</f>
        <v>0</v>
      </c>
      <c r="F44">
        <f>VLOOKUP(D44,Fertilizantes!$A$49:$E$123,4,FALSE)</f>
        <v>0</v>
      </c>
      <c r="G44" t="e">
        <f>IF($C$14*ReDiarioFert!C33&lt;=0,"0",$C$14*ReDiarioFert!C33)</f>
        <v>#DIV/0!</v>
      </c>
      <c r="I44" t="e">
        <f>$C$14*ReDiarioFert!E33</f>
        <v>#DIV/0!</v>
      </c>
      <c r="K44" t="e">
        <f>$C$14*ReDiarioFert!G33</f>
        <v>#DIV/0!</v>
      </c>
      <c r="M44">
        <f>$C$14*ReDiarioFert!I33</f>
        <v>1.1231777590110323</v>
      </c>
      <c r="O44">
        <f>$C$14*ReDiarioFert!K33</f>
        <v>2.315160555555555</v>
      </c>
      <c r="Q44">
        <f>$C$14*ReDiarioFert!M33</f>
        <v>83.46868292682927</v>
      </c>
      <c r="T44" t="e">
        <f>((G44/100)*$G$134+(I44/100)*$G$135+(K44/100)*$G$136+(M44/100)*$G$137+(O44/100)*$G$138+(Q44)*$G$139+(S44*$G$140)+(E44*(VLOOKUP(D44,Fertilizantes!$A$49:$E$123,3,FALSE))))</f>
        <v>#DIV/0!</v>
      </c>
    </row>
    <row r="45">
      <c r="B45">
        <v>28</v>
      </c>
      <c r="C45">
        <f>$I$13+B45</f>
        <v>39993</v>
      </c>
      <c r="E45">
        <f>VLOOKUP(D45,Fertilizantes!$A$49:$E$123,2,FALSE)*$C$14</f>
        <v>0</v>
      </c>
      <c r="F45">
        <f>VLOOKUP(D45,Fertilizantes!$A$49:$E$123,4,FALSE)</f>
        <v>0</v>
      </c>
      <c r="G45" t="e">
        <f>IF($C$14*ReDiarioFert!C34&lt;=0,"0",$C$14*ReDiarioFert!C34)</f>
        <v>#DIV/0!</v>
      </c>
      <c r="I45" t="e">
        <f>$C$14*ReDiarioFert!E34</f>
        <v>#DIV/0!</v>
      </c>
      <c r="K45" t="e">
        <f>$C$14*ReDiarioFert!G34</f>
        <v>#DIV/0!</v>
      </c>
      <c r="M45">
        <f>$C$14*ReDiarioFert!I34</f>
        <v>1.1231777590110323</v>
      </c>
      <c r="O45">
        <f>$C$14*ReDiarioFert!K34</f>
        <v>2.315160555555555</v>
      </c>
      <c r="Q45">
        <f>$C$14*ReDiarioFert!M34</f>
        <v>83.46868292682927</v>
      </c>
      <c r="S45">
        <f>Main!$H$84</f>
        <v>0</v>
      </c>
      <c r="T45" t="e">
        <f>((G45/100)*$G$134+(I45/100)*$G$135+(K45/100)*$G$136+(M45/100)*$G$137+(O45/100)*$G$138+(Q45)*$G$139+(S45*$G$140)+(E45*(VLOOKUP(D45,Fertilizantes!$A$49:$E$123,3,FALSE))))</f>
        <v>#DIV/0!</v>
      </c>
    </row>
    <row r="46">
      <c r="A46">
        <v>5</v>
      </c>
      <c r="B46">
        <v>29</v>
      </c>
      <c r="C46">
        <f>$I$13+B46</f>
        <v>39994</v>
      </c>
      <c r="D46">
        <f>Main!$H$87</f>
        <v>0</v>
      </c>
      <c r="E46">
        <f>VLOOKUP(D46,Fertilizantes!$A$49:$E$123,2,FALSE)*$C$14</f>
        <v>0</v>
      </c>
      <c r="F46">
        <f>VLOOKUP(D46,Fertilizantes!$A$49:$E$123,4,FALSE)</f>
        <v>0</v>
      </c>
      <c r="G46" t="e">
        <f>IF($C$14*ReDiarioFert!C35&lt;=0,"0",$C$14*ReDiarioFert!C35)</f>
        <v>#DIV/0!</v>
      </c>
      <c r="I46" t="e">
        <f>$C$14*ReDiarioFert!E35</f>
        <v>#DIV/0!</v>
      </c>
      <c r="K46" t="e">
        <f>$C$14*ReDiarioFert!G35</f>
        <v>#DIV/0!</v>
      </c>
      <c r="M46">
        <f>$C$14*ReDiarioFert!I35</f>
        <v>1.1231777590110323</v>
      </c>
      <c r="O46">
        <f>$C$14*ReDiarioFert!K35</f>
        <v>2.315160555555555</v>
      </c>
      <c r="Q46">
        <f>$C$14*ReDiarioFert!M35</f>
        <v>83.46868292682927</v>
      </c>
      <c r="S46">
        <f>$C$14*Main!$D$63</f>
        <v>28</v>
      </c>
      <c r="T46" t="e">
        <f>((G46/100)*$G$134+(I46/100)*$G$135+(K46/100)*$G$136+(M46/100)*$G$137+(O46/100)*$G$138+(Q46)*$G$139+(S46*$G$140)+(E46*(VLOOKUP(D46,Fertilizantes!$A$49:$E$123,3,FALSE))))</f>
        <v>#DIV/0!</v>
      </c>
    </row>
    <row r="47">
      <c r="B47">
        <v>30</v>
      </c>
      <c r="C47">
        <f>$I$13+B47</f>
        <v>39995</v>
      </c>
      <c r="E47">
        <f>VLOOKUP(D47,Fertilizantes!$A$49:$E$123,2,FALSE)*$C$14</f>
        <v>0</v>
      </c>
      <c r="F47">
        <f>VLOOKUP(D47,Fertilizantes!$A$49:$E$123,4,FALSE)</f>
        <v>0</v>
      </c>
      <c r="G47" t="e">
        <f>IF($C$14*ReDiarioFert!C36&lt;=0,"0",$C$14*ReDiarioFert!C36)</f>
        <v>#DIV/0!</v>
      </c>
      <c r="I47" t="e">
        <f>$C$14*ReDiarioFert!E36</f>
        <v>#DIV/0!</v>
      </c>
      <c r="K47" t="e">
        <f>$C$14*ReDiarioFert!G36</f>
        <v>#DIV/0!</v>
      </c>
      <c r="M47">
        <f>$C$14*ReDiarioFert!I36</f>
        <v>1.1231777590110323</v>
      </c>
      <c r="O47">
        <f>$C$14*ReDiarioFert!K36</f>
        <v>2.315160555555555</v>
      </c>
      <c r="Q47">
        <f>$C$14*ReDiarioFert!M36</f>
        <v>83.46868292682927</v>
      </c>
      <c r="T47" t="e">
        <f>((G47/100)*$G$134+(I47/100)*$G$135+(K47/100)*$G$136+(M47/100)*$G$137+(O47/100)*$G$138+(Q47)*$G$139+(S47*$G$140)+(E47*(VLOOKUP(D47,Fertilizantes!$A$49:$E$123,3,FALSE))))</f>
        <v>#DIV/0!</v>
      </c>
    </row>
    <row r="48">
      <c r="B48">
        <v>31</v>
      </c>
      <c r="C48">
        <f>$I$13+B48</f>
        <v>39996</v>
      </c>
      <c r="E48">
        <f>VLOOKUP(D48,Fertilizantes!$A$49:$E$123,2,FALSE)*$C$14</f>
        <v>0</v>
      </c>
      <c r="F48">
        <f>VLOOKUP(D48,Fertilizantes!$A$49:$E$123,4,FALSE)</f>
        <v>0</v>
      </c>
      <c r="G48" t="e">
        <f>IF($C$14*ReDiarioFert!C37&lt;=0,"0",$C$14*ReDiarioFert!C37)</f>
        <v>#DIV/0!</v>
      </c>
      <c r="I48" t="e">
        <f>$C$14*ReDiarioFert!E37</f>
        <v>#DIV/0!</v>
      </c>
      <c r="K48" t="e">
        <f>$C$14*ReDiarioFert!G37</f>
        <v>#DIV/0!</v>
      </c>
      <c r="M48">
        <f>$C$14*ReDiarioFert!I37</f>
        <v>1.1231777590110323</v>
      </c>
      <c r="O48">
        <f>$C$14*ReDiarioFert!K37</f>
        <v>2.315160555555555</v>
      </c>
      <c r="Q48">
        <f>$C$14*ReDiarioFert!M37</f>
        <v>83.46868292682927</v>
      </c>
      <c r="T48" t="e">
        <f>((G48/100)*$G$134+(I48/100)*$G$135+(K48/100)*$G$136+(M48/100)*$G$137+(O48/100)*$G$138+(Q48)*$G$139+(S48*$G$140)+(E48*(VLOOKUP(D48,Fertilizantes!$A$49:$E$123,3,FALSE))))</f>
        <v>#DIV/0!</v>
      </c>
    </row>
    <row r="49">
      <c r="B49">
        <v>32</v>
      </c>
      <c r="C49">
        <f>$I$13+B49</f>
        <v>39997</v>
      </c>
      <c r="E49">
        <f>VLOOKUP(D49,Fertilizantes!$A$49:$E$123,2,FALSE)*$C$14</f>
        <v>0</v>
      </c>
      <c r="F49">
        <f>VLOOKUP(D49,Fertilizantes!$A$49:$E$123,4,FALSE)</f>
        <v>0</v>
      </c>
      <c r="G49" t="e">
        <f>IF($C$14*ReDiarioFert!C38&lt;=0,"0",$C$14*ReDiarioFert!C38)</f>
        <v>#DIV/0!</v>
      </c>
      <c r="I49" t="e">
        <f>$C$14*ReDiarioFert!E38</f>
        <v>#DIV/0!</v>
      </c>
      <c r="K49" t="e">
        <f>$C$14*ReDiarioFert!G38</f>
        <v>#DIV/0!</v>
      </c>
      <c r="M49">
        <f>$C$14*ReDiarioFert!I38</f>
        <v>1.1231777590110323</v>
      </c>
      <c r="O49">
        <f>$C$14*ReDiarioFert!K38</f>
        <v>2.315160555555555</v>
      </c>
      <c r="Q49">
        <f>$C$14*ReDiarioFert!M38</f>
        <v>83.46868292682927</v>
      </c>
      <c r="T49" t="e">
        <f>((G49/100)*$G$134+(I49/100)*$G$135+(K49/100)*$G$136+(M49/100)*$G$137+(O49/100)*$G$138+(Q49)*$G$139+(S49*$G$140)+(E49*(VLOOKUP(D49,Fertilizantes!$A$49:$E$123,3,FALSE))))</f>
        <v>#DIV/0!</v>
      </c>
    </row>
    <row r="50">
      <c r="B50">
        <v>33</v>
      </c>
      <c r="C50">
        <f>$I$13+B50</f>
        <v>39998</v>
      </c>
      <c r="E50">
        <f>VLOOKUP(D50,Fertilizantes!$A$49:$E$123,2,FALSE)*$C$14</f>
        <v>0</v>
      </c>
      <c r="F50">
        <f>VLOOKUP(D50,Fertilizantes!$A$49:$E$123,4,FALSE)</f>
        <v>0</v>
      </c>
      <c r="G50" t="e">
        <f>IF($C$14*ReDiarioFert!C39&lt;=0,"0",$C$14*ReDiarioFert!C39)</f>
        <v>#DIV/0!</v>
      </c>
      <c r="I50" t="e">
        <f>$C$14*ReDiarioFert!E39</f>
        <v>#DIV/0!</v>
      </c>
      <c r="K50" t="e">
        <f>$C$14*ReDiarioFert!G39</f>
        <v>#DIV/0!</v>
      </c>
      <c r="M50">
        <f>$C$14*ReDiarioFert!I39</f>
        <v>1.1231777590110323</v>
      </c>
      <c r="O50">
        <f>$C$14*ReDiarioFert!K39</f>
        <v>2.315160555555555</v>
      </c>
      <c r="Q50">
        <f>$C$14*ReDiarioFert!M39</f>
        <v>118.24809756097562</v>
      </c>
      <c r="T50" t="e">
        <f>((G50/100)*$G$134+(I50/100)*$G$135+(K50/100)*$G$136+(M50/100)*$G$137+(O50/100)*$G$138+(Q50)*$G$139+(S50*$G$140)+(E50*(VLOOKUP(D50,Fertilizantes!$A$49:$E$123,3,FALSE))))</f>
        <v>#DIV/0!</v>
      </c>
    </row>
    <row r="51">
      <c r="B51">
        <v>34</v>
      </c>
      <c r="C51">
        <f>$I$13+B51</f>
        <v>39999</v>
      </c>
      <c r="E51">
        <f>VLOOKUP(D51,Fertilizantes!$A$49:$E$123,2,FALSE)*$C$14</f>
        <v>0</v>
      </c>
      <c r="F51">
        <f>VLOOKUP(D51,Fertilizantes!$A$49:$E$123,4,FALSE)</f>
        <v>0</v>
      </c>
      <c r="G51" t="e">
        <f>IF($C$14*ReDiarioFert!C40&lt;=0,"0",$C$14*ReDiarioFert!C40)</f>
        <v>#DIV/0!</v>
      </c>
      <c r="I51" t="e">
        <f>$C$14*ReDiarioFert!E40</f>
        <v>#DIV/0!</v>
      </c>
      <c r="K51" t="e">
        <f>$C$14*ReDiarioFert!G40</f>
        <v>#DIV/0!</v>
      </c>
      <c r="M51">
        <f>$C$14*ReDiarioFert!I40</f>
        <v>1.1231777590110323</v>
      </c>
      <c r="O51">
        <f>$C$14*ReDiarioFert!K40</f>
        <v>2.315160555555555</v>
      </c>
      <c r="Q51">
        <f>$C$14*ReDiarioFert!M40</f>
        <v>118.24809756097562</v>
      </c>
      <c r="T51" t="e">
        <f>((G51/100)*$G$134+(I51/100)*$G$135+(K51/100)*$G$136+(M51/100)*$G$137+(O51/100)*$G$138+(Q51)*$G$139+(S51*$G$140)+(E51*(VLOOKUP(D51,Fertilizantes!$A$49:$E$123,3,FALSE))))</f>
        <v>#DIV/0!</v>
      </c>
    </row>
    <row r="52">
      <c r="B52">
        <v>35</v>
      </c>
      <c r="C52">
        <f>$I$13+B52</f>
        <v>40000</v>
      </c>
      <c r="E52">
        <f>VLOOKUP(D52,Fertilizantes!$A$49:$E$123,2,FALSE)*$C$14</f>
        <v>0</v>
      </c>
      <c r="F52">
        <f>VLOOKUP(D52,Fertilizantes!$A$49:$E$123,4,FALSE)</f>
        <v>0</v>
      </c>
      <c r="G52" t="e">
        <f>IF($C$14*ReDiarioFert!C41&lt;=0,"0",$C$14*ReDiarioFert!C41)</f>
        <v>#DIV/0!</v>
      </c>
      <c r="I52" t="e">
        <f>$C$14*ReDiarioFert!E41</f>
        <v>#DIV/0!</v>
      </c>
      <c r="K52" t="e">
        <f>$C$14*ReDiarioFert!G41</f>
        <v>#DIV/0!</v>
      </c>
      <c r="M52">
        <f>$C$14*ReDiarioFert!I41</f>
        <v>1.1231777590110323</v>
      </c>
      <c r="O52">
        <f>$C$14*ReDiarioFert!K41</f>
        <v>2.315160555555555</v>
      </c>
      <c r="Q52">
        <f>$C$14*ReDiarioFert!M41</f>
        <v>118.24809756097562</v>
      </c>
      <c r="S52">
        <f>Main!$H$85</f>
        <v>0</v>
      </c>
      <c r="T52" t="e">
        <f>((G52/100)*$G$134+(I52/100)*$G$135+(K52/100)*$G$136+(M52/100)*$G$137+(O52/100)*$G$138+(Q52)*$G$139+(S52*$G$140)+(E52*(VLOOKUP(D52,Fertilizantes!$A$49:$E$123,3,FALSE))))</f>
        <v>#DIV/0!</v>
      </c>
    </row>
    <row r="53">
      <c r="A53">
        <v>6</v>
      </c>
      <c r="B53">
        <v>36</v>
      </c>
      <c r="C53">
        <f>$I$13+B53</f>
        <v>40001</v>
      </c>
      <c r="E53">
        <f>VLOOKUP(D53,Fertilizantes!$A$49:$E$123,2,FALSE)*$C$14</f>
        <v>0</v>
      </c>
      <c r="F53">
        <f>VLOOKUP(D53,Fertilizantes!$A$49:$E$123,4,FALSE)</f>
        <v>0</v>
      </c>
      <c r="G53" t="e">
        <f>IF($C$14*ReDiarioFert!C42&lt;=0,"0",$C$14*ReDiarioFert!C42)</f>
        <v>#DIV/0!</v>
      </c>
      <c r="I53" t="e">
        <f>$C$14*ReDiarioFert!E42</f>
        <v>#DIV/0!</v>
      </c>
      <c r="K53" t="e">
        <f>$C$14*ReDiarioFert!G42</f>
        <v>#DIV/0!</v>
      </c>
      <c r="M53">
        <f>$C$14*ReDiarioFert!I42</f>
        <v>1.1231777590110323</v>
      </c>
      <c r="O53">
        <f>$C$14*ReDiarioFert!K42</f>
        <v>2.315160555555555</v>
      </c>
      <c r="Q53">
        <f>$C$14*ReDiarioFert!M42</f>
        <v>118.24809756097562</v>
      </c>
      <c r="S53">
        <f>$C$14*Main!$D$63</f>
        <v>28</v>
      </c>
      <c r="T53" t="e">
        <f>((G53/100)*$G$134+(I53/100)*$G$135+(K53/100)*$G$136+(M53/100)*$G$137+(O53/100)*$G$138+(Q53)*$G$139+(S53*$G$140)+(E53*(VLOOKUP(D53,Fertilizantes!$A$49:$E$123,3,FALSE))))</f>
        <v>#DIV/0!</v>
      </c>
    </row>
    <row r="54">
      <c r="B54">
        <v>37</v>
      </c>
      <c r="C54">
        <f>$I$13+B54</f>
        <v>40002</v>
      </c>
      <c r="E54">
        <f>VLOOKUP(D54,Fertilizantes!$A$49:$E$123,2,FALSE)*$C$14</f>
        <v>0</v>
      </c>
      <c r="F54">
        <f>VLOOKUP(D54,Fertilizantes!$A$49:$E$123,4,FALSE)</f>
        <v>0</v>
      </c>
      <c r="G54" t="e">
        <f>IF($C$14*ReDiarioFert!C43&lt;=0,"0",$C$14*ReDiarioFert!C43)</f>
        <v>#DIV/0!</v>
      </c>
      <c r="I54" t="e">
        <f>$C$14*ReDiarioFert!E43</f>
        <v>#DIV/0!</v>
      </c>
      <c r="K54" t="e">
        <f>$C$14*ReDiarioFert!G43</f>
        <v>#DIV/0!</v>
      </c>
      <c r="M54">
        <f>$C$14*ReDiarioFert!I43</f>
        <v>1.1231777590110323</v>
      </c>
      <c r="O54">
        <f>$C$14*ReDiarioFert!K43</f>
        <v>2.315160555555555</v>
      </c>
      <c r="Q54">
        <f>$C$14*ReDiarioFert!M43</f>
        <v>118.24809756097562</v>
      </c>
      <c r="T54" t="e">
        <f>((G54/100)*$G$134+(I54/100)*$G$135+(K54/100)*$G$136+(M54/100)*$G$137+(O54/100)*$G$138+(Q54)*$G$139+(S54*$G$140)+(E54*(VLOOKUP(D54,Fertilizantes!$A$49:$E$123,3,FALSE))))</f>
        <v>#DIV/0!</v>
      </c>
    </row>
    <row r="55">
      <c r="B55">
        <v>38</v>
      </c>
      <c r="C55">
        <f>$I$13+B55</f>
        <v>40003</v>
      </c>
      <c r="E55">
        <f>VLOOKUP(D55,Fertilizantes!$A$49:$E$123,2,FALSE)*$C$14</f>
        <v>0</v>
      </c>
      <c r="F55">
        <f>VLOOKUP(D55,Fertilizantes!$A$49:$E$123,4,FALSE)</f>
        <v>0</v>
      </c>
      <c r="G55" t="e">
        <f>IF($C$14*ReDiarioFert!C44&lt;=0,"0",$C$14*ReDiarioFert!C44)</f>
        <v>#DIV/0!</v>
      </c>
      <c r="I55" t="e">
        <f>$C$14*ReDiarioFert!E44</f>
        <v>#DIV/0!</v>
      </c>
      <c r="K55" t="e">
        <f>$C$14*ReDiarioFert!G44</f>
        <v>#DIV/0!</v>
      </c>
      <c r="M55">
        <f>$C$14*ReDiarioFert!I44</f>
        <v>1.1231777590110323</v>
      </c>
      <c r="O55">
        <f>$C$14*ReDiarioFert!K44</f>
        <v>2.315160555555555</v>
      </c>
      <c r="Q55">
        <f>$C$14*ReDiarioFert!M44</f>
        <v>118.24809756097562</v>
      </c>
      <c r="S55">
        <f>Main!$H$82</f>
        <v>0</v>
      </c>
      <c r="T55" t="e">
        <f>((G55/100)*$G$134+(I55/100)*$G$135+(K55/100)*$G$136+(M55/100)*$G$137+(O55/100)*$G$138+(Q55)*$G$139+(S55*$G$140)+(E55*(VLOOKUP(D55,Fertilizantes!$A$49:$E$123,3,FALSE))))</f>
        <v>#DIV/0!</v>
      </c>
    </row>
    <row r="56">
      <c r="B56">
        <v>39</v>
      </c>
      <c r="C56">
        <f>$I$13+B56</f>
        <v>40004</v>
      </c>
      <c r="E56">
        <f>VLOOKUP(D56,Fertilizantes!$A$49:$E$123,2,FALSE)*$C$14</f>
        <v>0</v>
      </c>
      <c r="F56">
        <f>VLOOKUP(D56,Fertilizantes!$A$49:$E$123,4,FALSE)</f>
        <v>0</v>
      </c>
      <c r="G56" t="e">
        <f>IF($C$14*ReDiarioFert!C45&lt;=0,"0",$C$14*ReDiarioFert!C45)</f>
        <v>#DIV/0!</v>
      </c>
      <c r="I56" t="e">
        <f>$C$14*ReDiarioFert!E45</f>
        <v>#DIV/0!</v>
      </c>
      <c r="K56" t="e">
        <f>$C$14*ReDiarioFert!G45</f>
        <v>#DIV/0!</v>
      </c>
      <c r="M56">
        <f>$C$14*ReDiarioFert!I45</f>
        <v>1.1231777590110323</v>
      </c>
      <c r="O56">
        <f>$C$14*ReDiarioFert!K45</f>
        <v>2.315160555555555</v>
      </c>
      <c r="Q56">
        <f>$C$14*ReDiarioFert!M45</f>
        <v>118.24809756097562</v>
      </c>
      <c r="T56" t="e">
        <f>((G56/100)*$G$134+(I56/100)*$G$135+(K56/100)*$G$136+(M56/100)*$G$137+(O56/100)*$G$138+(Q56)*$G$139+(S56*$G$140)+(E56*(VLOOKUP(D56,Fertilizantes!$A$49:$E$123,3,FALSE))))</f>
        <v>#DIV/0!</v>
      </c>
    </row>
    <row r="57">
      <c r="B57">
        <v>40</v>
      </c>
      <c r="C57">
        <f>$I$13+B57</f>
        <v>40005</v>
      </c>
      <c r="E57">
        <f>VLOOKUP(D57,Fertilizantes!$A$49:$E$123,2,FALSE)*$C$14</f>
        <v>0</v>
      </c>
      <c r="F57">
        <f>VLOOKUP(D57,Fertilizantes!$A$49:$E$123,4,FALSE)</f>
        <v>0</v>
      </c>
      <c r="G57" t="e">
        <f>IF($C$14*ReDiarioFert!C46&lt;=0,"0",$C$14*ReDiarioFert!C46)</f>
        <v>#DIV/0!</v>
      </c>
      <c r="I57" t="e">
        <f>$C$14*ReDiarioFert!E46</f>
        <v>#DIV/0!</v>
      </c>
      <c r="K57" t="e">
        <f>$C$14*ReDiarioFert!G46</f>
        <v>#DIV/0!</v>
      </c>
      <c r="M57">
        <f>$C$14*ReDiarioFert!I46</f>
        <v>1.1231777590110323</v>
      </c>
      <c r="O57">
        <f>$C$14*ReDiarioFert!K46</f>
        <v>2.315160555555555</v>
      </c>
      <c r="Q57">
        <f>$C$14*ReDiarioFert!M46</f>
        <v>118.24809756097562</v>
      </c>
      <c r="T57" t="e">
        <f>((G57/100)*$G$134+(I57/100)*$G$135+(K57/100)*$G$136+(M57/100)*$G$137+(O57/100)*$G$138+(Q57)*$G$139+(S57*$G$140)+(E57*(VLOOKUP(D57,Fertilizantes!$A$49:$E$123,3,FALSE))))</f>
        <v>#DIV/0!</v>
      </c>
    </row>
    <row r="58">
      <c r="B58">
        <v>41</v>
      </c>
      <c r="C58">
        <f>$I$13+B58</f>
        <v>40006</v>
      </c>
      <c r="E58">
        <f>VLOOKUP(D58,Fertilizantes!$A$49:$E$123,2,FALSE)*$C$14</f>
        <v>0</v>
      </c>
      <c r="F58">
        <f>VLOOKUP(D58,Fertilizantes!$A$49:$E$123,4,FALSE)</f>
        <v>0</v>
      </c>
      <c r="G58" t="e">
        <f>IF($C$14*ReDiarioFert!C47&lt;=0,"0",$C$14*ReDiarioFert!C47)</f>
        <v>#DIV/0!</v>
      </c>
      <c r="I58" t="e">
        <f>$C$14*ReDiarioFert!E47</f>
        <v>#DIV/0!</v>
      </c>
      <c r="K58" t="e">
        <f>$C$14*ReDiarioFert!G47</f>
        <v>#DIV/0!</v>
      </c>
      <c r="M58">
        <f>$C$14*ReDiarioFert!I47</f>
        <v>10.03372131383189</v>
      </c>
      <c r="O58">
        <f>$C$14*ReDiarioFert!K47</f>
        <v>20.682100962962963</v>
      </c>
      <c r="Q58">
        <f>$C$14*ReDiarioFert!M47</f>
        <v>118.24809756097562</v>
      </c>
      <c r="T58" t="e">
        <f>((G58/100)*$G$134+(I58/100)*$G$135+(K58/100)*$G$136+(M58/100)*$G$137+(O58/100)*$G$138+(Q58)*$G$139+(S58*$G$140)+(E58*(VLOOKUP(D58,Fertilizantes!$A$49:$E$123,3,FALSE))))</f>
        <v>#DIV/0!</v>
      </c>
    </row>
    <row r="59">
      <c r="B59">
        <v>42</v>
      </c>
      <c r="C59">
        <f>$I$13+B59</f>
        <v>40007</v>
      </c>
      <c r="E59">
        <f>VLOOKUP(D59,Fertilizantes!$A$49:$E$123,2,FALSE)*$C$14</f>
        <v>0</v>
      </c>
      <c r="F59">
        <f>VLOOKUP(D59,Fertilizantes!$A$49:$E$123,4,FALSE)</f>
        <v>0</v>
      </c>
      <c r="G59" t="e">
        <f>IF($C$14*ReDiarioFert!C48&lt;=0,"0",$C$14*ReDiarioFert!C48)</f>
        <v>#DIV/0!</v>
      </c>
      <c r="I59" t="e">
        <f>$C$14*ReDiarioFert!E48</f>
        <v>#DIV/0!</v>
      </c>
      <c r="K59" t="e">
        <f>$C$14*ReDiarioFert!G48</f>
        <v>#DIV/0!</v>
      </c>
      <c r="M59">
        <f>$C$14*ReDiarioFert!I48</f>
        <v>10.03372131383189</v>
      </c>
      <c r="O59">
        <f>$C$14*ReDiarioFert!K48</f>
        <v>20.682100962962963</v>
      </c>
      <c r="Q59">
        <f>$C$14*ReDiarioFert!M48</f>
        <v>118.24809756097562</v>
      </c>
      <c r="T59" t="e">
        <f>((G59/100)*$G$134+(I59/100)*$G$135+(K59/100)*$G$136+(M59/100)*$G$137+(O59/100)*$G$138+(Q59)*$G$139+(S59*$G$140)+(E59*(VLOOKUP(D59,Fertilizantes!$A$49:$E$123,3,FALSE))))</f>
        <v>#DIV/0!</v>
      </c>
    </row>
    <row r="60">
      <c r="A60">
        <v>7</v>
      </c>
      <c r="B60">
        <v>43</v>
      </c>
      <c r="C60">
        <f>$I$13+B60</f>
        <v>40008</v>
      </c>
      <c r="E60">
        <f>VLOOKUP(D60,Fertilizantes!$A$49:$E$123,2,FALSE)*$C$14</f>
        <v>0</v>
      </c>
      <c r="F60">
        <f>VLOOKUP(D60,Fertilizantes!$A$49:$E$123,4,FALSE)</f>
        <v>0</v>
      </c>
      <c r="G60" t="e">
        <f>IF($C$14*ReDiarioFert!C49&lt;=0,"0",$C$14*ReDiarioFert!C49)</f>
        <v>#DIV/0!</v>
      </c>
      <c r="I60" t="e">
        <f>$C$14*ReDiarioFert!E49</f>
        <v>#DIV/0!</v>
      </c>
      <c r="K60" t="e">
        <f>$C$14*ReDiarioFert!G49</f>
        <v>#DIV/0!</v>
      </c>
      <c r="M60">
        <f>$C$14*ReDiarioFert!I49</f>
        <v>10.03372131383189</v>
      </c>
      <c r="O60">
        <f>$C$14*ReDiarioFert!K49</f>
        <v>20.682100962962963</v>
      </c>
      <c r="Q60">
        <f>$C$14*ReDiarioFert!M49</f>
        <v>118.24809756097562</v>
      </c>
      <c r="S60">
        <f>$C$14*Main!$D$63</f>
        <v>28</v>
      </c>
      <c r="T60" t="e">
        <f>((G60/100)*$G$134+(I60/100)*$G$135+(K60/100)*$G$136+(M60/100)*$G$137+(O60/100)*$G$138+(Q60)*$G$139+(S60*$G$140)+(E60*(VLOOKUP(D60,Fertilizantes!$A$49:$E$123,3,FALSE))))</f>
        <v>#DIV/0!</v>
      </c>
    </row>
    <row r="61">
      <c r="B61">
        <v>44</v>
      </c>
      <c r="C61">
        <f>$I$13+B61</f>
        <v>40009</v>
      </c>
      <c r="E61">
        <f>VLOOKUP(D61,Fertilizantes!$A$49:$E$123,2,FALSE)*$C$14</f>
        <v>0</v>
      </c>
      <c r="F61">
        <f>VLOOKUP(D61,Fertilizantes!$A$49:$E$123,4,FALSE)</f>
        <v>0</v>
      </c>
      <c r="G61" t="e">
        <f>IF($C$14*ReDiarioFert!C50&lt;=0,"0",$C$14*ReDiarioFert!C50)</f>
        <v>#DIV/0!</v>
      </c>
      <c r="I61" t="e">
        <f>$C$14*ReDiarioFert!E50</f>
        <v>#DIV/0!</v>
      </c>
      <c r="K61" t="e">
        <f>$C$14*ReDiarioFert!G50</f>
        <v>#DIV/0!</v>
      </c>
      <c r="M61">
        <f>$C$14*ReDiarioFert!I50</f>
        <v>10.03372131383189</v>
      </c>
      <c r="O61">
        <f>$C$14*ReDiarioFert!K50</f>
        <v>20.682100962962963</v>
      </c>
      <c r="Q61">
        <f>$C$14*ReDiarioFert!M50</f>
        <v>118.24809756097562</v>
      </c>
      <c r="T61" t="e">
        <f>((G61/100)*$G$134+(I61/100)*$G$135+(K61/100)*$G$136+(M61/100)*$G$137+(O61/100)*$G$138+(Q61)*$G$139+(S61*$G$140)+(E61*(VLOOKUP(D61,Fertilizantes!$A$49:$E$123,3,FALSE))))</f>
        <v>#DIV/0!</v>
      </c>
    </row>
    <row r="62">
      <c r="B62">
        <v>45</v>
      </c>
      <c r="C62">
        <f>$I$13+B62</f>
        <v>40010</v>
      </c>
      <c r="E62">
        <f>VLOOKUP(D62,Fertilizantes!$A$49:$E$123,2,FALSE)*$C$14</f>
        <v>0</v>
      </c>
      <c r="F62">
        <f>VLOOKUP(D62,Fertilizantes!$A$49:$E$123,4,FALSE)</f>
        <v>0</v>
      </c>
      <c r="G62" t="e">
        <f>IF($C$14*ReDiarioFert!C51&lt;=0,"0",$C$14*ReDiarioFert!C51)</f>
        <v>#DIV/0!</v>
      </c>
      <c r="I62" t="e">
        <f>$C$14*ReDiarioFert!E51</f>
        <v>#DIV/0!</v>
      </c>
      <c r="K62" t="e">
        <f>$C$14*ReDiarioFert!G51</f>
        <v>#DIV/0!</v>
      </c>
      <c r="M62">
        <f>$C$14*ReDiarioFert!I51</f>
        <v>10.03372131383189</v>
      </c>
      <c r="O62">
        <f>$C$14*ReDiarioFert!K51</f>
        <v>20.682100962962963</v>
      </c>
      <c r="Q62">
        <f>$C$14*ReDiarioFert!M51</f>
        <v>118.24809756097562</v>
      </c>
      <c r="T62" t="e">
        <f>((G62/100)*$G$134+(I62/100)*$G$135+(K62/100)*$G$136+(M62/100)*$G$137+(O62/100)*$G$138+(Q62)*$G$139+(S62*$G$140)+(E62*(VLOOKUP(D62,Fertilizantes!$A$49:$E$123,3,FALSE))))</f>
        <v>#DIV/0!</v>
      </c>
    </row>
    <row r="63">
      <c r="B63">
        <v>46</v>
      </c>
      <c r="C63">
        <f>$I$13+B63</f>
        <v>40011</v>
      </c>
      <c r="E63">
        <f>VLOOKUP(D63,Fertilizantes!$A$49:$E$123,2,FALSE)*$C$14</f>
        <v>0</v>
      </c>
      <c r="F63">
        <f>VLOOKUP(D63,Fertilizantes!$A$49:$E$123,4,FALSE)</f>
        <v>0</v>
      </c>
      <c r="G63" t="e">
        <f>IF($C$14*ReDiarioFert!C52&lt;=0,"0",$C$14*ReDiarioFert!C52)</f>
        <v>#DIV/0!</v>
      </c>
      <c r="I63" t="e">
        <f>$C$14*ReDiarioFert!E52</f>
        <v>#DIV/0!</v>
      </c>
      <c r="K63" t="e">
        <f>$C$14*ReDiarioFert!G52</f>
        <v>#DIV/0!</v>
      </c>
      <c r="M63">
        <f>$C$14*ReDiarioFert!I52</f>
        <v>10.03372131383189</v>
      </c>
      <c r="O63">
        <f>$C$14*ReDiarioFert!K52</f>
        <v>20.682100962962963</v>
      </c>
      <c r="Q63">
        <f>$C$14*ReDiarioFert!M52</f>
        <v>118.24809756097562</v>
      </c>
      <c r="T63" t="e">
        <f>((G63/100)*$G$134+(I63/100)*$G$135+(K63/100)*$G$136+(M63/100)*$G$137+(O63/100)*$G$138+(Q63)*$G$139+(S63*$G$140)+(E63*(VLOOKUP(D63,Fertilizantes!$A$49:$E$123,3,FALSE))))</f>
        <v>#DIV/0!</v>
      </c>
    </row>
    <row r="64">
      <c r="B64">
        <v>47</v>
      </c>
      <c r="C64">
        <f>$I$13+B64</f>
        <v>40012</v>
      </c>
      <c r="E64">
        <f>VLOOKUP(D64,Fertilizantes!$A$49:$E$123,2,FALSE)*$C$14</f>
        <v>0</v>
      </c>
      <c r="F64">
        <f>VLOOKUP(D64,Fertilizantes!$A$49:$E$123,4,FALSE)</f>
        <v>0</v>
      </c>
      <c r="G64" t="e">
        <f>IF($C$14*ReDiarioFert!C53&lt;=0,"0",$C$14*ReDiarioFert!C53)</f>
        <v>#DIV/0!</v>
      </c>
      <c r="I64" t="e">
        <f>$C$14*ReDiarioFert!E53</f>
        <v>#DIV/0!</v>
      </c>
      <c r="K64" t="e">
        <f>$C$14*ReDiarioFert!G53</f>
        <v>#DIV/0!</v>
      </c>
      <c r="M64">
        <f>$C$14*ReDiarioFert!I53</f>
        <v>10.03372131383189</v>
      </c>
      <c r="O64">
        <f>$C$14*ReDiarioFert!K53</f>
        <v>20.682100962962963</v>
      </c>
      <c r="Q64">
        <f>$C$14*ReDiarioFert!M53</f>
        <v>118.24809756097562</v>
      </c>
      <c r="T64" t="e">
        <f>((G64/100)*$G$134+(I64/100)*$G$135+(K64/100)*$G$136+(M64/100)*$G$137+(O64/100)*$G$138+(Q64)*$G$139+(S64*$G$140)+(E64*(VLOOKUP(D64,Fertilizantes!$A$49:$E$123,3,FALSE))))</f>
        <v>#DIV/0!</v>
      </c>
    </row>
    <row r="65">
      <c r="B65">
        <v>48</v>
      </c>
      <c r="C65">
        <f>$I$13+B65</f>
        <v>40013</v>
      </c>
      <c r="E65">
        <f>VLOOKUP(D65,Fertilizantes!$A$49:$E$123,2,FALSE)*$C$14</f>
        <v>0</v>
      </c>
      <c r="F65">
        <f>VLOOKUP(D65,Fertilizantes!$A$49:$E$123,4,FALSE)</f>
        <v>0</v>
      </c>
      <c r="G65" t="e">
        <f>IF($C$14*ReDiarioFert!C54&lt;=0,"0",$C$14*ReDiarioFert!C54)</f>
        <v>#DIV/0!</v>
      </c>
      <c r="I65" t="e">
        <f>$C$14*ReDiarioFert!E54</f>
        <v>#DIV/0!</v>
      </c>
      <c r="K65" t="e">
        <f>$C$14*ReDiarioFert!G54</f>
        <v>#DIV/0!</v>
      </c>
      <c r="M65">
        <f>$C$14*ReDiarioFert!I54</f>
        <v>10.03372131383189</v>
      </c>
      <c r="O65">
        <f>$C$14*ReDiarioFert!K54</f>
        <v>20.682100962962963</v>
      </c>
      <c r="Q65">
        <f>$C$14*ReDiarioFert!M54</f>
        <v>159.98243902439023</v>
      </c>
      <c r="T65" t="e">
        <f>((G65/100)*$G$134+(I65/100)*$G$135+(K65/100)*$G$136+(M65/100)*$G$137+(O65/100)*$G$138+(Q65)*$G$139+(S65*$G$140)+(E65*(VLOOKUP(D65,Fertilizantes!$A$49:$E$123,3,FALSE))))</f>
        <v>#DIV/0!</v>
      </c>
    </row>
    <row r="66">
      <c r="B66">
        <v>49</v>
      </c>
      <c r="C66">
        <f>$I$13+B66</f>
        <v>40014</v>
      </c>
      <c r="E66">
        <f>VLOOKUP(D66,Fertilizantes!$A$49:$E$123,2,FALSE)*$C$14</f>
        <v>0</v>
      </c>
      <c r="F66">
        <f>VLOOKUP(D66,Fertilizantes!$A$49:$E$123,4,FALSE)</f>
        <v>0</v>
      </c>
      <c r="G66" t="e">
        <f>IF($C$14*ReDiarioFert!C55&lt;=0,"0",$C$14*ReDiarioFert!C55)</f>
        <v>#DIV/0!</v>
      </c>
      <c r="I66" t="e">
        <f>$C$14*ReDiarioFert!E55</f>
        <v>#DIV/0!</v>
      </c>
      <c r="K66" t="e">
        <f>$C$14*ReDiarioFert!G55</f>
        <v>#DIV/0!</v>
      </c>
      <c r="M66">
        <f>$C$14*ReDiarioFert!I55</f>
        <v>10.03372131383189</v>
      </c>
      <c r="O66">
        <f>$C$14*ReDiarioFert!K55</f>
        <v>20.682100962962963</v>
      </c>
      <c r="Q66">
        <f>$C$14*ReDiarioFert!M55</f>
        <v>159.98243902439023</v>
      </c>
      <c r="S66">
        <f>Main!$H$84</f>
        <v>0</v>
      </c>
      <c r="T66" t="e">
        <f>((G66/100)*$G$134+(I66/100)*$G$135+(K66/100)*$G$136+(M66/100)*$G$137+(O66/100)*$G$138+(Q66)*$G$139+(S66*$G$140)+(E66*(VLOOKUP(D66,Fertilizantes!$A$49:$E$123,3,FALSE))))</f>
        <v>#DIV/0!</v>
      </c>
    </row>
    <row r="67">
      <c r="A67">
        <v>8</v>
      </c>
      <c r="B67">
        <v>50</v>
      </c>
      <c r="C67">
        <f>$I$13+B67</f>
        <v>40015</v>
      </c>
      <c r="E67">
        <f>VLOOKUP(D67,Fertilizantes!$A$49:$E$123,2,FALSE)*$C$14</f>
        <v>0</v>
      </c>
      <c r="F67">
        <f>VLOOKUP(D67,Fertilizantes!$A$49:$E$123,4,FALSE)</f>
        <v>0</v>
      </c>
      <c r="G67" t="e">
        <f>IF($C$14*ReDiarioFert!C56&lt;=0,"0",$C$14*ReDiarioFert!C56)</f>
        <v>#DIV/0!</v>
      </c>
      <c r="I67" t="e">
        <f>$C$14*ReDiarioFert!E56</f>
        <v>#DIV/0!</v>
      </c>
      <c r="K67" t="e">
        <f>$C$14*ReDiarioFert!G56</f>
        <v>#DIV/0!</v>
      </c>
      <c r="M67">
        <f>$C$14*ReDiarioFert!I56</f>
        <v>10.03372131383189</v>
      </c>
      <c r="O67">
        <f>$C$14*ReDiarioFert!K56</f>
        <v>20.682100962962963</v>
      </c>
      <c r="Q67">
        <f>$C$14*ReDiarioFert!M56</f>
        <v>159.98243902439023</v>
      </c>
      <c r="S67">
        <f>$C$14*Main!$D$63</f>
        <v>28</v>
      </c>
      <c r="T67" t="e">
        <f>((G67/100)*$G$134+(I67/100)*$G$135+(K67/100)*$G$136+(M67/100)*$G$137+(O67/100)*$G$138+(Q67)*$G$139+(S67*$G$140)+(E67*(VLOOKUP(D67,Fertilizantes!$A$49:$E$123,3,FALSE))))</f>
        <v>#DIV/0!</v>
      </c>
    </row>
    <row r="68">
      <c r="B68">
        <v>51</v>
      </c>
      <c r="C68">
        <f>$I$13+B68</f>
        <v>40016</v>
      </c>
      <c r="E68">
        <f>VLOOKUP(D68,Fertilizantes!$A$49:$E$123,2,FALSE)*$C$14</f>
        <v>0</v>
      </c>
      <c r="F68">
        <f>VLOOKUP(D68,Fertilizantes!$A$49:$E$123,4,FALSE)</f>
        <v>0</v>
      </c>
      <c r="G68" t="e">
        <f>IF($C$14*ReDiarioFert!C57&lt;=0,"0",$C$14*ReDiarioFert!C57)</f>
        <v>#DIV/0!</v>
      </c>
      <c r="I68" t="e">
        <f>$C$14*ReDiarioFert!E57</f>
        <v>#DIV/0!</v>
      </c>
      <c r="K68" t="e">
        <f>$C$14*ReDiarioFert!G57</f>
        <v>#DIV/0!</v>
      </c>
      <c r="M68">
        <f>$C$14*ReDiarioFert!I57</f>
        <v>10.03372131383189</v>
      </c>
      <c r="O68">
        <f>$C$14*ReDiarioFert!K57</f>
        <v>20.682100962962963</v>
      </c>
      <c r="Q68">
        <f>$C$14*ReDiarioFert!M57</f>
        <v>159.98243902439023</v>
      </c>
      <c r="T68" t="e">
        <f>((G68/100)*$G$134+(I68/100)*$G$135+(K68/100)*$G$136+(M68/100)*$G$137+(O68/100)*$G$138+(Q68)*$G$139+(S68*$G$140)+(E68*(VLOOKUP(D68,Fertilizantes!$A$49:$E$123,3,FALSE))))</f>
        <v>#DIV/0!</v>
      </c>
    </row>
    <row r="69">
      <c r="B69">
        <v>52</v>
      </c>
      <c r="C69">
        <f>$I$13+B69</f>
        <v>40017</v>
      </c>
      <c r="E69">
        <f>VLOOKUP(D69,Fertilizantes!$A$49:$E$123,2,FALSE)*$C$14</f>
        <v>0</v>
      </c>
      <c r="F69">
        <f>VLOOKUP(D69,Fertilizantes!$A$49:$E$123,4,FALSE)</f>
        <v>0</v>
      </c>
      <c r="G69" t="e">
        <f>IF($C$14*ReDiarioFert!C58&lt;=0,"0",$C$14*ReDiarioFert!C58)</f>
        <v>#DIV/0!</v>
      </c>
      <c r="I69" t="e">
        <f>$C$14*ReDiarioFert!E58</f>
        <v>#DIV/0!</v>
      </c>
      <c r="K69" t="e">
        <f>$C$14*ReDiarioFert!G58</f>
        <v>#DIV/0!</v>
      </c>
      <c r="M69">
        <f>$C$14*ReDiarioFert!I58</f>
        <v>10.03372131383189</v>
      </c>
      <c r="O69">
        <f>$C$14*ReDiarioFert!K58</f>
        <v>20.682100962962963</v>
      </c>
      <c r="Q69">
        <f>$C$14*ReDiarioFert!M58</f>
        <v>159.98243902439023</v>
      </c>
      <c r="T69" t="e">
        <f>((G69/100)*$G$134+(I69/100)*$G$135+(K69/100)*$G$136+(M69/100)*$G$137+(O69/100)*$G$138+(Q69)*$G$139+(S69*$G$140)+(E69*(VLOOKUP(D69,Fertilizantes!$A$49:$E$123,3,FALSE))))</f>
        <v>#DIV/0!</v>
      </c>
    </row>
    <row r="70">
      <c r="B70">
        <v>53</v>
      </c>
      <c r="C70">
        <f>$I$13+B70</f>
        <v>40018</v>
      </c>
      <c r="E70">
        <f>VLOOKUP(D70,Fertilizantes!$A$49:$E$123,2,FALSE)*$C$14</f>
        <v>0</v>
      </c>
      <c r="F70">
        <f>VLOOKUP(D70,Fertilizantes!$A$49:$E$123,4,FALSE)</f>
        <v>0</v>
      </c>
      <c r="G70" t="e">
        <f>IF($C$14*ReDiarioFert!C59&lt;=0,"0",$C$14*ReDiarioFert!C59)</f>
        <v>#DIV/0!</v>
      </c>
      <c r="I70" t="e">
        <f>$C$14*ReDiarioFert!E59</f>
        <v>#DIV/0!</v>
      </c>
      <c r="K70" t="e">
        <f>$C$14*ReDiarioFert!G59</f>
        <v>#DIV/0!</v>
      </c>
      <c r="M70">
        <f>$C$14*ReDiarioFert!I59</f>
        <v>10.03372131383189</v>
      </c>
      <c r="O70">
        <f>$C$14*ReDiarioFert!K59</f>
        <v>20.682100962962963</v>
      </c>
      <c r="Q70">
        <f>$C$14*ReDiarioFert!M59</f>
        <v>159.98243902439023</v>
      </c>
      <c r="T70" t="e">
        <f>((G70/100)*$G$134+(I70/100)*$G$135+(K70/100)*$G$136+(M70/100)*$G$137+(O70/100)*$G$138+(Q70)*$G$139+(S70*$G$140)+(E70*(VLOOKUP(D70,Fertilizantes!$A$49:$E$123,3,FALSE))))</f>
        <v>#DIV/0!</v>
      </c>
    </row>
    <row r="71">
      <c r="B71">
        <v>54</v>
      </c>
      <c r="C71">
        <f>$I$13+B71</f>
        <v>40019</v>
      </c>
      <c r="E71">
        <f>VLOOKUP(D71,Fertilizantes!$A$49:$E$123,2,FALSE)*$C$14</f>
        <v>0</v>
      </c>
      <c r="F71">
        <f>VLOOKUP(D71,Fertilizantes!$A$49:$E$123,4,FALSE)</f>
        <v>0</v>
      </c>
      <c r="G71" t="e">
        <f>IF($C$14*ReDiarioFert!C60&lt;=0,"0",$C$14*ReDiarioFert!C60)</f>
        <v>#DIV/0!</v>
      </c>
      <c r="I71" t="e">
        <f>$C$14*ReDiarioFert!E60</f>
        <v>#DIV/0!</v>
      </c>
      <c r="K71" t="e">
        <f>$C$14*ReDiarioFert!G60</f>
        <v>#DIV/0!</v>
      </c>
      <c r="M71">
        <f>$C$14*ReDiarioFert!I60</f>
        <v>10.03372131383189</v>
      </c>
      <c r="O71">
        <f>$C$14*ReDiarioFert!K60</f>
        <v>20.682100962962963</v>
      </c>
      <c r="Q71">
        <f>$C$14*ReDiarioFert!M60</f>
        <v>159.98243902439023</v>
      </c>
      <c r="T71" t="e">
        <f>((G71/100)*$G$134+(I71/100)*$G$135+(K71/100)*$G$136+(M71/100)*$G$137+(O71/100)*$G$138+(Q71)*$G$139+(S71*$G$140)+(E71*(VLOOKUP(D71,Fertilizantes!$A$49:$E$123,3,FALSE))))</f>
        <v>#DIV/0!</v>
      </c>
    </row>
    <row r="72">
      <c r="B72">
        <v>55</v>
      </c>
      <c r="C72">
        <f>$I$13+B72</f>
        <v>40020</v>
      </c>
      <c r="E72">
        <f>VLOOKUP(D72,Fertilizantes!$A$49:$E$123,2,FALSE)*$C$14</f>
        <v>0</v>
      </c>
      <c r="F72">
        <f>VLOOKUP(D72,Fertilizantes!$A$49:$E$123,4,FALSE)</f>
        <v>0</v>
      </c>
      <c r="G72" t="e">
        <f>IF($C$14*ReDiarioFert!C61&lt;=0,"0",$C$14*ReDiarioFert!C61)</f>
        <v>#DIV/0!</v>
      </c>
      <c r="I72" t="e">
        <f>$C$14*ReDiarioFert!E61</f>
        <v>#DIV/0!</v>
      </c>
      <c r="K72" t="e">
        <f>$C$14*ReDiarioFert!G61</f>
        <v>#DIV/0!</v>
      </c>
      <c r="M72">
        <f>$C$14*ReDiarioFert!I61</f>
        <v>10.03372131383189</v>
      </c>
      <c r="O72">
        <f>$C$14*ReDiarioFert!K61</f>
        <v>20.682100962962963</v>
      </c>
      <c r="Q72">
        <f>$C$14*ReDiarioFert!M61</f>
        <v>159.98243902439023</v>
      </c>
      <c r="T72" t="e">
        <f>((G72/100)*$G$134+(I72/100)*$G$135+(K72/100)*$G$136+(M72/100)*$G$137+(O72/100)*$G$138+(Q72)*$G$139+(S72*$G$140)+(E72*(VLOOKUP(D72,Fertilizantes!$A$49:$E$123,3,FALSE))))</f>
        <v>#DIV/0!</v>
      </c>
    </row>
    <row r="73">
      <c r="B73">
        <v>56</v>
      </c>
      <c r="C73">
        <f>$I$13+B73</f>
        <v>40021</v>
      </c>
      <c r="E73">
        <f>VLOOKUP(D73,Fertilizantes!$A$49:$E$123,2,FALSE)*$C$14</f>
        <v>0</v>
      </c>
      <c r="F73">
        <f>VLOOKUP(D73,Fertilizantes!$A$49:$E$123,4,FALSE)</f>
        <v>0</v>
      </c>
      <c r="G73" t="e">
        <f>IF($C$14*ReDiarioFert!C62&lt;=0,"0",$C$14*ReDiarioFert!C62)</f>
        <v>#DIV/0!</v>
      </c>
      <c r="I73" t="e">
        <f>$C$14*ReDiarioFert!E62</f>
        <v>#DIV/0!</v>
      </c>
      <c r="K73" t="e">
        <f>$C$14*ReDiarioFert!G62</f>
        <v>#DIV/0!</v>
      </c>
      <c r="M73">
        <f>$C$14*ReDiarioFert!I62</f>
        <v>10.03372131383189</v>
      </c>
      <c r="O73">
        <f>$C$14*ReDiarioFert!K62</f>
        <v>20.682100962962963</v>
      </c>
      <c r="Q73">
        <f>$C$14*ReDiarioFert!M62</f>
        <v>159.98243902439023</v>
      </c>
      <c r="T73" t="e">
        <f>((G73/100)*$G$134+(I73/100)*$G$135+(K73/100)*$G$136+(M73/100)*$G$137+(O73/100)*$G$138+(Q73)*$G$139+(S73*$G$140)+(E73*(VLOOKUP(D73,Fertilizantes!$A$49:$E$123,3,FALSE))))</f>
        <v>#DIV/0!</v>
      </c>
    </row>
    <row r="74">
      <c r="A74">
        <v>9</v>
      </c>
      <c r="B74">
        <v>57</v>
      </c>
      <c r="C74">
        <f>$I$13+B74</f>
        <v>40022</v>
      </c>
      <c r="D74">
        <f>Main!$H$86</f>
        <v>0</v>
      </c>
      <c r="E74">
        <f>VLOOKUP(D74,Fertilizantes!$A$49:$E$123,2,FALSE)*$C$14</f>
        <v>0</v>
      </c>
      <c r="F74">
        <f>VLOOKUP(D74,Fertilizantes!$A$49:$E$123,4,FALSE)</f>
        <v>0</v>
      </c>
      <c r="G74" t="e">
        <f>IF($C$14*ReDiarioFert!C63&lt;=0,"0",$C$14*ReDiarioFert!C63)</f>
        <v>#DIV/0!</v>
      </c>
      <c r="I74" t="e">
        <f>$C$14*ReDiarioFert!E63</f>
        <v>#DIV/0!</v>
      </c>
      <c r="K74" t="e">
        <f>$C$14*ReDiarioFert!G63</f>
        <v>#DIV/0!</v>
      </c>
      <c r="M74">
        <f>$C$14*ReDiarioFert!I63</f>
        <v>10.03372131383189</v>
      </c>
      <c r="O74">
        <f>$C$14*ReDiarioFert!K63</f>
        <v>20.682100962962963</v>
      </c>
      <c r="Q74">
        <f>$C$14*ReDiarioFert!M63</f>
        <v>159.98243902439023</v>
      </c>
      <c r="S74">
        <f>$C$14*Main!$D$63</f>
        <v>28</v>
      </c>
      <c r="T74" t="e">
        <f>((G74/100)*$G$134+(I74/100)*$G$135+(K74/100)*$G$136+(M74/100)*$G$137+(O74/100)*$G$138+(Q74)*$G$139+(S74*$G$140)+(E74*(VLOOKUP(D74,Fertilizantes!$A$49:$E$123,3,FALSE))))</f>
        <v>#DIV/0!</v>
      </c>
    </row>
    <row r="75">
      <c r="B75">
        <v>58</v>
      </c>
      <c r="C75">
        <f>$I$13+B75</f>
        <v>40023</v>
      </c>
      <c r="E75">
        <f>VLOOKUP(D75,Fertilizantes!$A$49:$E$123,2,FALSE)*$C$14</f>
        <v>0</v>
      </c>
      <c r="F75">
        <f>VLOOKUP(D75,Fertilizantes!$A$49:$E$123,4,FALSE)</f>
        <v>0</v>
      </c>
      <c r="G75" t="e">
        <f>IF($C$14*ReDiarioFert!C64&lt;=0,"0",$C$14*ReDiarioFert!C64)</f>
        <v>#DIV/0!</v>
      </c>
      <c r="I75" t="e">
        <f>$C$14*ReDiarioFert!E64</f>
        <v>#DIV/0!</v>
      </c>
      <c r="K75" t="e">
        <f>$C$14*ReDiarioFert!G64</f>
        <v>#DIV/0!</v>
      </c>
      <c r="M75">
        <f>$C$14*ReDiarioFert!I64</f>
        <v>10.03372131383189</v>
      </c>
      <c r="O75">
        <f>$C$14*ReDiarioFert!K64</f>
        <v>20.682100962962963</v>
      </c>
      <c r="Q75">
        <f>$C$14*ReDiarioFert!M64</f>
        <v>159.98243902439023</v>
      </c>
      <c r="T75" t="e">
        <f>((G75/100)*$G$134+(I75/100)*$G$135+(K75/100)*$G$136+(M75/100)*$G$137+(O75/100)*$G$138+(Q75)*$G$139+(S75*$G$140)+(E75*(VLOOKUP(D75,Fertilizantes!$A$49:$E$123,3,FALSE))))</f>
        <v>#DIV/0!</v>
      </c>
    </row>
    <row r="76">
      <c r="B76">
        <v>59</v>
      </c>
      <c r="C76">
        <f>$I$13+B76</f>
        <v>40024</v>
      </c>
      <c r="E76">
        <f>VLOOKUP(D76,Fertilizantes!$A$49:$E$123,2,FALSE)*$C$14</f>
        <v>0</v>
      </c>
      <c r="F76">
        <f>VLOOKUP(D76,Fertilizantes!$A$49:$E$123,4,FALSE)</f>
        <v>0</v>
      </c>
      <c r="G76" t="e">
        <f>IF($C$14*ReDiarioFert!C65&lt;=0,"0",$C$14*ReDiarioFert!C65)</f>
        <v>#DIV/0!</v>
      </c>
      <c r="I76" t="e">
        <f>$C$14*ReDiarioFert!E65</f>
        <v>#DIV/0!</v>
      </c>
      <c r="K76" t="e">
        <f>$C$14*ReDiarioFert!G65</f>
        <v>#DIV/0!</v>
      </c>
      <c r="M76">
        <f>$C$14*ReDiarioFert!I65</f>
        <v>10.03372131383189</v>
      </c>
      <c r="O76">
        <f>$C$14*ReDiarioFert!K65</f>
        <v>20.682100962962963</v>
      </c>
      <c r="Q76">
        <f>$C$14*ReDiarioFert!M65</f>
        <v>159.98243902439023</v>
      </c>
      <c r="T76" t="e">
        <f>((G76/100)*$G$134+(I76/100)*$G$135+(K76/100)*$G$136+(M76/100)*$G$137+(O76/100)*$G$138+(Q76)*$G$139+(S76*$G$140)+(E76*(VLOOKUP(D76,Fertilizantes!$A$49:$E$123,3,FALSE))))</f>
        <v>#DIV/0!</v>
      </c>
    </row>
    <row r="77">
      <c r="B77">
        <v>60</v>
      </c>
      <c r="C77">
        <f>$I$13+B77</f>
        <v>40025</v>
      </c>
      <c r="E77">
        <f>VLOOKUP(D77,Fertilizantes!$A$49:$E$123,2,FALSE)*$C$14</f>
        <v>0</v>
      </c>
      <c r="F77">
        <f>VLOOKUP(D77,Fertilizantes!$A$49:$E$123,4,FALSE)</f>
        <v>0</v>
      </c>
      <c r="G77" t="e">
        <f>IF($C$14*ReDiarioFert!C66&lt;=0,"0",$C$14*ReDiarioFert!C66)</f>
        <v>#DIV/0!</v>
      </c>
      <c r="I77" t="e">
        <f>$C$14*ReDiarioFert!E66</f>
        <v>#DIV/0!</v>
      </c>
      <c r="K77" t="e">
        <f>$C$14*ReDiarioFert!G66</f>
        <v>#DIV/0!</v>
      </c>
      <c r="M77">
        <f>$C$14*ReDiarioFert!I66</f>
        <v>10.03372131383189</v>
      </c>
      <c r="O77">
        <f>$C$14*ReDiarioFert!K66</f>
        <v>20.682100962962963</v>
      </c>
      <c r="Q77">
        <f>$C$14*ReDiarioFert!M66</f>
        <v>159.98243902439023</v>
      </c>
      <c r="T77" t="e">
        <f>((G77/100)*$G$134+(I77/100)*$G$135+(K77/100)*$G$136+(M77/100)*$G$137+(O77/100)*$G$138+(Q77)*$G$139+(S77*$G$140)+(E77*(VLOOKUP(D77,Fertilizantes!$A$49:$E$123,3,FALSE))))</f>
        <v>#DIV/0!</v>
      </c>
    </row>
    <row r="78">
      <c r="B78">
        <v>61</v>
      </c>
      <c r="C78">
        <f>$I$13+B78</f>
        <v>40026</v>
      </c>
      <c r="E78">
        <f>VLOOKUP(D78,Fertilizantes!$A$49:$E$123,2,FALSE)*$C$14</f>
        <v>0</v>
      </c>
      <c r="F78">
        <f>VLOOKUP(D78,Fertilizantes!$A$49:$E$123,4,FALSE)</f>
        <v>0</v>
      </c>
      <c r="G78" t="e">
        <f>IF($C$14*ReDiarioFert!C67&lt;=0,"0",$C$14*ReDiarioFert!C67)</f>
        <v>#DIV/0!</v>
      </c>
      <c r="I78" t="e">
        <f>$C$14*ReDiarioFert!E67</f>
        <v>#DIV/0!</v>
      </c>
      <c r="K78" t="e">
        <f>$C$14*ReDiarioFert!G67</f>
        <v>#DIV/0!</v>
      </c>
      <c r="M78">
        <f>$C$14*ReDiarioFert!I67</f>
        <v>14.399714859115798</v>
      </c>
      <c r="O78">
        <f>$C$14*ReDiarioFert!K67</f>
        <v>29.68154558404558</v>
      </c>
      <c r="Q78">
        <f>$C$14*ReDiarioFert!M67</f>
        <v>159.98243902439023</v>
      </c>
      <c r="T78" t="e">
        <f>((G78/100)*$G$134+(I78/100)*$G$135+(K78/100)*$G$136+(M78/100)*$G$137+(O78/100)*$G$138+(Q78)*$G$139+(S78*$G$140)+(E78*(VLOOKUP(D78,Fertilizantes!$A$49:$E$123,3,FALSE))))</f>
        <v>#DIV/0!</v>
      </c>
    </row>
    <row r="79">
      <c r="B79">
        <v>62</v>
      </c>
      <c r="C79">
        <f>$I$13+B79</f>
        <v>40027</v>
      </c>
      <c r="E79">
        <f>VLOOKUP(D79,Fertilizantes!$A$49:$E$123,2,FALSE)*$C$14</f>
        <v>0</v>
      </c>
      <c r="F79">
        <f>VLOOKUP(D79,Fertilizantes!$A$49:$E$123,4,FALSE)</f>
        <v>0</v>
      </c>
      <c r="G79" t="e">
        <f>IF($C$14*ReDiarioFert!C68&lt;=0,"0",$C$14*ReDiarioFert!C68)</f>
        <v>#DIV/0!</v>
      </c>
      <c r="I79" t="e">
        <f>$C$14*ReDiarioFert!E68</f>
        <v>#DIV/0!</v>
      </c>
      <c r="K79" t="e">
        <f>$C$14*ReDiarioFert!G68</f>
        <v>#DIV/0!</v>
      </c>
      <c r="M79">
        <f>$C$14*ReDiarioFert!I68</f>
        <v>14.399714859115798</v>
      </c>
      <c r="O79">
        <f>$C$14*ReDiarioFert!K68</f>
        <v>29.68154558404558</v>
      </c>
      <c r="Q79">
        <f>$C$14*ReDiarioFert!M68</f>
        <v>159.98243902439023</v>
      </c>
      <c r="T79" t="e">
        <f>((G79/100)*$G$134+(I79/100)*$G$135+(K79/100)*$G$136+(M79/100)*$G$137+(O79/100)*$G$138+(Q79)*$G$139+(S79*$G$140)+(E79*(VLOOKUP(D79,Fertilizantes!$A$49:$E$123,3,FALSE))))</f>
        <v>#DIV/0!</v>
      </c>
    </row>
    <row r="80">
      <c r="B80">
        <v>63</v>
      </c>
      <c r="C80">
        <f>$I$13+B80</f>
        <v>40028</v>
      </c>
      <c r="E80">
        <f>VLOOKUP(D80,Fertilizantes!$A$49:$E$123,2,FALSE)*$C$14</f>
        <v>0</v>
      </c>
      <c r="F80">
        <f>VLOOKUP(D80,Fertilizantes!$A$49:$E$123,4,FALSE)</f>
        <v>0</v>
      </c>
      <c r="G80" t="e">
        <f>IF($C$14*ReDiarioFert!C69&lt;=0,"0",$C$14*ReDiarioFert!C69)</f>
        <v>#DIV/0!</v>
      </c>
      <c r="I80" t="e">
        <f>$C$14*ReDiarioFert!E69</f>
        <v>#DIV/0!</v>
      </c>
      <c r="K80" t="e">
        <f>$C$14*ReDiarioFert!G69</f>
        <v>#DIV/0!</v>
      </c>
      <c r="M80">
        <f>$C$14*ReDiarioFert!I69</f>
        <v>14.399714859115798</v>
      </c>
      <c r="O80">
        <f>$C$14*ReDiarioFert!K69</f>
        <v>29.68154558404558</v>
      </c>
      <c r="Q80">
        <f>$C$14*ReDiarioFert!M69</f>
        <v>201.71746341463415</v>
      </c>
      <c r="S80">
        <f>Main!$H$85</f>
        <v>0</v>
      </c>
      <c r="T80" t="e">
        <f>((G80/100)*$G$134+(I80/100)*$G$135+(K80/100)*$G$136+(M80/100)*$G$137+(O80/100)*$G$138+(Q80)*$G$139+(S80*$G$140)+(E80*(VLOOKUP(D80,Fertilizantes!$A$49:$E$123,3,FALSE))))</f>
        <v>#DIV/0!</v>
      </c>
    </row>
    <row r="81">
      <c r="A81">
        <v>10</v>
      </c>
      <c r="B81">
        <v>64</v>
      </c>
      <c r="C81">
        <f>$I$13+B81</f>
        <v>40029</v>
      </c>
      <c r="E81">
        <f>VLOOKUP(D81,Fertilizantes!$A$49:$E$123,2,FALSE)*$C$14</f>
        <v>0</v>
      </c>
      <c r="F81">
        <f>VLOOKUP(D81,Fertilizantes!$A$49:$E$123,4,FALSE)</f>
        <v>0</v>
      </c>
      <c r="G81" t="e">
        <f>IF($C$14*ReDiarioFert!C70&lt;=0,"0",$C$14*ReDiarioFert!C70)</f>
        <v>#DIV/0!</v>
      </c>
      <c r="I81" t="e">
        <f>$C$14*ReDiarioFert!E70</f>
        <v>#DIV/0!</v>
      </c>
      <c r="K81" t="e">
        <f>$C$14*ReDiarioFert!G70</f>
        <v>#DIV/0!</v>
      </c>
      <c r="M81">
        <f>$C$14*ReDiarioFert!I70</f>
        <v>14.399714859115798</v>
      </c>
      <c r="O81">
        <f>$C$14*ReDiarioFert!K70</f>
        <v>29.68154558404558</v>
      </c>
      <c r="Q81">
        <f>$C$14*ReDiarioFert!M70</f>
        <v>201.71746341463415</v>
      </c>
      <c r="S81">
        <f>$C$14*Main!$D$63</f>
        <v>28</v>
      </c>
      <c r="T81" t="e">
        <f>((G81/100)*$G$134+(I81/100)*$G$135+(K81/100)*$G$136+(M81/100)*$G$137+(O81/100)*$G$138+(Q81)*$G$139+(S81*$G$140)+(E81*(VLOOKUP(D81,Fertilizantes!$A$49:$E$123,3,FALSE))))</f>
        <v>#DIV/0!</v>
      </c>
    </row>
    <row r="82">
      <c r="B82">
        <v>65</v>
      </c>
      <c r="C82">
        <f>$I$13+B82</f>
        <v>40030</v>
      </c>
      <c r="E82">
        <f>VLOOKUP(D82,Fertilizantes!$A$49:$E$123,2,FALSE)*$C$14</f>
        <v>0</v>
      </c>
      <c r="F82">
        <f>VLOOKUP(D82,Fertilizantes!$A$49:$E$123,4,FALSE)</f>
        <v>0</v>
      </c>
      <c r="G82" t="e">
        <f>IF($C$14*ReDiarioFert!C71&lt;=0,"0",$C$14*ReDiarioFert!C71)</f>
        <v>#DIV/0!</v>
      </c>
      <c r="I82" t="e">
        <f>$C$14*ReDiarioFert!E71</f>
        <v>#DIV/0!</v>
      </c>
      <c r="K82" t="e">
        <f>$C$14*ReDiarioFert!G71</f>
        <v>#DIV/0!</v>
      </c>
      <c r="M82">
        <f>$C$14*ReDiarioFert!I71</f>
        <v>14.399714859115798</v>
      </c>
      <c r="O82">
        <f>$C$14*ReDiarioFert!K71</f>
        <v>29.68154558404558</v>
      </c>
      <c r="Q82">
        <f>$C$14*ReDiarioFert!M71</f>
        <v>201.71746341463415</v>
      </c>
      <c r="T82" t="e">
        <f>((G82/100)*$G$134+(I82/100)*$G$135+(K82/100)*$G$136+(M82/100)*$G$137+(O82/100)*$G$138+(Q82)*$G$139+(S82*$G$140)+(E82*(VLOOKUP(D82,Fertilizantes!$A$49:$E$123,3,FALSE))))</f>
        <v>#DIV/0!</v>
      </c>
    </row>
    <row r="83">
      <c r="B83">
        <v>66</v>
      </c>
      <c r="C83">
        <f>$I$13+B83</f>
        <v>40031</v>
      </c>
      <c r="E83">
        <f>VLOOKUP(D83,Fertilizantes!$A$49:$E$123,2,FALSE)*$C$14</f>
        <v>0</v>
      </c>
      <c r="F83">
        <f>VLOOKUP(D83,Fertilizantes!$A$49:$E$123,4,FALSE)</f>
        <v>0</v>
      </c>
      <c r="G83" t="e">
        <f>IF($C$14*ReDiarioFert!C72&lt;=0,"0",$C$14*ReDiarioFert!C72)</f>
        <v>#DIV/0!</v>
      </c>
      <c r="I83" t="e">
        <f>$C$14*ReDiarioFert!E72</f>
        <v>#DIV/0!</v>
      </c>
      <c r="K83" t="e">
        <f>$C$14*ReDiarioFert!G72</f>
        <v>#DIV/0!</v>
      </c>
      <c r="M83">
        <f>$C$14*ReDiarioFert!I72</f>
        <v>14.399714859115798</v>
      </c>
      <c r="O83">
        <f>$C$14*ReDiarioFert!K72</f>
        <v>29.68154558404558</v>
      </c>
      <c r="Q83">
        <f>$C$14*ReDiarioFert!M72</f>
        <v>201.71746341463415</v>
      </c>
      <c r="T83" t="e">
        <f>((G83/100)*$G$134+(I83/100)*$G$135+(K83/100)*$G$136+(M83/100)*$G$137+(O83/100)*$G$138+(Q83)*$G$139+(S83*$G$140)+(E83*(VLOOKUP(D83,Fertilizantes!$A$49:$E$123,3,FALSE))))</f>
        <v>#DIV/0!</v>
      </c>
    </row>
    <row r="84">
      <c r="B84">
        <v>67</v>
      </c>
      <c r="C84">
        <f>$I$13+B84</f>
        <v>40032</v>
      </c>
      <c r="E84">
        <f>VLOOKUP(D84,Fertilizantes!$A$49:$E$123,2,FALSE)*$C$14</f>
        <v>0</v>
      </c>
      <c r="F84">
        <f>VLOOKUP(D84,Fertilizantes!$A$49:$E$123,4,FALSE)</f>
        <v>0</v>
      </c>
      <c r="G84" t="e">
        <f>IF($C$14*ReDiarioFert!C73&lt;=0,"0",$C$14*ReDiarioFert!C73)</f>
        <v>#DIV/0!</v>
      </c>
      <c r="I84" t="e">
        <f>$C$14*ReDiarioFert!E73</f>
        <v>#DIV/0!</v>
      </c>
      <c r="K84" t="e">
        <f>$C$14*ReDiarioFert!G73</f>
        <v>#DIV/0!</v>
      </c>
      <c r="M84">
        <f>$C$14*ReDiarioFert!I73</f>
        <v>14.399714859115798</v>
      </c>
      <c r="O84">
        <f>$C$14*ReDiarioFert!K73</f>
        <v>29.68154558404558</v>
      </c>
      <c r="Q84">
        <f>$C$14*ReDiarioFert!M73</f>
        <v>201.71746341463415</v>
      </c>
      <c r="T84" t="e">
        <f>((G84/100)*$G$134+(I84/100)*$G$135+(K84/100)*$G$136+(M84/100)*$G$137+(O84/100)*$G$138+(Q84)*$G$139+(S84*$G$140)+(E84*(VLOOKUP(D84,Fertilizantes!$A$49:$E$123,3,FALSE))))</f>
        <v>#DIV/0!</v>
      </c>
    </row>
    <row r="85">
      <c r="B85">
        <v>68</v>
      </c>
      <c r="C85">
        <f>$I$13+B85</f>
        <v>40033</v>
      </c>
      <c r="E85">
        <f>VLOOKUP(D85,Fertilizantes!$A$49:$E$123,2,FALSE)*$C$14</f>
        <v>0</v>
      </c>
      <c r="F85">
        <f>VLOOKUP(D85,Fertilizantes!$A$49:$E$123,4,FALSE)</f>
        <v>0</v>
      </c>
      <c r="G85" t="e">
        <f>IF($C$14*ReDiarioFert!C74&lt;=0,"0",$C$14*ReDiarioFert!C74)</f>
        <v>#DIV/0!</v>
      </c>
      <c r="I85" t="e">
        <f>$C$14*ReDiarioFert!E74</f>
        <v>#DIV/0!</v>
      </c>
      <c r="K85" t="e">
        <f>$C$14*ReDiarioFert!G74</f>
        <v>#DIV/0!</v>
      </c>
      <c r="M85">
        <f>$C$14*ReDiarioFert!I74</f>
        <v>14.399714859115798</v>
      </c>
      <c r="O85">
        <f>$C$14*ReDiarioFert!K74</f>
        <v>29.68154558404558</v>
      </c>
      <c r="Q85">
        <f>$C$14*ReDiarioFert!M74</f>
        <v>201.71746341463415</v>
      </c>
      <c r="T85" t="e">
        <f>((G85/100)*$G$134+(I85/100)*$G$135+(K85/100)*$G$136+(M85/100)*$G$137+(O85/100)*$G$138+(Q85)*$G$139+(S85*$G$140)+(E85*(VLOOKUP(D85,Fertilizantes!$A$49:$E$123,3,FALSE))))</f>
        <v>#DIV/0!</v>
      </c>
    </row>
    <row r="86">
      <c r="B86">
        <v>69</v>
      </c>
      <c r="C86">
        <f>$I$13+B86</f>
        <v>40034</v>
      </c>
      <c r="E86">
        <f>VLOOKUP(D86,Fertilizantes!$A$49:$E$123,2,FALSE)*$C$14</f>
        <v>0</v>
      </c>
      <c r="F86">
        <f>VLOOKUP(D86,Fertilizantes!$A$49:$E$123,4,FALSE)</f>
        <v>0</v>
      </c>
      <c r="G86" t="e">
        <f>IF($C$14*ReDiarioFert!C75&lt;=0,"0",$C$14*ReDiarioFert!C75)</f>
        <v>#DIV/0!</v>
      </c>
      <c r="I86" t="e">
        <f>$C$14*ReDiarioFert!E75</f>
        <v>#DIV/0!</v>
      </c>
      <c r="K86" t="e">
        <f>$C$14*ReDiarioFert!G75</f>
        <v>#DIV/0!</v>
      </c>
      <c r="M86">
        <f>$C$14*ReDiarioFert!I75</f>
        <v>14.399714859115798</v>
      </c>
      <c r="O86">
        <f>$C$14*ReDiarioFert!K75</f>
        <v>29.68154558404558</v>
      </c>
      <c r="Q86">
        <f>$C$14*ReDiarioFert!M75</f>
        <v>201.71746341463415</v>
      </c>
      <c r="T86" t="e">
        <f>((G86/100)*$G$134+(I86/100)*$G$135+(K86/100)*$G$136+(M86/100)*$G$137+(O86/100)*$G$138+(Q86)*$G$139+(S86*$G$140)+(E86*(VLOOKUP(D86,Fertilizantes!$A$49:$E$123,3,FALSE))))</f>
        <v>#DIV/0!</v>
      </c>
    </row>
    <row r="87">
      <c r="B87">
        <v>70</v>
      </c>
      <c r="C87">
        <f>$I$13+B87</f>
        <v>40035</v>
      </c>
      <c r="E87">
        <f>VLOOKUP(D87,Fertilizantes!$A$49:$E$123,2,FALSE)*$C$14</f>
        <v>0</v>
      </c>
      <c r="F87">
        <f>VLOOKUP(D87,Fertilizantes!$A$49:$E$123,4,FALSE)</f>
        <v>0</v>
      </c>
      <c r="G87" t="e">
        <f>IF($C$14*ReDiarioFert!C76&lt;=0,"0",$C$14*ReDiarioFert!C76)</f>
        <v>#DIV/0!</v>
      </c>
      <c r="I87" t="e">
        <f>$C$14*ReDiarioFert!E76</f>
        <v>#DIV/0!</v>
      </c>
      <c r="K87" t="e">
        <f>$C$14*ReDiarioFert!G76</f>
        <v>#DIV/0!</v>
      </c>
      <c r="M87">
        <f>$C$14*ReDiarioFert!I76</f>
        <v>14.399714859115798</v>
      </c>
      <c r="O87">
        <f>$C$14*ReDiarioFert!K76</f>
        <v>29.68154558404558</v>
      </c>
      <c r="Q87">
        <f>$C$14*ReDiarioFert!M76</f>
        <v>201.71746341463415</v>
      </c>
      <c r="S87">
        <f>Main!$H$84</f>
        <v>0</v>
      </c>
      <c r="T87" t="e">
        <f>((G87/100)*$G$134+(I87/100)*$G$135+(K87/100)*$G$136+(M87/100)*$G$137+(O87/100)*$G$138+(Q87)*$G$139+(S87*$G$140)+(E87*(VLOOKUP(D87,Fertilizantes!$A$49:$E$123,3,FALSE))))</f>
        <v>#DIV/0!</v>
      </c>
    </row>
    <row r="88">
      <c r="A88">
        <v>11</v>
      </c>
      <c r="B88">
        <v>71</v>
      </c>
      <c r="C88">
        <f>$I$13+B88</f>
        <v>40036</v>
      </c>
      <c r="E88">
        <f>VLOOKUP(D88,Fertilizantes!$A$49:$E$123,2,FALSE)*$C$14</f>
        <v>0</v>
      </c>
      <c r="F88">
        <f>VLOOKUP(D88,Fertilizantes!$A$49:$E$123,4,FALSE)</f>
        <v>0</v>
      </c>
      <c r="G88" t="e">
        <f>IF($C$14*ReDiarioFert!C77&lt;=0,"0",$C$14*ReDiarioFert!C77)</f>
        <v>#DIV/0!</v>
      </c>
      <c r="I88" t="e">
        <f>$C$14*ReDiarioFert!E77</f>
        <v>#DIV/0!</v>
      </c>
      <c r="K88" t="e">
        <f>$C$14*ReDiarioFert!G77</f>
        <v>#DIV/0!</v>
      </c>
      <c r="M88">
        <f>$C$14*ReDiarioFert!I77</f>
        <v>14.399714859115798</v>
      </c>
      <c r="O88">
        <f>$C$14*ReDiarioFert!K77</f>
        <v>29.68154558404558</v>
      </c>
      <c r="Q88">
        <f>$C$14*ReDiarioFert!M77</f>
        <v>201.71746341463415</v>
      </c>
      <c r="S88">
        <f>$C$14*Main!$D$63</f>
        <v>28</v>
      </c>
      <c r="T88" t="e">
        <f>((G88/100)*$G$134+(I88/100)*$G$135+(K88/100)*$G$136+(M88/100)*$G$137+(O88/100)*$G$138+(Q88)*$G$139+(S88*$G$140)+(E88*(VLOOKUP(D88,Fertilizantes!$A$49:$E$123,3,FALSE))))</f>
        <v>#DIV/0!</v>
      </c>
    </row>
    <row r="89">
      <c r="B89">
        <v>72</v>
      </c>
      <c r="C89">
        <f>$I$13+B89</f>
        <v>40037</v>
      </c>
      <c r="E89">
        <f>VLOOKUP(D89,Fertilizantes!$A$49:$E$123,2,FALSE)*$C$14</f>
        <v>0</v>
      </c>
      <c r="F89">
        <f>VLOOKUP(D89,Fertilizantes!$A$49:$E$123,4,FALSE)</f>
        <v>0</v>
      </c>
      <c r="G89" t="e">
        <f>IF($C$14*ReDiarioFert!C78&lt;=0,"0",$C$14*ReDiarioFert!C78)</f>
        <v>#DIV/0!</v>
      </c>
      <c r="I89" t="e">
        <f>$C$14*ReDiarioFert!E78</f>
        <v>#DIV/0!</v>
      </c>
      <c r="K89" t="e">
        <f>$C$14*ReDiarioFert!G78</f>
        <v>#DIV/0!</v>
      </c>
      <c r="M89">
        <f>$C$14*ReDiarioFert!I78</f>
        <v>14.399714859115798</v>
      </c>
      <c r="O89">
        <f>$C$14*ReDiarioFert!K78</f>
        <v>29.68154558404558</v>
      </c>
      <c r="Q89">
        <f>$C$14*ReDiarioFert!M78</f>
        <v>201.71746341463415</v>
      </c>
      <c r="T89" t="e">
        <f>((G89/100)*$G$134+(I89/100)*$G$135+(K89/100)*$G$136+(M89/100)*$G$137+(O89/100)*$G$138+(Q89)*$G$139+(S89*$G$140)+(E89*(VLOOKUP(D89,Fertilizantes!$A$49:$E$123,3,FALSE))))</f>
        <v>#DIV/0!</v>
      </c>
    </row>
    <row r="90">
      <c r="B90">
        <v>73</v>
      </c>
      <c r="C90">
        <f>$I$13+B90</f>
        <v>40038</v>
      </c>
      <c r="E90">
        <f>VLOOKUP(D90,Fertilizantes!$A$49:$E$123,2,FALSE)*$C$14</f>
        <v>0</v>
      </c>
      <c r="F90">
        <f>VLOOKUP(D90,Fertilizantes!$A$49:$E$123,4,FALSE)</f>
        <v>0</v>
      </c>
      <c r="G90" t="e">
        <f>IF($C$14*ReDiarioFert!C79&lt;=0,"0",$C$14*ReDiarioFert!C79)</f>
        <v>#DIV/0!</v>
      </c>
      <c r="I90" t="e">
        <f>$C$14*ReDiarioFert!E79</f>
        <v>#DIV/0!</v>
      </c>
      <c r="K90" t="e">
        <f>$C$14*ReDiarioFert!G79</f>
        <v>#DIV/0!</v>
      </c>
      <c r="M90">
        <f>$C$14*ReDiarioFert!I79</f>
        <v>14.399714859115798</v>
      </c>
      <c r="O90">
        <f>$C$14*ReDiarioFert!K79</f>
        <v>29.68154558404558</v>
      </c>
      <c r="Q90">
        <f>$C$14*ReDiarioFert!M79</f>
        <v>201.71746341463415</v>
      </c>
      <c r="T90" t="e">
        <f>((G90/100)*$G$134+(I90/100)*$G$135+(K90/100)*$G$136+(M90/100)*$G$137+(O90/100)*$G$138+(Q90)*$G$139+(S90*$G$140)+(E90*(VLOOKUP(D90,Fertilizantes!$A$49:$E$123,3,FALSE))))</f>
        <v>#DIV/0!</v>
      </c>
    </row>
    <row r="91">
      <c r="B91">
        <v>74</v>
      </c>
      <c r="C91">
        <f>$I$13+B91</f>
        <v>40039</v>
      </c>
      <c r="E91">
        <f>VLOOKUP(D91,Fertilizantes!$A$49:$E$123,2,FALSE)*$C$14</f>
        <v>0</v>
      </c>
      <c r="F91">
        <f>VLOOKUP(D91,Fertilizantes!$A$49:$E$123,4,FALSE)</f>
        <v>0</v>
      </c>
      <c r="G91" t="e">
        <f>IF($C$14*ReDiarioFert!C80&lt;=0,"0",$C$14*ReDiarioFert!C80)</f>
        <v>#DIV/0!</v>
      </c>
      <c r="I91" t="e">
        <f>$C$14*ReDiarioFert!E80</f>
        <v>#DIV/0!</v>
      </c>
      <c r="K91" t="e">
        <f>$C$14*ReDiarioFert!G80</f>
        <v>#DIV/0!</v>
      </c>
      <c r="M91">
        <f>$C$14*ReDiarioFert!I80</f>
        <v>3.8508951737521113</v>
      </c>
      <c r="O91">
        <f>$C$14*ReDiarioFert!K80</f>
        <v>7.937693333333334</v>
      </c>
      <c r="Q91">
        <f>$C$14*ReDiarioFert!M80</f>
        <v>201.71746341463415</v>
      </c>
      <c r="T91" t="e">
        <f>((G91/100)*$G$134+(I91/100)*$G$135+(K91/100)*$G$136+(M91/100)*$G$137+(O91/100)*$G$138+(Q91)*$G$139+(S91*$G$140)+(E91*(VLOOKUP(D91,Fertilizantes!$A$49:$E$123,3,FALSE))))</f>
        <v>#DIV/0!</v>
      </c>
    </row>
    <row r="92">
      <c r="B92">
        <v>75</v>
      </c>
      <c r="C92">
        <f>$I$13+B92</f>
        <v>40040</v>
      </c>
      <c r="E92">
        <f>VLOOKUP(D92,Fertilizantes!$A$49:$E$123,2,FALSE)*$C$14</f>
        <v>0</v>
      </c>
      <c r="F92">
        <f>VLOOKUP(D92,Fertilizantes!$A$49:$E$123,4,FALSE)</f>
        <v>0</v>
      </c>
      <c r="G92" t="e">
        <f>IF($C$14*ReDiarioFert!C81&lt;=0,"0",$C$14*ReDiarioFert!C81)</f>
        <v>#DIV/0!</v>
      </c>
      <c r="I92" t="e">
        <f>$C$14*ReDiarioFert!E81</f>
        <v>#DIV/0!</v>
      </c>
      <c r="K92" t="e">
        <f>$C$14*ReDiarioFert!G81</f>
        <v>#DIV/0!</v>
      </c>
      <c r="M92">
        <f>$C$14*ReDiarioFert!I81</f>
        <v>3.8508951737521113</v>
      </c>
      <c r="O92">
        <f>$C$14*ReDiarioFert!K81</f>
        <v>7.937693333333334</v>
      </c>
      <c r="Q92">
        <f>$C$14*ReDiarioFert!M81</f>
        <v>201.71746341463415</v>
      </c>
      <c r="T92" t="e">
        <f>((G92/100)*$G$134+(I92/100)*$G$135+(K92/100)*$G$136+(M92/100)*$G$137+(O92/100)*$G$138+(Q92)*$G$139+(S92*$G$140)+(E92*(VLOOKUP(D92,Fertilizantes!$A$49:$E$123,3,FALSE))))</f>
        <v>#DIV/0!</v>
      </c>
    </row>
    <row r="93">
      <c r="B93">
        <v>76</v>
      </c>
      <c r="C93">
        <f>$I$13+B93</f>
        <v>40041</v>
      </c>
      <c r="E93">
        <f>VLOOKUP(D93,Fertilizantes!$A$49:$E$123,2,FALSE)*$C$14</f>
        <v>0</v>
      </c>
      <c r="F93">
        <f>VLOOKUP(D93,Fertilizantes!$A$49:$E$123,4,FALSE)</f>
        <v>0</v>
      </c>
      <c r="G93" t="e">
        <f>IF($C$14*ReDiarioFert!C82&lt;=0,"0",$C$14*ReDiarioFert!C82)</f>
        <v>#DIV/0!</v>
      </c>
      <c r="I93" t="e">
        <f>$C$14*ReDiarioFert!E82</f>
        <v>#DIV/0!</v>
      </c>
      <c r="K93" t="e">
        <f>$C$14*ReDiarioFert!G82</f>
        <v>#DIV/0!</v>
      </c>
      <c r="M93">
        <f>$C$14*ReDiarioFert!I82</f>
        <v>3.8508951737521113</v>
      </c>
      <c r="O93">
        <f>$C$14*ReDiarioFert!K82</f>
        <v>7.937693333333334</v>
      </c>
      <c r="Q93">
        <f>$C$14*ReDiarioFert!M82</f>
        <v>201.71746341463415</v>
      </c>
      <c r="T93" t="e">
        <f>((G93/100)*$G$134+(I93/100)*$G$135+(K93/100)*$G$136+(M93/100)*$G$137+(O93/100)*$G$138+(Q93)*$G$139+(S93*$G$140)+(E93*(VLOOKUP(D93,Fertilizantes!$A$49:$E$123,3,FALSE))))</f>
        <v>#DIV/0!</v>
      </c>
    </row>
    <row r="94">
      <c r="B94">
        <v>77</v>
      </c>
      <c r="C94">
        <f>$I$13+B94</f>
        <v>40042</v>
      </c>
      <c r="E94">
        <f>VLOOKUP(D94,Fertilizantes!$A$49:$E$123,2,FALSE)*$C$14</f>
        <v>0</v>
      </c>
      <c r="F94">
        <f>VLOOKUP(D94,Fertilizantes!$A$49:$E$123,4,FALSE)</f>
        <v>0</v>
      </c>
      <c r="G94" t="e">
        <f>IF($C$14*ReDiarioFert!C83&lt;=0,"0",$C$14*ReDiarioFert!C83)</f>
        <v>#DIV/0!</v>
      </c>
      <c r="I94" t="e">
        <f>$C$14*ReDiarioFert!E83</f>
        <v>#DIV/0!</v>
      </c>
      <c r="K94" t="e">
        <f>$C$14*ReDiarioFert!G83</f>
        <v>#DIV/0!</v>
      </c>
      <c r="M94">
        <f>$C$14*ReDiarioFert!I83</f>
        <v>3.8508951737521113</v>
      </c>
      <c r="O94">
        <f>$C$14*ReDiarioFert!K83</f>
        <v>7.937693333333334</v>
      </c>
      <c r="Q94">
        <f>$C$14*ReDiarioFert!M83</f>
        <v>201.71746341463415</v>
      </c>
      <c r="T94" t="e">
        <f>((G94/100)*$G$134+(I94/100)*$G$135+(K94/100)*$G$136+(M94/100)*$G$137+(O94/100)*$G$138+(Q94)*$G$139+(S94*$G$140)+(E94*(VLOOKUP(D94,Fertilizantes!$A$49:$E$123,3,FALSE))))</f>
        <v>#DIV/0!</v>
      </c>
    </row>
    <row r="95">
      <c r="A95">
        <v>12</v>
      </c>
      <c r="B95">
        <v>78</v>
      </c>
      <c r="C95">
        <f>$I$13+B95</f>
        <v>40043</v>
      </c>
      <c r="E95">
        <f>VLOOKUP(D95,Fertilizantes!$A$49:$E$123,2,FALSE)*$C$14</f>
        <v>0</v>
      </c>
      <c r="F95">
        <f>VLOOKUP(D95,Fertilizantes!$A$49:$E$123,4,FALSE)</f>
        <v>0</v>
      </c>
      <c r="G95" t="e">
        <f>IF($C$14*ReDiarioFert!C84&lt;=0,"0",$C$14*ReDiarioFert!C84)</f>
        <v>#DIV/0!</v>
      </c>
      <c r="I95" t="e">
        <f>$C$14*ReDiarioFert!E84</f>
        <v>#DIV/0!</v>
      </c>
      <c r="K95" t="e">
        <f>$C$14*ReDiarioFert!G84</f>
        <v>#DIV/0!</v>
      </c>
      <c r="M95">
        <f>$C$14*ReDiarioFert!I84</f>
        <v>3.8508951737521113</v>
      </c>
      <c r="O95">
        <f>$C$14*ReDiarioFert!K84</f>
        <v>7.937693333333334</v>
      </c>
      <c r="Q95">
        <f>$C$14*ReDiarioFert!M84</f>
        <v>201.71746341463415</v>
      </c>
      <c r="S95">
        <f>$C$14*Main!$D$63</f>
        <v>28</v>
      </c>
      <c r="T95" t="e">
        <f>((G95/100)*$G$134+(I95/100)*$G$135+(K95/100)*$G$136+(M95/100)*$G$137+(O95/100)*$G$138+(Q95)*$G$139+(S95*$G$140)+(E95*(VLOOKUP(D95,Fertilizantes!$A$49:$E$123,3,FALSE))))</f>
        <v>#DIV/0!</v>
      </c>
    </row>
    <row r="96">
      <c r="B96">
        <v>79</v>
      </c>
      <c r="C96">
        <f>$I$13+B96</f>
        <v>40044</v>
      </c>
      <c r="E96">
        <f>VLOOKUP(D96,Fertilizantes!$A$49:$E$123,2,FALSE)*$C$14</f>
        <v>0</v>
      </c>
      <c r="F96">
        <f>VLOOKUP(D96,Fertilizantes!$A$49:$E$123,4,FALSE)</f>
        <v>0</v>
      </c>
      <c r="G96" t="e">
        <f>IF($C$14*ReDiarioFert!C85&lt;=0,"0",$C$14*ReDiarioFert!C85)</f>
        <v>#DIV/0!</v>
      </c>
      <c r="I96" t="e">
        <f>$C$14*ReDiarioFert!E85</f>
        <v>#DIV/0!</v>
      </c>
      <c r="K96" t="e">
        <f>$C$14*ReDiarioFert!G85</f>
        <v>#DIV/0!</v>
      </c>
      <c r="M96">
        <f>$C$14*ReDiarioFert!I85</f>
        <v>3.8508951737521113</v>
      </c>
      <c r="O96">
        <f>$C$14*ReDiarioFert!K85</f>
        <v>7.937693333333334</v>
      </c>
      <c r="Q96">
        <f>$C$14*ReDiarioFert!M85</f>
        <v>201.71746341463415</v>
      </c>
      <c r="T96" t="e">
        <f>((G96/100)*$G$134+(I96/100)*$G$135+(K96/100)*$G$136+(M96/100)*$G$137+(O96/100)*$G$138+(Q96)*$G$139+(S96*$G$140)+(E96*(VLOOKUP(D96,Fertilizantes!$A$49:$E$123,3,FALSE))))</f>
        <v>#DIV/0!</v>
      </c>
    </row>
    <row r="97">
      <c r="B97">
        <v>80</v>
      </c>
      <c r="C97">
        <f>$I$13+B97</f>
        <v>40045</v>
      </c>
      <c r="E97">
        <f>VLOOKUP(D97,Fertilizantes!$A$49:$E$123,2,FALSE)*$C$14</f>
        <v>0</v>
      </c>
      <c r="F97">
        <f>VLOOKUP(D97,Fertilizantes!$A$49:$E$123,4,FALSE)</f>
        <v>0</v>
      </c>
      <c r="G97" t="e">
        <f>IF($C$14*ReDiarioFert!C86&lt;=0,"0",$C$14*ReDiarioFert!C86)</f>
        <v>#DIV/0!</v>
      </c>
      <c r="I97" t="e">
        <f>$C$14*ReDiarioFert!E86</f>
        <v>#DIV/0!</v>
      </c>
      <c r="K97" t="e">
        <f>$C$14*ReDiarioFert!G86</f>
        <v>#DIV/0!</v>
      </c>
      <c r="M97">
        <f>$C$14*ReDiarioFert!I86</f>
        <v>3.8508951737521113</v>
      </c>
      <c r="O97">
        <f>$C$14*ReDiarioFert!K86</f>
        <v>7.937693333333334</v>
      </c>
      <c r="Q97">
        <f>$C$14*ReDiarioFert!M86</f>
        <v>201.71746341463415</v>
      </c>
      <c r="T97" t="e">
        <f>((G97/100)*$G$134+(I97/100)*$G$135+(K97/100)*$G$136+(M97/100)*$G$137+(O97/100)*$G$138+(Q97)*$G$139+(S97*$G$140)+(E97*(VLOOKUP(D97,Fertilizantes!$A$49:$E$123,3,FALSE))))</f>
        <v>#DIV/0!</v>
      </c>
    </row>
    <row r="98">
      <c r="B98">
        <v>81</v>
      </c>
      <c r="C98">
        <f>$I$13+B98</f>
        <v>40046</v>
      </c>
      <c r="E98">
        <f>VLOOKUP(D98,Fertilizantes!$A$49:$E$123,2,FALSE)*$C$14</f>
        <v>0</v>
      </c>
      <c r="F98">
        <f>VLOOKUP(D98,Fertilizantes!$A$49:$E$123,4,FALSE)</f>
        <v>0</v>
      </c>
      <c r="G98" t="e">
        <f>IF($C$14*ReDiarioFert!C87&lt;=0,"0",$C$14*ReDiarioFert!C87)</f>
        <v>#DIV/0!</v>
      </c>
      <c r="I98" t="e">
        <f>$C$14*ReDiarioFert!E87</f>
        <v>#DIV/0!</v>
      </c>
      <c r="K98" t="e">
        <f>$C$14*ReDiarioFert!G87</f>
        <v>#DIV/0!</v>
      </c>
      <c r="M98">
        <f>$C$14*ReDiarioFert!I87</f>
        <v>3.8508951737521113</v>
      </c>
      <c r="O98">
        <f>$C$14*ReDiarioFert!K87</f>
        <v>7.937693333333334</v>
      </c>
      <c r="Q98">
        <f>$C$14*ReDiarioFert!M87</f>
        <v>243.4518048780488</v>
      </c>
      <c r="T98" t="e">
        <f>((G98/100)*$G$134+(I98/100)*$G$135+(K98/100)*$G$136+(M98/100)*$G$137+(O98/100)*$G$138+(Q98)*$G$139+(S98*$G$140)+(E98*(VLOOKUP(D98,Fertilizantes!$A$49:$E$123,3,FALSE))))</f>
        <v>#DIV/0!</v>
      </c>
    </row>
    <row r="99">
      <c r="B99">
        <v>82</v>
      </c>
      <c r="C99">
        <f>$I$13+B99</f>
        <v>40047</v>
      </c>
      <c r="E99">
        <f>VLOOKUP(D99,Fertilizantes!$A$49:$E$123,2,FALSE)*$C$14</f>
        <v>0</v>
      </c>
      <c r="F99">
        <f>VLOOKUP(D99,Fertilizantes!$A$49:$E$123,4,FALSE)</f>
        <v>0</v>
      </c>
      <c r="G99" t="e">
        <f>IF($C$14*ReDiarioFert!C88&lt;=0,"0",$C$14*ReDiarioFert!C88)</f>
        <v>#DIV/0!</v>
      </c>
      <c r="I99" t="e">
        <f>$C$14*ReDiarioFert!E88</f>
        <v>#DIV/0!</v>
      </c>
      <c r="K99" t="e">
        <f>$C$14*ReDiarioFert!G88</f>
        <v>#DIV/0!</v>
      </c>
      <c r="M99">
        <f>$C$14*ReDiarioFert!I88</f>
        <v>3.8508951737521113</v>
      </c>
      <c r="O99">
        <f>$C$14*ReDiarioFert!K88</f>
        <v>7.937693333333334</v>
      </c>
      <c r="Q99">
        <f>$C$14*ReDiarioFert!M88</f>
        <v>243.4518048780488</v>
      </c>
      <c r="T99" t="e">
        <f>((G99/100)*$G$134+(I99/100)*$G$135+(K99/100)*$G$136+(M99/100)*$G$137+(O99/100)*$G$138+(Q99)*$G$139+(S99*$G$140)+(E99*(VLOOKUP(D99,Fertilizantes!$A$49:$E$123,3,FALSE))))</f>
        <v>#DIV/0!</v>
      </c>
    </row>
    <row r="100">
      <c r="B100">
        <v>83</v>
      </c>
      <c r="C100">
        <f>$I$13+B100</f>
        <v>40048</v>
      </c>
      <c r="E100">
        <f>VLOOKUP(D100,Fertilizantes!$A$49:$E$123,2,FALSE)*$C$14</f>
        <v>0</v>
      </c>
      <c r="F100">
        <f>VLOOKUP(D100,Fertilizantes!$A$49:$E$123,4,FALSE)</f>
        <v>0</v>
      </c>
      <c r="G100" t="e">
        <f>IF($C$14*ReDiarioFert!C89&lt;=0,"0",$C$14*ReDiarioFert!C89)</f>
        <v>#DIV/0!</v>
      </c>
      <c r="I100" t="e">
        <f>$C$14*ReDiarioFert!E89</f>
        <v>#DIV/0!</v>
      </c>
      <c r="K100" t="e">
        <f>$C$14*ReDiarioFert!G89</f>
        <v>#DIV/0!</v>
      </c>
      <c r="M100">
        <f>$C$14*ReDiarioFert!I89</f>
        <v>3.8508951737521113</v>
      </c>
      <c r="O100">
        <f>$C$14*ReDiarioFert!K89</f>
        <v>7.937693333333334</v>
      </c>
      <c r="Q100">
        <f>$C$14*ReDiarioFert!M89</f>
        <v>243.4518048780488</v>
      </c>
      <c r="T100" t="e">
        <f>((G100/100)*$G$134+(I100/100)*$G$135+(K100/100)*$G$136+(M100/100)*$G$137+(O100/100)*$G$138+(Q100)*$G$139+(S100*$G$140)+(E100*(VLOOKUP(D100,Fertilizantes!$A$49:$E$123,3,FALSE))))</f>
        <v>#DIV/0!</v>
      </c>
    </row>
    <row r="101">
      <c r="B101">
        <v>84</v>
      </c>
      <c r="C101">
        <f>$I$13+B101</f>
        <v>40049</v>
      </c>
      <c r="E101">
        <f>VLOOKUP(D101,Fertilizantes!$A$49:$E$123,2,FALSE)*$C$14</f>
        <v>0</v>
      </c>
      <c r="F101">
        <f>VLOOKUP(D101,Fertilizantes!$A$49:$E$123,4,FALSE)</f>
        <v>0</v>
      </c>
      <c r="G101" t="e">
        <f>IF($C$14*ReDiarioFert!C90&lt;=0,"0",$C$14*ReDiarioFert!C90)</f>
        <v>#DIV/0!</v>
      </c>
      <c r="I101" t="e">
        <f>$C$14*ReDiarioFert!E90</f>
        <v>#DIV/0!</v>
      </c>
      <c r="K101" t="e">
        <f>$C$14*ReDiarioFert!G90</f>
        <v>#DIV/0!</v>
      </c>
      <c r="M101">
        <f>$C$14*ReDiarioFert!I90</f>
        <v>3.8508951737521113</v>
      </c>
      <c r="O101">
        <f>$C$14*ReDiarioFert!K90</f>
        <v>7.937693333333334</v>
      </c>
      <c r="Q101">
        <f>$C$14*ReDiarioFert!M90</f>
        <v>243.4518048780488</v>
      </c>
      <c r="T101" t="e">
        <f>((G101/100)*$G$134+(I101/100)*$G$135+(K101/100)*$G$136+(M101/100)*$G$137+(O101/100)*$G$138+(Q101)*$G$139+(S101*$G$140)+(E101*(VLOOKUP(D101,Fertilizantes!$A$49:$E$123,3,FALSE))))</f>
        <v>#DIV/0!</v>
      </c>
    </row>
    <row r="102" ht="18" customHeight="1">
      <c r="A102">
        <v>13</v>
      </c>
      <c r="B102">
        <v>85</v>
      </c>
      <c r="C102">
        <f>$I$13+B102</f>
        <v>40050</v>
      </c>
      <c r="D102">
        <f>Main!$H$87</f>
        <v>0</v>
      </c>
      <c r="E102">
        <f>VLOOKUP(D102,Fertilizantes!$A$49:$E$123,2,FALSE)*$C$14</f>
        <v>0</v>
      </c>
      <c r="F102">
        <f>VLOOKUP(D102,Fertilizantes!$A$49:$E$123,4,FALSE)</f>
        <v>0</v>
      </c>
      <c r="G102" t="e">
        <f>IF($C$14*ReDiarioFert!C91&lt;=0,"0",$C$14*ReDiarioFert!C91)</f>
        <v>#DIV/0!</v>
      </c>
      <c r="I102" t="e">
        <f>$C$14*ReDiarioFert!E91</f>
        <v>#DIV/0!</v>
      </c>
      <c r="K102" t="e">
        <f>$C$14*ReDiarioFert!G91</f>
        <v>#DIV/0!</v>
      </c>
      <c r="M102">
        <f>$C$14*ReDiarioFert!I91</f>
        <v>3.8508951737521113</v>
      </c>
      <c r="O102">
        <f>$C$14*ReDiarioFert!K91</f>
        <v>7.937693333333334</v>
      </c>
      <c r="Q102">
        <f>$C$14*ReDiarioFert!M91</f>
        <v>243.4518048780488</v>
      </c>
      <c r="S102">
        <f>$C$14*Main!$D$63</f>
        <v>28</v>
      </c>
      <c r="T102" t="e">
        <f>((G102/100)*$G$134+(I102/100)*$G$135+(K102/100)*$G$136+(M102/100)*$G$137+(O102/100)*$G$138+(Q102)*$G$139+(S102*$G$140)+(E102*(VLOOKUP(D102,Fertilizantes!$A$49:$E$123,3,FALSE))))</f>
        <v>#DIV/0!</v>
      </c>
    </row>
    <row r="103" ht="18" customHeight="1">
      <c r="B103">
        <v>86</v>
      </c>
      <c r="C103">
        <f>$I$13+B103</f>
        <v>40051</v>
      </c>
      <c r="E103">
        <f>VLOOKUP(D103,Fertilizantes!$A$49:$E$123,2,FALSE)*$C$14</f>
        <v>0</v>
      </c>
      <c r="F103">
        <f>VLOOKUP(D103,Fertilizantes!$A$49:$E$123,4,FALSE)</f>
        <v>0</v>
      </c>
      <c r="G103" t="e">
        <f>IF($C$14*ReDiarioFert!C92&lt;=0,"0",$C$14*ReDiarioFert!C92)</f>
        <v>#DIV/0!</v>
      </c>
      <c r="I103" t="e">
        <f>$C$14*ReDiarioFert!E92</f>
        <v>#DIV/0!</v>
      </c>
      <c r="K103" t="e">
        <f>$C$14*ReDiarioFert!G92</f>
        <v>#DIV/0!</v>
      </c>
      <c r="M103">
        <f>$C$14*ReDiarioFert!I92</f>
        <v>3.8508951737521113</v>
      </c>
      <c r="O103">
        <f>$C$14*ReDiarioFert!K92</f>
        <v>7.937693333333334</v>
      </c>
      <c r="Q103">
        <f>$C$14*ReDiarioFert!M92</f>
        <v>243.4518048780488</v>
      </c>
      <c r="T103" t="e">
        <f>((G103/100)*$G$134+(I103/100)*$G$135+(K103/100)*$G$136+(M103/100)*$G$137+(O103/100)*$G$138+(Q103)*$G$139+(S103*$G$140)+(E103*(VLOOKUP(D103,Fertilizantes!$A$49:$E$123,3,FALSE))))</f>
        <v>#DIV/0!</v>
      </c>
    </row>
    <row r="104" ht="18" customHeight="1">
      <c r="B104">
        <v>87</v>
      </c>
      <c r="C104">
        <f>$I$13+B104</f>
        <v>40052</v>
      </c>
      <c r="E104">
        <f>VLOOKUP(D104,Fertilizantes!$A$49:$E$123,2,FALSE)*$C$14</f>
        <v>0</v>
      </c>
      <c r="F104">
        <f>VLOOKUP(D104,Fertilizantes!$A$49:$E$123,4,FALSE)</f>
        <v>0</v>
      </c>
      <c r="G104" t="e">
        <f>IF($C$14*ReDiarioFert!C93&lt;=0,"0",$C$14*ReDiarioFert!C93)</f>
        <v>#DIV/0!</v>
      </c>
      <c r="I104" t="e">
        <f>$C$14*ReDiarioFert!E93</f>
        <v>#DIV/0!</v>
      </c>
      <c r="K104" t="e">
        <f>$C$14*ReDiarioFert!G93</f>
        <v>#DIV/0!</v>
      </c>
      <c r="M104">
        <f>$C$14*ReDiarioFert!I93</f>
        <v>3.8508951737521113</v>
      </c>
      <c r="O104">
        <f>$C$14*ReDiarioFert!K93</f>
        <v>7.937693333333334</v>
      </c>
      <c r="Q104">
        <f>$C$14*ReDiarioFert!M93</f>
        <v>243.4518048780488</v>
      </c>
      <c r="T104" t="e">
        <f>((G104/100)*$G$134+(I104/100)*$G$135+(K104/100)*$G$136+(M104/100)*$G$137+(O104/100)*$G$138+(Q104)*$G$139+(S104*$G$140)+(E104*(VLOOKUP(D104,Fertilizantes!$A$49:$E$123,3,FALSE))))</f>
        <v>#DIV/0!</v>
      </c>
    </row>
    <row r="105" ht="18" customHeight="1">
      <c r="B105">
        <v>88</v>
      </c>
      <c r="C105">
        <f>$I$13+B105</f>
        <v>40053</v>
      </c>
      <c r="E105">
        <f>VLOOKUP(D105,Fertilizantes!$A$49:$E$123,2,FALSE)*$C$14</f>
        <v>0</v>
      </c>
      <c r="F105">
        <f>VLOOKUP(D105,Fertilizantes!$A$49:$E$123,4,FALSE)</f>
        <v>0</v>
      </c>
      <c r="G105" t="e">
        <f>IF($C$14*ReDiarioFert!C94&lt;=0,"0",$C$14*ReDiarioFert!C94)</f>
        <v>#DIV/0!</v>
      </c>
      <c r="I105" t="e">
        <f>$C$14*ReDiarioFert!E94</f>
        <v>#DIV/0!</v>
      </c>
      <c r="K105" t="e">
        <f>$C$14*ReDiarioFert!G94</f>
        <v>#DIV/0!</v>
      </c>
      <c r="M105">
        <f>$C$14*ReDiarioFert!I94</f>
        <v>16.47327379882848</v>
      </c>
      <c r="O105">
        <f>$C$14*ReDiarioFert!K94</f>
        <v>33.95568814814815</v>
      </c>
      <c r="Q105">
        <f>$C$14*ReDiarioFert!M94</f>
        <v>243.4518048780488</v>
      </c>
      <c r="T105" t="e">
        <f>((G105/100)*$G$134+(I105/100)*$G$135+(K105/100)*$G$136+(M105/100)*$G$137+(O105/100)*$G$138+(Q105)*$G$139+(S105*$G$140)+(E105*(VLOOKUP(D105,Fertilizantes!$A$49:$E$123,3,FALSE))))</f>
        <v>#DIV/0!</v>
      </c>
    </row>
    <row r="106" ht="18" customHeight="1">
      <c r="B106">
        <v>89</v>
      </c>
      <c r="C106">
        <f>$I$13+B106</f>
        <v>40054</v>
      </c>
      <c r="E106">
        <f>VLOOKUP(D106,Fertilizantes!$A$49:$E$123,2,FALSE)*$C$14</f>
        <v>0</v>
      </c>
      <c r="F106">
        <f>VLOOKUP(D106,Fertilizantes!$A$49:$E$123,4,FALSE)</f>
        <v>0</v>
      </c>
      <c r="G106" t="e">
        <f>IF($C$14*ReDiarioFert!C95&lt;=0,"0",$C$14*ReDiarioFert!C95)</f>
        <v>#DIV/0!</v>
      </c>
      <c r="I106" t="e">
        <f>$C$14*ReDiarioFert!E95</f>
        <v>#DIV/0!</v>
      </c>
      <c r="K106" t="e">
        <f>$C$14*ReDiarioFert!G95</f>
        <v>#DIV/0!</v>
      </c>
      <c r="M106">
        <f>$C$14*ReDiarioFert!I95</f>
        <v>16.47327379882848</v>
      </c>
      <c r="O106">
        <f>$C$14*ReDiarioFert!K95</f>
        <v>33.95568814814815</v>
      </c>
      <c r="Q106">
        <f>$C$14*ReDiarioFert!M95</f>
        <v>243.4518048780488</v>
      </c>
      <c r="T106" t="e">
        <f>((G106/100)*$G$134+(I106/100)*$G$135+(K106/100)*$G$136+(M106/100)*$G$137+(O106/100)*$G$138+(Q106)*$G$139+(S106*$G$140)+(E106*(VLOOKUP(D106,Fertilizantes!$A$49:$E$123,3,FALSE))))</f>
        <v>#DIV/0!</v>
      </c>
    </row>
    <row r="107" ht="18" customHeight="1">
      <c r="B107">
        <v>90</v>
      </c>
      <c r="C107">
        <f>$I$13+B107</f>
        <v>40055</v>
      </c>
      <c r="E107">
        <f>VLOOKUP(D107,Fertilizantes!$A$49:$E$123,2,FALSE)*$C$14</f>
        <v>0</v>
      </c>
      <c r="F107">
        <f>VLOOKUP(D107,Fertilizantes!$A$49:$E$123,4,FALSE)</f>
        <v>0</v>
      </c>
      <c r="G107" t="e">
        <f>IF($C$14*ReDiarioFert!C96&lt;=0,"0",$C$14*ReDiarioFert!C96)</f>
        <v>#DIV/0!</v>
      </c>
      <c r="I107" t="e">
        <f>$C$14*ReDiarioFert!E96</f>
        <v>#DIV/0!</v>
      </c>
      <c r="K107" t="e">
        <f>$C$14*ReDiarioFert!G96</f>
        <v>#DIV/0!</v>
      </c>
      <c r="M107">
        <f>$C$14*ReDiarioFert!I96</f>
        <v>16.47327379882848</v>
      </c>
      <c r="O107">
        <f>$C$14*ReDiarioFert!K96</f>
        <v>33.95568814814815</v>
      </c>
      <c r="Q107">
        <f>$C$14*ReDiarioFert!M96</f>
        <v>243.4518048780488</v>
      </c>
      <c r="T107" t="e">
        <f>((G107/100)*$G$134+(I107/100)*$G$135+(K107/100)*$G$136+(M107/100)*$G$137+(O107/100)*$G$138+(Q107)*$G$139+(S107*$G$140)+(E107*(VLOOKUP(D107,Fertilizantes!$A$49:$E$123,3,FALSE))))</f>
        <v>#DIV/0!</v>
      </c>
    </row>
    <row r="108" ht="18" customHeight="1">
      <c r="B108">
        <v>91</v>
      </c>
      <c r="C108">
        <f>$I$13+B108</f>
        <v>40056</v>
      </c>
      <c r="E108">
        <f>VLOOKUP(D108,Fertilizantes!$A$49:$E$123,2,FALSE)*$C$14</f>
        <v>0</v>
      </c>
      <c r="F108">
        <f>VLOOKUP(D108,Fertilizantes!$A$49:$E$123,4,FALSE)</f>
        <v>0</v>
      </c>
      <c r="G108" t="e">
        <f>IF($C$14*ReDiarioFert!C97&lt;=0,"0",$C$14*ReDiarioFert!C97)</f>
        <v>#DIV/0!</v>
      </c>
      <c r="I108" t="e">
        <f>$C$14*ReDiarioFert!E97</f>
        <v>#DIV/0!</v>
      </c>
      <c r="K108" t="e">
        <f>$C$14*ReDiarioFert!G97</f>
        <v>#DIV/0!</v>
      </c>
      <c r="M108">
        <f>$C$14*ReDiarioFert!I97</f>
        <v>16.47327379882848</v>
      </c>
      <c r="O108">
        <f>$C$14*ReDiarioFert!K97</f>
        <v>33.95568814814815</v>
      </c>
      <c r="Q108">
        <f>$C$14*ReDiarioFert!M97</f>
        <v>243.4518048780488</v>
      </c>
      <c r="S108">
        <f>Main!$H$84</f>
        <v>0</v>
      </c>
      <c r="T108" t="e">
        <f>((G108/100)*$G$134+(I108/100)*$G$135+(K108/100)*$G$136+(M108/100)*$G$137+(O108/100)*$G$138+(Q108)*$G$139+(S108*$G$140)+(E108*(VLOOKUP(D108,Fertilizantes!$A$49:$E$123,3,FALSE))))</f>
        <v>#DIV/0!</v>
      </c>
    </row>
    <row r="109">
      <c r="A109">
        <v>14</v>
      </c>
      <c r="B109">
        <v>92</v>
      </c>
      <c r="C109">
        <f>$I$13+B109</f>
        <v>40057</v>
      </c>
      <c r="E109">
        <f>VLOOKUP(D109,Fertilizantes!$A$49:$E$123,2,FALSE)*$C$14</f>
        <v>0</v>
      </c>
      <c r="F109">
        <f>VLOOKUP(D109,Fertilizantes!$A$49:$E$123,4,FALSE)</f>
        <v>0</v>
      </c>
      <c r="G109" t="e">
        <f>IF($C$14*ReDiarioFert!C98&lt;=0,"0",$C$14*ReDiarioFert!C98)</f>
        <v>#DIV/0!</v>
      </c>
      <c r="I109" t="e">
        <f>$C$14*ReDiarioFert!E98</f>
        <v>#DIV/0!</v>
      </c>
      <c r="K109" t="e">
        <f>$C$14*ReDiarioFert!G98</f>
        <v>#DIV/0!</v>
      </c>
      <c r="M109">
        <f>$C$14*ReDiarioFert!I98</f>
        <v>16.47327379882848</v>
      </c>
      <c r="O109">
        <f>$C$14*ReDiarioFert!K98</f>
        <v>33.95568814814815</v>
      </c>
      <c r="Q109">
        <f>$C$14*ReDiarioFert!M98</f>
        <v>243.4518048780488</v>
      </c>
      <c r="S109">
        <f>$C$14*Main!$D$63</f>
        <v>28</v>
      </c>
      <c r="T109" t="e">
        <f>((G109/100)*$G$134+(I109/100)*$G$135+(K109/100)*$G$136+(M109/100)*$G$137+(O109/100)*$G$138+(Q109)*$G$139+(S109*$G$140)+(E109*(VLOOKUP(D109,Fertilizantes!$A$49:$E$123,3,FALSE))))</f>
        <v>#DIV/0!</v>
      </c>
    </row>
    <row r="110">
      <c r="B110">
        <v>93</v>
      </c>
      <c r="C110">
        <f>$I$13+B110</f>
        <v>40058</v>
      </c>
      <c r="E110">
        <f>VLOOKUP(D110,Fertilizantes!$A$49:$E$123,2,FALSE)*$C$14</f>
        <v>0</v>
      </c>
      <c r="F110">
        <f>VLOOKUP(D110,Fertilizantes!$A$49:$E$123,4,FALSE)</f>
        <v>0</v>
      </c>
      <c r="G110" t="e">
        <f>IF($C$14*ReDiarioFert!C99&lt;=0,"0",$C$14*ReDiarioFert!C99)</f>
        <v>#DIV/0!</v>
      </c>
      <c r="I110" t="e">
        <f>$C$14*ReDiarioFert!E99</f>
        <v>#DIV/0!</v>
      </c>
      <c r="K110" t="e">
        <f>$C$14*ReDiarioFert!G99</f>
        <v>#DIV/0!</v>
      </c>
      <c r="M110">
        <f>$C$14*ReDiarioFert!I99</f>
        <v>16.47327379882848</v>
      </c>
      <c r="O110">
        <f>$C$14*ReDiarioFert!K99</f>
        <v>33.95568814814815</v>
      </c>
      <c r="Q110">
        <f>$C$14*ReDiarioFert!M99</f>
        <v>243.4518048780488</v>
      </c>
      <c r="T110" t="e">
        <f>((G110/100)*$G$134+(I110/100)*$G$135+(K110/100)*$G$136+(M110/100)*$G$137+(O110/100)*$G$138+(Q110)*$G$139+(S110*$G$140)+(E110*(VLOOKUP(D110,Fertilizantes!$A$49:$E$123,3,FALSE))))</f>
        <v>#DIV/0!</v>
      </c>
    </row>
    <row r="111">
      <c r="B111">
        <v>94</v>
      </c>
      <c r="C111">
        <f>$I$13+B111</f>
        <v>40059</v>
      </c>
      <c r="E111">
        <f>VLOOKUP(D111,Fertilizantes!$A$49:$E$123,2,FALSE)*$C$14</f>
        <v>0</v>
      </c>
      <c r="F111">
        <f>VLOOKUP(D111,Fertilizantes!$A$49:$E$123,4,FALSE)</f>
        <v>0</v>
      </c>
      <c r="G111" t="e">
        <f>IF($C$14*ReDiarioFert!C100&lt;=0,"0",$C$14*ReDiarioFert!C100)</f>
        <v>#DIV/0!</v>
      </c>
      <c r="I111" t="e">
        <f>$C$14*ReDiarioFert!E100</f>
        <v>#DIV/0!</v>
      </c>
      <c r="K111" t="e">
        <f>$C$14*ReDiarioFert!G100</f>
        <v>#DIV/0!</v>
      </c>
      <c r="M111">
        <f>$C$14*ReDiarioFert!I100</f>
        <v>16.47327379882848</v>
      </c>
      <c r="O111">
        <f>$C$14*ReDiarioFert!K100</f>
        <v>33.95568814814815</v>
      </c>
      <c r="Q111">
        <f>$C$14*ReDiarioFert!M100</f>
        <v>243.4518048780488</v>
      </c>
      <c r="T111" t="e">
        <f>((G111/100)*$G$134+(I111/100)*$G$135+(K111/100)*$G$136+(M111/100)*$G$137+(O111/100)*$G$138+(Q111)*$G$139+(S111*$G$140)+(E111*(VLOOKUP(D111,Fertilizantes!$A$49:$E$123,3,FALSE))))</f>
        <v>#DIV/0!</v>
      </c>
    </row>
    <row r="112">
      <c r="B112">
        <v>95</v>
      </c>
      <c r="C112">
        <f>$I$13+B112</f>
        <v>40060</v>
      </c>
      <c r="E112">
        <f>VLOOKUP(D112,Fertilizantes!$A$49:$E$123,2,FALSE)*$C$14</f>
        <v>0</v>
      </c>
      <c r="F112">
        <f>VLOOKUP(D112,Fertilizantes!$A$49:$E$123,4,FALSE)</f>
        <v>0</v>
      </c>
      <c r="G112" t="e">
        <f>IF($C$14*ReDiarioFert!C101&lt;=0,"0",$C$14*ReDiarioFert!C101)</f>
        <v>#DIV/0!</v>
      </c>
      <c r="I112" t="e">
        <f>$C$14*ReDiarioFert!E101</f>
        <v>#DIV/0!</v>
      </c>
      <c r="K112" t="e">
        <f>$C$14*ReDiarioFert!G101</f>
        <v>#DIV/0!</v>
      </c>
      <c r="M112">
        <f>$C$14*ReDiarioFert!I101</f>
        <v>16.47327379882848</v>
      </c>
      <c r="O112">
        <f>$C$14*ReDiarioFert!K101</f>
        <v>33.95568814814815</v>
      </c>
      <c r="Q112">
        <f>$C$14*ReDiarioFert!M101</f>
        <v>243.4518048780488</v>
      </c>
      <c r="T112" t="e">
        <f>((G112/100)*$G$134+(I112/100)*$G$135+(K112/100)*$G$136+(M112/100)*$G$137+(O112/100)*$G$138+(Q112)*$G$139+(S112*$G$140)+(E112*(VLOOKUP(D112,Fertilizantes!$A$49:$E$123,3,FALSE))))</f>
        <v>#DIV/0!</v>
      </c>
    </row>
    <row r="113">
      <c r="B113">
        <v>96</v>
      </c>
      <c r="C113">
        <f>$I$13+B113</f>
        <v>40061</v>
      </c>
      <c r="E113">
        <f>VLOOKUP(D113,Fertilizantes!$A$49:$E$123,2,FALSE)*$C$14</f>
        <v>0</v>
      </c>
      <c r="F113">
        <f>VLOOKUP(D113,Fertilizantes!$A$49:$E$123,4,FALSE)</f>
        <v>0</v>
      </c>
      <c r="G113" t="e">
        <f>IF($C$14*ReDiarioFert!C102&lt;=0,"0",$C$14*ReDiarioFert!C102)</f>
        <v>#DIV/0!</v>
      </c>
      <c r="I113" t="e">
        <f>$C$14*ReDiarioFert!E102</f>
        <v>#DIV/0!</v>
      </c>
      <c r="K113" t="e">
        <f>$C$14*ReDiarioFert!G102</f>
        <v>#DIV/0!</v>
      </c>
      <c r="M113">
        <f>$C$14*ReDiarioFert!I102</f>
        <v>16.47327379882848</v>
      </c>
      <c r="O113">
        <f>$C$14*ReDiarioFert!K102</f>
        <v>33.95568814814815</v>
      </c>
      <c r="Q113">
        <f>$C$14*ReDiarioFert!M102</f>
        <v>243.4518048780488</v>
      </c>
      <c r="T113" t="e">
        <f>((G113/100)*$G$134+(I113/100)*$G$135+(K113/100)*$G$136+(M113/100)*$G$137+(O113/100)*$G$138+(Q113)*$G$139+(S113*$G$140)+(E113*(VLOOKUP(D113,Fertilizantes!$A$49:$E$123,3,FALSE))))</f>
        <v>#DIV/0!</v>
      </c>
    </row>
    <row r="114">
      <c r="B114">
        <v>97</v>
      </c>
      <c r="C114">
        <f>$I$13+B114</f>
        <v>40062</v>
      </c>
      <c r="E114">
        <f>VLOOKUP(D114,Fertilizantes!$A$49:$E$123,2,FALSE)*$C$14</f>
        <v>0</v>
      </c>
      <c r="F114">
        <f>VLOOKUP(D114,Fertilizantes!$A$49:$E$123,4,FALSE)</f>
        <v>0</v>
      </c>
      <c r="G114" t="e">
        <f>IF($C$14*ReDiarioFert!C103&lt;=0,"0",$C$14*ReDiarioFert!C103)</f>
        <v>#DIV/0!</v>
      </c>
      <c r="I114" t="e">
        <f>$C$14*ReDiarioFert!E103</f>
        <v>#DIV/0!</v>
      </c>
      <c r="K114" t="e">
        <f>$C$14*ReDiarioFert!G103</f>
        <v>#DIV/0!</v>
      </c>
      <c r="M114">
        <f>$C$14*ReDiarioFert!I103</f>
        <v>16.47327379882848</v>
      </c>
      <c r="O114">
        <f>$C$14*ReDiarioFert!K103</f>
        <v>33.95568814814815</v>
      </c>
      <c r="Q114">
        <f>$C$14*ReDiarioFert!M103</f>
        <v>243.4518048780488</v>
      </c>
      <c r="T114" t="e">
        <f>((G114/100)*$G$134+(I114/100)*$G$135+(K114/100)*$G$136+(M114/100)*$G$137+(O114/100)*$G$138+(Q114)*$G$139+(S114*$G$140)+(E114*(VLOOKUP(D114,Fertilizantes!$A$49:$E$123,3,FALSE))))</f>
        <v>#DIV/0!</v>
      </c>
    </row>
    <row r="115">
      <c r="B115">
        <v>98</v>
      </c>
      <c r="C115">
        <f>$I$13+B115</f>
        <v>40063</v>
      </c>
      <c r="E115">
        <f>VLOOKUP(D115,Fertilizantes!$A$49:$E$123,2,FALSE)*$C$14</f>
        <v>0</v>
      </c>
      <c r="F115">
        <f>VLOOKUP(D115,Fertilizantes!$A$49:$E$123,4,FALSE)</f>
        <v>0</v>
      </c>
      <c r="G115" t="e">
        <f>IF($C$14*ReDiarioFert!C104&lt;=0,"0",$C$14*ReDiarioFert!C104)</f>
        <v>#DIV/0!</v>
      </c>
      <c r="I115" t="e">
        <f>$C$14*ReDiarioFert!E104</f>
        <v>#DIV/0!</v>
      </c>
      <c r="K115" t="e">
        <f>$C$14*ReDiarioFert!G104</f>
        <v>#DIV/0!</v>
      </c>
      <c r="M115">
        <f>$C$14*ReDiarioFert!I104</f>
        <v>16.47327379882848</v>
      </c>
      <c r="O115">
        <f>$C$14*ReDiarioFert!K104</f>
        <v>33.95568814814815</v>
      </c>
      <c r="Q115">
        <f>$C$14*ReDiarioFert!M104</f>
        <v>243.4518048780488</v>
      </c>
      <c r="S115">
        <f>Main!$H$85</f>
        <v>0</v>
      </c>
      <c r="T115" t="e">
        <f>((G115/100)*$G$134+(I115/100)*$G$135+(K115/100)*$G$136+(M115/100)*$G$137+(O115/100)*$G$138+(Q115)*$G$139+(S115*$G$140)+(E115*(VLOOKUP(D115,Fertilizantes!$A$49:$E$123,3,FALSE))))</f>
        <v>#DIV/0!</v>
      </c>
    </row>
    <row r="116">
      <c r="A116">
        <v>15</v>
      </c>
      <c r="B116">
        <v>99</v>
      </c>
      <c r="C116">
        <f>$I$13+B116</f>
        <v>40064</v>
      </c>
      <c r="E116">
        <f>VLOOKUP(D116,Fertilizantes!$A$49:$E$123,2,FALSE)*$C$14</f>
        <v>0</v>
      </c>
      <c r="F116">
        <f>VLOOKUP(D116,Fertilizantes!$A$49:$E$123,4,FALSE)</f>
        <v>0</v>
      </c>
      <c r="G116" t="e">
        <f>IF($C$14*ReDiarioFert!C105&lt;=0,"0",$C$14*ReDiarioFert!C105)</f>
        <v>#DIV/0!</v>
      </c>
      <c r="I116" t="e">
        <f>$C$14*ReDiarioFert!E105</f>
        <v>#DIV/0!</v>
      </c>
      <c r="K116" t="e">
        <f>$C$14*ReDiarioFert!G105</f>
        <v>#DIV/0!</v>
      </c>
      <c r="M116">
        <f>$C$14*ReDiarioFert!I105</f>
        <v>16.47327379882848</v>
      </c>
      <c r="O116">
        <f>$C$14*ReDiarioFert!K105</f>
        <v>33.95568814814815</v>
      </c>
      <c r="Q116">
        <f>$C$14*ReDiarioFert!M105</f>
        <v>243.4518048780488</v>
      </c>
      <c r="S116">
        <f>$C$14*Main!$D$63</f>
        <v>28</v>
      </c>
      <c r="T116" t="e">
        <f>((G116/100)*$G$134+(I116/100)*$G$135+(K116/100)*$G$136+(M116/100)*$G$137+(O116/100)*$G$138+(Q116)*$G$139+(S116*$G$140)+(E116*(VLOOKUP(D116,Fertilizantes!$A$49:$E$123,3,FALSE))))</f>
        <v>#DIV/0!</v>
      </c>
    </row>
    <row r="117">
      <c r="B117">
        <v>100</v>
      </c>
      <c r="C117">
        <f>$I$13+B117</f>
        <v>40065</v>
      </c>
      <c r="E117">
        <f>VLOOKUP(D117,Fertilizantes!$A$49:$E$123,2,FALSE)*$C$14</f>
        <v>0</v>
      </c>
      <c r="F117">
        <f>VLOOKUP(D117,Fertilizantes!$A$49:$E$123,4,FALSE)</f>
        <v>0</v>
      </c>
      <c r="G117" t="e">
        <f>IF($C$14*ReDiarioFert!C106&lt;=0,"0",$C$14*ReDiarioFert!C106)</f>
        <v>#DIV/0!</v>
      </c>
      <c r="I117" t="e">
        <f>$C$14*ReDiarioFert!E106</f>
        <v>#DIV/0!</v>
      </c>
      <c r="K117" t="e">
        <f>$C$14*ReDiarioFert!G106</f>
        <v>#DIV/0!</v>
      </c>
      <c r="M117">
        <f>$C$14*ReDiarioFert!I106</f>
        <v>16.47327379882848</v>
      </c>
      <c r="O117">
        <f>$C$14*ReDiarioFert!K106</f>
        <v>33.95568814814815</v>
      </c>
      <c r="Q117">
        <f>$C$14*ReDiarioFert!M106</f>
        <v>243.4518048780488</v>
      </c>
      <c r="T117" t="e">
        <f>((G117/100)*$G$134+(I117/100)*$G$135+(K117/100)*$G$136+(M117/100)*$G$137+(O117/100)*$G$138+(Q117)*$G$139+(S117*$G$140)+(E117*(VLOOKUP(D117,Fertilizantes!$A$49:$E$123,3,FALSE))))</f>
        <v>#DIV/0!</v>
      </c>
    </row>
    <row r="118">
      <c r="B118">
        <v>101</v>
      </c>
      <c r="C118">
        <f>$I$13+B118</f>
        <v>40066</v>
      </c>
      <c r="E118">
        <f>VLOOKUP(D118,Fertilizantes!$A$49:$E$123,2,FALSE)*$C$14</f>
        <v>0</v>
      </c>
      <c r="F118">
        <f>VLOOKUP(D118,Fertilizantes!$A$49:$E$123,4,FALSE)</f>
        <v>0</v>
      </c>
      <c r="G118" t="e">
        <f>IF($C$14*ReDiarioFert!C107&lt;=0,"0",$C$14*ReDiarioFert!C107)</f>
        <v>#DIV/0!</v>
      </c>
      <c r="I118" t="e">
        <f>$C$14*ReDiarioFert!E107</f>
        <v>#DIV/0!</v>
      </c>
      <c r="K118" t="e">
        <f>$C$14*ReDiarioFert!G107</f>
        <v>#DIV/0!</v>
      </c>
      <c r="M118">
        <f>$C$14*ReDiarioFert!I107</f>
        <v>16.47327379882848</v>
      </c>
      <c r="O118">
        <f>$C$14*ReDiarioFert!K107</f>
        <v>33.95568814814815</v>
      </c>
      <c r="Q118">
        <f>$C$14*ReDiarioFert!M107</f>
        <v>243.4518048780488</v>
      </c>
      <c r="T118" t="e">
        <f>((G118/100)*$G$134+(I118/100)*$G$135+(K118/100)*$G$136+(M118/100)*$G$137+(O118/100)*$G$138+(Q118)*$G$139+(S118*$G$140)+(E118*(VLOOKUP(D118,Fertilizantes!$A$49:$E$123,3,FALSE))))</f>
        <v>#DIV/0!</v>
      </c>
    </row>
    <row r="119">
      <c r="B119">
        <v>102</v>
      </c>
      <c r="C119">
        <f>$I$13+B119</f>
        <v>40067</v>
      </c>
      <c r="E119">
        <f>VLOOKUP(D119,Fertilizantes!$A$49:$E$123,2,FALSE)*$C$14</f>
        <v>0</v>
      </c>
      <c r="F119">
        <f>VLOOKUP(D119,Fertilizantes!$A$49:$E$123,4,FALSE)</f>
        <v>0</v>
      </c>
      <c r="G119" t="e">
        <f>IF($C$14*ReDiarioFert!C108&lt;=0,"0",$C$14*ReDiarioFert!C108)</f>
        <v>#DIV/0!</v>
      </c>
      <c r="I119" t="e">
        <f>$C$14*ReDiarioFert!E108</f>
        <v>#DIV/0!</v>
      </c>
      <c r="K119" t="e">
        <f>$C$14*ReDiarioFert!G108</f>
        <v>#DIV/0!</v>
      </c>
      <c r="M119">
        <f>$C$14*ReDiarioFert!I108</f>
        <v>16.47327379882848</v>
      </c>
      <c r="O119">
        <f>$C$14*ReDiarioFert!K108</f>
        <v>33.95568814814815</v>
      </c>
      <c r="Q119">
        <f>$C$14*ReDiarioFert!M108</f>
        <v>243.4518048780488</v>
      </c>
      <c r="T119" t="e">
        <f>((G119/100)*$G$134+(I119/100)*$G$135+(K119/100)*$G$136+(M119/100)*$G$137+(O119/100)*$G$138+(Q119)*$G$139+(S119*$G$140)+(E119*(VLOOKUP(D119,Fertilizantes!$A$49:$E$123,3,FALSE))))</f>
        <v>#DIV/0!</v>
      </c>
    </row>
    <row r="120">
      <c r="B120">
        <v>103</v>
      </c>
      <c r="C120">
        <f>$I$13+B120</f>
        <v>40068</v>
      </c>
      <c r="E120">
        <f>VLOOKUP(D120,Fertilizantes!$A$49:$E$123,2,FALSE)*$C$14</f>
        <v>0</v>
      </c>
      <c r="F120">
        <f>VLOOKUP(D120,Fertilizantes!$A$49:$E$123,4,FALSE)</f>
        <v>0</v>
      </c>
      <c r="G120" t="e">
        <f>IF($C$14*ReDiarioFert!C109&lt;=0,"0",$C$14*ReDiarioFert!C109)</f>
        <v>#DIV/0!</v>
      </c>
      <c r="I120" t="e">
        <f>$C$14*ReDiarioFert!E109</f>
        <v>#DIV/0!</v>
      </c>
      <c r="K120" t="e">
        <f>$C$14*ReDiarioFert!G109</f>
        <v>#DIV/0!</v>
      </c>
      <c r="M120">
        <f>$C$14*ReDiarioFert!I109</f>
        <v>16.47327379882848</v>
      </c>
      <c r="O120">
        <f>$C$14*ReDiarioFert!K109</f>
        <v>33.95568814814815</v>
      </c>
      <c r="Q120">
        <f>$C$14*ReDiarioFert!M109</f>
        <v>243.4518048780488</v>
      </c>
      <c r="T120" t="e">
        <f>((G120/100)*$G$134+(I120/100)*$G$135+(K120/100)*$G$136+(M120/100)*$G$137+(O120/100)*$G$138+(Q120)*$G$139+(S120*$G$140)+(E120*(VLOOKUP(D120,Fertilizantes!$A$49:$E$123,3,FALSE))))</f>
        <v>#DIV/0!</v>
      </c>
    </row>
    <row r="121">
      <c r="B121">
        <v>104</v>
      </c>
      <c r="C121">
        <f>$I$13+B121</f>
        <v>40069</v>
      </c>
      <c r="E121">
        <f>VLOOKUP(D121,Fertilizantes!$A$49:$E$123,2,FALSE)*$C$14</f>
        <v>0</v>
      </c>
      <c r="F121">
        <f>VLOOKUP(D121,Fertilizantes!$A$49:$E$123,4,FALSE)</f>
        <v>0</v>
      </c>
      <c r="G121" t="e">
        <f>IF($C$14*ReDiarioFert!C110&lt;=0,"0",$C$14*ReDiarioFert!C110)</f>
        <v>#DIV/0!</v>
      </c>
      <c r="I121" t="e">
        <f>$C$14*ReDiarioFert!E110</f>
        <v>#DIV/0!</v>
      </c>
      <c r="K121" t="e">
        <f>$C$14*ReDiarioFert!G110</f>
        <v>#DIV/0!</v>
      </c>
      <c r="M121">
        <f>$C$14*ReDiarioFert!I110</f>
        <v>16.47327379882848</v>
      </c>
      <c r="O121">
        <f>$C$14*ReDiarioFert!K110</f>
        <v>33.95568814814815</v>
      </c>
      <c r="Q121">
        <f>$C$14*ReDiarioFert!M110</f>
        <v>243.4518048780488</v>
      </c>
      <c r="T121" t="e">
        <f>((G121/100)*$G$134+(I121/100)*$G$135+(K121/100)*$G$136+(M121/100)*$G$137+(O121/100)*$G$138+(Q121)*$G$139+(S121*$G$140)+(E121*(VLOOKUP(D121,Fertilizantes!$A$49:$E$123,3,FALSE))))</f>
        <v>#DIV/0!</v>
      </c>
    </row>
    <row r="122">
      <c r="B122">
        <v>105</v>
      </c>
      <c r="C122">
        <f>$I$13+B122</f>
        <v>40070</v>
      </c>
      <c r="E122">
        <f>VLOOKUP(D122,Fertilizantes!$A$49:$E$123,2,FALSE)*$C$14</f>
        <v>0</v>
      </c>
      <c r="F122">
        <f>VLOOKUP(D122,Fertilizantes!$A$49:$E$123,4,FALSE)</f>
        <v>0</v>
      </c>
      <c r="G122" t="e">
        <f>IF($C$14*ReDiarioFert!C111&lt;=0,"0",$C$14*ReDiarioFert!C111)</f>
        <v>#DIV/0!</v>
      </c>
      <c r="I122" t="e">
        <f>$C$14*ReDiarioFert!E111</f>
        <v>#DIV/0!</v>
      </c>
      <c r="K122" t="e">
        <f>$C$14*ReDiarioFert!G111</f>
        <v>#DIV/0!</v>
      </c>
      <c r="M122">
        <f>$C$14*ReDiarioFert!I111</f>
        <v>16.47327379882848</v>
      </c>
      <c r="O122">
        <f>$C$14*ReDiarioFert!K111</f>
        <v>33.95568814814815</v>
      </c>
      <c r="Q122">
        <f>$C$14*ReDiarioFert!M111</f>
        <v>243.4518048780488</v>
      </c>
      <c r="T122" t="e">
        <f>((G122/100)*$G$134+(I122/100)*$G$135+(K122/100)*$G$136+(M122/100)*$G$137+(O122/100)*$G$138+(Q122)*$G$139+(S122*$G$140)+(E122*(VLOOKUP(D122,Fertilizantes!$A$49:$E$123,3,FALSE))))</f>
        <v>#DIV/0!</v>
      </c>
    </row>
    <row r="123">
      <c r="A123">
        <v>16</v>
      </c>
      <c r="B123">
        <v>106</v>
      </c>
      <c r="C123">
        <f>$I$13+B123</f>
        <v>40071</v>
      </c>
      <c r="E123">
        <f>VLOOKUP(D123,Fertilizantes!$A$49:$E$123,2,FALSE)*$C$14</f>
        <v>0</v>
      </c>
      <c r="F123">
        <f>VLOOKUP(D123,Fertilizantes!$A$49:$E$123,4,FALSE)</f>
        <v>0</v>
      </c>
      <c r="G123" t="e">
        <f>IF($C$14*ReDiarioFert!C112&lt;=0,"0",$C$14*ReDiarioFert!C112)</f>
        <v>#DIV/0!</v>
      </c>
      <c r="I123" t="e">
        <f>$C$14*ReDiarioFert!E112</f>
        <v>#DIV/0!</v>
      </c>
      <c r="K123" t="e">
        <f>$C$14*ReDiarioFert!G112</f>
        <v>#DIV/0!</v>
      </c>
      <c r="M123">
        <f>$C$14*ReDiarioFert!I112</f>
        <v>0</v>
      </c>
      <c r="O123">
        <f>$C$14*ReDiarioFert!K112</f>
        <v>0</v>
      </c>
      <c r="Q123">
        <f>$C$14*ReDiarioFert!M112</f>
        <v>243.4518048780488</v>
      </c>
      <c r="S123">
        <f>$C$14*Main!$D$63</f>
        <v>28</v>
      </c>
      <c r="T123" t="e">
        <f>((G123/100)*$G$134+(I123/100)*$G$135+(K123/100)*$G$136+(M123/100)*$G$137+(O123/100)*$G$138+(Q123)*$G$139+(S123*$G$140)+(E123*(VLOOKUP(D123,Fertilizantes!$A$49:$E$123,3,FALSE))))</f>
        <v>#DIV/0!</v>
      </c>
    </row>
    <row r="124">
      <c r="B124">
        <v>107</v>
      </c>
      <c r="C124">
        <f>$I$13+B124</f>
        <v>40072</v>
      </c>
      <c r="E124">
        <f>VLOOKUP(D124,Fertilizantes!$A$49:$E$123,2,FALSE)*$C$14</f>
        <v>0</v>
      </c>
      <c r="F124">
        <f>VLOOKUP(D124,Fertilizantes!$A$49:$E$123,4,FALSE)</f>
        <v>0</v>
      </c>
      <c r="G124" t="e">
        <f>IF($C$14*ReDiarioFert!C113&lt;=0,"0",$C$14*ReDiarioFert!C113)</f>
        <v>#DIV/0!</v>
      </c>
      <c r="I124" t="e">
        <f>$C$14*ReDiarioFert!E113</f>
        <v>#DIV/0!</v>
      </c>
      <c r="K124" t="e">
        <f>$C$14*ReDiarioFert!G113</f>
        <v>#DIV/0!</v>
      </c>
      <c r="M124">
        <f>$C$14*ReDiarioFert!I113</f>
        <v>0</v>
      </c>
      <c r="O124">
        <f>$C$14*ReDiarioFert!K113</f>
        <v>0</v>
      </c>
      <c r="Q124">
        <f>$C$14*ReDiarioFert!M113</f>
        <v>243.4518048780488</v>
      </c>
      <c r="T124" t="e">
        <f>((G124/100)*$G$134+(I124/100)*$G$135+(K124/100)*$G$136+(M124/100)*$G$137+(O124/100)*$G$138+(Q124)*$G$139+(S124*$G$140)+(E124*(VLOOKUP(D124,Fertilizantes!$A$49:$E$123,3,FALSE))))</f>
        <v>#DIV/0!</v>
      </c>
    </row>
    <row r="125">
      <c r="B125">
        <v>108</v>
      </c>
      <c r="C125">
        <f>$I$13+B125</f>
        <v>40073</v>
      </c>
      <c r="E125">
        <f>VLOOKUP(D125,Fertilizantes!$A$49:$E$123,2,FALSE)*$C$14</f>
        <v>0</v>
      </c>
      <c r="F125">
        <f>VLOOKUP(D125,Fertilizantes!$A$49:$E$123,4,FALSE)</f>
        <v>0</v>
      </c>
      <c r="G125" t="e">
        <f>IF($C$14*ReDiarioFert!C114&lt;=0,"0",$C$14*ReDiarioFert!C114)</f>
        <v>#DIV/0!</v>
      </c>
      <c r="I125" t="e">
        <f>$C$14*ReDiarioFert!E114</f>
        <v>#DIV/0!</v>
      </c>
      <c r="K125" t="e">
        <f>$C$14*ReDiarioFert!G114</f>
        <v>#DIV/0!</v>
      </c>
      <c r="M125">
        <f>$C$14*ReDiarioFert!I114</f>
        <v>0</v>
      </c>
      <c r="O125">
        <f>$C$14*ReDiarioFert!K114</f>
        <v>0</v>
      </c>
      <c r="Q125">
        <f>$C$14*ReDiarioFert!M114</f>
        <v>243.4518048780488</v>
      </c>
      <c r="T125" t="e">
        <f>((G125/100)*$G$134+(I125/100)*$G$135+(K125/100)*$G$136+(M125/100)*$G$137+(O125/100)*$G$138+(Q125)*$G$139+(S125*$G$140)+(E125*(VLOOKUP(D125,Fertilizantes!$A$49:$E$123,3,FALSE))))</f>
        <v>#DIV/0!</v>
      </c>
    </row>
    <row r="126">
      <c r="B126">
        <v>109</v>
      </c>
      <c r="C126">
        <f>$I$13+B126</f>
        <v>40074</v>
      </c>
      <c r="E126">
        <f>VLOOKUP(D126,Fertilizantes!$A$49:$E$123,2,FALSE)*$C$14</f>
        <v>0</v>
      </c>
      <c r="F126">
        <f>VLOOKUP(D126,Fertilizantes!$A$49:$E$123,4,FALSE)</f>
        <v>0</v>
      </c>
      <c r="G126" t="e">
        <f>IF($C$14*ReDiarioFert!C115&lt;=0,"0",$C$14*ReDiarioFert!C115)</f>
        <v>#DIV/0!</v>
      </c>
      <c r="I126" t="e">
        <f>$C$14*ReDiarioFert!E115</f>
        <v>#DIV/0!</v>
      </c>
      <c r="K126" t="e">
        <f>$C$14*ReDiarioFert!G115</f>
        <v>#DIV/0!</v>
      </c>
      <c r="M126">
        <f>$C$14*ReDiarioFert!I115</f>
        <v>0</v>
      </c>
      <c r="O126">
        <f>$C$14*ReDiarioFert!K115</f>
        <v>0</v>
      </c>
      <c r="Q126">
        <f>$C$14*ReDiarioFert!M115</f>
        <v>243.4518048780488</v>
      </c>
      <c r="T126" t="e">
        <f>((G126/100)*$G$134+(I126/100)*$G$135+(K126/100)*$G$136+(M126/100)*$G$137+(O126/100)*$G$138+(Q126)*$G$139+(S126*$G$140)+(E126*(VLOOKUP(D126,Fertilizantes!$A$49:$E$123,3,FALSE))))</f>
        <v>#DIV/0!</v>
      </c>
    </row>
    <row r="127">
      <c r="B127">
        <v>110</v>
      </c>
      <c r="C127">
        <f>$I$13+B127</f>
        <v>40075</v>
      </c>
      <c r="E127">
        <f>VLOOKUP(D127,Fertilizantes!$A$49:$E$123,2,FALSE)*$C$14</f>
        <v>0</v>
      </c>
      <c r="F127">
        <f>VLOOKUP(D127,Fertilizantes!$A$49:$E$123,4,FALSE)</f>
        <v>0</v>
      </c>
      <c r="G127" t="e">
        <f>IF($C$14*ReDiarioFert!C116&lt;=0,"0",$C$14*ReDiarioFert!C116)</f>
        <v>#DIV/0!</v>
      </c>
      <c r="I127" t="e">
        <f>$C$14*ReDiarioFert!E116</f>
        <v>#DIV/0!</v>
      </c>
      <c r="K127" t="e">
        <f>$C$14*ReDiarioFert!G116</f>
        <v>#DIV/0!</v>
      </c>
      <c r="M127">
        <f>$C$14*ReDiarioFert!I116</f>
        <v>0</v>
      </c>
      <c r="O127">
        <f>$C$14*ReDiarioFert!K116</f>
        <v>0</v>
      </c>
      <c r="Q127">
        <f>$C$14*ReDiarioFert!M116</f>
        <v>243.4518048780488</v>
      </c>
      <c r="T127" t="e">
        <f>((G127/100)*$G$134+(I127/100)*$G$135+(K127/100)*$G$136+(M127/100)*$G$137+(O127/100)*$G$138+(Q127)*$G$139+(S127*$G$140)+(E127*(VLOOKUP(D127,Fertilizantes!$A$49:$E$123,3,FALSE))))</f>
        <v>#DIV/0!</v>
      </c>
    </row>
    <row r="128">
      <c r="B128">
        <v>111</v>
      </c>
      <c r="C128">
        <f>$I$13+B128</f>
        <v>40076</v>
      </c>
      <c r="E128">
        <f>VLOOKUP(D128,Fertilizantes!$A$49:$E$123,2,FALSE)*$C$14</f>
        <v>0</v>
      </c>
      <c r="F128">
        <f>VLOOKUP(D128,Fertilizantes!$A$49:$E$123,4,FALSE)</f>
        <v>0</v>
      </c>
      <c r="G128" t="e">
        <f>IF($C$14*ReDiarioFert!C117&lt;=0,"0",$C$14*ReDiarioFert!C117)</f>
        <v>#DIV/0!</v>
      </c>
      <c r="I128" t="e">
        <f>$C$14*ReDiarioFert!E117</f>
        <v>#DIV/0!</v>
      </c>
      <c r="K128" t="e">
        <f>$C$14*ReDiarioFert!G117</f>
        <v>#DIV/0!</v>
      </c>
      <c r="M128">
        <f>$C$14*ReDiarioFert!I117</f>
        <v>0</v>
      </c>
      <c r="O128">
        <f>$C$14*ReDiarioFert!K117</f>
        <v>0</v>
      </c>
      <c r="Q128">
        <f>$C$14*ReDiarioFert!M117</f>
        <v>243.4518048780488</v>
      </c>
      <c r="T128" t="e">
        <f>((G128/100)*$G$134+(I128/100)*$G$135+(K128/100)*$G$136+(M128/100)*$G$137+(O128/100)*$G$138+(Q128)*$G$139+(S128*$G$140)+(E128*(VLOOKUP(D128,Fertilizantes!$A$49:$E$123,3,FALSE))))</f>
        <v>#DIV/0!</v>
      </c>
    </row>
    <row r="129">
      <c r="B129">
        <v>112</v>
      </c>
      <c r="C129">
        <f>$I$13+B129</f>
        <v>40077</v>
      </c>
      <c r="E129">
        <f>VLOOKUP(D129,Fertilizantes!$A$49:$E$123,2,FALSE)*$C$14</f>
        <v>0</v>
      </c>
      <c r="F129">
        <f>VLOOKUP(D129,Fertilizantes!$A$49:$E$123,4,FALSE)</f>
        <v>0</v>
      </c>
      <c r="G129" t="e">
        <f>IF($C$14*ReDiarioFert!C118&lt;=0,"0",$C$14*ReDiarioFert!C118)</f>
        <v>#DIV/0!</v>
      </c>
      <c r="I129" t="e">
        <f>$C$14*ReDiarioFert!E118</f>
        <v>#DIV/0!</v>
      </c>
      <c r="K129" t="e">
        <f>$C$14*ReDiarioFert!G118</f>
        <v>#DIV/0!</v>
      </c>
      <c r="M129">
        <f>$C$14*ReDiarioFert!I118</f>
        <v>0</v>
      </c>
      <c r="O129">
        <f>$C$14*ReDiarioFert!K118</f>
        <v>0</v>
      </c>
      <c r="Q129">
        <f>$C$14*ReDiarioFert!M118</f>
        <v>243.4518048780488</v>
      </c>
      <c r="S129">
        <f>Main!$H$84</f>
        <v>0</v>
      </c>
      <c r="T129" t="e">
        <f>((G129/100)*$G$134+(I129/100)*$G$135+(K129/100)*$G$136+(M129/100)*$G$137+(O129/100)*$G$138+(Q129)*$G$139+(S129*$G$140)+(E129*(VLOOKUP(D129,Fertilizantes!$A$49:$E$123,3,FALSE))))</f>
        <v>#DIV/0!</v>
      </c>
    </row>
    <row r="130">
      <c r="C130" t="str">
        <v>Total</v>
      </c>
      <c r="G130" t="e">
        <f>SUM(G18:G129)</f>
        <v>#DIV/0!</v>
      </c>
      <c r="I130" t="e">
        <f>SUM(I18:I129)</f>
        <v>#DIV/0!</v>
      </c>
      <c r="K130" t="e">
        <f>SUM(K18:K129)</f>
        <v>#DIV/0!</v>
      </c>
      <c r="M130">
        <f>SUM(M18:M129)</f>
        <v>783.2292906170271</v>
      </c>
      <c r="O130">
        <f>SUM(O18:O129)</f>
        <v>1614.4386274074054</v>
      </c>
      <c r="Q130">
        <f>SUM(Q18:Q129)</f>
        <v>17632.860682926814</v>
      </c>
      <c r="S130">
        <f>SUM(S18:S129)</f>
        <v>448</v>
      </c>
      <c r="T130" t="e">
        <f>SUM(T18:T129)</f>
        <v>#DIV/0!</v>
      </c>
    </row>
    <row r="131">
      <c r="D131" t="str">
        <v>OJO cualquier cultivo que no se termine la cosecha en el ultimo día del calendario solo seguir repitiendo la ultima aplicación de fertilizante.</v>
      </c>
    </row>
    <row r="132" ht="39.75" customHeight="1">
      <c r="B132" t="str">
        <v>Producto</v>
      </c>
      <c r="F132" t="str">
        <v>Lbs/Ha</v>
      </c>
      <c r="G132" t="str">
        <v>Costo por qq</v>
      </c>
    </row>
    <row r="133" ht="24" customHeight="1">
      <c r="G133" t="str">
        <f>Main!$E$25</f>
        <v>Lempiras</v>
      </c>
    </row>
    <row r="134">
      <c r="B134" t="str">
        <f>Main!D42</f>
        <v>Urea</v>
      </c>
      <c r="F134" t="e">
        <f>G130/C14</f>
        <v>#DIV/0!</v>
      </c>
      <c r="G134">
        <f>Main!D43</f>
        <v>650</v>
      </c>
    </row>
    <row r="135">
      <c r="B135" t="str">
        <f>Main!D32</f>
        <v>FofatoMonoPotasico</v>
      </c>
      <c r="F135" t="e">
        <f>I130/C14</f>
        <v>#DIV/0!</v>
      </c>
      <c r="G135">
        <f>Main!D33</f>
        <v>1700</v>
      </c>
    </row>
    <row r="136">
      <c r="B136" t="str">
        <f>Main!D37</f>
        <v>Kcl</v>
      </c>
      <c r="F136" t="e">
        <f>K130/C14</f>
        <v>#DIV/0!</v>
      </c>
      <c r="G136">
        <f>Main!D38</f>
        <v>580</v>
      </c>
    </row>
    <row r="137">
      <c r="B137" t="str">
        <f>Main!D47</f>
        <v>Sulfato de Magnesio</v>
      </c>
      <c r="F137">
        <f>M130/C14</f>
        <v>559.4494932978765</v>
      </c>
      <c r="G137">
        <f>Main!D48</f>
        <v>951</v>
      </c>
    </row>
    <row r="138">
      <c r="B138" t="str">
        <f>Main!D52</f>
        <v>Nitrato de Calcio</v>
      </c>
      <c r="F138">
        <f>O130/C14</f>
        <v>1153.1704481481468</v>
      </c>
      <c r="G138">
        <f>Main!D53</f>
        <v>1100</v>
      </c>
    </row>
    <row r="139">
      <c r="B139" t="str">
        <f>Main!D57</f>
        <v>Solubor</v>
      </c>
      <c r="F139">
        <f>Q130/C14</f>
        <v>12594.900487804867</v>
      </c>
      <c r="G139">
        <f>Main!D58</f>
        <v>0.04</v>
      </c>
      <c r="I139" t="str">
        <v xml:space="preserve">Preparado y Autorizado Por </v>
      </c>
    </row>
    <row r="140" ht="18" customHeight="1">
      <c r="B140" t="str">
        <f>Main!D61</f>
        <v>Melaza</v>
      </c>
      <c r="F140">
        <f>S130/C14</f>
        <v>320</v>
      </c>
      <c r="G140">
        <f>Main!D62</f>
        <v>2.8</v>
      </c>
      <c r="I140" t="str">
        <v>MSc Ricardo D. Lardizábal</v>
      </c>
    </row>
    <row r="141">
      <c r="B141" t="str">
        <v>NOTA: El Nitrato de Calcio se debe de diluir en un barril aparte para inyectarse al sistema</v>
      </c>
    </row>
    <row r="143">
      <c r="B143" t="str">
        <v>Abreviaciones usadas</v>
      </c>
    </row>
    <row r="144">
      <c r="B144" t="str">
        <v>Mz.-Manzanas, Ha-Hectáreas, Lbs-Libras, Lts-Litros y DDT-Días después de Trasplante</v>
      </c>
    </row>
  </sheetData>
  <mergeCells count="52">
    <mergeCell ref="B144:S144"/>
    <mergeCell ref="A13:B13"/>
    <mergeCell ref="A14:B14"/>
    <mergeCell ref="I13:M13"/>
    <mergeCell ref="I14:M14"/>
    <mergeCell ref="K16:L16"/>
    <mergeCell ref="I139:Q139"/>
    <mergeCell ref="C14:E14"/>
    <mergeCell ref="A16:A17"/>
    <mergeCell ref="B16:B17"/>
    <mergeCell ref="T16:T17"/>
    <mergeCell ref="M16:N16"/>
    <mergeCell ref="Q16:R16"/>
    <mergeCell ref="O16:P16"/>
    <mergeCell ref="E16:F16"/>
    <mergeCell ref="P13:S14"/>
    <mergeCell ref="F13:H13"/>
    <mergeCell ref="F14:H14"/>
    <mergeCell ref="G16:H16"/>
    <mergeCell ref="G140:H140"/>
    <mergeCell ref="B138:E138"/>
    <mergeCell ref="B140:E140"/>
    <mergeCell ref="G138:H138"/>
    <mergeCell ref="G139:H139"/>
    <mergeCell ref="B132:E132"/>
    <mergeCell ref="B137:E137"/>
    <mergeCell ref="B141:I142"/>
    <mergeCell ref="I140:Q140"/>
    <mergeCell ref="B143:D143"/>
    <mergeCell ref="G135:H135"/>
    <mergeCell ref="G133:H133"/>
    <mergeCell ref="G134:H134"/>
    <mergeCell ref="B136:E136"/>
    <mergeCell ref="B135:E135"/>
    <mergeCell ref="B134:E134"/>
    <mergeCell ref="B139:E139"/>
    <mergeCell ref="G136:H136"/>
    <mergeCell ref="G137:H137"/>
    <mergeCell ref="G132:H132"/>
    <mergeCell ref="A9:K9"/>
    <mergeCell ref="P5:S7"/>
    <mergeCell ref="I11:M11"/>
    <mergeCell ref="I12:M12"/>
    <mergeCell ref="F11:H11"/>
    <mergeCell ref="C11:E11"/>
    <mergeCell ref="C13:E13"/>
    <mergeCell ref="A11:B11"/>
    <mergeCell ref="A12:B12"/>
    <mergeCell ref="C12:E12"/>
    <mergeCell ref="F12:H12"/>
    <mergeCell ref="P9:S12"/>
    <mergeCell ref="I16:J16"/>
  </mergeCells>
  <pageMargins left="0" right="0" top="0.2" bottom="0.56" header="0" footer="0.25"/>
  <ignoredErrors>
    <ignoredError numberStoredAsText="1" sqref="A1:Z145"/>
  </ignoredErrors>
  <legacyDrawing r:id="rId1"/>
</worksheet>
</file>

<file path=xl/worksheets/sheet3.xml><?xml version="1.0" encoding="utf-8"?>
<worksheet xmlns="http://schemas.openxmlformats.org/spreadsheetml/2006/main" xmlns:r="http://schemas.openxmlformats.org/officeDocument/2006/relationships">
  <dimension ref="A1:Z145"/>
  <sheetViews>
    <sheetView workbookViewId="0" rightToLeft="0"/>
  </sheetViews>
  <sheetData>
    <row r="1" ht="23.45" customHeight="1"/>
    <row r="2" ht="29.25" customHeight="1"/>
    <row r="3" ht="26.25" customHeight="1"/>
    <row r="4" ht="26.25" customHeight="1"/>
    <row r="5" ht="26.25" customHeight="1">
      <c r="P5" t="str">
        <f>Main!$E$21</f>
        <v>Papa</v>
      </c>
    </row>
    <row r="6" ht="26.25" customHeight="1"/>
    <row r="7" ht="26.25" customHeight="1"/>
    <row r="8" ht="8.45" customHeight="1"/>
    <row r="9" ht="26.25" customHeight="1">
      <c r="A9" t="str">
        <f>Main!$C$13</f>
        <v>"Sin Fertilización Base"</v>
      </c>
      <c r="P9" t="str">
        <f>Main!$G$21</f>
        <v>Provento</v>
      </c>
    </row>
    <row r="10" ht="4.15"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2</v>
      </c>
      <c r="F13" t="str">
        <v>Fecha:</v>
      </c>
      <c r="I13">
        <f>Main!E23</f>
        <v>39965</v>
      </c>
      <c r="P13" t="str">
        <v>Calendario de Fertilización para Goteo Diario</v>
      </c>
    </row>
    <row r="14" ht="20.1" customHeight="1">
      <c r="A14" t="str">
        <v>Área Ha.</v>
      </c>
      <c r="C14">
        <f>Main!I22</f>
        <v>1.4</v>
      </c>
      <c r="F14" t="str">
        <v>Fecha de Cosecha:</v>
      </c>
      <c r="I14">
        <f>I13+Main!E24</f>
        <v>40055</v>
      </c>
    </row>
    <row r="15" ht="19.5" customHeight="1"/>
    <row r="16" ht="28.5" customHeight="1">
      <c r="A16" t="str">
        <v>Semana</v>
      </c>
      <c r="B16" t="str">
        <v>DDT</v>
      </c>
      <c r="C16" t="str">
        <v>FECHA</v>
      </c>
      <c r="E16" t="str">
        <f>Main!$D$42</f>
        <v>Urea</v>
      </c>
      <c r="G16" t="str">
        <f>Main!$D$32</f>
        <v>FofatoMonoPotasico</v>
      </c>
      <c r="I16" t="str">
        <f>Main!$D$37</f>
        <v>Kcl</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39966</v>
      </c>
      <c r="E18" t="e">
        <f>IF($C$14*ReDiarioFert!C7&lt;=0,"0",$C$14*ReDiarioFert!C7)</f>
        <v>#DIV/0!</v>
      </c>
      <c r="G18" t="e">
        <f>$C$14*ReDiarioFert!E7</f>
        <v>#DIV/0!</v>
      </c>
      <c r="I18" t="e">
        <f>$C$14*ReDiarioFert!G7</f>
        <v>#DIV/0!</v>
      </c>
      <c r="K18">
        <f>$C$14*ReDiarioFert!I7</f>
        <v>1.1231777590110323</v>
      </c>
      <c r="M18">
        <f>$C$14*ReDiarioFert!K7</f>
        <v>2.315160555555555</v>
      </c>
      <c r="O18">
        <f>$C$14*ReDiarioFert!M7</f>
        <v>34.77873170731707</v>
      </c>
      <c r="Q18">
        <f>$C$14*Main!$D$63</f>
        <v>28</v>
      </c>
      <c r="S18" t="e">
        <f>((E18/100)*$G$134+(G18/100)*$G$135+(I18/100)*$G$136+(K18/100)*$G$137+(M18/100)*$G$138+(O18)*$G$139+(Q18*$G$140))</f>
        <v>#DIV/0!</v>
      </c>
    </row>
    <row r="19" ht="18.75" customHeight="1">
      <c r="B19">
        <v>2</v>
      </c>
      <c r="C19">
        <f>$I$13+B19</f>
        <v>39967</v>
      </c>
      <c r="E19" t="e">
        <f>IF($C$14*ReDiarioFert!C8&lt;=0,"0",$C$14*ReDiarioFert!C8)</f>
        <v>#DIV/0!</v>
      </c>
      <c r="G19" t="e">
        <f>$C$14*ReDiarioFert!E8</f>
        <v>#DIV/0!</v>
      </c>
      <c r="I19" t="e">
        <f>$C$14*ReDiarioFert!G8</f>
        <v>#DIV/0!</v>
      </c>
      <c r="K19">
        <f>$C$14*ReDiarioFert!I8</f>
        <v>1.1231777590110323</v>
      </c>
      <c r="M19">
        <f>$C$14*ReDiarioFert!K8</f>
        <v>2.315160555555555</v>
      </c>
      <c r="O19">
        <f>$C$14*ReDiarioFert!M8</f>
        <v>34.77873170731707</v>
      </c>
      <c r="S19" t="e">
        <f>((E19/100)*$G$134+(G19/100)*$G$135+(I19/100)*$G$136+(K19/100)*$G$137+(M19/100)*$G$138+(O19)*$G$139+(Q19*$G$140))</f>
        <v>#DIV/0!</v>
      </c>
    </row>
    <row r="20" ht="18.75" customHeight="1">
      <c r="B20">
        <v>3</v>
      </c>
      <c r="C20">
        <f>$I$13+B20</f>
        <v>39968</v>
      </c>
      <c r="E20" t="e">
        <f>IF($C$14*ReDiarioFert!C9&lt;=0,"0",$C$14*ReDiarioFert!C9)</f>
        <v>#DIV/0!</v>
      </c>
      <c r="G20" t="e">
        <f>$C$14*ReDiarioFert!E9</f>
        <v>#DIV/0!</v>
      </c>
      <c r="I20" t="e">
        <f>$C$14*ReDiarioFert!G9</f>
        <v>#DIV/0!</v>
      </c>
      <c r="K20">
        <f>$C$14*ReDiarioFert!I9</f>
        <v>1.1231777590110323</v>
      </c>
      <c r="M20">
        <f>$C$14*ReDiarioFert!K9</f>
        <v>2.315160555555555</v>
      </c>
      <c r="O20">
        <f>$C$14*ReDiarioFert!M9</f>
        <v>34.77873170731707</v>
      </c>
      <c r="S20" t="e">
        <f>((E20/100)*$G$134+(G20/100)*$G$135+(I20/100)*$G$136+(K20/100)*$G$137+(M20/100)*$G$138+(O20)*$G$139+(Q20*$G$140))</f>
        <v>#DIV/0!</v>
      </c>
    </row>
    <row r="21" ht="18.75" customHeight="1">
      <c r="B21">
        <v>4</v>
      </c>
      <c r="C21">
        <f>$I$13+B21</f>
        <v>39969</v>
      </c>
      <c r="E21" t="e">
        <f>IF($C$14*ReDiarioFert!C10&lt;=0,"0",$C$14*ReDiarioFert!C10)</f>
        <v>#DIV/0!</v>
      </c>
      <c r="G21" t="e">
        <f>$C$14*ReDiarioFert!E10</f>
        <v>#DIV/0!</v>
      </c>
      <c r="I21" t="e">
        <f>$C$14*ReDiarioFert!G10</f>
        <v>#DIV/0!</v>
      </c>
      <c r="K21">
        <f>$C$14*ReDiarioFert!I10</f>
        <v>1.1231777590110323</v>
      </c>
      <c r="M21">
        <f>$C$14*ReDiarioFert!K10</f>
        <v>2.315160555555555</v>
      </c>
      <c r="O21">
        <f>$C$14*ReDiarioFert!M10</f>
        <v>34.77873170731707</v>
      </c>
      <c r="S21" t="e">
        <f>((E21/100)*$G$134+(G21/100)*$G$135+(I21/100)*$G$136+(K21/100)*$G$137+(M21/100)*$G$138+(O21)*$G$139+(Q21*$G$140))</f>
        <v>#DIV/0!</v>
      </c>
    </row>
    <row r="22" ht="18.75" customHeight="1">
      <c r="B22">
        <v>5</v>
      </c>
      <c r="C22">
        <f>$I$13+B22</f>
        <v>39970</v>
      </c>
      <c r="E22" t="e">
        <f>IF($C$14*ReDiarioFert!C11&lt;=0,"0",$C$14*ReDiarioFert!C11)</f>
        <v>#DIV/0!</v>
      </c>
      <c r="G22" t="e">
        <f>$C$14*ReDiarioFert!E11</f>
        <v>#DIV/0!</v>
      </c>
      <c r="I22" t="e">
        <f>$C$14*ReDiarioFert!G11</f>
        <v>#DIV/0!</v>
      </c>
      <c r="K22">
        <f>$C$14*ReDiarioFert!I11</f>
        <v>1.1231777590110323</v>
      </c>
      <c r="M22">
        <f>$C$14*ReDiarioFert!K11</f>
        <v>2.315160555555555</v>
      </c>
      <c r="O22">
        <f>$C$14*ReDiarioFert!M11</f>
        <v>34.77873170731707</v>
      </c>
      <c r="S22" t="e">
        <f>((E22/100)*$G$134+(G22/100)*$G$135+(I22/100)*$G$136+(K22/100)*$G$137+(M22/100)*$G$138+(O22)*$G$139+(Q22*$G$140))</f>
        <v>#DIV/0!</v>
      </c>
    </row>
    <row r="23" ht="18.75" customHeight="1">
      <c r="B23">
        <v>6</v>
      </c>
      <c r="C23">
        <f>$I$13+B23</f>
        <v>39971</v>
      </c>
      <c r="E23" t="e">
        <f>IF($C$14*ReDiarioFert!C12&lt;=0,"0",$C$14*ReDiarioFert!C12)</f>
        <v>#DIV/0!</v>
      </c>
      <c r="G23" t="e">
        <f>$C$14*ReDiarioFert!E12</f>
        <v>#DIV/0!</v>
      </c>
      <c r="I23" t="e">
        <f>$C$14*ReDiarioFert!G12</f>
        <v>#DIV/0!</v>
      </c>
      <c r="K23">
        <f>$C$14*ReDiarioFert!I12</f>
        <v>1.1231777590110323</v>
      </c>
      <c r="M23">
        <f>$C$14*ReDiarioFert!K12</f>
        <v>2.315160555555555</v>
      </c>
      <c r="O23">
        <f>$C$14*ReDiarioFert!M12</f>
        <v>34.77873170731707</v>
      </c>
      <c r="S23" t="e">
        <f>((E23/100)*$G$134+(G23/100)*$G$135+(I23/100)*$G$136+(K23/100)*$G$137+(M23/100)*$G$138+(O23)*$G$139+(Q23*$G$140))</f>
        <v>#DIV/0!</v>
      </c>
    </row>
    <row r="24" ht="18.75" customHeight="1">
      <c r="B24">
        <v>7</v>
      </c>
      <c r="C24">
        <f>$I$13+B24</f>
        <v>39972</v>
      </c>
      <c r="E24" t="e">
        <f>IF($C$14*ReDiarioFert!C13&lt;=0,"0",$C$14*ReDiarioFert!C13)</f>
        <v>#DIV/0!</v>
      </c>
      <c r="G24" t="e">
        <f>$C$14*ReDiarioFert!E13</f>
        <v>#DIV/0!</v>
      </c>
      <c r="I24" t="e">
        <f>$C$14*ReDiarioFert!G13</f>
        <v>#DIV/0!</v>
      </c>
      <c r="K24">
        <f>$C$14*ReDiarioFert!I13</f>
        <v>1.1231777590110323</v>
      </c>
      <c r="M24">
        <f>$C$14*ReDiarioFert!K13</f>
        <v>2.315160555555555</v>
      </c>
      <c r="O24">
        <f>$C$14*ReDiarioFert!M13</f>
        <v>34.77873170731707</v>
      </c>
      <c r="S24" t="e">
        <f>((E24/100)*$G$134+(G24/100)*$G$135+(I24/100)*$G$136+(K24/100)*$G$137+(M24/100)*$G$138+(O24)*$G$139+(Q24*$G$140))</f>
        <v>#DIV/0!</v>
      </c>
    </row>
    <row r="25">
      <c r="A25">
        <v>2</v>
      </c>
      <c r="B25">
        <v>8</v>
      </c>
      <c r="C25">
        <f>$I$13+B25</f>
        <v>39973</v>
      </c>
      <c r="E25" t="e">
        <f>IF($C$14*ReDiarioFert!C14&lt;=0,"0",$C$14*ReDiarioFert!C14)</f>
        <v>#DIV/0!</v>
      </c>
      <c r="G25" t="e">
        <f>$C$14*ReDiarioFert!E14</f>
        <v>#DIV/0!</v>
      </c>
      <c r="I25" t="e">
        <f>$C$14*ReDiarioFert!G14</f>
        <v>#DIV/0!</v>
      </c>
      <c r="K25">
        <f>$C$14*ReDiarioFert!I14</f>
        <v>1.1231777590110323</v>
      </c>
      <c r="M25">
        <f>$C$14*ReDiarioFert!K14</f>
        <v>2.315160555555555</v>
      </c>
      <c r="O25">
        <f>$C$14*ReDiarioFert!M14</f>
        <v>34.77873170731707</v>
      </c>
      <c r="Q25">
        <f>$C$14*Main!$D$63</f>
        <v>28</v>
      </c>
      <c r="S25" t="e">
        <f>((E25/100)*$G$134+(G25/100)*$G$135+(I25/100)*$G$136+(K25/100)*$G$137+(M25/100)*$G$138+(O25)*$G$139+(Q25*$G$140))</f>
        <v>#DIV/0!</v>
      </c>
    </row>
    <row r="26">
      <c r="B26">
        <v>9</v>
      </c>
      <c r="C26">
        <f>$I$13+B26</f>
        <v>39974</v>
      </c>
      <c r="E26" t="e">
        <f>IF($C$14*ReDiarioFert!C15&lt;=0,"0",$C$14*ReDiarioFert!C15)</f>
        <v>#DIV/0!</v>
      </c>
      <c r="G26" t="e">
        <f>$C$14*ReDiarioFert!E15</f>
        <v>#DIV/0!</v>
      </c>
      <c r="I26" t="e">
        <f>$C$14*ReDiarioFert!G15</f>
        <v>#DIV/0!</v>
      </c>
      <c r="K26">
        <f>$C$14*ReDiarioFert!I15</f>
        <v>1.1231777590110323</v>
      </c>
      <c r="M26">
        <f>$C$14*ReDiarioFert!K15</f>
        <v>2.315160555555555</v>
      </c>
      <c r="O26">
        <f>$C$14*ReDiarioFert!M15</f>
        <v>34.77873170731707</v>
      </c>
      <c r="S26" t="e">
        <f>((E26/100)*$G$134+(G26/100)*$G$135+(I26/100)*$G$136+(K26/100)*$G$137+(M26/100)*$G$138+(O26)*$G$139+(Q26*$G$140))</f>
        <v>#DIV/0!</v>
      </c>
    </row>
    <row r="27">
      <c r="B27">
        <v>10</v>
      </c>
      <c r="C27">
        <f>$I$13+B27</f>
        <v>39975</v>
      </c>
      <c r="E27" t="e">
        <f>IF($C$14*ReDiarioFert!C16&lt;=0,"0",$C$14*ReDiarioFert!C16)</f>
        <v>#DIV/0!</v>
      </c>
      <c r="G27" t="e">
        <f>$C$14*ReDiarioFert!E16</f>
        <v>#DIV/0!</v>
      </c>
      <c r="I27" t="e">
        <f>$C$14*ReDiarioFert!G16</f>
        <v>#DIV/0!</v>
      </c>
      <c r="K27">
        <f>$C$14*ReDiarioFert!I16</f>
        <v>1.1231777590110323</v>
      </c>
      <c r="M27">
        <f>$C$14*ReDiarioFert!K16</f>
        <v>2.315160555555555</v>
      </c>
      <c r="O27">
        <f>$C$14*ReDiarioFert!M16</f>
        <v>34.77873170731707</v>
      </c>
      <c r="S27" t="e">
        <f>((E27/100)*$G$134+(G27/100)*$G$135+(I27/100)*$G$136+(K27/100)*$G$137+(M27/100)*$G$138+(O27)*$G$139+(Q27*$G$140))</f>
        <v>#DIV/0!</v>
      </c>
    </row>
    <row r="28">
      <c r="B28">
        <v>11</v>
      </c>
      <c r="C28">
        <f>$I$13+B28</f>
        <v>39976</v>
      </c>
      <c r="E28" t="e">
        <f>IF($C$14*ReDiarioFert!C17&lt;=0,"0",$C$14*ReDiarioFert!C17)</f>
        <v>#DIV/0!</v>
      </c>
      <c r="G28" t="e">
        <f>$C$14*ReDiarioFert!E17</f>
        <v>#DIV/0!</v>
      </c>
      <c r="I28" t="e">
        <f>$C$14*ReDiarioFert!G17</f>
        <v>#DIV/0!</v>
      </c>
      <c r="K28">
        <f>$C$14*ReDiarioFert!I17</f>
        <v>1.1231777590110323</v>
      </c>
      <c r="M28">
        <f>$C$14*ReDiarioFert!K17</f>
        <v>2.315160555555555</v>
      </c>
      <c r="O28">
        <f>$C$14*ReDiarioFert!M17</f>
        <v>62.601853658536584</v>
      </c>
      <c r="S28" t="e">
        <f>((E28/100)*$G$134+(G28/100)*$G$135+(I28/100)*$G$136+(K28/100)*$G$137+(M28/100)*$G$138+(O28)*$G$139+(Q28*$G$140))</f>
        <v>#DIV/0!</v>
      </c>
    </row>
    <row r="29">
      <c r="B29">
        <v>12</v>
      </c>
      <c r="C29">
        <f>$I$13+B29</f>
        <v>39977</v>
      </c>
      <c r="E29" t="e">
        <f>IF($C$14*ReDiarioFert!C18&lt;=0,"0",$C$14*ReDiarioFert!C18)</f>
        <v>#DIV/0!</v>
      </c>
      <c r="G29" t="e">
        <f>$C$14*ReDiarioFert!E18</f>
        <v>#DIV/0!</v>
      </c>
      <c r="I29" t="e">
        <f>$C$14*ReDiarioFert!G18</f>
        <v>#DIV/0!</v>
      </c>
      <c r="K29">
        <f>$C$14*ReDiarioFert!I18</f>
        <v>1.1231777590110323</v>
      </c>
      <c r="M29">
        <f>$C$14*ReDiarioFert!K18</f>
        <v>2.315160555555555</v>
      </c>
      <c r="O29">
        <f>$C$14*ReDiarioFert!M18</f>
        <v>62.601853658536584</v>
      </c>
      <c r="S29" t="e">
        <f>((E29/100)*$G$134+(G29/100)*$G$135+(I29/100)*$G$136+(K29/100)*$G$137+(M29/100)*$G$138+(O29)*$G$139+(Q29*$G$140))</f>
        <v>#DIV/0!</v>
      </c>
    </row>
    <row r="30">
      <c r="B30">
        <v>13</v>
      </c>
      <c r="C30">
        <f>$I$13+B30</f>
        <v>39978</v>
      </c>
      <c r="E30" t="e">
        <f>IF($C$14*ReDiarioFert!C19&lt;=0,"0",$C$14*ReDiarioFert!C19)</f>
        <v>#DIV/0!</v>
      </c>
      <c r="G30" t="e">
        <f>$C$14*ReDiarioFert!E19</f>
        <v>#DIV/0!</v>
      </c>
      <c r="I30" t="e">
        <f>$C$14*ReDiarioFert!G19</f>
        <v>#DIV/0!</v>
      </c>
      <c r="K30">
        <f>$C$14*ReDiarioFert!I19</f>
        <v>1.1231777590110323</v>
      </c>
      <c r="M30">
        <f>$C$14*ReDiarioFert!K19</f>
        <v>2.315160555555555</v>
      </c>
      <c r="O30">
        <f>$C$14*ReDiarioFert!M19</f>
        <v>62.601853658536584</v>
      </c>
      <c r="S30" t="e">
        <f>((E30/100)*$G$134+(G30/100)*$G$135+(I30/100)*$G$136+(K30/100)*$G$137+(M30/100)*$G$138+(O30)*$G$139+(Q30*$G$140))</f>
        <v>#DIV/0!</v>
      </c>
    </row>
    <row r="31">
      <c r="B31">
        <v>14</v>
      </c>
      <c r="C31">
        <f>$I$13+B31</f>
        <v>39979</v>
      </c>
      <c r="E31" t="e">
        <f>IF($C$14*ReDiarioFert!C20&lt;=0,"0",$C$14*ReDiarioFert!C20)</f>
        <v>#DIV/0!</v>
      </c>
      <c r="G31" t="e">
        <f>$C$14*ReDiarioFert!E20</f>
        <v>#DIV/0!</v>
      </c>
      <c r="I31" t="e">
        <f>$C$14*ReDiarioFert!G20</f>
        <v>#DIV/0!</v>
      </c>
      <c r="K31">
        <f>$C$14*ReDiarioFert!I20</f>
        <v>1.1231777590110323</v>
      </c>
      <c r="M31">
        <f>$C$14*ReDiarioFert!K20</f>
        <v>2.315160555555555</v>
      </c>
      <c r="O31">
        <f>$C$14*ReDiarioFert!M20</f>
        <v>62.601853658536584</v>
      </c>
      <c r="S31" t="e">
        <f>((E31/100)*$G$134+(G31/100)*$G$135+(I31/100)*$G$136+(K31/100)*$G$137+(M31/100)*$G$138+(O31)*$G$139+(Q31*$G$140))</f>
        <v>#DIV/0!</v>
      </c>
    </row>
    <row r="32">
      <c r="A32">
        <v>3</v>
      </c>
      <c r="B32">
        <v>15</v>
      </c>
      <c r="C32">
        <f>$I$13+B32</f>
        <v>39980</v>
      </c>
      <c r="E32" t="e">
        <f>IF($C$14*ReDiarioFert!C21&lt;=0,"0",$C$14*ReDiarioFert!C21)</f>
        <v>#DIV/0!</v>
      </c>
      <c r="G32" t="e">
        <f>$C$14*ReDiarioFert!E21</f>
        <v>#DIV/0!</v>
      </c>
      <c r="I32" t="e">
        <f>$C$14*ReDiarioFert!G21</f>
        <v>#DIV/0!</v>
      </c>
      <c r="K32">
        <f>$C$14*ReDiarioFert!I21</f>
        <v>1.1231777590110323</v>
      </c>
      <c r="M32">
        <f>$C$14*ReDiarioFert!K21</f>
        <v>2.315160555555555</v>
      </c>
      <c r="O32">
        <f>$C$14*ReDiarioFert!M21</f>
        <v>62.601853658536584</v>
      </c>
      <c r="Q32">
        <f>$C$14*Main!$D$63</f>
        <v>28</v>
      </c>
      <c r="S32" t="e">
        <f>((E32/100)*$G$134+(G32/100)*$G$135+(I32/100)*$G$136+(K32/100)*$G$137+(M32/100)*$G$138+(O32)*$G$139+(Q32*$G$140))</f>
        <v>#DIV/0!</v>
      </c>
    </row>
    <row r="33">
      <c r="B33">
        <v>16</v>
      </c>
      <c r="C33">
        <f>$I$13+B33</f>
        <v>39981</v>
      </c>
      <c r="E33" t="e">
        <f>IF($C$14*ReDiarioFert!C22&lt;=0,"0",$C$14*ReDiarioFert!C22)</f>
        <v>#DIV/0!</v>
      </c>
      <c r="G33" t="e">
        <f>$C$14*ReDiarioFert!E22</f>
        <v>#DIV/0!</v>
      </c>
      <c r="I33" t="e">
        <f>$C$14*ReDiarioFert!G22</f>
        <v>#DIV/0!</v>
      </c>
      <c r="K33">
        <f>$C$14*ReDiarioFert!I22</f>
        <v>1.1231777590110323</v>
      </c>
      <c r="M33">
        <f>$C$14*ReDiarioFert!K22</f>
        <v>2.315160555555555</v>
      </c>
      <c r="O33">
        <f>$C$14*ReDiarioFert!M22</f>
        <v>62.601853658536584</v>
      </c>
      <c r="S33" t="e">
        <f>((E33/100)*$G$134+(G33/100)*$G$135+(I33/100)*$G$136+(K33/100)*$G$137+(M33/100)*$G$138+(O33)*$G$139+(Q33*$G$140))</f>
        <v>#DIV/0!</v>
      </c>
    </row>
    <row r="34">
      <c r="B34">
        <v>17</v>
      </c>
      <c r="C34">
        <f>$I$13+B34</f>
        <v>39982</v>
      </c>
      <c r="E34" t="e">
        <f>IF($C$14*ReDiarioFert!C23&lt;=0,"0",$C$14*ReDiarioFert!C23)</f>
        <v>#DIV/0!</v>
      </c>
      <c r="G34" t="e">
        <f>$C$14*ReDiarioFert!E23</f>
        <v>#DIV/0!</v>
      </c>
      <c r="I34" t="e">
        <f>$C$14*ReDiarioFert!G23</f>
        <v>#DIV/0!</v>
      </c>
      <c r="K34">
        <f>$C$14*ReDiarioFert!I23</f>
        <v>1.1231777590110323</v>
      </c>
      <c r="M34">
        <f>$C$14*ReDiarioFert!K23</f>
        <v>2.315160555555555</v>
      </c>
      <c r="O34">
        <f>$C$14*ReDiarioFert!M23</f>
        <v>62.601853658536584</v>
      </c>
      <c r="S34" t="e">
        <f>((E34/100)*$G$134+(G34/100)*$G$135+(I34/100)*$G$136+(K34/100)*$G$137+(M34/100)*$G$138+(O34)*$G$139+(Q34*$G$140))</f>
        <v>#DIV/0!</v>
      </c>
    </row>
    <row r="35">
      <c r="B35">
        <v>18</v>
      </c>
      <c r="C35">
        <f>$I$13+B35</f>
        <v>39983</v>
      </c>
      <c r="E35" t="e">
        <f>IF($C$14*ReDiarioFert!C24&lt;=0,"0",$C$14*ReDiarioFert!C24)</f>
        <v>#DIV/0!</v>
      </c>
      <c r="G35" t="e">
        <f>$C$14*ReDiarioFert!E24</f>
        <v>#DIV/0!</v>
      </c>
      <c r="I35" t="e">
        <f>$C$14*ReDiarioFert!G24</f>
        <v>#DIV/0!</v>
      </c>
      <c r="K35">
        <f>$C$14*ReDiarioFert!I24</f>
        <v>1.1231777590110323</v>
      </c>
      <c r="M35">
        <f>$C$14*ReDiarioFert!K24</f>
        <v>2.315160555555555</v>
      </c>
      <c r="O35">
        <f>$C$14*ReDiarioFert!M24</f>
        <v>83.46868292682927</v>
      </c>
      <c r="S35" t="e">
        <f>((E35/100)*$G$134+(G35/100)*$G$135+(I35/100)*$G$136+(K35/100)*$G$137+(M35/100)*$G$138+(O35)*$G$139+(Q35*$G$140))</f>
        <v>#DIV/0!</v>
      </c>
    </row>
    <row r="36">
      <c r="B36">
        <v>19</v>
      </c>
      <c r="C36">
        <f>$I$13+B36</f>
        <v>39984</v>
      </c>
      <c r="E36" t="e">
        <f>IF($C$14*ReDiarioFert!C25&lt;=0,"0",$C$14*ReDiarioFert!C25)</f>
        <v>#DIV/0!</v>
      </c>
      <c r="G36" t="e">
        <f>$C$14*ReDiarioFert!E25</f>
        <v>#DIV/0!</v>
      </c>
      <c r="I36" t="e">
        <f>$C$14*ReDiarioFert!G25</f>
        <v>#DIV/0!</v>
      </c>
      <c r="K36">
        <f>$C$14*ReDiarioFert!I25</f>
        <v>1.1231777590110323</v>
      </c>
      <c r="M36">
        <f>$C$14*ReDiarioFert!K25</f>
        <v>2.315160555555555</v>
      </c>
      <c r="O36">
        <f>$C$14*ReDiarioFert!M25</f>
        <v>83.46868292682927</v>
      </c>
      <c r="S36" t="e">
        <f>((E36/100)*$G$134+(G36/100)*$G$135+(I36/100)*$G$136+(K36/100)*$G$137+(M36/100)*$G$138+(O36)*$G$139+(Q36*$G$140))</f>
        <v>#DIV/0!</v>
      </c>
    </row>
    <row r="37">
      <c r="B37">
        <v>20</v>
      </c>
      <c r="C37">
        <f>$I$13+B37</f>
        <v>39985</v>
      </c>
      <c r="E37" t="e">
        <f>IF($C$14*ReDiarioFert!C26&lt;=0,"0",$C$14*ReDiarioFert!C26)</f>
        <v>#DIV/0!</v>
      </c>
      <c r="G37" t="e">
        <f>$C$14*ReDiarioFert!E26</f>
        <v>#DIV/0!</v>
      </c>
      <c r="I37" t="e">
        <f>$C$14*ReDiarioFert!G26</f>
        <v>#DIV/0!</v>
      </c>
      <c r="K37">
        <f>$C$14*ReDiarioFert!I26</f>
        <v>1.1231777590110323</v>
      </c>
      <c r="M37">
        <f>$C$14*ReDiarioFert!K26</f>
        <v>2.315160555555555</v>
      </c>
      <c r="O37">
        <f>$C$14*ReDiarioFert!M26</f>
        <v>83.46868292682927</v>
      </c>
      <c r="S37" t="e">
        <f>((E37/100)*$G$134+(G37/100)*$G$135+(I37/100)*$G$136+(K37/100)*$G$137+(M37/100)*$G$138+(O37)*$G$139+(Q37*$G$140))</f>
        <v>#DIV/0!</v>
      </c>
    </row>
    <row r="38">
      <c r="B38">
        <v>21</v>
      </c>
      <c r="C38">
        <f>$I$13+B38</f>
        <v>39986</v>
      </c>
      <c r="E38" t="e">
        <f>IF($C$14*ReDiarioFert!C27&lt;=0,"0",$C$14*ReDiarioFert!C27)</f>
        <v>#DIV/0!</v>
      </c>
      <c r="G38" t="e">
        <f>$C$14*ReDiarioFert!E27</f>
        <v>#DIV/0!</v>
      </c>
      <c r="I38" t="e">
        <f>$C$14*ReDiarioFert!G27</f>
        <v>#DIV/0!</v>
      </c>
      <c r="K38">
        <f>$C$14*ReDiarioFert!I27</f>
        <v>1.1231777590110323</v>
      </c>
      <c r="M38">
        <f>$C$14*ReDiarioFert!K27</f>
        <v>2.315160555555555</v>
      </c>
      <c r="O38">
        <f>$C$14*ReDiarioFert!M27</f>
        <v>83.46868292682927</v>
      </c>
      <c r="S38" t="e">
        <f>((E38/100)*$G$134+(G38/100)*$G$135+(I38/100)*$G$136+(K38/100)*$G$137+(M38/100)*$G$138+(O38)*$G$139+(Q38*$G$140))</f>
        <v>#DIV/0!</v>
      </c>
    </row>
    <row r="39">
      <c r="A39">
        <v>4</v>
      </c>
      <c r="B39">
        <v>22</v>
      </c>
      <c r="C39">
        <f>$I$13+B39</f>
        <v>39987</v>
      </c>
      <c r="E39" t="e">
        <f>IF($C$14*ReDiarioFert!C28&lt;=0,"0",$C$14*ReDiarioFert!C28)</f>
        <v>#DIV/0!</v>
      </c>
      <c r="G39" t="e">
        <f>$C$14*ReDiarioFert!E28</f>
        <v>#DIV/0!</v>
      </c>
      <c r="I39" t="e">
        <f>$C$14*ReDiarioFert!G28</f>
        <v>#DIV/0!</v>
      </c>
      <c r="K39">
        <f>$C$14*ReDiarioFert!I28</f>
        <v>1.1231777590110323</v>
      </c>
      <c r="M39">
        <f>$C$14*ReDiarioFert!K28</f>
        <v>2.315160555555555</v>
      </c>
      <c r="O39">
        <f>$C$14*ReDiarioFert!M28</f>
        <v>83.46868292682927</v>
      </c>
      <c r="Q39">
        <f>$C$14*Main!$D$63</f>
        <v>28</v>
      </c>
      <c r="S39" t="e">
        <f>((E39/100)*$G$134+(G39/100)*$G$135+(I39/100)*$G$136+(K39/100)*$G$137+(M39/100)*$G$138+(O39)*$G$139+(Q39*$G$140))</f>
        <v>#DIV/0!</v>
      </c>
    </row>
    <row r="40">
      <c r="B40">
        <v>23</v>
      </c>
      <c r="C40">
        <f>$I$13+B40</f>
        <v>39988</v>
      </c>
      <c r="E40" t="e">
        <f>IF($C$14*ReDiarioFert!C29&lt;=0,"0",$C$14*ReDiarioFert!C29)</f>
        <v>#DIV/0!</v>
      </c>
      <c r="G40" t="e">
        <f>$C$14*ReDiarioFert!E29</f>
        <v>#DIV/0!</v>
      </c>
      <c r="I40" t="e">
        <f>$C$14*ReDiarioFert!G29</f>
        <v>#DIV/0!</v>
      </c>
      <c r="K40">
        <f>$C$14*ReDiarioFert!I29</f>
        <v>1.1231777590110323</v>
      </c>
      <c r="M40">
        <f>$C$14*ReDiarioFert!K29</f>
        <v>2.315160555555555</v>
      </c>
      <c r="O40">
        <f>$C$14*ReDiarioFert!M29</f>
        <v>83.46868292682927</v>
      </c>
      <c r="S40" t="e">
        <f>((E40/100)*$G$134+(G40/100)*$G$135+(I40/100)*$G$136+(K40/100)*$G$137+(M40/100)*$G$138+(O40)*$G$139+(Q40*$G$140))</f>
        <v>#DIV/0!</v>
      </c>
    </row>
    <row r="41">
      <c r="B41">
        <v>24</v>
      </c>
      <c r="C41">
        <f>$I$13+B41</f>
        <v>39989</v>
      </c>
      <c r="E41" t="e">
        <f>IF($C$14*ReDiarioFert!C30&lt;=0,"0",$C$14*ReDiarioFert!C30)</f>
        <v>#DIV/0!</v>
      </c>
      <c r="G41" t="e">
        <f>$C$14*ReDiarioFert!E30</f>
        <v>#DIV/0!</v>
      </c>
      <c r="I41" t="e">
        <f>$C$14*ReDiarioFert!G30</f>
        <v>#DIV/0!</v>
      </c>
      <c r="K41">
        <f>$C$14*ReDiarioFert!I30</f>
        <v>1.1231777590110323</v>
      </c>
      <c r="M41">
        <f>$C$14*ReDiarioFert!K30</f>
        <v>2.315160555555555</v>
      </c>
      <c r="O41">
        <f>$C$14*ReDiarioFert!M30</f>
        <v>83.46868292682927</v>
      </c>
      <c r="S41" t="e">
        <f>((E41/100)*$G$134+(G41/100)*$G$135+(I41/100)*$G$136+(K41/100)*$G$137+(M41/100)*$G$138+(O41)*$G$139+(Q41*$G$140))</f>
        <v>#DIV/0!</v>
      </c>
    </row>
    <row r="42">
      <c r="B42">
        <v>25</v>
      </c>
      <c r="C42">
        <f>$I$13+B42</f>
        <v>39990</v>
      </c>
      <c r="E42" t="e">
        <f>IF($C$14*ReDiarioFert!C31&lt;=0,"0",$C$14*ReDiarioFert!C31)</f>
        <v>#DIV/0!</v>
      </c>
      <c r="G42" t="e">
        <f>$C$14*ReDiarioFert!E31</f>
        <v>#DIV/0!</v>
      </c>
      <c r="I42" t="e">
        <f>$C$14*ReDiarioFert!G31</f>
        <v>#DIV/0!</v>
      </c>
      <c r="K42">
        <f>$C$14*ReDiarioFert!I31</f>
        <v>1.1231777590110323</v>
      </c>
      <c r="M42">
        <f>$C$14*ReDiarioFert!K31</f>
        <v>2.315160555555555</v>
      </c>
      <c r="O42">
        <f>$C$14*ReDiarioFert!M31</f>
        <v>83.46868292682927</v>
      </c>
      <c r="S42" t="e">
        <f>((E42/100)*$G$134+(G42/100)*$G$135+(I42/100)*$G$136+(K42/100)*$G$137+(M42/100)*$G$138+(O42)*$G$139+(Q42*$G$140))</f>
        <v>#DIV/0!</v>
      </c>
    </row>
    <row r="43">
      <c r="B43">
        <v>26</v>
      </c>
      <c r="C43">
        <f>$I$13+B43</f>
        <v>39991</v>
      </c>
      <c r="E43" t="e">
        <f>IF($C$14*ReDiarioFert!C32&lt;=0,"0",$C$14*ReDiarioFert!C32)</f>
        <v>#DIV/0!</v>
      </c>
      <c r="G43" t="e">
        <f>$C$14*ReDiarioFert!E32</f>
        <v>#DIV/0!</v>
      </c>
      <c r="I43" t="e">
        <f>$C$14*ReDiarioFert!G32</f>
        <v>#DIV/0!</v>
      </c>
      <c r="K43">
        <f>$C$14*ReDiarioFert!I32</f>
        <v>1.1231777590110323</v>
      </c>
      <c r="M43">
        <f>$C$14*ReDiarioFert!K32</f>
        <v>2.315160555555555</v>
      </c>
      <c r="O43">
        <f>$C$14*ReDiarioFert!M32</f>
        <v>83.46868292682927</v>
      </c>
      <c r="S43" t="e">
        <f>((E43/100)*$G$134+(G43/100)*$G$135+(I43/100)*$G$136+(K43/100)*$G$137+(M43/100)*$G$138+(O43)*$G$139+(Q43*$G$140))</f>
        <v>#DIV/0!</v>
      </c>
    </row>
    <row r="44">
      <c r="B44">
        <v>27</v>
      </c>
      <c r="C44">
        <f>$I$13+B44</f>
        <v>39992</v>
      </c>
      <c r="E44" t="e">
        <f>IF($C$14*ReDiarioFert!C33&lt;=0,"0",$C$14*ReDiarioFert!C33)</f>
        <v>#DIV/0!</v>
      </c>
      <c r="G44" t="e">
        <f>$C$14*ReDiarioFert!E33</f>
        <v>#DIV/0!</v>
      </c>
      <c r="I44" t="e">
        <f>$C$14*ReDiarioFert!G33</f>
        <v>#DIV/0!</v>
      </c>
      <c r="K44">
        <f>$C$14*ReDiarioFert!I33</f>
        <v>1.1231777590110323</v>
      </c>
      <c r="M44">
        <f>$C$14*ReDiarioFert!K33</f>
        <v>2.315160555555555</v>
      </c>
      <c r="O44">
        <f>$C$14*ReDiarioFert!M33</f>
        <v>83.46868292682927</v>
      </c>
      <c r="S44" t="e">
        <f>((E44/100)*$G$134+(G44/100)*$G$135+(I44/100)*$G$136+(K44/100)*$G$137+(M44/100)*$G$138+(O44)*$G$139+(Q44*$G$140))</f>
        <v>#DIV/0!</v>
      </c>
    </row>
    <row r="45">
      <c r="B45">
        <v>28</v>
      </c>
      <c r="C45">
        <f>$I$13+B45</f>
        <v>39993</v>
      </c>
      <c r="E45" t="e">
        <f>IF($C$14*ReDiarioFert!C34&lt;=0,"0",$C$14*ReDiarioFert!C34)</f>
        <v>#DIV/0!</v>
      </c>
      <c r="G45" t="e">
        <f>$C$14*ReDiarioFert!E34</f>
        <v>#DIV/0!</v>
      </c>
      <c r="I45" t="e">
        <f>$C$14*ReDiarioFert!G34</f>
        <v>#DIV/0!</v>
      </c>
      <c r="K45">
        <f>$C$14*ReDiarioFert!I34</f>
        <v>1.1231777590110323</v>
      </c>
      <c r="M45">
        <f>$C$14*ReDiarioFert!K34</f>
        <v>2.315160555555555</v>
      </c>
      <c r="O45">
        <f>$C$14*ReDiarioFert!M34</f>
        <v>83.46868292682927</v>
      </c>
      <c r="S45" t="e">
        <f>((E45/100)*$G$134+(G45/100)*$G$135+(I45/100)*$G$136+(K45/100)*$G$137+(M45/100)*$G$138+(O45)*$G$139+(Q45*$G$140))</f>
        <v>#DIV/0!</v>
      </c>
    </row>
    <row r="46">
      <c r="A46">
        <v>5</v>
      </c>
      <c r="B46">
        <v>29</v>
      </c>
      <c r="C46">
        <f>$I$13+B46</f>
        <v>39994</v>
      </c>
      <c r="E46" t="e">
        <f>IF($C$14*ReDiarioFert!C35&lt;=0,"0",$C$14*ReDiarioFert!C35)</f>
        <v>#DIV/0!</v>
      </c>
      <c r="G46" t="e">
        <f>$C$14*ReDiarioFert!E35</f>
        <v>#DIV/0!</v>
      </c>
      <c r="I46" t="e">
        <f>$C$14*ReDiarioFert!G35</f>
        <v>#DIV/0!</v>
      </c>
      <c r="K46">
        <f>$C$14*ReDiarioFert!I35</f>
        <v>1.1231777590110323</v>
      </c>
      <c r="M46">
        <f>$C$14*ReDiarioFert!K35</f>
        <v>2.315160555555555</v>
      </c>
      <c r="O46">
        <f>$C$14*ReDiarioFert!M35</f>
        <v>83.46868292682927</v>
      </c>
      <c r="Q46">
        <f>$C$14*Main!$D$63</f>
        <v>28</v>
      </c>
      <c r="S46" t="e">
        <f>((E46/100)*$G$134+(G46/100)*$G$135+(I46/100)*$G$136+(K46/100)*$G$137+(M46/100)*$G$138+(O46)*$G$139+(Q46*$G$140))</f>
        <v>#DIV/0!</v>
      </c>
    </row>
    <row r="47">
      <c r="B47">
        <v>30</v>
      </c>
      <c r="C47">
        <f>$I$13+B47</f>
        <v>39995</v>
      </c>
      <c r="E47" t="e">
        <f>IF($C$14*ReDiarioFert!C36&lt;=0,"0",$C$14*ReDiarioFert!C36)</f>
        <v>#DIV/0!</v>
      </c>
      <c r="G47" t="e">
        <f>$C$14*ReDiarioFert!E36</f>
        <v>#DIV/0!</v>
      </c>
      <c r="I47" t="e">
        <f>$C$14*ReDiarioFert!G36</f>
        <v>#DIV/0!</v>
      </c>
      <c r="K47">
        <f>$C$14*ReDiarioFert!I36</f>
        <v>1.1231777590110323</v>
      </c>
      <c r="M47">
        <f>$C$14*ReDiarioFert!K36</f>
        <v>2.315160555555555</v>
      </c>
      <c r="O47">
        <f>$C$14*ReDiarioFert!M36</f>
        <v>83.46868292682927</v>
      </c>
      <c r="S47" t="e">
        <f>((E47/100)*$G$134+(G47/100)*$G$135+(I47/100)*$G$136+(K47/100)*$G$137+(M47/100)*$G$138+(O47)*$G$139+(Q47*$G$140))</f>
        <v>#DIV/0!</v>
      </c>
    </row>
    <row r="48">
      <c r="B48">
        <v>31</v>
      </c>
      <c r="C48">
        <f>$I$13+B48</f>
        <v>39996</v>
      </c>
      <c r="E48" t="e">
        <f>IF($C$14*ReDiarioFert!C37&lt;=0,"0",$C$14*ReDiarioFert!C37)</f>
        <v>#DIV/0!</v>
      </c>
      <c r="G48" t="e">
        <f>$C$14*ReDiarioFert!E37</f>
        <v>#DIV/0!</v>
      </c>
      <c r="I48" t="e">
        <f>$C$14*ReDiarioFert!G37</f>
        <v>#DIV/0!</v>
      </c>
      <c r="K48">
        <f>$C$14*ReDiarioFert!I37</f>
        <v>1.1231777590110323</v>
      </c>
      <c r="M48">
        <f>$C$14*ReDiarioFert!K37</f>
        <v>2.315160555555555</v>
      </c>
      <c r="O48">
        <f>$C$14*ReDiarioFert!M37</f>
        <v>83.46868292682927</v>
      </c>
      <c r="S48" t="e">
        <f>((E48/100)*$G$134+(G48/100)*$G$135+(I48/100)*$G$136+(K48/100)*$G$137+(M48/100)*$G$138+(O48)*$G$139+(Q48*$G$140))</f>
        <v>#DIV/0!</v>
      </c>
    </row>
    <row r="49">
      <c r="B49">
        <v>32</v>
      </c>
      <c r="C49">
        <f>$I$13+B49</f>
        <v>39997</v>
      </c>
      <c r="E49" t="e">
        <f>IF($C$14*ReDiarioFert!C38&lt;=0,"0",$C$14*ReDiarioFert!C38)</f>
        <v>#DIV/0!</v>
      </c>
      <c r="G49" t="e">
        <f>$C$14*ReDiarioFert!E38</f>
        <v>#DIV/0!</v>
      </c>
      <c r="I49" t="e">
        <f>$C$14*ReDiarioFert!G38</f>
        <v>#DIV/0!</v>
      </c>
      <c r="K49">
        <f>$C$14*ReDiarioFert!I38</f>
        <v>1.1231777590110323</v>
      </c>
      <c r="M49">
        <f>$C$14*ReDiarioFert!K38</f>
        <v>2.315160555555555</v>
      </c>
      <c r="O49">
        <f>$C$14*ReDiarioFert!M38</f>
        <v>83.46868292682927</v>
      </c>
      <c r="S49" t="e">
        <f>((E49/100)*$G$134+(G49/100)*$G$135+(I49/100)*$G$136+(K49/100)*$G$137+(M49/100)*$G$138+(O49)*$G$139+(Q49*$G$140))</f>
        <v>#DIV/0!</v>
      </c>
    </row>
    <row r="50">
      <c r="B50">
        <v>33</v>
      </c>
      <c r="C50">
        <f>$I$13+B50</f>
        <v>39998</v>
      </c>
      <c r="E50" t="e">
        <f>IF($C$14*ReDiarioFert!C39&lt;=0,"0",$C$14*ReDiarioFert!C39)</f>
        <v>#DIV/0!</v>
      </c>
      <c r="G50" t="e">
        <f>$C$14*ReDiarioFert!E39</f>
        <v>#DIV/0!</v>
      </c>
      <c r="I50" t="e">
        <f>$C$14*ReDiarioFert!G39</f>
        <v>#DIV/0!</v>
      </c>
      <c r="K50">
        <f>$C$14*ReDiarioFert!I39</f>
        <v>1.1231777590110323</v>
      </c>
      <c r="M50">
        <f>$C$14*ReDiarioFert!K39</f>
        <v>2.315160555555555</v>
      </c>
      <c r="O50">
        <f>$C$14*ReDiarioFert!M39</f>
        <v>118.24809756097562</v>
      </c>
      <c r="S50" t="e">
        <f>((E50/100)*$G$134+(G50/100)*$G$135+(I50/100)*$G$136+(K50/100)*$G$137+(M50/100)*$G$138+(O50)*$G$139+(Q50*$G$140))</f>
        <v>#DIV/0!</v>
      </c>
    </row>
    <row r="51">
      <c r="B51">
        <v>34</v>
      </c>
      <c r="C51">
        <f>$I$13+B51</f>
        <v>39999</v>
      </c>
      <c r="E51" t="e">
        <f>IF($C$14*ReDiarioFert!C40&lt;=0,"0",$C$14*ReDiarioFert!C40)</f>
        <v>#DIV/0!</v>
      </c>
      <c r="G51" t="e">
        <f>$C$14*ReDiarioFert!E40</f>
        <v>#DIV/0!</v>
      </c>
      <c r="I51" t="e">
        <f>$C$14*ReDiarioFert!G40</f>
        <v>#DIV/0!</v>
      </c>
      <c r="K51">
        <f>$C$14*ReDiarioFert!I40</f>
        <v>1.1231777590110323</v>
      </c>
      <c r="M51">
        <f>$C$14*ReDiarioFert!K40</f>
        <v>2.315160555555555</v>
      </c>
      <c r="O51">
        <f>$C$14*ReDiarioFert!M40</f>
        <v>118.24809756097562</v>
      </c>
      <c r="S51" t="e">
        <f>((E51/100)*$G$134+(G51/100)*$G$135+(I51/100)*$G$136+(K51/100)*$G$137+(M51/100)*$G$138+(O51)*$G$139+(Q51*$G$140))</f>
        <v>#DIV/0!</v>
      </c>
    </row>
    <row r="52">
      <c r="B52">
        <v>35</v>
      </c>
      <c r="C52">
        <f>$I$13+B52</f>
        <v>40000</v>
      </c>
      <c r="E52" t="e">
        <f>IF($C$14*ReDiarioFert!C41&lt;=0,"0",$C$14*ReDiarioFert!C41)</f>
        <v>#DIV/0!</v>
      </c>
      <c r="G52" t="e">
        <f>$C$14*ReDiarioFert!E41</f>
        <v>#DIV/0!</v>
      </c>
      <c r="I52" t="e">
        <f>$C$14*ReDiarioFert!G41</f>
        <v>#DIV/0!</v>
      </c>
      <c r="K52">
        <f>$C$14*ReDiarioFert!I41</f>
        <v>1.1231777590110323</v>
      </c>
      <c r="M52">
        <f>$C$14*ReDiarioFert!K41</f>
        <v>2.315160555555555</v>
      </c>
      <c r="O52">
        <f>$C$14*ReDiarioFert!M41</f>
        <v>118.24809756097562</v>
      </c>
      <c r="S52" t="e">
        <f>((E52/100)*$G$134+(G52/100)*$G$135+(I52/100)*$G$136+(K52/100)*$G$137+(M52/100)*$G$138+(O52)*$G$139+(Q52*$G$140))</f>
        <v>#DIV/0!</v>
      </c>
    </row>
    <row r="53">
      <c r="A53">
        <v>6</v>
      </c>
      <c r="B53">
        <v>36</v>
      </c>
      <c r="C53">
        <f>$I$13+B53</f>
        <v>40001</v>
      </c>
      <c r="E53" t="e">
        <f>IF($C$14*ReDiarioFert!C42&lt;=0,"0",$C$14*ReDiarioFert!C42)</f>
        <v>#DIV/0!</v>
      </c>
      <c r="G53" t="e">
        <f>$C$14*ReDiarioFert!E42</f>
        <v>#DIV/0!</v>
      </c>
      <c r="I53" t="e">
        <f>$C$14*ReDiarioFert!G42</f>
        <v>#DIV/0!</v>
      </c>
      <c r="K53">
        <f>$C$14*ReDiarioFert!I42</f>
        <v>1.1231777590110323</v>
      </c>
      <c r="M53">
        <f>$C$14*ReDiarioFert!K42</f>
        <v>2.315160555555555</v>
      </c>
      <c r="O53">
        <f>$C$14*ReDiarioFert!M42</f>
        <v>118.24809756097562</v>
      </c>
      <c r="Q53">
        <f>$C$14*Main!$D$63</f>
        <v>28</v>
      </c>
      <c r="S53" t="e">
        <f>((E53/100)*$G$134+(G53/100)*$G$135+(I53/100)*$G$136+(K53/100)*$G$137+(M53/100)*$G$138+(O53)*$G$139+(Q53*$G$140))</f>
        <v>#DIV/0!</v>
      </c>
    </row>
    <row r="54">
      <c r="B54">
        <v>37</v>
      </c>
      <c r="C54">
        <f>$I$13+B54</f>
        <v>40002</v>
      </c>
      <c r="E54" t="e">
        <f>IF($C$14*ReDiarioFert!C43&lt;=0,"0",$C$14*ReDiarioFert!C43)</f>
        <v>#DIV/0!</v>
      </c>
      <c r="G54" t="e">
        <f>$C$14*ReDiarioFert!E43</f>
        <v>#DIV/0!</v>
      </c>
      <c r="I54" t="e">
        <f>$C$14*ReDiarioFert!G43</f>
        <v>#DIV/0!</v>
      </c>
      <c r="K54">
        <f>$C$14*ReDiarioFert!I43</f>
        <v>1.1231777590110323</v>
      </c>
      <c r="M54">
        <f>$C$14*ReDiarioFert!K43</f>
        <v>2.315160555555555</v>
      </c>
      <c r="O54">
        <f>$C$14*ReDiarioFert!M43</f>
        <v>118.24809756097562</v>
      </c>
      <c r="S54" t="e">
        <f>((E54/100)*$G$134+(G54/100)*$G$135+(I54/100)*$G$136+(K54/100)*$G$137+(M54/100)*$G$138+(O54)*$G$139+(Q54*$G$140))</f>
        <v>#DIV/0!</v>
      </c>
    </row>
    <row r="55">
      <c r="B55">
        <v>38</v>
      </c>
      <c r="C55">
        <f>$I$13+B55</f>
        <v>40003</v>
      </c>
      <c r="E55" t="e">
        <f>IF($C$14*ReDiarioFert!C44&lt;=0,"0",$C$14*ReDiarioFert!C44)</f>
        <v>#DIV/0!</v>
      </c>
      <c r="G55" t="e">
        <f>$C$14*ReDiarioFert!E44</f>
        <v>#DIV/0!</v>
      </c>
      <c r="I55" t="e">
        <f>$C$14*ReDiarioFert!G44</f>
        <v>#DIV/0!</v>
      </c>
      <c r="K55">
        <f>$C$14*ReDiarioFert!I44</f>
        <v>1.1231777590110323</v>
      </c>
      <c r="M55">
        <f>$C$14*ReDiarioFert!K44</f>
        <v>2.315160555555555</v>
      </c>
      <c r="O55">
        <f>$C$14*ReDiarioFert!M44</f>
        <v>118.24809756097562</v>
      </c>
      <c r="S55" t="e">
        <f>((E55/100)*$G$134+(G55/100)*$G$135+(I55/100)*$G$136+(K55/100)*$G$137+(M55/100)*$G$138+(O55)*$G$139+(Q55*$G$140))</f>
        <v>#DIV/0!</v>
      </c>
    </row>
    <row r="56">
      <c r="B56">
        <v>39</v>
      </c>
      <c r="C56">
        <f>$I$13+B56</f>
        <v>40004</v>
      </c>
      <c r="E56" t="e">
        <f>IF($C$14*ReDiarioFert!C45&lt;=0,"0",$C$14*ReDiarioFert!C45)</f>
        <v>#DIV/0!</v>
      </c>
      <c r="G56" t="e">
        <f>$C$14*ReDiarioFert!E45</f>
        <v>#DIV/0!</v>
      </c>
      <c r="I56" t="e">
        <f>$C$14*ReDiarioFert!G45</f>
        <v>#DIV/0!</v>
      </c>
      <c r="K56">
        <f>$C$14*ReDiarioFert!I45</f>
        <v>1.1231777590110323</v>
      </c>
      <c r="M56">
        <f>$C$14*ReDiarioFert!K45</f>
        <v>2.315160555555555</v>
      </c>
      <c r="O56">
        <f>$C$14*ReDiarioFert!M45</f>
        <v>118.24809756097562</v>
      </c>
      <c r="S56" t="e">
        <f>((E56/100)*$G$134+(G56/100)*$G$135+(I56/100)*$G$136+(K56/100)*$G$137+(M56/100)*$G$138+(O56)*$G$139+(Q56*$G$140))</f>
        <v>#DIV/0!</v>
      </c>
    </row>
    <row r="57">
      <c r="B57">
        <v>40</v>
      </c>
      <c r="C57">
        <f>$I$13+B57</f>
        <v>40005</v>
      </c>
      <c r="E57" t="e">
        <f>IF($C$14*ReDiarioFert!C46&lt;=0,"0",$C$14*ReDiarioFert!C46)</f>
        <v>#DIV/0!</v>
      </c>
      <c r="G57" t="e">
        <f>$C$14*ReDiarioFert!E46</f>
        <v>#DIV/0!</v>
      </c>
      <c r="I57" t="e">
        <f>$C$14*ReDiarioFert!G46</f>
        <v>#DIV/0!</v>
      </c>
      <c r="K57">
        <f>$C$14*ReDiarioFert!I46</f>
        <v>1.1231777590110323</v>
      </c>
      <c r="M57">
        <f>$C$14*ReDiarioFert!K46</f>
        <v>2.315160555555555</v>
      </c>
      <c r="O57">
        <f>$C$14*ReDiarioFert!M46</f>
        <v>118.24809756097562</v>
      </c>
      <c r="S57" t="e">
        <f>((E57/100)*$G$134+(G57/100)*$G$135+(I57/100)*$G$136+(K57/100)*$G$137+(M57/100)*$G$138+(O57)*$G$139+(Q57*$G$140))</f>
        <v>#DIV/0!</v>
      </c>
    </row>
    <row r="58">
      <c r="B58">
        <v>41</v>
      </c>
      <c r="C58">
        <f>$I$13+B58</f>
        <v>40006</v>
      </c>
      <c r="E58" t="e">
        <f>IF($C$14*ReDiarioFert!C47&lt;=0,"0",$C$14*ReDiarioFert!C47)</f>
        <v>#DIV/0!</v>
      </c>
      <c r="G58" t="e">
        <f>$C$14*ReDiarioFert!E47</f>
        <v>#DIV/0!</v>
      </c>
      <c r="I58" t="e">
        <f>$C$14*ReDiarioFert!G47</f>
        <v>#DIV/0!</v>
      </c>
      <c r="K58">
        <f>$C$14*ReDiarioFert!I47</f>
        <v>10.03372131383189</v>
      </c>
      <c r="M58">
        <f>$C$14*ReDiarioFert!K47</f>
        <v>20.682100962962963</v>
      </c>
      <c r="O58">
        <f>$C$14*ReDiarioFert!M47</f>
        <v>118.24809756097562</v>
      </c>
      <c r="S58" t="e">
        <f>((E58/100)*$G$134+(G58/100)*$G$135+(I58/100)*$G$136+(K58/100)*$G$137+(M58/100)*$G$138+(O58)*$G$139+(Q58*$G$140))</f>
        <v>#DIV/0!</v>
      </c>
    </row>
    <row r="59">
      <c r="B59">
        <v>42</v>
      </c>
      <c r="C59">
        <f>$I$13+B59</f>
        <v>40007</v>
      </c>
      <c r="E59" t="e">
        <f>IF($C$14*ReDiarioFert!C48&lt;=0,"0",$C$14*ReDiarioFert!C48)</f>
        <v>#DIV/0!</v>
      </c>
      <c r="G59" t="e">
        <f>$C$14*ReDiarioFert!E48</f>
        <v>#DIV/0!</v>
      </c>
      <c r="I59" t="e">
        <f>$C$14*ReDiarioFert!G48</f>
        <v>#DIV/0!</v>
      </c>
      <c r="K59">
        <f>$C$14*ReDiarioFert!I48</f>
        <v>10.03372131383189</v>
      </c>
      <c r="M59">
        <f>$C$14*ReDiarioFert!K48</f>
        <v>20.682100962962963</v>
      </c>
      <c r="O59">
        <f>$C$14*ReDiarioFert!M48</f>
        <v>118.24809756097562</v>
      </c>
      <c r="S59" t="e">
        <f>((E59/100)*$G$134+(G59/100)*$G$135+(I59/100)*$G$136+(K59/100)*$G$137+(M59/100)*$G$138+(O59)*$G$139+(Q59*$G$140))</f>
        <v>#DIV/0!</v>
      </c>
    </row>
    <row r="60">
      <c r="A60">
        <v>7</v>
      </c>
      <c r="B60">
        <v>43</v>
      </c>
      <c r="C60">
        <f>$I$13+B60</f>
        <v>40008</v>
      </c>
      <c r="E60" t="e">
        <f>IF($C$14*ReDiarioFert!C49&lt;=0,"0",$C$14*ReDiarioFert!C49)</f>
        <v>#DIV/0!</v>
      </c>
      <c r="G60" t="e">
        <f>$C$14*ReDiarioFert!E49</f>
        <v>#DIV/0!</v>
      </c>
      <c r="I60" t="e">
        <f>$C$14*ReDiarioFert!G49</f>
        <v>#DIV/0!</v>
      </c>
      <c r="K60">
        <f>$C$14*ReDiarioFert!I49</f>
        <v>10.03372131383189</v>
      </c>
      <c r="M60">
        <f>$C$14*ReDiarioFert!K49</f>
        <v>20.682100962962963</v>
      </c>
      <c r="O60">
        <f>$C$14*ReDiarioFert!M49</f>
        <v>118.24809756097562</v>
      </c>
      <c r="Q60">
        <f>$C$14*Main!$D$63</f>
        <v>28</v>
      </c>
      <c r="S60" t="e">
        <f>((E60/100)*$G$134+(G60/100)*$G$135+(I60/100)*$G$136+(K60/100)*$G$137+(M60/100)*$G$138+(O60)*$G$139+(Q60*$G$140))</f>
        <v>#DIV/0!</v>
      </c>
    </row>
    <row r="61">
      <c r="B61">
        <v>44</v>
      </c>
      <c r="C61">
        <f>$I$13+B61</f>
        <v>40009</v>
      </c>
      <c r="E61" t="e">
        <f>IF($C$14*ReDiarioFert!C50&lt;=0,"0",$C$14*ReDiarioFert!C50)</f>
        <v>#DIV/0!</v>
      </c>
      <c r="G61" t="e">
        <f>$C$14*ReDiarioFert!E50</f>
        <v>#DIV/0!</v>
      </c>
      <c r="I61" t="e">
        <f>$C$14*ReDiarioFert!G50</f>
        <v>#DIV/0!</v>
      </c>
      <c r="K61">
        <f>$C$14*ReDiarioFert!I50</f>
        <v>10.03372131383189</v>
      </c>
      <c r="M61">
        <f>$C$14*ReDiarioFert!K50</f>
        <v>20.682100962962963</v>
      </c>
      <c r="O61">
        <f>$C$14*ReDiarioFert!M50</f>
        <v>118.24809756097562</v>
      </c>
      <c r="S61" t="e">
        <f>((E61/100)*$G$134+(G61/100)*$G$135+(I61/100)*$G$136+(K61/100)*$G$137+(M61/100)*$G$138+(O61)*$G$139+(Q61*$G$140))</f>
        <v>#DIV/0!</v>
      </c>
    </row>
    <row r="62">
      <c r="B62">
        <v>45</v>
      </c>
      <c r="C62">
        <f>$I$13+B62</f>
        <v>40010</v>
      </c>
      <c r="E62" t="e">
        <f>IF($C$14*ReDiarioFert!C51&lt;=0,"0",$C$14*ReDiarioFert!C51)</f>
        <v>#DIV/0!</v>
      </c>
      <c r="G62" t="e">
        <f>$C$14*ReDiarioFert!E51</f>
        <v>#DIV/0!</v>
      </c>
      <c r="I62" t="e">
        <f>$C$14*ReDiarioFert!G51</f>
        <v>#DIV/0!</v>
      </c>
      <c r="K62">
        <f>$C$14*ReDiarioFert!I51</f>
        <v>10.03372131383189</v>
      </c>
      <c r="M62">
        <f>$C$14*ReDiarioFert!K51</f>
        <v>20.682100962962963</v>
      </c>
      <c r="O62">
        <f>$C$14*ReDiarioFert!M51</f>
        <v>118.24809756097562</v>
      </c>
      <c r="S62" t="e">
        <f>((E62/100)*$G$134+(G62/100)*$G$135+(I62/100)*$G$136+(K62/100)*$G$137+(M62/100)*$G$138+(O62)*$G$139+(Q62*$G$140))</f>
        <v>#DIV/0!</v>
      </c>
    </row>
    <row r="63">
      <c r="B63">
        <v>46</v>
      </c>
      <c r="C63">
        <f>$I$13+B63</f>
        <v>40011</v>
      </c>
      <c r="E63" t="e">
        <f>IF($C$14*ReDiarioFert!C52&lt;=0,"0",$C$14*ReDiarioFert!C52)</f>
        <v>#DIV/0!</v>
      </c>
      <c r="G63" t="e">
        <f>$C$14*ReDiarioFert!E52</f>
        <v>#DIV/0!</v>
      </c>
      <c r="I63" t="e">
        <f>$C$14*ReDiarioFert!G52</f>
        <v>#DIV/0!</v>
      </c>
      <c r="K63">
        <f>$C$14*ReDiarioFert!I52</f>
        <v>10.03372131383189</v>
      </c>
      <c r="M63">
        <f>$C$14*ReDiarioFert!K52</f>
        <v>20.682100962962963</v>
      </c>
      <c r="O63">
        <f>$C$14*ReDiarioFert!M52</f>
        <v>118.24809756097562</v>
      </c>
      <c r="S63" t="e">
        <f>((E63/100)*$G$134+(G63/100)*$G$135+(I63/100)*$G$136+(K63/100)*$G$137+(M63/100)*$G$138+(O63)*$G$139+(Q63*$G$140))</f>
        <v>#DIV/0!</v>
      </c>
    </row>
    <row r="64">
      <c r="B64">
        <v>47</v>
      </c>
      <c r="C64">
        <f>$I$13+B64</f>
        <v>40012</v>
      </c>
      <c r="E64" t="e">
        <f>IF($C$14*ReDiarioFert!C53&lt;=0,"0",$C$14*ReDiarioFert!C53)</f>
        <v>#DIV/0!</v>
      </c>
      <c r="G64" t="e">
        <f>$C$14*ReDiarioFert!E53</f>
        <v>#DIV/0!</v>
      </c>
      <c r="I64" t="e">
        <f>$C$14*ReDiarioFert!G53</f>
        <v>#DIV/0!</v>
      </c>
      <c r="K64">
        <f>$C$14*ReDiarioFert!I53</f>
        <v>10.03372131383189</v>
      </c>
      <c r="M64">
        <f>$C$14*ReDiarioFert!K53</f>
        <v>20.682100962962963</v>
      </c>
      <c r="O64">
        <f>$C$14*ReDiarioFert!M53</f>
        <v>118.24809756097562</v>
      </c>
      <c r="S64" t="e">
        <f>((E64/100)*$G$134+(G64/100)*$G$135+(I64/100)*$G$136+(K64/100)*$G$137+(M64/100)*$G$138+(O64)*$G$139+(Q64*$G$140))</f>
        <v>#DIV/0!</v>
      </c>
    </row>
    <row r="65">
      <c r="B65">
        <v>48</v>
      </c>
      <c r="C65">
        <f>$I$13+B65</f>
        <v>40013</v>
      </c>
      <c r="E65" t="e">
        <f>IF($C$14*ReDiarioFert!C54&lt;=0,"0",$C$14*ReDiarioFert!C54)</f>
        <v>#DIV/0!</v>
      </c>
      <c r="G65" t="e">
        <f>$C$14*ReDiarioFert!E54</f>
        <v>#DIV/0!</v>
      </c>
      <c r="I65" t="e">
        <f>$C$14*ReDiarioFert!G54</f>
        <v>#DIV/0!</v>
      </c>
      <c r="K65">
        <f>$C$14*ReDiarioFert!I54</f>
        <v>10.03372131383189</v>
      </c>
      <c r="M65">
        <f>$C$14*ReDiarioFert!K54</f>
        <v>20.682100962962963</v>
      </c>
      <c r="O65">
        <f>$C$14*ReDiarioFert!M54</f>
        <v>159.98243902439023</v>
      </c>
      <c r="S65" t="e">
        <f>((E65/100)*$G$134+(G65/100)*$G$135+(I65/100)*$G$136+(K65/100)*$G$137+(M65/100)*$G$138+(O65)*$G$139+(Q65*$G$140))</f>
        <v>#DIV/0!</v>
      </c>
    </row>
    <row r="66">
      <c r="B66">
        <v>49</v>
      </c>
      <c r="C66">
        <f>$I$13+B66</f>
        <v>40014</v>
      </c>
      <c r="E66" t="e">
        <f>IF($C$14*ReDiarioFert!C55&lt;=0,"0",$C$14*ReDiarioFert!C55)</f>
        <v>#DIV/0!</v>
      </c>
      <c r="G66" t="e">
        <f>$C$14*ReDiarioFert!E55</f>
        <v>#DIV/0!</v>
      </c>
      <c r="I66" t="e">
        <f>$C$14*ReDiarioFert!G55</f>
        <v>#DIV/0!</v>
      </c>
      <c r="K66">
        <f>$C$14*ReDiarioFert!I55</f>
        <v>10.03372131383189</v>
      </c>
      <c r="M66">
        <f>$C$14*ReDiarioFert!K55</f>
        <v>20.682100962962963</v>
      </c>
      <c r="O66">
        <f>$C$14*ReDiarioFert!M55</f>
        <v>159.98243902439023</v>
      </c>
      <c r="S66" t="e">
        <f>((E66/100)*$G$134+(G66/100)*$G$135+(I66/100)*$G$136+(K66/100)*$G$137+(M66/100)*$G$138+(O66)*$G$139+(Q66*$G$140))</f>
        <v>#DIV/0!</v>
      </c>
    </row>
    <row r="67">
      <c r="A67">
        <v>8</v>
      </c>
      <c r="B67">
        <v>50</v>
      </c>
      <c r="C67">
        <f>$I$13+B67</f>
        <v>40015</v>
      </c>
      <c r="E67" t="e">
        <f>IF($C$14*ReDiarioFert!C56&lt;=0,"0",$C$14*ReDiarioFert!C56)</f>
        <v>#DIV/0!</v>
      </c>
      <c r="G67" t="e">
        <f>$C$14*ReDiarioFert!E56</f>
        <v>#DIV/0!</v>
      </c>
      <c r="I67" t="e">
        <f>$C$14*ReDiarioFert!G56</f>
        <v>#DIV/0!</v>
      </c>
      <c r="K67">
        <f>$C$14*ReDiarioFert!I56</f>
        <v>10.03372131383189</v>
      </c>
      <c r="M67">
        <f>$C$14*ReDiarioFert!K56</f>
        <v>20.682100962962963</v>
      </c>
      <c r="O67">
        <f>$C$14*ReDiarioFert!M56</f>
        <v>159.98243902439023</v>
      </c>
      <c r="Q67">
        <f>$C$14*Main!$D$63</f>
        <v>28</v>
      </c>
      <c r="S67" t="e">
        <f>((E67/100)*$G$134+(G67/100)*$G$135+(I67/100)*$G$136+(K67/100)*$G$137+(M67/100)*$G$138+(O67)*$G$139+(Q67*$G$140))</f>
        <v>#DIV/0!</v>
      </c>
    </row>
    <row r="68">
      <c r="B68">
        <v>51</v>
      </c>
      <c r="C68">
        <f>$I$13+B68</f>
        <v>40016</v>
      </c>
      <c r="E68" t="e">
        <f>IF($C$14*ReDiarioFert!C57&lt;=0,"0",$C$14*ReDiarioFert!C57)</f>
        <v>#DIV/0!</v>
      </c>
      <c r="G68" t="e">
        <f>$C$14*ReDiarioFert!E57</f>
        <v>#DIV/0!</v>
      </c>
      <c r="I68" t="e">
        <f>$C$14*ReDiarioFert!G57</f>
        <v>#DIV/0!</v>
      </c>
      <c r="K68">
        <f>$C$14*ReDiarioFert!I57</f>
        <v>10.03372131383189</v>
      </c>
      <c r="M68">
        <f>$C$14*ReDiarioFert!K57</f>
        <v>20.682100962962963</v>
      </c>
      <c r="O68">
        <f>$C$14*ReDiarioFert!M57</f>
        <v>159.98243902439023</v>
      </c>
      <c r="S68" t="e">
        <f>((E68/100)*$G$134+(G68/100)*$G$135+(I68/100)*$G$136+(K68/100)*$G$137+(M68/100)*$G$138+(O68)*$G$139+(Q68*$G$140))</f>
        <v>#DIV/0!</v>
      </c>
    </row>
    <row r="69">
      <c r="B69">
        <v>52</v>
      </c>
      <c r="C69">
        <f>$I$13+B69</f>
        <v>40017</v>
      </c>
      <c r="E69" t="e">
        <f>IF($C$14*ReDiarioFert!C58&lt;=0,"0",$C$14*ReDiarioFert!C58)</f>
        <v>#DIV/0!</v>
      </c>
      <c r="G69" t="e">
        <f>$C$14*ReDiarioFert!E58</f>
        <v>#DIV/0!</v>
      </c>
      <c r="I69" t="e">
        <f>$C$14*ReDiarioFert!G58</f>
        <v>#DIV/0!</v>
      </c>
      <c r="K69">
        <f>$C$14*ReDiarioFert!I58</f>
        <v>10.03372131383189</v>
      </c>
      <c r="M69">
        <f>$C$14*ReDiarioFert!K58</f>
        <v>20.682100962962963</v>
      </c>
      <c r="O69">
        <f>$C$14*ReDiarioFert!M58</f>
        <v>159.98243902439023</v>
      </c>
      <c r="S69" t="e">
        <f>((E69/100)*$G$134+(G69/100)*$G$135+(I69/100)*$G$136+(K69/100)*$G$137+(M69/100)*$G$138+(O69)*$G$139+(Q69*$G$140))</f>
        <v>#DIV/0!</v>
      </c>
    </row>
    <row r="70">
      <c r="B70">
        <v>53</v>
      </c>
      <c r="C70">
        <f>$I$13+B70</f>
        <v>40018</v>
      </c>
      <c r="E70" t="e">
        <f>IF($C$14*ReDiarioFert!C59&lt;=0,"0",$C$14*ReDiarioFert!C59)</f>
        <v>#DIV/0!</v>
      </c>
      <c r="G70" t="e">
        <f>$C$14*ReDiarioFert!E59</f>
        <v>#DIV/0!</v>
      </c>
      <c r="I70" t="e">
        <f>$C$14*ReDiarioFert!G59</f>
        <v>#DIV/0!</v>
      </c>
      <c r="K70">
        <f>$C$14*ReDiarioFert!I59</f>
        <v>10.03372131383189</v>
      </c>
      <c r="M70">
        <f>$C$14*ReDiarioFert!K59</f>
        <v>20.682100962962963</v>
      </c>
      <c r="O70">
        <f>$C$14*ReDiarioFert!M59</f>
        <v>159.98243902439023</v>
      </c>
      <c r="S70" t="e">
        <f>((E70/100)*$G$134+(G70/100)*$G$135+(I70/100)*$G$136+(K70/100)*$G$137+(M70/100)*$G$138+(O70)*$G$139+(Q70*$G$140))</f>
        <v>#DIV/0!</v>
      </c>
    </row>
    <row r="71">
      <c r="B71">
        <v>54</v>
      </c>
      <c r="C71">
        <f>$I$13+B71</f>
        <v>40019</v>
      </c>
      <c r="E71" t="e">
        <f>IF($C$14*ReDiarioFert!C60&lt;=0,"0",$C$14*ReDiarioFert!C60)</f>
        <v>#DIV/0!</v>
      </c>
      <c r="G71" t="e">
        <f>$C$14*ReDiarioFert!E60</f>
        <v>#DIV/0!</v>
      </c>
      <c r="I71" t="e">
        <f>$C$14*ReDiarioFert!G60</f>
        <v>#DIV/0!</v>
      </c>
      <c r="K71">
        <f>$C$14*ReDiarioFert!I60</f>
        <v>10.03372131383189</v>
      </c>
      <c r="M71">
        <f>$C$14*ReDiarioFert!K60</f>
        <v>20.682100962962963</v>
      </c>
      <c r="O71">
        <f>$C$14*ReDiarioFert!M60</f>
        <v>159.98243902439023</v>
      </c>
      <c r="S71" t="e">
        <f>((E71/100)*$G$134+(G71/100)*$G$135+(I71/100)*$G$136+(K71/100)*$G$137+(M71/100)*$G$138+(O71)*$G$139+(Q71*$G$140))</f>
        <v>#DIV/0!</v>
      </c>
    </row>
    <row r="72">
      <c r="B72">
        <v>55</v>
      </c>
      <c r="C72">
        <f>$I$13+B72</f>
        <v>40020</v>
      </c>
      <c r="E72" t="e">
        <f>IF($C$14*ReDiarioFert!C61&lt;=0,"0",$C$14*ReDiarioFert!C61)</f>
        <v>#DIV/0!</v>
      </c>
      <c r="G72" t="e">
        <f>$C$14*ReDiarioFert!E61</f>
        <v>#DIV/0!</v>
      </c>
      <c r="I72" t="e">
        <f>$C$14*ReDiarioFert!G61</f>
        <v>#DIV/0!</v>
      </c>
      <c r="K72">
        <f>$C$14*ReDiarioFert!I61</f>
        <v>10.03372131383189</v>
      </c>
      <c r="M72">
        <f>$C$14*ReDiarioFert!K61</f>
        <v>20.682100962962963</v>
      </c>
      <c r="O72">
        <f>$C$14*ReDiarioFert!M61</f>
        <v>159.98243902439023</v>
      </c>
      <c r="S72" t="e">
        <f>((E72/100)*$G$134+(G72/100)*$G$135+(I72/100)*$G$136+(K72/100)*$G$137+(M72/100)*$G$138+(O72)*$G$139+(Q72*$G$140))</f>
        <v>#DIV/0!</v>
      </c>
    </row>
    <row r="73">
      <c r="B73">
        <v>56</v>
      </c>
      <c r="C73">
        <f>$I$13+B73</f>
        <v>40021</v>
      </c>
      <c r="E73" t="e">
        <f>IF($C$14*ReDiarioFert!C62&lt;=0,"0",$C$14*ReDiarioFert!C62)</f>
        <v>#DIV/0!</v>
      </c>
      <c r="G73" t="e">
        <f>$C$14*ReDiarioFert!E62</f>
        <v>#DIV/0!</v>
      </c>
      <c r="I73" t="e">
        <f>$C$14*ReDiarioFert!G62</f>
        <v>#DIV/0!</v>
      </c>
      <c r="K73">
        <f>$C$14*ReDiarioFert!I62</f>
        <v>10.03372131383189</v>
      </c>
      <c r="M73">
        <f>$C$14*ReDiarioFert!K62</f>
        <v>20.682100962962963</v>
      </c>
      <c r="O73">
        <f>$C$14*ReDiarioFert!M62</f>
        <v>159.98243902439023</v>
      </c>
      <c r="S73" t="e">
        <f>((E73/100)*$G$134+(G73/100)*$G$135+(I73/100)*$G$136+(K73/100)*$G$137+(M73/100)*$G$138+(O73)*$G$139+(Q73*$G$140))</f>
        <v>#DIV/0!</v>
      </c>
    </row>
    <row r="74">
      <c r="A74">
        <v>9</v>
      </c>
      <c r="B74">
        <v>57</v>
      </c>
      <c r="C74">
        <f>$I$13+B74</f>
        <v>40022</v>
      </c>
      <c r="E74" t="e">
        <f>IF($C$14*ReDiarioFert!C63&lt;=0,"0",$C$14*ReDiarioFert!C63)</f>
        <v>#DIV/0!</v>
      </c>
      <c r="G74" t="e">
        <f>$C$14*ReDiarioFert!E63</f>
        <v>#DIV/0!</v>
      </c>
      <c r="I74" t="e">
        <f>$C$14*ReDiarioFert!G63</f>
        <v>#DIV/0!</v>
      </c>
      <c r="K74">
        <f>$C$14*ReDiarioFert!I63</f>
        <v>10.03372131383189</v>
      </c>
      <c r="M74">
        <f>$C$14*ReDiarioFert!K63</f>
        <v>20.682100962962963</v>
      </c>
      <c r="O74">
        <f>$C$14*ReDiarioFert!M63</f>
        <v>159.98243902439023</v>
      </c>
      <c r="Q74">
        <f>$C$14*Main!$D$63</f>
        <v>28</v>
      </c>
      <c r="S74" t="e">
        <f>((E74/100)*$G$134+(G74/100)*$G$135+(I74/100)*$G$136+(K74/100)*$G$137+(M74/100)*$G$138+(O74)*$G$139+(Q74*$G$140))</f>
        <v>#DIV/0!</v>
      </c>
    </row>
    <row r="75">
      <c r="B75">
        <v>58</v>
      </c>
      <c r="C75">
        <f>$I$13+B75</f>
        <v>40023</v>
      </c>
      <c r="E75" t="e">
        <f>IF($C$14*ReDiarioFert!C64&lt;=0,"0",$C$14*ReDiarioFert!C64)</f>
        <v>#DIV/0!</v>
      </c>
      <c r="G75" t="e">
        <f>$C$14*ReDiarioFert!E64</f>
        <v>#DIV/0!</v>
      </c>
      <c r="I75" t="e">
        <f>$C$14*ReDiarioFert!G64</f>
        <v>#DIV/0!</v>
      </c>
      <c r="K75">
        <f>$C$14*ReDiarioFert!I64</f>
        <v>10.03372131383189</v>
      </c>
      <c r="M75">
        <f>$C$14*ReDiarioFert!K64</f>
        <v>20.682100962962963</v>
      </c>
      <c r="O75">
        <f>$C$14*ReDiarioFert!M64</f>
        <v>159.98243902439023</v>
      </c>
      <c r="S75" t="e">
        <f>((E75/100)*$G$134+(G75/100)*$G$135+(I75/100)*$G$136+(K75/100)*$G$137+(M75/100)*$G$138+(O75)*$G$139+(Q75*$G$140))</f>
        <v>#DIV/0!</v>
      </c>
    </row>
    <row r="76">
      <c r="B76">
        <v>59</v>
      </c>
      <c r="C76">
        <f>$I$13+B76</f>
        <v>40024</v>
      </c>
      <c r="E76" t="e">
        <f>IF($C$14*ReDiarioFert!C65&lt;=0,"0",$C$14*ReDiarioFert!C65)</f>
        <v>#DIV/0!</v>
      </c>
      <c r="G76" t="e">
        <f>$C$14*ReDiarioFert!E65</f>
        <v>#DIV/0!</v>
      </c>
      <c r="I76" t="e">
        <f>$C$14*ReDiarioFert!G65</f>
        <v>#DIV/0!</v>
      </c>
      <c r="K76">
        <f>$C$14*ReDiarioFert!I65</f>
        <v>10.03372131383189</v>
      </c>
      <c r="M76">
        <f>$C$14*ReDiarioFert!K65</f>
        <v>20.682100962962963</v>
      </c>
      <c r="O76">
        <f>$C$14*ReDiarioFert!M65</f>
        <v>159.98243902439023</v>
      </c>
      <c r="S76" t="e">
        <f>((E76/100)*$G$134+(G76/100)*$G$135+(I76/100)*$G$136+(K76/100)*$G$137+(M76/100)*$G$138+(O76)*$G$139+(Q76*$G$140))</f>
        <v>#DIV/0!</v>
      </c>
    </row>
    <row r="77">
      <c r="B77">
        <v>60</v>
      </c>
      <c r="C77">
        <f>$I$13+B77</f>
        <v>40025</v>
      </c>
      <c r="E77" t="e">
        <f>IF($C$14*ReDiarioFert!C66&lt;=0,"0",$C$14*ReDiarioFert!C66)</f>
        <v>#DIV/0!</v>
      </c>
      <c r="G77" t="e">
        <f>$C$14*ReDiarioFert!E66</f>
        <v>#DIV/0!</v>
      </c>
      <c r="I77" t="e">
        <f>$C$14*ReDiarioFert!G66</f>
        <v>#DIV/0!</v>
      </c>
      <c r="K77">
        <f>$C$14*ReDiarioFert!I66</f>
        <v>10.03372131383189</v>
      </c>
      <c r="M77">
        <f>$C$14*ReDiarioFert!K66</f>
        <v>20.682100962962963</v>
      </c>
      <c r="O77">
        <f>$C$14*ReDiarioFert!M66</f>
        <v>159.98243902439023</v>
      </c>
      <c r="S77" t="e">
        <f>((E77/100)*$G$134+(G77/100)*$G$135+(I77/100)*$G$136+(K77/100)*$G$137+(M77/100)*$G$138+(O77)*$G$139+(Q77*$G$140))</f>
        <v>#DIV/0!</v>
      </c>
    </row>
    <row r="78">
      <c r="B78">
        <v>61</v>
      </c>
      <c r="C78">
        <f>$I$13+B78</f>
        <v>40026</v>
      </c>
      <c r="E78" t="e">
        <f>IF($C$14*ReDiarioFert!C67&lt;=0,"0",$C$14*ReDiarioFert!C67)</f>
        <v>#DIV/0!</v>
      </c>
      <c r="G78" t="e">
        <f>$C$14*ReDiarioFert!E67</f>
        <v>#DIV/0!</v>
      </c>
      <c r="I78" t="e">
        <f>$C$14*ReDiarioFert!G67</f>
        <v>#DIV/0!</v>
      </c>
      <c r="K78">
        <f>$C$14*ReDiarioFert!I67</f>
        <v>14.399714859115798</v>
      </c>
      <c r="M78">
        <f>$C$14*ReDiarioFert!K67</f>
        <v>29.68154558404558</v>
      </c>
      <c r="O78">
        <f>$C$14*ReDiarioFert!M67</f>
        <v>159.98243902439023</v>
      </c>
      <c r="S78" t="e">
        <f>((E78/100)*$G$134+(G78/100)*$G$135+(I78/100)*$G$136+(K78/100)*$G$137+(M78/100)*$G$138+(O78)*$G$139+(Q78*$G$140))</f>
        <v>#DIV/0!</v>
      </c>
    </row>
    <row r="79">
      <c r="B79">
        <v>62</v>
      </c>
      <c r="C79">
        <f>$I$13+B79</f>
        <v>40027</v>
      </c>
      <c r="E79" t="e">
        <f>IF($C$14*ReDiarioFert!C68&lt;=0,"0",$C$14*ReDiarioFert!C68)</f>
        <v>#DIV/0!</v>
      </c>
      <c r="G79" t="e">
        <f>$C$14*ReDiarioFert!E68</f>
        <v>#DIV/0!</v>
      </c>
      <c r="I79" t="e">
        <f>$C$14*ReDiarioFert!G68</f>
        <v>#DIV/0!</v>
      </c>
      <c r="K79">
        <f>$C$14*ReDiarioFert!I68</f>
        <v>14.399714859115798</v>
      </c>
      <c r="M79">
        <f>$C$14*ReDiarioFert!K68</f>
        <v>29.68154558404558</v>
      </c>
      <c r="O79">
        <f>$C$14*ReDiarioFert!M68</f>
        <v>159.98243902439023</v>
      </c>
      <c r="S79" t="e">
        <f>((E79/100)*$G$134+(G79/100)*$G$135+(I79/100)*$G$136+(K79/100)*$G$137+(M79/100)*$G$138+(O79)*$G$139+(Q79*$G$140))</f>
        <v>#DIV/0!</v>
      </c>
    </row>
    <row r="80">
      <c r="B80">
        <v>63</v>
      </c>
      <c r="C80">
        <f>$I$13+B80</f>
        <v>40028</v>
      </c>
      <c r="E80" t="e">
        <f>IF($C$14*ReDiarioFert!C69&lt;=0,"0",$C$14*ReDiarioFert!C69)</f>
        <v>#DIV/0!</v>
      </c>
      <c r="G80" t="e">
        <f>$C$14*ReDiarioFert!E69</f>
        <v>#DIV/0!</v>
      </c>
      <c r="I80" t="e">
        <f>$C$14*ReDiarioFert!G69</f>
        <v>#DIV/0!</v>
      </c>
      <c r="K80">
        <f>$C$14*ReDiarioFert!I69</f>
        <v>14.399714859115798</v>
      </c>
      <c r="M80">
        <f>$C$14*ReDiarioFert!K69</f>
        <v>29.68154558404558</v>
      </c>
      <c r="O80">
        <f>$C$14*ReDiarioFert!M69</f>
        <v>201.71746341463415</v>
      </c>
      <c r="S80" t="e">
        <f>((E80/100)*$G$134+(G80/100)*$G$135+(I80/100)*$G$136+(K80/100)*$G$137+(M80/100)*$G$138+(O80)*$G$139+(Q80*$G$140))</f>
        <v>#DIV/0!</v>
      </c>
    </row>
    <row r="81">
      <c r="A81">
        <v>10</v>
      </c>
      <c r="B81">
        <v>64</v>
      </c>
      <c r="C81">
        <f>$I$13+B81</f>
        <v>40029</v>
      </c>
      <c r="E81" t="e">
        <f>IF($C$14*ReDiarioFert!C70&lt;=0,"0",$C$14*ReDiarioFert!C70)</f>
        <v>#DIV/0!</v>
      </c>
      <c r="G81" t="e">
        <f>$C$14*ReDiarioFert!E70</f>
        <v>#DIV/0!</v>
      </c>
      <c r="I81" t="e">
        <f>$C$14*ReDiarioFert!G70</f>
        <v>#DIV/0!</v>
      </c>
      <c r="K81">
        <f>$C$14*ReDiarioFert!I70</f>
        <v>14.399714859115798</v>
      </c>
      <c r="M81">
        <f>$C$14*ReDiarioFert!K70</f>
        <v>29.68154558404558</v>
      </c>
      <c r="O81">
        <f>$C$14*ReDiarioFert!M70</f>
        <v>201.71746341463415</v>
      </c>
      <c r="Q81">
        <f>$C$14*Main!$D$63</f>
        <v>28</v>
      </c>
      <c r="S81" t="e">
        <f>((E81/100)*$G$134+(G81/100)*$G$135+(I81/100)*$G$136+(K81/100)*$G$137+(M81/100)*$G$138+(O81)*$G$139+(Q81*$G$140))</f>
        <v>#DIV/0!</v>
      </c>
    </row>
    <row r="82">
      <c r="B82">
        <v>65</v>
      </c>
      <c r="C82">
        <f>$I$13+B82</f>
        <v>40030</v>
      </c>
      <c r="E82" t="e">
        <f>IF($C$14*ReDiarioFert!C71&lt;=0,"0",$C$14*ReDiarioFert!C71)</f>
        <v>#DIV/0!</v>
      </c>
      <c r="G82" t="e">
        <f>$C$14*ReDiarioFert!E71</f>
        <v>#DIV/0!</v>
      </c>
      <c r="I82" t="e">
        <f>$C$14*ReDiarioFert!G71</f>
        <v>#DIV/0!</v>
      </c>
      <c r="K82">
        <f>$C$14*ReDiarioFert!I71</f>
        <v>14.399714859115798</v>
      </c>
      <c r="M82">
        <f>$C$14*ReDiarioFert!K71</f>
        <v>29.68154558404558</v>
      </c>
      <c r="O82">
        <f>$C$14*ReDiarioFert!M71</f>
        <v>201.71746341463415</v>
      </c>
      <c r="S82" t="e">
        <f>((E82/100)*$G$134+(G82/100)*$G$135+(I82/100)*$G$136+(K82/100)*$G$137+(M82/100)*$G$138+(O82)*$G$139+(Q82*$G$140))</f>
        <v>#DIV/0!</v>
      </c>
    </row>
    <row r="83">
      <c r="B83">
        <v>66</v>
      </c>
      <c r="C83">
        <f>$I$13+B83</f>
        <v>40031</v>
      </c>
      <c r="E83" t="e">
        <f>IF($C$14*ReDiarioFert!C72&lt;=0,"0",$C$14*ReDiarioFert!C72)</f>
        <v>#DIV/0!</v>
      </c>
      <c r="G83" t="e">
        <f>$C$14*ReDiarioFert!E72</f>
        <v>#DIV/0!</v>
      </c>
      <c r="I83" t="e">
        <f>$C$14*ReDiarioFert!G72</f>
        <v>#DIV/0!</v>
      </c>
      <c r="K83">
        <f>$C$14*ReDiarioFert!I72</f>
        <v>14.399714859115798</v>
      </c>
      <c r="M83">
        <f>$C$14*ReDiarioFert!K72</f>
        <v>29.68154558404558</v>
      </c>
      <c r="O83">
        <f>$C$14*ReDiarioFert!M72</f>
        <v>201.71746341463415</v>
      </c>
      <c r="S83" t="e">
        <f>((E83/100)*$G$134+(G83/100)*$G$135+(I83/100)*$G$136+(K83/100)*$G$137+(M83/100)*$G$138+(O83)*$G$139+(Q83*$G$140))</f>
        <v>#DIV/0!</v>
      </c>
    </row>
    <row r="84">
      <c r="B84">
        <v>67</v>
      </c>
      <c r="C84">
        <f>$I$13+B84</f>
        <v>40032</v>
      </c>
      <c r="E84" t="e">
        <f>IF($C$14*ReDiarioFert!C73&lt;=0,"0",$C$14*ReDiarioFert!C73)</f>
        <v>#DIV/0!</v>
      </c>
      <c r="G84" t="e">
        <f>$C$14*ReDiarioFert!E73</f>
        <v>#DIV/0!</v>
      </c>
      <c r="I84" t="e">
        <f>$C$14*ReDiarioFert!G73</f>
        <v>#DIV/0!</v>
      </c>
      <c r="K84">
        <f>$C$14*ReDiarioFert!I73</f>
        <v>14.399714859115798</v>
      </c>
      <c r="M84">
        <f>$C$14*ReDiarioFert!K73</f>
        <v>29.68154558404558</v>
      </c>
      <c r="O84">
        <f>$C$14*ReDiarioFert!M73</f>
        <v>201.71746341463415</v>
      </c>
      <c r="S84" t="e">
        <f>((E84/100)*$G$134+(G84/100)*$G$135+(I84/100)*$G$136+(K84/100)*$G$137+(M84/100)*$G$138+(O84)*$G$139+(Q84*$G$140))</f>
        <v>#DIV/0!</v>
      </c>
    </row>
    <row r="85">
      <c r="B85">
        <v>68</v>
      </c>
      <c r="C85">
        <f>$I$13+B85</f>
        <v>40033</v>
      </c>
      <c r="E85" t="e">
        <f>IF($C$14*ReDiarioFert!C74&lt;=0,"0",$C$14*ReDiarioFert!C74)</f>
        <v>#DIV/0!</v>
      </c>
      <c r="G85" t="e">
        <f>$C$14*ReDiarioFert!E74</f>
        <v>#DIV/0!</v>
      </c>
      <c r="I85" t="e">
        <f>$C$14*ReDiarioFert!G74</f>
        <v>#DIV/0!</v>
      </c>
      <c r="K85">
        <f>$C$14*ReDiarioFert!I74</f>
        <v>14.399714859115798</v>
      </c>
      <c r="M85">
        <f>$C$14*ReDiarioFert!K74</f>
        <v>29.68154558404558</v>
      </c>
      <c r="O85">
        <f>$C$14*ReDiarioFert!M74</f>
        <v>201.71746341463415</v>
      </c>
      <c r="S85" t="e">
        <f>((E85/100)*$G$134+(G85/100)*$G$135+(I85/100)*$G$136+(K85/100)*$G$137+(M85/100)*$G$138+(O85)*$G$139+(Q85*$G$140))</f>
        <v>#DIV/0!</v>
      </c>
    </row>
    <row r="86">
      <c r="B86">
        <v>69</v>
      </c>
      <c r="C86">
        <f>$I$13+B86</f>
        <v>40034</v>
      </c>
      <c r="E86" t="e">
        <f>IF($C$14*ReDiarioFert!C75&lt;=0,"0",$C$14*ReDiarioFert!C75)</f>
        <v>#DIV/0!</v>
      </c>
      <c r="G86" t="e">
        <f>$C$14*ReDiarioFert!E75</f>
        <v>#DIV/0!</v>
      </c>
      <c r="I86" t="e">
        <f>$C$14*ReDiarioFert!G75</f>
        <v>#DIV/0!</v>
      </c>
      <c r="K86">
        <f>$C$14*ReDiarioFert!I75</f>
        <v>14.399714859115798</v>
      </c>
      <c r="M86">
        <f>$C$14*ReDiarioFert!K75</f>
        <v>29.68154558404558</v>
      </c>
      <c r="O86">
        <f>$C$14*ReDiarioFert!M75</f>
        <v>201.71746341463415</v>
      </c>
      <c r="S86" t="e">
        <f>((E86/100)*$G$134+(G86/100)*$G$135+(I86/100)*$G$136+(K86/100)*$G$137+(M86/100)*$G$138+(O86)*$G$139+(Q86*$G$140))</f>
        <v>#DIV/0!</v>
      </c>
    </row>
    <row r="87">
      <c r="B87">
        <v>70</v>
      </c>
      <c r="C87">
        <f>$I$13+B87</f>
        <v>40035</v>
      </c>
      <c r="E87" t="e">
        <f>IF($C$14*ReDiarioFert!C76&lt;=0,"0",$C$14*ReDiarioFert!C76)</f>
        <v>#DIV/0!</v>
      </c>
      <c r="G87" t="e">
        <f>$C$14*ReDiarioFert!E76</f>
        <v>#DIV/0!</v>
      </c>
      <c r="I87" t="e">
        <f>$C$14*ReDiarioFert!G76</f>
        <v>#DIV/0!</v>
      </c>
      <c r="K87">
        <f>$C$14*ReDiarioFert!I76</f>
        <v>14.399714859115798</v>
      </c>
      <c r="M87">
        <f>$C$14*ReDiarioFert!K76</f>
        <v>29.68154558404558</v>
      </c>
      <c r="O87">
        <f>$C$14*ReDiarioFert!M76</f>
        <v>201.71746341463415</v>
      </c>
      <c r="S87" t="e">
        <f>((E87/100)*$G$134+(G87/100)*$G$135+(I87/100)*$G$136+(K87/100)*$G$137+(M87/100)*$G$138+(O87)*$G$139+(Q87*$G$140))</f>
        <v>#DIV/0!</v>
      </c>
    </row>
    <row r="88">
      <c r="A88">
        <v>11</v>
      </c>
      <c r="B88">
        <v>71</v>
      </c>
      <c r="C88">
        <f>$I$13+B88</f>
        <v>40036</v>
      </c>
      <c r="E88" t="e">
        <f>IF($C$14*ReDiarioFert!C77&lt;=0,"0",$C$14*ReDiarioFert!C77)</f>
        <v>#DIV/0!</v>
      </c>
      <c r="G88" t="e">
        <f>$C$14*ReDiarioFert!E77</f>
        <v>#DIV/0!</v>
      </c>
      <c r="I88" t="e">
        <f>$C$14*ReDiarioFert!G77</f>
        <v>#DIV/0!</v>
      </c>
      <c r="K88">
        <f>$C$14*ReDiarioFert!I77</f>
        <v>14.399714859115798</v>
      </c>
      <c r="M88">
        <f>$C$14*ReDiarioFert!K77</f>
        <v>29.68154558404558</v>
      </c>
      <c r="O88">
        <f>$C$14*ReDiarioFert!M77</f>
        <v>201.71746341463415</v>
      </c>
      <c r="Q88">
        <f>$C$14*Main!$D$63</f>
        <v>28</v>
      </c>
      <c r="S88" t="e">
        <f>((E88/100)*$G$134+(G88/100)*$G$135+(I88/100)*$G$136+(K88/100)*$G$137+(M88/100)*$G$138+(O88)*$G$139+(Q88*$G$140))</f>
        <v>#DIV/0!</v>
      </c>
    </row>
    <row r="89">
      <c r="B89">
        <v>72</v>
      </c>
      <c r="C89">
        <f>$I$13+B89</f>
        <v>40037</v>
      </c>
      <c r="E89" t="e">
        <f>IF($C$14*ReDiarioFert!C78&lt;=0,"0",$C$14*ReDiarioFert!C78)</f>
        <v>#DIV/0!</v>
      </c>
      <c r="G89" t="e">
        <f>$C$14*ReDiarioFert!E78</f>
        <v>#DIV/0!</v>
      </c>
      <c r="I89" t="e">
        <f>$C$14*ReDiarioFert!G78</f>
        <v>#DIV/0!</v>
      </c>
      <c r="K89">
        <f>$C$14*ReDiarioFert!I78</f>
        <v>14.399714859115798</v>
      </c>
      <c r="M89">
        <f>$C$14*ReDiarioFert!K78</f>
        <v>29.68154558404558</v>
      </c>
      <c r="O89">
        <f>$C$14*ReDiarioFert!M78</f>
        <v>201.71746341463415</v>
      </c>
      <c r="S89" t="e">
        <f>((E89/100)*$G$134+(G89/100)*$G$135+(I89/100)*$G$136+(K89/100)*$G$137+(M89/100)*$G$138+(O89)*$G$139+(Q89*$G$140))</f>
        <v>#DIV/0!</v>
      </c>
    </row>
    <row r="90">
      <c r="B90">
        <v>73</v>
      </c>
      <c r="C90">
        <f>$I$13+B90</f>
        <v>40038</v>
      </c>
      <c r="E90" t="e">
        <f>IF($C$14*ReDiarioFert!C79&lt;=0,"0",$C$14*ReDiarioFert!C79)</f>
        <v>#DIV/0!</v>
      </c>
      <c r="G90" t="e">
        <f>$C$14*ReDiarioFert!E79</f>
        <v>#DIV/0!</v>
      </c>
      <c r="I90" t="e">
        <f>$C$14*ReDiarioFert!G79</f>
        <v>#DIV/0!</v>
      </c>
      <c r="K90">
        <f>$C$14*ReDiarioFert!I79</f>
        <v>14.399714859115798</v>
      </c>
      <c r="M90">
        <f>$C$14*ReDiarioFert!K79</f>
        <v>29.68154558404558</v>
      </c>
      <c r="O90">
        <f>$C$14*ReDiarioFert!M79</f>
        <v>201.71746341463415</v>
      </c>
      <c r="S90" t="e">
        <f>((E90/100)*$G$134+(G90/100)*$G$135+(I90/100)*$G$136+(K90/100)*$G$137+(M90/100)*$G$138+(O90)*$G$139+(Q90*$G$140))</f>
        <v>#DIV/0!</v>
      </c>
    </row>
    <row r="91">
      <c r="B91">
        <v>74</v>
      </c>
      <c r="C91">
        <f>$I$13+B91</f>
        <v>40039</v>
      </c>
      <c r="E91" t="e">
        <f>IF($C$14*ReDiarioFert!C80&lt;=0,"0",$C$14*ReDiarioFert!C80)</f>
        <v>#DIV/0!</v>
      </c>
      <c r="G91" t="e">
        <f>$C$14*ReDiarioFert!E80</f>
        <v>#DIV/0!</v>
      </c>
      <c r="I91" t="e">
        <f>$C$14*ReDiarioFert!G80</f>
        <v>#DIV/0!</v>
      </c>
      <c r="K91">
        <f>$C$14*ReDiarioFert!I80</f>
        <v>3.8508951737521113</v>
      </c>
      <c r="M91">
        <f>$C$14*ReDiarioFert!K80</f>
        <v>7.937693333333334</v>
      </c>
      <c r="O91">
        <f>$C$14*ReDiarioFert!M80</f>
        <v>201.71746341463415</v>
      </c>
      <c r="S91" t="e">
        <f>((E91/100)*$G$134+(G91/100)*$G$135+(I91/100)*$G$136+(K91/100)*$G$137+(M91/100)*$G$138+(O91)*$G$139+(Q91*$G$140))</f>
        <v>#DIV/0!</v>
      </c>
    </row>
    <row r="92">
      <c r="B92">
        <v>75</v>
      </c>
      <c r="C92">
        <f>$I$13+B92</f>
        <v>40040</v>
      </c>
      <c r="E92" t="e">
        <f>IF($C$14*ReDiarioFert!C81&lt;=0,"0",$C$14*ReDiarioFert!C81)</f>
        <v>#DIV/0!</v>
      </c>
      <c r="G92" t="e">
        <f>$C$14*ReDiarioFert!E81</f>
        <v>#DIV/0!</v>
      </c>
      <c r="I92" t="e">
        <f>$C$14*ReDiarioFert!G81</f>
        <v>#DIV/0!</v>
      </c>
      <c r="K92">
        <f>$C$14*ReDiarioFert!I81</f>
        <v>3.8508951737521113</v>
      </c>
      <c r="M92">
        <f>$C$14*ReDiarioFert!K81</f>
        <v>7.937693333333334</v>
      </c>
      <c r="O92">
        <f>$C$14*ReDiarioFert!M81</f>
        <v>201.71746341463415</v>
      </c>
      <c r="S92" t="e">
        <f>((E92/100)*$G$134+(G92/100)*$G$135+(I92/100)*$G$136+(K92/100)*$G$137+(M92/100)*$G$138+(O92)*$G$139+(Q92*$G$140))</f>
        <v>#DIV/0!</v>
      </c>
    </row>
    <row r="93">
      <c r="B93">
        <v>76</v>
      </c>
      <c r="C93">
        <f>$I$13+B93</f>
        <v>40041</v>
      </c>
      <c r="E93" t="e">
        <f>IF($C$14*ReDiarioFert!C82&lt;=0,"0",$C$14*ReDiarioFert!C82)</f>
        <v>#DIV/0!</v>
      </c>
      <c r="G93" t="e">
        <f>$C$14*ReDiarioFert!E82</f>
        <v>#DIV/0!</v>
      </c>
      <c r="I93" t="e">
        <f>$C$14*ReDiarioFert!G82</f>
        <v>#DIV/0!</v>
      </c>
      <c r="K93">
        <f>$C$14*ReDiarioFert!I82</f>
        <v>3.8508951737521113</v>
      </c>
      <c r="M93">
        <f>$C$14*ReDiarioFert!K82</f>
        <v>7.937693333333334</v>
      </c>
      <c r="O93">
        <f>$C$14*ReDiarioFert!M82</f>
        <v>201.71746341463415</v>
      </c>
      <c r="S93" t="e">
        <f>((E93/100)*$G$134+(G93/100)*$G$135+(I93/100)*$G$136+(K93/100)*$G$137+(M93/100)*$G$138+(O93)*$G$139+(Q93*$G$140))</f>
        <v>#DIV/0!</v>
      </c>
    </row>
    <row r="94">
      <c r="B94">
        <v>77</v>
      </c>
      <c r="C94">
        <f>$I$13+B94</f>
        <v>40042</v>
      </c>
      <c r="E94" t="e">
        <f>IF($C$14*ReDiarioFert!C83&lt;=0,"0",$C$14*ReDiarioFert!C83)</f>
        <v>#DIV/0!</v>
      </c>
      <c r="G94" t="e">
        <f>$C$14*ReDiarioFert!E83</f>
        <v>#DIV/0!</v>
      </c>
      <c r="I94" t="e">
        <f>$C$14*ReDiarioFert!G83</f>
        <v>#DIV/0!</v>
      </c>
      <c r="K94">
        <f>$C$14*ReDiarioFert!I83</f>
        <v>3.8508951737521113</v>
      </c>
      <c r="M94">
        <f>$C$14*ReDiarioFert!K83</f>
        <v>7.937693333333334</v>
      </c>
      <c r="O94">
        <f>$C$14*ReDiarioFert!M83</f>
        <v>201.71746341463415</v>
      </c>
      <c r="S94" t="e">
        <f>((E94/100)*$G$134+(G94/100)*$G$135+(I94/100)*$G$136+(K94/100)*$G$137+(M94/100)*$G$138+(O94)*$G$139+(Q94*$G$140))</f>
        <v>#DIV/0!</v>
      </c>
    </row>
    <row r="95">
      <c r="A95">
        <v>12</v>
      </c>
      <c r="B95">
        <v>78</v>
      </c>
      <c r="C95">
        <f>$I$13+B95</f>
        <v>40043</v>
      </c>
      <c r="E95" t="e">
        <f>IF($C$14*ReDiarioFert!C84&lt;=0,"0",$C$14*ReDiarioFert!C84)</f>
        <v>#DIV/0!</v>
      </c>
      <c r="G95" t="e">
        <f>$C$14*ReDiarioFert!E84</f>
        <v>#DIV/0!</v>
      </c>
      <c r="I95" t="e">
        <f>$C$14*ReDiarioFert!G84</f>
        <v>#DIV/0!</v>
      </c>
      <c r="K95">
        <f>$C$14*ReDiarioFert!I84</f>
        <v>3.8508951737521113</v>
      </c>
      <c r="M95">
        <f>$C$14*ReDiarioFert!K84</f>
        <v>7.937693333333334</v>
      </c>
      <c r="O95">
        <f>$C$14*ReDiarioFert!M84</f>
        <v>201.71746341463415</v>
      </c>
      <c r="Q95">
        <f>$C$14*Main!$D$63</f>
        <v>28</v>
      </c>
      <c r="S95" t="e">
        <f>((E95/100)*$G$134+(G95/100)*$G$135+(I95/100)*$G$136+(K95/100)*$G$137+(M95/100)*$G$138+(O95)*$G$139+(Q95*$G$140))</f>
        <v>#DIV/0!</v>
      </c>
    </row>
    <row r="96">
      <c r="B96">
        <v>79</v>
      </c>
      <c r="C96">
        <f>$I$13+B96</f>
        <v>40044</v>
      </c>
      <c r="E96" t="e">
        <f>IF($C$14*ReDiarioFert!C85&lt;=0,"0",$C$14*ReDiarioFert!C85)</f>
        <v>#DIV/0!</v>
      </c>
      <c r="G96" t="e">
        <f>$C$14*ReDiarioFert!E85</f>
        <v>#DIV/0!</v>
      </c>
      <c r="I96" t="e">
        <f>$C$14*ReDiarioFert!G85</f>
        <v>#DIV/0!</v>
      </c>
      <c r="K96">
        <f>$C$14*ReDiarioFert!I85</f>
        <v>3.8508951737521113</v>
      </c>
      <c r="M96">
        <f>$C$14*ReDiarioFert!K85</f>
        <v>7.937693333333334</v>
      </c>
      <c r="O96">
        <f>$C$14*ReDiarioFert!M85</f>
        <v>201.71746341463415</v>
      </c>
      <c r="S96" t="e">
        <f>((E96/100)*$G$134+(G96/100)*$G$135+(I96/100)*$G$136+(K96/100)*$G$137+(M96/100)*$G$138+(O96)*$G$139+(Q96*$G$140))</f>
        <v>#DIV/0!</v>
      </c>
    </row>
    <row r="97">
      <c r="B97">
        <v>80</v>
      </c>
      <c r="C97">
        <f>$I$13+B97</f>
        <v>40045</v>
      </c>
      <c r="E97" t="e">
        <f>IF($C$14*ReDiarioFert!C86&lt;=0,"0",$C$14*ReDiarioFert!C86)</f>
        <v>#DIV/0!</v>
      </c>
      <c r="G97" t="e">
        <f>$C$14*ReDiarioFert!E86</f>
        <v>#DIV/0!</v>
      </c>
      <c r="I97" t="e">
        <f>$C$14*ReDiarioFert!G86</f>
        <v>#DIV/0!</v>
      </c>
      <c r="K97">
        <f>$C$14*ReDiarioFert!I86</f>
        <v>3.8508951737521113</v>
      </c>
      <c r="M97">
        <f>$C$14*ReDiarioFert!K86</f>
        <v>7.937693333333334</v>
      </c>
      <c r="O97">
        <f>$C$14*ReDiarioFert!M86</f>
        <v>201.71746341463415</v>
      </c>
      <c r="S97" t="e">
        <f>((E97/100)*$G$134+(G97/100)*$G$135+(I97/100)*$G$136+(K97/100)*$G$137+(M97/100)*$G$138+(O97)*$G$139+(Q97*$G$140))</f>
        <v>#DIV/0!</v>
      </c>
    </row>
    <row r="98">
      <c r="B98">
        <v>81</v>
      </c>
      <c r="C98">
        <f>$I$13+B98</f>
        <v>40046</v>
      </c>
      <c r="E98" t="e">
        <f>IF($C$14*ReDiarioFert!C87&lt;=0,"0",$C$14*ReDiarioFert!C87)</f>
        <v>#DIV/0!</v>
      </c>
      <c r="G98" t="e">
        <f>$C$14*ReDiarioFert!E87</f>
        <v>#DIV/0!</v>
      </c>
      <c r="I98" t="e">
        <f>$C$14*ReDiarioFert!G87</f>
        <v>#DIV/0!</v>
      </c>
      <c r="K98">
        <f>$C$14*ReDiarioFert!I87</f>
        <v>3.8508951737521113</v>
      </c>
      <c r="M98">
        <f>$C$14*ReDiarioFert!K87</f>
        <v>7.937693333333334</v>
      </c>
      <c r="O98">
        <f>$C$14*ReDiarioFert!M87</f>
        <v>243.4518048780488</v>
      </c>
      <c r="S98" t="e">
        <f>((E98/100)*$G$134+(G98/100)*$G$135+(I98/100)*$G$136+(K98/100)*$G$137+(M98/100)*$G$138+(O98)*$G$139+(Q98*$G$140))</f>
        <v>#DIV/0!</v>
      </c>
    </row>
    <row r="99">
      <c r="B99">
        <v>82</v>
      </c>
      <c r="C99">
        <f>$I$13+B99</f>
        <v>40047</v>
      </c>
      <c r="E99" t="e">
        <f>IF($C$14*ReDiarioFert!C88&lt;=0,"0",$C$14*ReDiarioFert!C88)</f>
        <v>#DIV/0!</v>
      </c>
      <c r="G99" t="e">
        <f>$C$14*ReDiarioFert!E88</f>
        <v>#DIV/0!</v>
      </c>
      <c r="I99" t="e">
        <f>$C$14*ReDiarioFert!G88</f>
        <v>#DIV/0!</v>
      </c>
      <c r="K99">
        <f>$C$14*ReDiarioFert!I88</f>
        <v>3.8508951737521113</v>
      </c>
      <c r="M99">
        <f>$C$14*ReDiarioFert!K88</f>
        <v>7.937693333333334</v>
      </c>
      <c r="O99">
        <f>$C$14*ReDiarioFert!M88</f>
        <v>243.4518048780488</v>
      </c>
      <c r="S99" t="e">
        <f>((E99/100)*$G$134+(G99/100)*$G$135+(I99/100)*$G$136+(K99/100)*$G$137+(M99/100)*$G$138+(O99)*$G$139+(Q99*$G$140))</f>
        <v>#DIV/0!</v>
      </c>
    </row>
    <row r="100">
      <c r="B100">
        <v>83</v>
      </c>
      <c r="C100">
        <f>$I$13+B100</f>
        <v>40048</v>
      </c>
      <c r="E100" t="e">
        <f>IF($C$14*ReDiarioFert!C89&lt;=0,"0",$C$14*ReDiarioFert!C89)</f>
        <v>#DIV/0!</v>
      </c>
      <c r="G100" t="e">
        <f>$C$14*ReDiarioFert!E89</f>
        <v>#DIV/0!</v>
      </c>
      <c r="I100" t="e">
        <f>$C$14*ReDiarioFert!G89</f>
        <v>#DIV/0!</v>
      </c>
      <c r="K100">
        <f>$C$14*ReDiarioFert!I89</f>
        <v>3.8508951737521113</v>
      </c>
      <c r="M100">
        <f>$C$14*ReDiarioFert!K89</f>
        <v>7.937693333333334</v>
      </c>
      <c r="O100">
        <f>$C$14*ReDiarioFert!M89</f>
        <v>243.4518048780488</v>
      </c>
      <c r="S100" t="e">
        <f>((E100/100)*$G$134+(G100/100)*$G$135+(I100/100)*$G$136+(K100/100)*$G$137+(M100/100)*$G$138+(O100)*$G$139+(Q100*$G$140))</f>
        <v>#DIV/0!</v>
      </c>
    </row>
    <row r="101">
      <c r="B101">
        <v>84</v>
      </c>
      <c r="C101">
        <f>$I$13+B101</f>
        <v>40049</v>
      </c>
      <c r="E101" t="e">
        <f>IF($C$14*ReDiarioFert!C90&lt;=0,"0",$C$14*ReDiarioFert!C90)</f>
        <v>#DIV/0!</v>
      </c>
      <c r="G101" t="e">
        <f>$C$14*ReDiarioFert!E90</f>
        <v>#DIV/0!</v>
      </c>
      <c r="I101" t="e">
        <f>$C$14*ReDiarioFert!G90</f>
        <v>#DIV/0!</v>
      </c>
      <c r="K101">
        <f>$C$14*ReDiarioFert!I90</f>
        <v>3.8508951737521113</v>
      </c>
      <c r="M101">
        <f>$C$14*ReDiarioFert!K90</f>
        <v>7.937693333333334</v>
      </c>
      <c r="O101">
        <f>$C$14*ReDiarioFert!M90</f>
        <v>243.4518048780488</v>
      </c>
      <c r="S101" t="e">
        <f>((E101/100)*$G$134+(G101/100)*$G$135+(I101/100)*$G$136+(K101/100)*$G$137+(M101/100)*$G$138+(O101)*$G$139+(Q101*$G$140))</f>
        <v>#DIV/0!</v>
      </c>
    </row>
    <row r="102" ht="18" customHeight="1">
      <c r="A102">
        <v>13</v>
      </c>
      <c r="B102">
        <v>85</v>
      </c>
      <c r="C102">
        <f>$I$13+B102</f>
        <v>40050</v>
      </c>
      <c r="E102" t="e">
        <f>IF($C$14*ReDiarioFert!C91&lt;=0,"0",$C$14*ReDiarioFert!C91)</f>
        <v>#DIV/0!</v>
      </c>
      <c r="G102" t="e">
        <f>$C$14*ReDiarioFert!E91</f>
        <v>#DIV/0!</v>
      </c>
      <c r="I102" t="e">
        <f>$C$14*ReDiarioFert!G91</f>
        <v>#DIV/0!</v>
      </c>
      <c r="K102">
        <f>$C$14*ReDiarioFert!I91</f>
        <v>3.8508951737521113</v>
      </c>
      <c r="M102">
        <f>$C$14*ReDiarioFert!K91</f>
        <v>7.937693333333334</v>
      </c>
      <c r="O102">
        <f>$C$14*ReDiarioFert!M91</f>
        <v>243.4518048780488</v>
      </c>
      <c r="Q102">
        <f>$C$14*Main!$D$63</f>
        <v>28</v>
      </c>
      <c r="S102" t="e">
        <f>((E102/100)*$G$134+(G102/100)*$G$135+(I102/100)*$G$136+(K102/100)*$G$137+(M102/100)*$G$138+(O102)*$G$139+(Q102*$G$140))</f>
        <v>#DIV/0!</v>
      </c>
    </row>
    <row r="103" ht="18" customHeight="1">
      <c r="B103">
        <v>86</v>
      </c>
      <c r="C103">
        <f>$I$13+B103</f>
        <v>40051</v>
      </c>
      <c r="E103" t="e">
        <f>IF($C$14*ReDiarioFert!C92&lt;=0,"0",$C$14*ReDiarioFert!C92)</f>
        <v>#DIV/0!</v>
      </c>
      <c r="G103" t="e">
        <f>$C$14*ReDiarioFert!E92</f>
        <v>#DIV/0!</v>
      </c>
      <c r="I103" t="e">
        <f>$C$14*ReDiarioFert!G92</f>
        <v>#DIV/0!</v>
      </c>
      <c r="K103">
        <f>$C$14*ReDiarioFert!I92</f>
        <v>3.8508951737521113</v>
      </c>
      <c r="M103">
        <f>$C$14*ReDiarioFert!K92</f>
        <v>7.937693333333334</v>
      </c>
      <c r="O103">
        <f>$C$14*ReDiarioFert!M92</f>
        <v>243.4518048780488</v>
      </c>
      <c r="S103" t="e">
        <f>((E103/100)*$G$134+(G103/100)*$G$135+(I103/100)*$G$136+(K103/100)*$G$137+(M103/100)*$G$138+(O103)*$G$139+(Q103*$G$140))</f>
        <v>#DIV/0!</v>
      </c>
    </row>
    <row r="104" ht="18" customHeight="1">
      <c r="B104">
        <v>87</v>
      </c>
      <c r="C104">
        <f>$I$13+B104</f>
        <v>40052</v>
      </c>
      <c r="E104" t="e">
        <f>IF($C$14*ReDiarioFert!C93&lt;=0,"0",$C$14*ReDiarioFert!C93)</f>
        <v>#DIV/0!</v>
      </c>
      <c r="G104" t="e">
        <f>$C$14*ReDiarioFert!E93</f>
        <v>#DIV/0!</v>
      </c>
      <c r="I104" t="e">
        <f>$C$14*ReDiarioFert!G93</f>
        <v>#DIV/0!</v>
      </c>
      <c r="K104">
        <f>$C$14*ReDiarioFert!I93</f>
        <v>3.8508951737521113</v>
      </c>
      <c r="M104">
        <f>$C$14*ReDiarioFert!K93</f>
        <v>7.937693333333334</v>
      </c>
      <c r="O104">
        <f>$C$14*ReDiarioFert!M93</f>
        <v>243.4518048780488</v>
      </c>
      <c r="S104" t="e">
        <f>((E104/100)*$G$134+(G104/100)*$G$135+(I104/100)*$G$136+(K104/100)*$G$137+(M104/100)*$G$138+(O104)*$G$139+(Q104*$G$140))</f>
        <v>#DIV/0!</v>
      </c>
    </row>
    <row r="105" ht="18" customHeight="1">
      <c r="B105">
        <v>88</v>
      </c>
      <c r="C105">
        <f>$I$13+B105</f>
        <v>40053</v>
      </c>
      <c r="E105" t="e">
        <f>IF($C$14*ReDiarioFert!C94&lt;=0,"0",$C$14*ReDiarioFert!C94)</f>
        <v>#DIV/0!</v>
      </c>
      <c r="G105" t="e">
        <f>$C$14*ReDiarioFert!E94</f>
        <v>#DIV/0!</v>
      </c>
      <c r="I105" t="e">
        <f>$C$14*ReDiarioFert!G94</f>
        <v>#DIV/0!</v>
      </c>
      <c r="K105">
        <f>$C$14*ReDiarioFert!I94</f>
        <v>16.47327379882848</v>
      </c>
      <c r="M105">
        <f>$C$14*ReDiarioFert!K94</f>
        <v>33.95568814814815</v>
      </c>
      <c r="O105">
        <f>$C$14*ReDiarioFert!M94</f>
        <v>243.4518048780488</v>
      </c>
      <c r="S105" t="e">
        <f>((E105/100)*$G$134+(G105/100)*$G$135+(I105/100)*$G$136+(K105/100)*$G$137+(M105/100)*$G$138+(O105)*$G$139+(Q105*$G$140))</f>
        <v>#DIV/0!</v>
      </c>
    </row>
    <row r="106" ht="18" customHeight="1">
      <c r="B106">
        <v>89</v>
      </c>
      <c r="C106">
        <f>$I$13+B106</f>
        <v>40054</v>
      </c>
      <c r="E106" t="e">
        <f>IF($C$14*ReDiarioFert!C95&lt;=0,"0",$C$14*ReDiarioFert!C95)</f>
        <v>#DIV/0!</v>
      </c>
      <c r="G106" t="e">
        <f>$C$14*ReDiarioFert!E95</f>
        <v>#DIV/0!</v>
      </c>
      <c r="I106" t="e">
        <f>$C$14*ReDiarioFert!G95</f>
        <v>#DIV/0!</v>
      </c>
      <c r="K106">
        <f>$C$14*ReDiarioFert!I95</f>
        <v>16.47327379882848</v>
      </c>
      <c r="M106">
        <f>$C$14*ReDiarioFert!K95</f>
        <v>33.95568814814815</v>
      </c>
      <c r="O106">
        <f>$C$14*ReDiarioFert!M95</f>
        <v>243.4518048780488</v>
      </c>
      <c r="S106" t="e">
        <f>((E106/100)*$G$134+(G106/100)*$G$135+(I106/100)*$G$136+(K106/100)*$G$137+(M106/100)*$G$138+(O106)*$G$139+(Q106*$G$140))</f>
        <v>#DIV/0!</v>
      </c>
    </row>
    <row r="107" ht="18" customHeight="1">
      <c r="B107">
        <v>90</v>
      </c>
      <c r="C107">
        <f>$I$13+B107</f>
        <v>40055</v>
      </c>
      <c r="E107" t="e">
        <f>IF($C$14*ReDiarioFert!C96&lt;=0,"0",$C$14*ReDiarioFert!C96)</f>
        <v>#DIV/0!</v>
      </c>
      <c r="G107" t="e">
        <f>$C$14*ReDiarioFert!E96</f>
        <v>#DIV/0!</v>
      </c>
      <c r="I107" t="e">
        <f>$C$14*ReDiarioFert!G96</f>
        <v>#DIV/0!</v>
      </c>
      <c r="K107">
        <f>$C$14*ReDiarioFert!I96</f>
        <v>16.47327379882848</v>
      </c>
      <c r="M107">
        <f>$C$14*ReDiarioFert!K96</f>
        <v>33.95568814814815</v>
      </c>
      <c r="O107">
        <f>$C$14*ReDiarioFert!M96</f>
        <v>243.4518048780488</v>
      </c>
      <c r="S107" t="e">
        <f>((E107/100)*$G$134+(G107/100)*$G$135+(I107/100)*$G$136+(K107/100)*$G$137+(M107/100)*$G$138+(O107)*$G$139+(Q107*$G$140))</f>
        <v>#DIV/0!</v>
      </c>
    </row>
    <row r="108" ht="18" customHeight="1">
      <c r="B108">
        <v>91</v>
      </c>
      <c r="C108">
        <f>$I$13+B108</f>
        <v>40056</v>
      </c>
      <c r="E108" t="e">
        <f>IF($C$14*ReDiarioFert!C97&lt;=0,"0",$C$14*ReDiarioFert!C97)</f>
        <v>#DIV/0!</v>
      </c>
      <c r="G108" t="e">
        <f>$C$14*ReDiarioFert!E97</f>
        <v>#DIV/0!</v>
      </c>
      <c r="I108" t="e">
        <f>$C$14*ReDiarioFert!G97</f>
        <v>#DIV/0!</v>
      </c>
      <c r="K108">
        <f>$C$14*ReDiarioFert!I97</f>
        <v>16.47327379882848</v>
      </c>
      <c r="M108">
        <f>$C$14*ReDiarioFert!K97</f>
        <v>33.95568814814815</v>
      </c>
      <c r="O108">
        <f>$C$14*ReDiarioFert!M97</f>
        <v>243.4518048780488</v>
      </c>
      <c r="S108" t="e">
        <f>((E108/100)*$G$134+(G108/100)*$G$135+(I108/100)*$G$136+(K108/100)*$G$137+(M108/100)*$G$138+(O108)*$G$139+(Q108*$G$140))</f>
        <v>#DIV/0!</v>
      </c>
    </row>
    <row r="109">
      <c r="A109">
        <v>14</v>
      </c>
      <c r="B109">
        <v>92</v>
      </c>
      <c r="C109">
        <f>$I$13+B109</f>
        <v>40057</v>
      </c>
      <c r="E109" t="e">
        <f>IF($C$14*ReDiarioFert!C98&lt;=0,"0",$C$14*ReDiarioFert!C98)</f>
        <v>#DIV/0!</v>
      </c>
      <c r="G109" t="e">
        <f>$C$14*ReDiarioFert!E98</f>
        <v>#DIV/0!</v>
      </c>
      <c r="I109" t="e">
        <f>$C$14*ReDiarioFert!G98</f>
        <v>#DIV/0!</v>
      </c>
      <c r="K109">
        <f>$C$14*ReDiarioFert!I98</f>
        <v>16.47327379882848</v>
      </c>
      <c r="M109">
        <f>$C$14*ReDiarioFert!K98</f>
        <v>33.95568814814815</v>
      </c>
      <c r="O109">
        <f>$C$14*ReDiarioFert!M98</f>
        <v>243.4518048780488</v>
      </c>
      <c r="Q109">
        <f>$C$14*Main!$D$63</f>
        <v>28</v>
      </c>
      <c r="S109" t="e">
        <f>((E109/100)*$G$134+(G109/100)*$G$135+(I109/100)*$G$136+(K109/100)*$G$137+(M109/100)*$G$138+(O109)*$G$139+(Q109*$G$140))</f>
        <v>#DIV/0!</v>
      </c>
    </row>
    <row r="110">
      <c r="B110">
        <v>93</v>
      </c>
      <c r="C110">
        <f>$I$13+B110</f>
        <v>40058</v>
      </c>
      <c r="E110" t="e">
        <f>IF($C$14*ReDiarioFert!C99&lt;=0,"0",$C$14*ReDiarioFert!C99)</f>
        <v>#DIV/0!</v>
      </c>
      <c r="G110" t="e">
        <f>$C$14*ReDiarioFert!E99</f>
        <v>#DIV/0!</v>
      </c>
      <c r="I110" t="e">
        <f>$C$14*ReDiarioFert!G99</f>
        <v>#DIV/0!</v>
      </c>
      <c r="K110">
        <f>$C$14*ReDiarioFert!I99</f>
        <v>16.47327379882848</v>
      </c>
      <c r="M110">
        <f>$C$14*ReDiarioFert!K99</f>
        <v>33.95568814814815</v>
      </c>
      <c r="O110">
        <f>$C$14*ReDiarioFert!M99</f>
        <v>243.4518048780488</v>
      </c>
      <c r="S110" t="e">
        <f>((E110/100)*$G$134+(G110/100)*$G$135+(I110/100)*$G$136+(K110/100)*$G$137+(M110/100)*$G$138+(O110)*$G$139+(Q110*$G$140))</f>
        <v>#DIV/0!</v>
      </c>
    </row>
    <row r="111">
      <c r="B111">
        <v>94</v>
      </c>
      <c r="C111">
        <f>$I$13+B111</f>
        <v>40059</v>
      </c>
      <c r="E111" t="e">
        <f>IF($C$14*ReDiarioFert!C100&lt;=0,"0",$C$14*ReDiarioFert!C100)</f>
        <v>#DIV/0!</v>
      </c>
      <c r="G111" t="e">
        <f>$C$14*ReDiarioFert!E100</f>
        <v>#DIV/0!</v>
      </c>
      <c r="I111" t="e">
        <f>$C$14*ReDiarioFert!G100</f>
        <v>#DIV/0!</v>
      </c>
      <c r="K111">
        <f>$C$14*ReDiarioFert!I100</f>
        <v>16.47327379882848</v>
      </c>
      <c r="M111">
        <f>$C$14*ReDiarioFert!K100</f>
        <v>33.95568814814815</v>
      </c>
      <c r="O111">
        <f>$C$14*ReDiarioFert!M100</f>
        <v>243.4518048780488</v>
      </c>
      <c r="S111" t="e">
        <f>((E111/100)*$G$134+(G111/100)*$G$135+(I111/100)*$G$136+(K111/100)*$G$137+(M111/100)*$G$138+(O111)*$G$139+(Q111*$G$140))</f>
        <v>#DIV/0!</v>
      </c>
    </row>
    <row r="112">
      <c r="B112">
        <v>95</v>
      </c>
      <c r="C112">
        <f>$I$13+B112</f>
        <v>40060</v>
      </c>
      <c r="E112" t="e">
        <f>IF($C$14*ReDiarioFert!C101&lt;=0,"0",$C$14*ReDiarioFert!C101)</f>
        <v>#DIV/0!</v>
      </c>
      <c r="G112" t="e">
        <f>$C$14*ReDiarioFert!E101</f>
        <v>#DIV/0!</v>
      </c>
      <c r="I112" t="e">
        <f>$C$14*ReDiarioFert!G101</f>
        <v>#DIV/0!</v>
      </c>
      <c r="K112">
        <f>$C$14*ReDiarioFert!I101</f>
        <v>16.47327379882848</v>
      </c>
      <c r="M112">
        <f>$C$14*ReDiarioFert!K101</f>
        <v>33.95568814814815</v>
      </c>
      <c r="O112">
        <f>$C$14*ReDiarioFert!M101</f>
        <v>243.4518048780488</v>
      </c>
      <c r="S112" t="e">
        <f>((E112/100)*$G$134+(G112/100)*$G$135+(I112/100)*$G$136+(K112/100)*$G$137+(M112/100)*$G$138+(O112)*$G$139+(Q112*$G$140))</f>
        <v>#DIV/0!</v>
      </c>
    </row>
    <row r="113">
      <c r="B113">
        <v>96</v>
      </c>
      <c r="C113">
        <f>$I$13+B113</f>
        <v>40061</v>
      </c>
      <c r="E113" t="e">
        <f>IF($C$14*ReDiarioFert!C102&lt;=0,"0",$C$14*ReDiarioFert!C102)</f>
        <v>#DIV/0!</v>
      </c>
      <c r="G113" t="e">
        <f>$C$14*ReDiarioFert!E102</f>
        <v>#DIV/0!</v>
      </c>
      <c r="I113" t="e">
        <f>$C$14*ReDiarioFert!G102</f>
        <v>#DIV/0!</v>
      </c>
      <c r="K113">
        <f>$C$14*ReDiarioFert!I102</f>
        <v>16.47327379882848</v>
      </c>
      <c r="M113">
        <f>$C$14*ReDiarioFert!K102</f>
        <v>33.95568814814815</v>
      </c>
      <c r="O113">
        <f>$C$14*ReDiarioFert!M102</f>
        <v>243.4518048780488</v>
      </c>
      <c r="S113" t="e">
        <f>((E113/100)*$G$134+(G113/100)*$G$135+(I113/100)*$G$136+(K113/100)*$G$137+(M113/100)*$G$138+(O113)*$G$139+(Q113*$G$140))</f>
        <v>#DIV/0!</v>
      </c>
    </row>
    <row r="114">
      <c r="B114">
        <v>97</v>
      </c>
      <c r="C114">
        <f>$I$13+B114</f>
        <v>40062</v>
      </c>
      <c r="E114" t="e">
        <f>IF($C$14*ReDiarioFert!C103&lt;=0,"0",$C$14*ReDiarioFert!C103)</f>
        <v>#DIV/0!</v>
      </c>
      <c r="G114" t="e">
        <f>$C$14*ReDiarioFert!E103</f>
        <v>#DIV/0!</v>
      </c>
      <c r="I114" t="e">
        <f>$C$14*ReDiarioFert!G103</f>
        <v>#DIV/0!</v>
      </c>
      <c r="K114">
        <f>$C$14*ReDiarioFert!I103</f>
        <v>16.47327379882848</v>
      </c>
      <c r="M114">
        <f>$C$14*ReDiarioFert!K103</f>
        <v>33.95568814814815</v>
      </c>
      <c r="O114">
        <f>$C$14*ReDiarioFert!M103</f>
        <v>243.4518048780488</v>
      </c>
      <c r="S114" t="e">
        <f>((E114/100)*$G$134+(G114/100)*$G$135+(I114/100)*$G$136+(K114/100)*$G$137+(M114/100)*$G$138+(O114)*$G$139+(Q114*$G$140))</f>
        <v>#DIV/0!</v>
      </c>
    </row>
    <row r="115">
      <c r="B115">
        <v>98</v>
      </c>
      <c r="C115">
        <f>$I$13+B115</f>
        <v>40063</v>
      </c>
      <c r="E115" t="e">
        <f>IF($C$14*ReDiarioFert!C104&lt;=0,"0",$C$14*ReDiarioFert!C104)</f>
        <v>#DIV/0!</v>
      </c>
      <c r="G115" t="e">
        <f>$C$14*ReDiarioFert!E104</f>
        <v>#DIV/0!</v>
      </c>
      <c r="I115" t="e">
        <f>$C$14*ReDiarioFert!G104</f>
        <v>#DIV/0!</v>
      </c>
      <c r="K115">
        <f>$C$14*ReDiarioFert!I104</f>
        <v>16.47327379882848</v>
      </c>
      <c r="M115">
        <f>$C$14*ReDiarioFert!K104</f>
        <v>33.95568814814815</v>
      </c>
      <c r="O115">
        <f>$C$14*ReDiarioFert!M104</f>
        <v>243.4518048780488</v>
      </c>
      <c r="S115" t="e">
        <f>((E115/100)*$G$134+(G115/100)*$G$135+(I115/100)*$G$136+(K115/100)*$G$137+(M115/100)*$G$138+(O115)*$G$139+(Q115*$G$140))</f>
        <v>#DIV/0!</v>
      </c>
    </row>
    <row r="116">
      <c r="A116">
        <v>15</v>
      </c>
      <c r="B116">
        <v>99</v>
      </c>
      <c r="C116">
        <f>$I$13+B116</f>
        <v>40064</v>
      </c>
      <c r="E116" t="e">
        <f>IF($C$14*ReDiarioFert!C105&lt;=0,"0",$C$14*ReDiarioFert!C105)</f>
        <v>#DIV/0!</v>
      </c>
      <c r="G116" t="e">
        <f>$C$14*ReDiarioFert!E105</f>
        <v>#DIV/0!</v>
      </c>
      <c r="I116" t="e">
        <f>$C$14*ReDiarioFert!G105</f>
        <v>#DIV/0!</v>
      </c>
      <c r="K116">
        <f>$C$14*ReDiarioFert!I105</f>
        <v>16.47327379882848</v>
      </c>
      <c r="M116">
        <f>$C$14*ReDiarioFert!K105</f>
        <v>33.95568814814815</v>
      </c>
      <c r="O116">
        <f>$C$14*ReDiarioFert!M105</f>
        <v>243.4518048780488</v>
      </c>
      <c r="Q116">
        <f>$C$14*Main!$D$63</f>
        <v>28</v>
      </c>
      <c r="S116" t="e">
        <f>((E116/100)*$G$134+(G116/100)*$G$135+(I116/100)*$G$136+(K116/100)*$G$137+(M116/100)*$G$138+(O116)*$G$139+(Q116*$G$140))</f>
        <v>#DIV/0!</v>
      </c>
    </row>
    <row r="117">
      <c r="B117">
        <v>100</v>
      </c>
      <c r="C117">
        <f>$I$13+B117</f>
        <v>40065</v>
      </c>
      <c r="E117" t="e">
        <f>IF($C$14*ReDiarioFert!C106&lt;=0,"0",$C$14*ReDiarioFert!C106)</f>
        <v>#DIV/0!</v>
      </c>
      <c r="G117" t="e">
        <f>$C$14*ReDiarioFert!E106</f>
        <v>#DIV/0!</v>
      </c>
      <c r="I117" t="e">
        <f>$C$14*ReDiarioFert!G106</f>
        <v>#DIV/0!</v>
      </c>
      <c r="K117">
        <f>$C$14*ReDiarioFert!I106</f>
        <v>16.47327379882848</v>
      </c>
      <c r="M117">
        <f>$C$14*ReDiarioFert!K106</f>
        <v>33.95568814814815</v>
      </c>
      <c r="O117">
        <f>$C$14*ReDiarioFert!M106</f>
        <v>243.4518048780488</v>
      </c>
      <c r="S117" t="e">
        <f>((E117/100)*$G$134+(G117/100)*$G$135+(I117/100)*$G$136+(K117/100)*$G$137+(M117/100)*$G$138+(O117)*$G$139+(Q117*$G$140))</f>
        <v>#DIV/0!</v>
      </c>
    </row>
    <row r="118">
      <c r="B118">
        <v>101</v>
      </c>
      <c r="C118">
        <f>$I$13+B118</f>
        <v>40066</v>
      </c>
      <c r="E118" t="e">
        <f>IF($C$14*ReDiarioFert!C107&lt;=0,"0",$C$14*ReDiarioFert!C107)</f>
        <v>#DIV/0!</v>
      </c>
      <c r="G118" t="e">
        <f>$C$14*ReDiarioFert!E107</f>
        <v>#DIV/0!</v>
      </c>
      <c r="I118" t="e">
        <f>$C$14*ReDiarioFert!G107</f>
        <v>#DIV/0!</v>
      </c>
      <c r="K118">
        <f>$C$14*ReDiarioFert!I107</f>
        <v>16.47327379882848</v>
      </c>
      <c r="M118">
        <f>$C$14*ReDiarioFert!K107</f>
        <v>33.95568814814815</v>
      </c>
      <c r="O118">
        <f>$C$14*ReDiarioFert!M107</f>
        <v>243.4518048780488</v>
      </c>
      <c r="S118" t="e">
        <f>((E118/100)*$G$134+(G118/100)*$G$135+(I118/100)*$G$136+(K118/100)*$G$137+(M118/100)*$G$138+(O118)*$G$139+(Q118*$G$140))</f>
        <v>#DIV/0!</v>
      </c>
    </row>
    <row r="119">
      <c r="B119">
        <v>102</v>
      </c>
      <c r="C119">
        <f>$I$13+B119</f>
        <v>40067</v>
      </c>
      <c r="E119" t="e">
        <f>IF($C$14*ReDiarioFert!C108&lt;=0,"0",$C$14*ReDiarioFert!C108)</f>
        <v>#DIV/0!</v>
      </c>
      <c r="G119" t="e">
        <f>$C$14*ReDiarioFert!E108</f>
        <v>#DIV/0!</v>
      </c>
      <c r="I119" t="e">
        <f>$C$14*ReDiarioFert!G108</f>
        <v>#DIV/0!</v>
      </c>
      <c r="K119">
        <f>$C$14*ReDiarioFert!I108</f>
        <v>16.47327379882848</v>
      </c>
      <c r="M119">
        <f>$C$14*ReDiarioFert!K108</f>
        <v>33.95568814814815</v>
      </c>
      <c r="O119">
        <f>$C$14*ReDiarioFert!M108</f>
        <v>243.4518048780488</v>
      </c>
      <c r="S119" t="e">
        <f>((E119/100)*$G$134+(G119/100)*$G$135+(I119/100)*$G$136+(K119/100)*$G$137+(M119/100)*$G$138+(O119)*$G$139+(Q119*$G$140))</f>
        <v>#DIV/0!</v>
      </c>
    </row>
    <row r="120">
      <c r="B120">
        <v>103</v>
      </c>
      <c r="C120">
        <f>$I$13+B120</f>
        <v>40068</v>
      </c>
      <c r="E120" t="e">
        <f>IF($C$14*ReDiarioFert!C109&lt;=0,"0",$C$14*ReDiarioFert!C109)</f>
        <v>#DIV/0!</v>
      </c>
      <c r="G120" t="e">
        <f>$C$14*ReDiarioFert!E109</f>
        <v>#DIV/0!</v>
      </c>
      <c r="I120" t="e">
        <f>$C$14*ReDiarioFert!G109</f>
        <v>#DIV/0!</v>
      </c>
      <c r="K120">
        <f>$C$14*ReDiarioFert!I109</f>
        <v>16.47327379882848</v>
      </c>
      <c r="M120">
        <f>$C$14*ReDiarioFert!K109</f>
        <v>33.95568814814815</v>
      </c>
      <c r="O120">
        <f>$C$14*ReDiarioFert!M109</f>
        <v>243.4518048780488</v>
      </c>
      <c r="S120" t="e">
        <f>((E120/100)*$G$134+(G120/100)*$G$135+(I120/100)*$G$136+(K120/100)*$G$137+(M120/100)*$G$138+(O120)*$G$139+(Q120*$G$140))</f>
        <v>#DIV/0!</v>
      </c>
    </row>
    <row r="121">
      <c r="B121">
        <v>104</v>
      </c>
      <c r="C121">
        <f>$I$13+B121</f>
        <v>40069</v>
      </c>
      <c r="E121" t="e">
        <f>IF($C$14*ReDiarioFert!C110&lt;=0,"0",$C$14*ReDiarioFert!C110)</f>
        <v>#DIV/0!</v>
      </c>
      <c r="G121" t="e">
        <f>$C$14*ReDiarioFert!E110</f>
        <v>#DIV/0!</v>
      </c>
      <c r="I121" t="e">
        <f>$C$14*ReDiarioFert!G110</f>
        <v>#DIV/0!</v>
      </c>
      <c r="K121">
        <f>$C$14*ReDiarioFert!I110</f>
        <v>16.47327379882848</v>
      </c>
      <c r="M121">
        <f>$C$14*ReDiarioFert!K110</f>
        <v>33.95568814814815</v>
      </c>
      <c r="O121">
        <f>$C$14*ReDiarioFert!M110</f>
        <v>243.4518048780488</v>
      </c>
      <c r="S121" t="e">
        <f>((E121/100)*$G$134+(G121/100)*$G$135+(I121/100)*$G$136+(K121/100)*$G$137+(M121/100)*$G$138+(O121)*$G$139+(Q121*$G$140))</f>
        <v>#DIV/0!</v>
      </c>
    </row>
    <row r="122">
      <c r="B122">
        <v>105</v>
      </c>
      <c r="C122">
        <f>$I$13+B122</f>
        <v>40070</v>
      </c>
      <c r="E122" t="e">
        <f>IF($C$14*ReDiarioFert!C111&lt;=0,"0",$C$14*ReDiarioFert!C111)</f>
        <v>#DIV/0!</v>
      </c>
      <c r="G122" t="e">
        <f>$C$14*ReDiarioFert!E111</f>
        <v>#DIV/0!</v>
      </c>
      <c r="I122" t="e">
        <f>$C$14*ReDiarioFert!G111</f>
        <v>#DIV/0!</v>
      </c>
      <c r="K122">
        <f>$C$14*ReDiarioFert!I111</f>
        <v>16.47327379882848</v>
      </c>
      <c r="M122">
        <f>$C$14*ReDiarioFert!K111</f>
        <v>33.95568814814815</v>
      </c>
      <c r="O122">
        <f>$C$14*ReDiarioFert!M111</f>
        <v>243.4518048780488</v>
      </c>
      <c r="S122" t="e">
        <f>((E122/100)*$G$134+(G122/100)*$G$135+(I122/100)*$G$136+(K122/100)*$G$137+(M122/100)*$G$138+(O122)*$G$139+(Q122*$G$140))</f>
        <v>#DIV/0!</v>
      </c>
    </row>
    <row r="123">
      <c r="A123">
        <v>16</v>
      </c>
      <c r="B123">
        <v>106</v>
      </c>
      <c r="C123">
        <f>$I$13+B123</f>
        <v>40071</v>
      </c>
      <c r="E123" t="e">
        <f>IF($C$14*ReDiarioFert!C112&lt;=0,"0",$C$14*ReDiarioFert!C112)</f>
        <v>#DIV/0!</v>
      </c>
      <c r="G123" t="e">
        <f>$C$14*ReDiarioFert!E112</f>
        <v>#DIV/0!</v>
      </c>
      <c r="I123" t="e">
        <f>$C$14*ReDiarioFert!G112</f>
        <v>#DIV/0!</v>
      </c>
      <c r="K123">
        <f>$C$14*ReDiarioFert!I112</f>
        <v>0</v>
      </c>
      <c r="M123">
        <f>$C$14*ReDiarioFert!K112</f>
        <v>0</v>
      </c>
      <c r="O123">
        <f>$C$14*ReDiarioFert!M112</f>
        <v>243.4518048780488</v>
      </c>
      <c r="Q123">
        <f>$C$14*Main!$D$63</f>
        <v>28</v>
      </c>
      <c r="S123" t="e">
        <f>((E123/100)*$G$134+(G123/100)*$G$135+(I123/100)*$G$136+(K123/100)*$G$137+(M123/100)*$G$138+(O123)*$G$139+(Q123*$G$140))</f>
        <v>#DIV/0!</v>
      </c>
    </row>
    <row r="124">
      <c r="B124">
        <v>107</v>
      </c>
      <c r="C124">
        <f>$I$13+B124</f>
        <v>40072</v>
      </c>
      <c r="E124" t="e">
        <f>IF($C$14*ReDiarioFert!C113&lt;=0,"0",$C$14*ReDiarioFert!C113)</f>
        <v>#DIV/0!</v>
      </c>
      <c r="G124" t="e">
        <f>$C$14*ReDiarioFert!E113</f>
        <v>#DIV/0!</v>
      </c>
      <c r="I124" t="e">
        <f>$C$14*ReDiarioFert!G113</f>
        <v>#DIV/0!</v>
      </c>
      <c r="K124">
        <f>$C$14*ReDiarioFert!I113</f>
        <v>0</v>
      </c>
      <c r="M124">
        <f>$C$14*ReDiarioFert!K113</f>
        <v>0</v>
      </c>
      <c r="O124">
        <f>$C$14*ReDiarioFert!M113</f>
        <v>243.4518048780488</v>
      </c>
      <c r="S124" t="e">
        <f>((E124/100)*$G$134+(G124/100)*$G$135+(I124/100)*$G$136+(K124/100)*$G$137+(M124/100)*$G$138+(O124)*$G$139+(Q124*$G$140))</f>
        <v>#DIV/0!</v>
      </c>
    </row>
    <row r="125">
      <c r="B125">
        <v>108</v>
      </c>
      <c r="C125">
        <f>$I$13+B125</f>
        <v>40073</v>
      </c>
      <c r="E125" t="e">
        <f>IF($C$14*ReDiarioFert!C114&lt;=0,"0",$C$14*ReDiarioFert!C114)</f>
        <v>#DIV/0!</v>
      </c>
      <c r="G125" t="e">
        <f>$C$14*ReDiarioFert!E114</f>
        <v>#DIV/0!</v>
      </c>
      <c r="I125" t="e">
        <f>$C$14*ReDiarioFert!G114</f>
        <v>#DIV/0!</v>
      </c>
      <c r="K125">
        <f>$C$14*ReDiarioFert!I114</f>
        <v>0</v>
      </c>
      <c r="M125">
        <f>$C$14*ReDiarioFert!K114</f>
        <v>0</v>
      </c>
      <c r="O125">
        <f>$C$14*ReDiarioFert!M114</f>
        <v>243.4518048780488</v>
      </c>
      <c r="S125" t="e">
        <f>((E125/100)*$G$134+(G125/100)*$G$135+(I125/100)*$G$136+(K125/100)*$G$137+(M125/100)*$G$138+(O125)*$G$139+(Q125*$G$140))</f>
        <v>#DIV/0!</v>
      </c>
    </row>
    <row r="126">
      <c r="B126">
        <v>109</v>
      </c>
      <c r="C126">
        <f>$I$13+B126</f>
        <v>40074</v>
      </c>
      <c r="E126" t="e">
        <f>IF($C$14*ReDiarioFert!C115&lt;=0,"0",$C$14*ReDiarioFert!C115)</f>
        <v>#DIV/0!</v>
      </c>
      <c r="G126" t="e">
        <f>$C$14*ReDiarioFert!E115</f>
        <v>#DIV/0!</v>
      </c>
      <c r="I126" t="e">
        <f>$C$14*ReDiarioFert!G115</f>
        <v>#DIV/0!</v>
      </c>
      <c r="K126">
        <f>$C$14*ReDiarioFert!I115</f>
        <v>0</v>
      </c>
      <c r="M126">
        <f>$C$14*ReDiarioFert!K115</f>
        <v>0</v>
      </c>
      <c r="O126">
        <f>$C$14*ReDiarioFert!M115</f>
        <v>243.4518048780488</v>
      </c>
      <c r="S126" t="e">
        <f>((E126/100)*$G$134+(G126/100)*$G$135+(I126/100)*$G$136+(K126/100)*$G$137+(M126/100)*$G$138+(O126)*$G$139+(Q126*$G$140))</f>
        <v>#DIV/0!</v>
      </c>
    </row>
    <row r="127">
      <c r="B127">
        <v>110</v>
      </c>
      <c r="C127">
        <f>$I$13+B127</f>
        <v>40075</v>
      </c>
      <c r="E127" t="e">
        <f>IF($C$14*ReDiarioFert!C116&lt;=0,"0",$C$14*ReDiarioFert!C116)</f>
        <v>#DIV/0!</v>
      </c>
      <c r="G127" t="e">
        <f>$C$14*ReDiarioFert!E116</f>
        <v>#DIV/0!</v>
      </c>
      <c r="I127" t="e">
        <f>$C$14*ReDiarioFert!G116</f>
        <v>#DIV/0!</v>
      </c>
      <c r="K127">
        <f>$C$14*ReDiarioFert!I116</f>
        <v>0</v>
      </c>
      <c r="M127">
        <f>$C$14*ReDiarioFert!K116</f>
        <v>0</v>
      </c>
      <c r="O127">
        <f>$C$14*ReDiarioFert!M116</f>
        <v>243.4518048780488</v>
      </c>
      <c r="S127" t="e">
        <f>((E127/100)*$G$134+(G127/100)*$G$135+(I127/100)*$G$136+(K127/100)*$G$137+(M127/100)*$G$138+(O127)*$G$139+(Q127*$G$140))</f>
        <v>#DIV/0!</v>
      </c>
    </row>
    <row r="128">
      <c r="B128">
        <v>111</v>
      </c>
      <c r="C128">
        <f>$I$13+B128</f>
        <v>40076</v>
      </c>
      <c r="E128" t="e">
        <f>IF($C$14*ReDiarioFert!C117&lt;=0,"0",$C$14*ReDiarioFert!C117)</f>
        <v>#DIV/0!</v>
      </c>
      <c r="G128" t="e">
        <f>$C$14*ReDiarioFert!E117</f>
        <v>#DIV/0!</v>
      </c>
      <c r="I128" t="e">
        <f>$C$14*ReDiarioFert!G117</f>
        <v>#DIV/0!</v>
      </c>
      <c r="K128">
        <f>$C$14*ReDiarioFert!I117</f>
        <v>0</v>
      </c>
      <c r="M128">
        <f>$C$14*ReDiarioFert!K117</f>
        <v>0</v>
      </c>
      <c r="O128">
        <f>$C$14*ReDiarioFert!M117</f>
        <v>243.4518048780488</v>
      </c>
      <c r="S128" t="e">
        <f>((E128/100)*$G$134+(G128/100)*$G$135+(I128/100)*$G$136+(K128/100)*$G$137+(M128/100)*$G$138+(O128)*$G$139+(Q128*$G$140))</f>
        <v>#DIV/0!</v>
      </c>
    </row>
    <row r="129">
      <c r="B129">
        <v>112</v>
      </c>
      <c r="C129">
        <f>$I$13+B129</f>
        <v>40077</v>
      </c>
      <c r="E129" t="e">
        <f>IF($C$14*ReDiarioFert!C118&lt;=0,"0",$C$14*ReDiarioFert!C118)</f>
        <v>#DIV/0!</v>
      </c>
      <c r="G129" t="e">
        <f>$C$14*ReDiarioFert!E118</f>
        <v>#DIV/0!</v>
      </c>
      <c r="I129" t="e">
        <f>$C$14*ReDiarioFert!G118</f>
        <v>#DIV/0!</v>
      </c>
      <c r="K129">
        <f>$C$14*ReDiarioFert!I118</f>
        <v>0</v>
      </c>
      <c r="M129">
        <f>$C$14*ReDiarioFert!K118</f>
        <v>0</v>
      </c>
      <c r="O129">
        <f>$C$14*ReDiarioFert!M118</f>
        <v>243.4518048780488</v>
      </c>
      <c r="S129" t="e">
        <f>((E129/100)*$G$134+(G129/100)*$G$135+(I129/100)*$G$136+(K129/100)*$G$137+(M129/100)*$G$138+(O129)*$G$139+(Q129*$G$140))</f>
        <v>#DIV/0!</v>
      </c>
    </row>
    <row r="130">
      <c r="C130" t="str">
        <v>Total</v>
      </c>
      <c r="E130" t="e">
        <f>SUM(E18:E129)</f>
        <v>#DIV/0!</v>
      </c>
      <c r="G130" t="e">
        <f>SUM(G18:G129)</f>
        <v>#DIV/0!</v>
      </c>
      <c r="I130" t="e">
        <f>SUM(I18:I129)</f>
        <v>#DIV/0!</v>
      </c>
      <c r="K130">
        <f>SUM(K18:K129)</f>
        <v>783.2292906170271</v>
      </c>
      <c r="M130">
        <f>SUM(M18:M129)</f>
        <v>1614.4386274074054</v>
      </c>
      <c r="O130">
        <f>SUM(O18:O129)</f>
        <v>17632.860682926814</v>
      </c>
      <c r="Q130">
        <f>SUM(Q18:Q129)</f>
        <v>448</v>
      </c>
      <c r="S130" t="e">
        <f>SUM(S18:S129)</f>
        <v>#DIV/0!</v>
      </c>
    </row>
    <row r="131">
      <c r="D131" t="str">
        <v>OJO cualquier cultivo que no se termine la cosecha en el ultimo día del calendario solo seguir repitiendo la ultima aplicación de fertilizante.</v>
      </c>
    </row>
    <row r="132" ht="39.75" customHeight="1">
      <c r="B132" t="str">
        <v>Producto</v>
      </c>
      <c r="F132" t="str">
        <v>Lbs/Ha</v>
      </c>
      <c r="G132" t="str">
        <v>Costo por qq</v>
      </c>
    </row>
    <row r="133" ht="24" customHeight="1">
      <c r="G133" t="str">
        <f>Main!$E$25</f>
        <v>Lempiras</v>
      </c>
    </row>
    <row r="134">
      <c r="B134" t="str">
        <f>Main!D42</f>
        <v>Urea</v>
      </c>
      <c r="F134" t="e">
        <f>E130/C14</f>
        <v>#DIV/0!</v>
      </c>
      <c r="G134">
        <f>Main!D43</f>
        <v>650</v>
      </c>
    </row>
    <row r="135">
      <c r="B135" t="str">
        <f>Main!D32</f>
        <v>FofatoMonoPotasico</v>
      </c>
      <c r="F135" t="e">
        <f>G130/C14</f>
        <v>#DIV/0!</v>
      </c>
      <c r="G135">
        <f>Main!D33</f>
        <v>1700</v>
      </c>
    </row>
    <row r="136">
      <c r="B136" t="str">
        <f>Main!D37</f>
        <v>Kcl</v>
      </c>
      <c r="F136" t="e">
        <f>I130/C14</f>
        <v>#DIV/0!</v>
      </c>
      <c r="G136">
        <f>Main!D38</f>
        <v>580</v>
      </c>
    </row>
    <row r="137">
      <c r="B137" t="str">
        <f>Main!D47</f>
        <v>Sulfato de Magnesio</v>
      </c>
      <c r="F137">
        <f>K130/C14</f>
        <v>559.4494932978765</v>
      </c>
      <c r="G137">
        <f>Main!D48</f>
        <v>951</v>
      </c>
    </row>
    <row r="138">
      <c r="B138" t="str">
        <f>Main!D52</f>
        <v>Nitrato de Calcio</v>
      </c>
      <c r="F138">
        <f>M130/C14</f>
        <v>1153.1704481481468</v>
      </c>
      <c r="G138">
        <f>Main!D53</f>
        <v>1100</v>
      </c>
    </row>
    <row r="139">
      <c r="B139" t="str">
        <f>Main!D57</f>
        <v>Solubor</v>
      </c>
      <c r="F139">
        <f>O130/C14</f>
        <v>12594.900487804867</v>
      </c>
      <c r="G139">
        <f>Main!D58</f>
        <v>0.04</v>
      </c>
      <c r="I139" t="str">
        <v xml:space="preserve">Preparado y Autorizado Por </v>
      </c>
    </row>
    <row r="140" ht="18" customHeight="1">
      <c r="B140" t="str">
        <f>Main!D61</f>
        <v>Melaza</v>
      </c>
      <c r="F140">
        <f>Q130/C14</f>
        <v>320</v>
      </c>
      <c r="G140">
        <f>Main!D62</f>
        <v>2.8</v>
      </c>
      <c r="I140" t="str">
        <v>MSc Ricardo D. Lardizábal</v>
      </c>
    </row>
    <row r="141">
      <c r="B141" t="str">
        <v>NOTA: El Nitrato de Calcio se debe de diluir en un barril aparte para inyectarse al sistema</v>
      </c>
    </row>
    <row r="143">
      <c r="B143" t="str">
        <v>Abreviaciones usadas</v>
      </c>
    </row>
    <row r="144">
      <c r="B144" t="str">
        <v>Mz.-Manzanas, Ha-Hectáreas, Lbs-Libras, Lts-Litros y DDT-Días después de Trasplante</v>
      </c>
    </row>
  </sheetData>
  <mergeCells count="53">
    <mergeCell ref="P13:S15"/>
    <mergeCell ref="B144:S144"/>
    <mergeCell ref="A9:K9"/>
    <mergeCell ref="P9:S12"/>
    <mergeCell ref="P5:S7"/>
    <mergeCell ref="I11:M11"/>
    <mergeCell ref="I12:M12"/>
    <mergeCell ref="F11:H11"/>
    <mergeCell ref="C11:E11"/>
    <mergeCell ref="A11:B11"/>
    <mergeCell ref="G136:H136"/>
    <mergeCell ref="G137:H137"/>
    <mergeCell ref="G132:H132"/>
    <mergeCell ref="B132:E132"/>
    <mergeCell ref="B16:B17"/>
    <mergeCell ref="B134:E134"/>
    <mergeCell ref="B135:E135"/>
    <mergeCell ref="G140:H140"/>
    <mergeCell ref="B138:E138"/>
    <mergeCell ref="B140:E140"/>
    <mergeCell ref="G138:H138"/>
    <mergeCell ref="G139:H139"/>
    <mergeCell ref="B137:E137"/>
    <mergeCell ref="B141:I142"/>
    <mergeCell ref="I140:Q140"/>
    <mergeCell ref="B143:D143"/>
    <mergeCell ref="B136:E136"/>
    <mergeCell ref="S16:S17"/>
    <mergeCell ref="Q16:R16"/>
    <mergeCell ref="K16:L16"/>
    <mergeCell ref="O16:P16"/>
    <mergeCell ref="M16:N16"/>
    <mergeCell ref="I16:J16"/>
    <mergeCell ref="I139:Q139"/>
    <mergeCell ref="A12:B12"/>
    <mergeCell ref="C12:E12"/>
    <mergeCell ref="F12:H12"/>
    <mergeCell ref="C13:E13"/>
    <mergeCell ref="C14:E14"/>
    <mergeCell ref="A16:A17"/>
    <mergeCell ref="B139:E139"/>
    <mergeCell ref="F13:H13"/>
    <mergeCell ref="F14:H14"/>
    <mergeCell ref="A13:B13"/>
    <mergeCell ref="A14:B14"/>
    <mergeCell ref="I13:M13"/>
    <mergeCell ref="I14:M14"/>
    <mergeCell ref="G135:H135"/>
    <mergeCell ref="G133:H133"/>
    <mergeCell ref="G134:H134"/>
    <mergeCell ref="C16:D16"/>
    <mergeCell ref="E16:F16"/>
    <mergeCell ref="G16:H16"/>
  </mergeCells>
  <pageMargins left="0" right="0" top="0.2" bottom="0.56" header="0" footer="0.25"/>
  <ignoredErrors>
    <ignoredError numberStoredAsText="1" sqref="A1:Z145"/>
  </ignoredErrors>
  <legacyDrawing r:id="rId1"/>
</worksheet>
</file>

<file path=xl/worksheets/sheet4.xml><?xml version="1.0" encoding="utf-8"?>
<worksheet xmlns="http://schemas.openxmlformats.org/spreadsheetml/2006/main" xmlns:r="http://schemas.openxmlformats.org/officeDocument/2006/relationships">
  <dimension ref="A1:V88"/>
  <sheetViews>
    <sheetView workbookViewId="0" rightToLeft="0"/>
  </sheetViews>
  <sheetData>
    <row r="1" ht="32.45" customHeight="1"/>
    <row r="2" ht="39.6" customHeight="1"/>
    <row r="3" ht="39.6" customHeight="1"/>
    <row r="4">
      <c r="P4" t="str">
        <f>Main!$E$21</f>
        <v>Papa</v>
      </c>
    </row>
    <row r="5" ht="23.45" customHeight="1"/>
    <row r="6" ht="29.25" customHeight="1"/>
    <row r="7" ht="16.9" customHeight="1"/>
    <row r="8" ht="21" customHeight="1">
      <c r="A8" t="str">
        <f>Main!$C$13</f>
        <v>"Sin Fertilización Base"</v>
      </c>
      <c r="P8" t="str">
        <f>Main!$G$21</f>
        <v>Provento</v>
      </c>
    </row>
    <row r="9" ht="20.1" customHeight="1">
      <c r="A9" t="str">
        <v>Productor</v>
      </c>
      <c r="C9" t="str">
        <f>Main!E17</f>
        <v>Pancho Pérez</v>
      </c>
      <c r="F9" t="str">
        <v>Parcela</v>
      </c>
      <c r="I9" t="str">
        <f>Main!E19</f>
        <v>La Frondosa</v>
      </c>
    </row>
    <row r="10" ht="20.1" customHeight="1">
      <c r="A10" t="str">
        <v>Zona</v>
      </c>
      <c r="C10" t="str">
        <f>Main!E18</f>
        <v>Cantarranas</v>
      </c>
      <c r="F10" t="str">
        <v>Técnico</v>
      </c>
      <c r="I10" t="str">
        <f>Main!E20</f>
        <v>Nelson Galindo</v>
      </c>
    </row>
    <row r="11" ht="20.1" customHeight="1">
      <c r="A11" t="str">
        <v>Área Mz.</v>
      </c>
      <c r="C11">
        <f>Main!E22</f>
        <v>2</v>
      </c>
      <c r="F11" t="str">
        <v>Fecha:</v>
      </c>
      <c r="I11">
        <f>Main!E23</f>
        <v>39965</v>
      </c>
      <c r="P11" t="str">
        <v>Calendario de Fertilización para Goteo 3 Veces Por Semana</v>
      </c>
    </row>
    <row r="12" ht="20.1" customHeight="1">
      <c r="A12" t="str">
        <v>Área Ha.</v>
      </c>
      <c r="C12">
        <f>Main!I22</f>
        <v>1.4</v>
      </c>
      <c r="F12" t="str">
        <v>Fecha de Cosecha:</v>
      </c>
      <c r="I12">
        <f>I11+Main!E24</f>
        <v>40055</v>
      </c>
    </row>
    <row r="13" ht="19.5" customHeight="1"/>
    <row r="14" ht="27.600000000000005" customHeight="1">
      <c r="A14" t="str">
        <v>Semana</v>
      </c>
      <c r="B14" t="str">
        <v>DDT</v>
      </c>
      <c r="C14" t="str">
        <v>FECHA</v>
      </c>
      <c r="E14" t="str">
        <f>Main!$D$42</f>
        <v>Urea</v>
      </c>
      <c r="G14" t="str">
        <f>Main!$D$32</f>
        <v>FofatoMonoPotasico</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39966</v>
      </c>
      <c r="E16" t="e">
        <f>IF(($C$12*(ReDiarioFert!C7+ReDiarioFert!C8))&lt;=0,"0",($C$12*(ReDiarioFert!C7+ReDiarioFert!C8)))</f>
        <v>#DIV/0!</v>
      </c>
      <c r="G16" t="e">
        <f>$C$12*(ReDiarioFert!E7+ReDiarioFert!E8)</f>
        <v>#DIV/0!</v>
      </c>
      <c r="I16" t="e">
        <f>$C$12*(ReDiarioFert!G7+ReDiarioFert!G8)</f>
        <v>#DIV/0!</v>
      </c>
      <c r="K16">
        <f>$C$12*(ReDiarioFert!I7+ReDiarioFert!I8)</f>
        <v>2.2463555180220647</v>
      </c>
      <c r="M16">
        <f>$C$12*(ReDiarioFert!K7+ReDiarioFert!K8)</f>
        <v>4.63032111111111</v>
      </c>
      <c r="O16">
        <f>$C$12*(ReDiarioFert!M7+ReDiarioFert!M8)</f>
        <v>69.55746341463414</v>
      </c>
      <c r="Q16">
        <f>$C$12*Main!$D$63</f>
        <v>28</v>
      </c>
      <c r="S16" t="e">
        <f>((E16/100)*$G$68+(G16/100)*$G$69+(I16/100)*$G$70+(K16/100)*$G$71+(M16/100)*$G$72+(O16)*$G$73+(Q16*$G$74))</f>
        <v>#DIV/0!</v>
      </c>
    </row>
    <row r="17" ht="18.75" customHeight="1">
      <c r="B17">
        <v>3</v>
      </c>
      <c r="C17">
        <f>$I$11+B17</f>
        <v>39968</v>
      </c>
      <c r="E17" t="e">
        <f>IF(($C$12*(ReDiarioFert!C9+ReDiarioFert!C10))&lt;=0,"0",($C$12*(ReDiarioFert!C9+ReDiarioFert!C10)))</f>
        <v>#DIV/0!</v>
      </c>
      <c r="G17" t="e">
        <f>$C$12*(ReDiarioFert!E9+ReDiarioFert!E10)</f>
        <v>#DIV/0!</v>
      </c>
      <c r="I17" t="e">
        <f>$C$12*(ReDiarioFert!G9+ReDiarioFert!G10)</f>
        <v>#DIV/0!</v>
      </c>
      <c r="K17">
        <f>$C$12*(ReDiarioFert!I9+ReDiarioFert!I10)</f>
        <v>2.2463555180220647</v>
      </c>
      <c r="M17">
        <f>$C$12*(ReDiarioFert!K9+ReDiarioFert!K10)</f>
        <v>4.63032111111111</v>
      </c>
      <c r="O17">
        <f>$C$12*(ReDiarioFert!M9+ReDiarioFert!M10)</f>
        <v>69.55746341463414</v>
      </c>
      <c r="S17" t="e">
        <f>((E17/100)*$G$68+(G17/100)*$G$69+(I17/100)*$G$70+(K17/100)*$G$71+(M17/100)*$G$72+(O17)*$G$73+(Q17*$G$74))</f>
        <v>#DIV/0!</v>
      </c>
    </row>
    <row r="18" ht="18.75" customHeight="1">
      <c r="B18">
        <v>5</v>
      </c>
      <c r="C18">
        <f>$I$11+B18</f>
        <v>39970</v>
      </c>
      <c r="E18" t="e">
        <f>IF(($C$12*(ReDiarioFert!C11+ReDiarioFert!C12+ReDiarioFert!C13))&lt;=0,"0",($C$12*(ReDiarioFert!C11+ReDiarioFert!C12+ReDiarioFert!C13)))</f>
        <v>#DIV/0!</v>
      </c>
      <c r="G18" t="e">
        <f>$C$12*(ReDiarioFert!E11+ReDiarioFert!E12+ReDiarioFert!E13)</f>
        <v>#DIV/0!</v>
      </c>
      <c r="I18" t="e">
        <f>$C$12*(ReDiarioFert!G11+ReDiarioFert!G12+ReDiarioFert!G13)</f>
        <v>#DIV/0!</v>
      </c>
      <c r="K18">
        <f>$C$12*(ReDiarioFert!I11+ReDiarioFert!I12+ReDiarioFert!I13)</f>
        <v>3.369533277033097</v>
      </c>
      <c r="M18">
        <f>$C$12*(ReDiarioFert!K11+ReDiarioFert!K12+ReDiarioFert!K13)</f>
        <v>6.945481666666666</v>
      </c>
      <c r="O18">
        <f>$C$12*(ReDiarioFert!M11+ReDiarioFert!M12+ReDiarioFert!M13)</f>
        <v>104.33619512195122</v>
      </c>
      <c r="S18" t="e">
        <f>((E18/100)*$G$68+(G18/100)*$G$69+(I18/100)*$G$70+(K18/100)*$G$71+(M18/100)*$G$72+(O18)*$G$73+(Q18*$G$74))</f>
        <v>#DIV/0!</v>
      </c>
    </row>
    <row r="19">
      <c r="A19">
        <v>2</v>
      </c>
      <c r="B19">
        <f>B18+3</f>
        <v>8</v>
      </c>
      <c r="C19">
        <f>$I$11+B19</f>
        <v>39973</v>
      </c>
      <c r="E19" t="e">
        <f>IF(($C$12*(ReDiarioFert!C14+ReDiarioFert!C15))&lt;=0,"0",($C$12*(ReDiarioFert!C14+ReDiarioFert!C15)))</f>
        <v>#DIV/0!</v>
      </c>
      <c r="G19" t="e">
        <f>$C$12*(ReDiarioFert!E14+ReDiarioFert!E15)</f>
        <v>#DIV/0!</v>
      </c>
      <c r="I19" t="e">
        <f>$C$12*(ReDiarioFert!G14+ReDiarioFert!G15)</f>
        <v>#DIV/0!</v>
      </c>
      <c r="K19">
        <f>$C$12*(ReDiarioFert!I14+ReDiarioFert!I15)</f>
        <v>2.2463555180220647</v>
      </c>
      <c r="M19">
        <f>$C$12*(ReDiarioFert!K14+ReDiarioFert!K15)</f>
        <v>4.63032111111111</v>
      </c>
      <c r="O19">
        <f>$C$12*(ReDiarioFert!M14+ReDiarioFert!M15)</f>
        <v>69.55746341463414</v>
      </c>
      <c r="Q19">
        <f>$C$12*Main!$D$63</f>
        <v>28</v>
      </c>
      <c r="S19" t="e">
        <f>((E19/100)*$G$68+(G19/100)*$G$69+(I19/100)*$G$70+(K19/100)*$G$71+(M19/100)*$G$72+(O19)*$G$73+(Q19*$G$74))</f>
        <v>#DIV/0!</v>
      </c>
    </row>
    <row r="20">
      <c r="B20">
        <f>B19+2</f>
        <v>10</v>
      </c>
      <c r="C20">
        <f>$I$11+B20</f>
        <v>39975</v>
      </c>
      <c r="E20" t="e">
        <f>IF(($C$12*(ReDiarioFert!C16+ReDiarioFert!C17))&lt;=0,"0",($C$12*(ReDiarioFert!C16+ReDiarioFert!C17)))</f>
        <v>#DIV/0!</v>
      </c>
      <c r="G20" t="e">
        <f>$C$12*(ReDiarioFert!E16+ReDiarioFert!E17)</f>
        <v>#DIV/0!</v>
      </c>
      <c r="I20" t="e">
        <f>$C$12*(ReDiarioFert!G16+ReDiarioFert!G17)</f>
        <v>#DIV/0!</v>
      </c>
      <c r="K20">
        <f>$C$12*(ReDiarioFert!I16+ReDiarioFert!I17)</f>
        <v>2.2463555180220647</v>
      </c>
      <c r="M20">
        <f>$C$12*(ReDiarioFert!K16+ReDiarioFert!K17)</f>
        <v>4.63032111111111</v>
      </c>
      <c r="O20">
        <f>$C$12*(ReDiarioFert!M16+ReDiarioFert!M17)</f>
        <v>97.38058536585366</v>
      </c>
      <c r="S20" t="e">
        <f>((E20/100)*$G$68+(G20/100)*$G$69+(I20/100)*$G$70+(K20/100)*$G$71+(M20/100)*$G$72+(O20)*$G$73+(Q20*$G$74))</f>
        <v>#DIV/0!</v>
      </c>
    </row>
    <row r="21">
      <c r="B21">
        <f>B20+2</f>
        <v>12</v>
      </c>
      <c r="C21">
        <f>$I$11+B21</f>
        <v>39977</v>
      </c>
      <c r="E21" t="e">
        <f>IF(($C$12*(ReDiarioFert!C18+ReDiarioFert!C19+ReDiarioFert!C20))&lt;=0,"0",($C$12*(ReDiarioFert!C18+ReDiarioFert!C19+ReDiarioFert!C20)))</f>
        <v>#DIV/0!</v>
      </c>
      <c r="G21" t="e">
        <f>$C$12*(ReDiarioFert!E18+ReDiarioFert!E19+ReDiarioFert!E20)</f>
        <v>#DIV/0!</v>
      </c>
      <c r="I21" t="e">
        <f>$C$12*(ReDiarioFert!G18+ReDiarioFert!G19+ReDiarioFert!G20)</f>
        <v>#DIV/0!</v>
      </c>
      <c r="K21">
        <f>$C$12*(ReDiarioFert!I18+ReDiarioFert!I19+ReDiarioFert!I20)</f>
        <v>3.369533277033097</v>
      </c>
      <c r="M21">
        <f>$C$12*(ReDiarioFert!K18+ReDiarioFert!K19+ReDiarioFert!K20)</f>
        <v>6.945481666666666</v>
      </c>
      <c r="O21">
        <f>$C$12*(ReDiarioFert!M18+ReDiarioFert!M19+ReDiarioFert!M20)</f>
        <v>187.80556097560975</v>
      </c>
      <c r="S21" t="e">
        <f>((E21/100)*$G$68+(G21/100)*$G$69+(I21/100)*$G$70+(K21/100)*$G$71+(M21/100)*$G$72+(O21)*$G$73+(Q21*$G$74))</f>
        <v>#DIV/0!</v>
      </c>
    </row>
    <row r="22">
      <c r="A22">
        <v>3</v>
      </c>
      <c r="B22">
        <f>B21+3</f>
        <v>15</v>
      </c>
      <c r="C22">
        <f>$I$11+B22</f>
        <v>39980</v>
      </c>
      <c r="E22" t="e">
        <f>IF(($C$12*(ReDiarioFert!C21+ReDiarioFert!C22))&lt;=0,"0",($C$12*(ReDiarioFert!C21+ReDiarioFert!C22)))</f>
        <v>#DIV/0!</v>
      </c>
      <c r="G22" t="e">
        <f>$C$12*(ReDiarioFert!E21+ReDiarioFert!E22)</f>
        <v>#DIV/0!</v>
      </c>
      <c r="I22" t="e">
        <f>$C$12*(ReDiarioFert!G21+ReDiarioFert!G22)</f>
        <v>#DIV/0!</v>
      </c>
      <c r="K22">
        <f>$C$12*(ReDiarioFert!I21+ReDiarioFert!I22)</f>
        <v>2.2463555180220647</v>
      </c>
      <c r="M22">
        <f>$C$12*(ReDiarioFert!K21+ReDiarioFert!K22)</f>
        <v>4.63032111111111</v>
      </c>
      <c r="O22">
        <f>$C$12*(ReDiarioFert!M21+ReDiarioFert!M22)</f>
        <v>125.20370731707317</v>
      </c>
      <c r="Q22">
        <f>$C$12*Main!$D$63</f>
        <v>28</v>
      </c>
      <c r="S22" t="e">
        <f>((E22/100)*$G$68+(G22/100)*$G$69+(I22/100)*$G$70+(K22/100)*$G$71+(M22/100)*$G$72+(O22)*$G$73+(Q22*$G$74))</f>
        <v>#DIV/0!</v>
      </c>
    </row>
    <row r="23">
      <c r="B23">
        <f>B22+2</f>
        <v>17</v>
      </c>
      <c r="C23">
        <f>$I$11+B23</f>
        <v>39982</v>
      </c>
      <c r="E23" t="e">
        <f>IF(($C$12*(ReDiarioFert!C23+ReDiarioFert!C24))&lt;=0,"0",($C$12*(ReDiarioFert!C23+ReDiarioFert!C24)))</f>
        <v>#DIV/0!</v>
      </c>
      <c r="G23" t="e">
        <f>$C$12*(ReDiarioFert!E23+ReDiarioFert!E24)</f>
        <v>#DIV/0!</v>
      </c>
      <c r="I23" t="e">
        <f>$C$12*(ReDiarioFert!G23+ReDiarioFert!G24)</f>
        <v>#DIV/0!</v>
      </c>
      <c r="K23">
        <f>$C$12*(ReDiarioFert!I23+ReDiarioFert!I24)</f>
        <v>2.2463555180220647</v>
      </c>
      <c r="M23">
        <f>$C$12*(ReDiarioFert!K23+ReDiarioFert!K24)</f>
        <v>4.63032111111111</v>
      </c>
      <c r="O23">
        <f>$C$12*(ReDiarioFert!M23+ReDiarioFert!M24)</f>
        <v>146.07053658536586</v>
      </c>
      <c r="S23" t="e">
        <f>((E23/100)*$G$68+(G23/100)*$G$69+(I23/100)*$G$70+(K23/100)*$G$71+(M23/100)*$G$72+(O23)*$G$73+(Q23*$G$74))</f>
        <v>#DIV/0!</v>
      </c>
    </row>
    <row r="24">
      <c r="B24">
        <f>B23+2</f>
        <v>19</v>
      </c>
      <c r="C24">
        <f>$I$11+B24</f>
        <v>39984</v>
      </c>
      <c r="E24" t="e">
        <f>IF(($C$12*(ReDiarioFert!C25+ReDiarioFert!C26+ReDiarioFert!C27))&lt;=0,"0",($C$12*(ReDiarioFert!C25+ReDiarioFert!C26+ReDiarioFert!C27)))</f>
        <v>#DIV/0!</v>
      </c>
      <c r="G24" t="e">
        <f>$C$12*(ReDiarioFert!E25+ReDiarioFert!E26+ReDiarioFert!E27)</f>
        <v>#DIV/0!</v>
      </c>
      <c r="I24" t="e">
        <f>$C$12*(ReDiarioFert!G25+ReDiarioFert!G26+ReDiarioFert!G27)</f>
        <v>#DIV/0!</v>
      </c>
      <c r="K24">
        <f>$C$12*(ReDiarioFert!I25+ReDiarioFert!I26+ReDiarioFert!I27)</f>
        <v>3.369533277033097</v>
      </c>
      <c r="M24">
        <f>$C$12*(ReDiarioFert!K25+ReDiarioFert!K26+ReDiarioFert!K27)</f>
        <v>6.945481666666666</v>
      </c>
      <c r="O24">
        <f>$C$12*(ReDiarioFert!M25+ReDiarioFert!M26+ReDiarioFert!M27)</f>
        <v>250.4060487804878</v>
      </c>
      <c r="S24" t="e">
        <f>((E24/100)*$G$68+(G24/100)*$G$69+(I24/100)*$G$70+(K24/100)*$G$71+(M24/100)*$G$72+(O24)*$G$73+(Q24*$G$74))</f>
        <v>#DIV/0!</v>
      </c>
    </row>
    <row r="25">
      <c r="A25">
        <v>4</v>
      </c>
      <c r="B25">
        <f>B24+3</f>
        <v>22</v>
      </c>
      <c r="C25">
        <f>$I$11+B25</f>
        <v>39987</v>
      </c>
      <c r="E25" t="e">
        <f>IF(($C$12*(ReDiarioFert!C28+ReDiarioFert!C29))&lt;=0,"0",($C$12*(ReDiarioFert!C28+ReDiarioFert!C29)))</f>
        <v>#DIV/0!</v>
      </c>
      <c r="G25" t="e">
        <f>$C$12*(ReDiarioFert!E28+ReDiarioFert!E29)</f>
        <v>#DIV/0!</v>
      </c>
      <c r="I25" t="e">
        <f>$C$12*(ReDiarioFert!G28+ReDiarioFert!G29)</f>
        <v>#DIV/0!</v>
      </c>
      <c r="K25">
        <f>$C$12*(ReDiarioFert!I28+ReDiarioFert!I29)</f>
        <v>2.2463555180220647</v>
      </c>
      <c r="M25">
        <f>$C$12*(ReDiarioFert!K28+ReDiarioFert!K29)</f>
        <v>4.63032111111111</v>
      </c>
      <c r="O25">
        <f>$C$12*(ReDiarioFert!M28+ReDiarioFert!M29)</f>
        <v>166.93736585365855</v>
      </c>
      <c r="Q25">
        <f>$C$12*Main!$D$63</f>
        <v>28</v>
      </c>
      <c r="S25" t="e">
        <f>((E25/100)*$G$68+(G25/100)*$G$69+(I25/100)*$G$70+(K25/100)*$G$71+(M25/100)*$G$72+(O25)*$G$73+(Q25*$G$74))</f>
        <v>#DIV/0!</v>
      </c>
    </row>
    <row r="26">
      <c r="B26">
        <f>B25+2</f>
        <v>24</v>
      </c>
      <c r="C26">
        <f>$I$11+B26</f>
        <v>39989</v>
      </c>
      <c r="E26" t="e">
        <f>IF(($C$12*(ReDiarioFert!C30+ReDiarioFert!C31))&lt;=0,"0",($C$12*(ReDiarioFert!C30+ReDiarioFert!C31)))</f>
        <v>#DIV/0!</v>
      </c>
      <c r="G26" t="e">
        <f>$C$12*(ReDiarioFert!E30+ReDiarioFert!E31)</f>
        <v>#DIV/0!</v>
      </c>
      <c r="I26" t="e">
        <f>$C$12*(ReDiarioFert!G30+ReDiarioFert!G31)</f>
        <v>#DIV/0!</v>
      </c>
      <c r="K26">
        <f>$C$12*(ReDiarioFert!I30+ReDiarioFert!I31)</f>
        <v>2.2463555180220647</v>
      </c>
      <c r="M26">
        <f>$C$12*(ReDiarioFert!K30+ReDiarioFert!K31)</f>
        <v>4.63032111111111</v>
      </c>
      <c r="O26">
        <f>$C$12*(ReDiarioFert!M30+ReDiarioFert!M31)</f>
        <v>166.93736585365855</v>
      </c>
      <c r="S26" t="e">
        <f>((E26/100)*$G$68+(G26/100)*$G$69+(I26/100)*$G$70+(K26/100)*$G$71+(M26/100)*$G$72+(O26)*$G$73+(Q26*$G$74))</f>
        <v>#DIV/0!</v>
      </c>
    </row>
    <row r="27">
      <c r="B27">
        <f>B26+2</f>
        <v>26</v>
      </c>
      <c r="C27">
        <f>$I$11+B27</f>
        <v>39991</v>
      </c>
      <c r="E27" t="e">
        <f>IF(($C$12*(ReDiarioFert!C32+ReDiarioFert!C33+ReDiarioFert!C34))&lt;=0,"0",($C$12*(ReDiarioFert!C32+ReDiarioFert!C33+ReDiarioFert!C34)))</f>
        <v>#DIV/0!</v>
      </c>
      <c r="G27" t="e">
        <f>$C$12*(ReDiarioFert!E32+ReDiarioFert!E33+ReDiarioFert!E34)</f>
        <v>#DIV/0!</v>
      </c>
      <c r="I27" t="e">
        <f>$C$12*(ReDiarioFert!G32+ReDiarioFert!G33+ReDiarioFert!G34)</f>
        <v>#DIV/0!</v>
      </c>
      <c r="K27">
        <f>$C$12*(ReDiarioFert!I32+ReDiarioFert!I33+ReDiarioFert!I34)</f>
        <v>3.369533277033097</v>
      </c>
      <c r="M27">
        <f>$C$12*(ReDiarioFert!K32+ReDiarioFert!K33+ReDiarioFert!K34)</f>
        <v>6.945481666666666</v>
      </c>
      <c r="O27">
        <f>$C$12*(ReDiarioFert!M32+ReDiarioFert!M33+ReDiarioFert!M34)</f>
        <v>250.4060487804878</v>
      </c>
      <c r="S27" t="e">
        <f>((E27/100)*$G$68+(G27/100)*$G$69+(I27/100)*$G$70+(K27/100)*$G$71+(M27/100)*$G$72+(O27)*$G$73+(Q27*$G$74))</f>
        <v>#DIV/0!</v>
      </c>
    </row>
    <row r="28">
      <c r="A28">
        <v>5</v>
      </c>
      <c r="B28">
        <f>B27+3</f>
        <v>29</v>
      </c>
      <c r="C28">
        <f>$I$11+B28</f>
        <v>39994</v>
      </c>
      <c r="E28" t="e">
        <f>IF(($C$12*(ReDiarioFert!C35+ReDiarioFert!C36))&lt;=0,"0",($C$12*(ReDiarioFert!C35+ReDiarioFert!C36)))</f>
        <v>#DIV/0!</v>
      </c>
      <c r="G28" t="e">
        <f>$C$12*(ReDiarioFert!E35+ReDiarioFert!E36)</f>
        <v>#DIV/0!</v>
      </c>
      <c r="I28" t="e">
        <f>$C$12*(ReDiarioFert!G35+ReDiarioFert!G36)</f>
        <v>#DIV/0!</v>
      </c>
      <c r="K28">
        <f>$C$12*(ReDiarioFert!I35+ReDiarioFert!I36)</f>
        <v>2.2463555180220647</v>
      </c>
      <c r="M28">
        <f>$C$12*(ReDiarioFert!K35+ReDiarioFert!K36)</f>
        <v>4.63032111111111</v>
      </c>
      <c r="O28">
        <f>$C$12*(ReDiarioFert!M35+ReDiarioFert!M36)</f>
        <v>166.93736585365855</v>
      </c>
      <c r="Q28">
        <f>$C$12*Main!$D$63</f>
        <v>28</v>
      </c>
      <c r="S28" t="e">
        <f>((E28/100)*$G$68+(G28/100)*$G$69+(I28/100)*$G$70+(K28/100)*$G$71+(M28/100)*$G$72+(O28)*$G$73+(Q28*$G$74))</f>
        <v>#DIV/0!</v>
      </c>
    </row>
    <row r="29">
      <c r="B29">
        <f>B28+2</f>
        <v>31</v>
      </c>
      <c r="C29">
        <f>$I$11+B29</f>
        <v>39996</v>
      </c>
      <c r="E29" t="e">
        <f>IF(($C$12*(ReDiarioFert!C37+ReDiarioFert!C38))&lt;=0,"0",($C$12*(ReDiarioFert!C37+ReDiarioFert!C38)))</f>
        <v>#DIV/0!</v>
      </c>
      <c r="G29" t="e">
        <f>$C$12*(ReDiarioFert!E37+ReDiarioFert!E38)</f>
        <v>#DIV/0!</v>
      </c>
      <c r="I29" t="e">
        <f>$C$12*(ReDiarioFert!G37+ReDiarioFert!G38)</f>
        <v>#DIV/0!</v>
      </c>
      <c r="K29">
        <f>$C$12*(ReDiarioFert!I37+ReDiarioFert!I38)</f>
        <v>2.2463555180220647</v>
      </c>
      <c r="M29">
        <f>$C$12*(ReDiarioFert!K37+ReDiarioFert!K38)</f>
        <v>4.63032111111111</v>
      </c>
      <c r="O29">
        <f>$C$12*(ReDiarioFert!M37+ReDiarioFert!M38)</f>
        <v>166.93736585365855</v>
      </c>
      <c r="S29" t="e">
        <f>((E29/100)*$G$68+(G29/100)*$G$69+(I29/100)*$G$70+(K29/100)*$G$71+(M29/100)*$G$72+(O29)*$G$73+(Q29*$G$74))</f>
        <v>#DIV/0!</v>
      </c>
    </row>
    <row r="30">
      <c r="B30">
        <f>B29+2</f>
        <v>33</v>
      </c>
      <c r="C30">
        <f>$I$11+B30</f>
        <v>39998</v>
      </c>
      <c r="E30" t="e">
        <f>IF(($C$12*(ReDiarioFert!C39+ReDiarioFert!C40+ReDiarioFert!C41))&lt;=0,"0",($C$12*(ReDiarioFert!C39+ReDiarioFert!C40+ReDiarioFert!C41)))</f>
        <v>#DIV/0!</v>
      </c>
      <c r="G30" t="e">
        <f>$C$12*(ReDiarioFert!E39+ReDiarioFert!E40+ReDiarioFert!E41)</f>
        <v>#DIV/0!</v>
      </c>
      <c r="I30" t="e">
        <f>$C$12*(ReDiarioFert!G39+ReDiarioFert!G40+ReDiarioFert!G41)</f>
        <v>#DIV/0!</v>
      </c>
      <c r="K30">
        <f>$C$12*(ReDiarioFert!I39+ReDiarioFert!I40+ReDiarioFert!I41)</f>
        <v>3.369533277033097</v>
      </c>
      <c r="M30">
        <f>$C$12*(ReDiarioFert!K39+ReDiarioFert!K40+ReDiarioFert!K41)</f>
        <v>6.945481666666666</v>
      </c>
      <c r="O30">
        <f>$C$12*(ReDiarioFert!M39+ReDiarioFert!M40+ReDiarioFert!M41)</f>
        <v>354.74429268292687</v>
      </c>
      <c r="S30" t="e">
        <f>((E30/100)*$G$68+(G30/100)*$G$69+(I30/100)*$G$70+(K30/100)*$G$71+(M30/100)*$G$72+(O30)*$G$73+(Q30*$G$74))</f>
        <v>#DIV/0!</v>
      </c>
    </row>
    <row r="31">
      <c r="A31">
        <v>6</v>
      </c>
      <c r="B31">
        <f>B30+3</f>
        <v>36</v>
      </c>
      <c r="C31">
        <f>$I$11+B31</f>
        <v>40001</v>
      </c>
      <c r="E31" t="e">
        <f>IF(($C$12*(ReDiarioFert!C42+ReDiarioFert!C43))&lt;=0,"0",($C$12*(ReDiarioFert!C42+ReDiarioFert!C43)))</f>
        <v>#DIV/0!</v>
      </c>
      <c r="G31" t="e">
        <f>$C$12*(ReDiarioFert!E42+ReDiarioFert!E43)</f>
        <v>#DIV/0!</v>
      </c>
      <c r="I31" t="e">
        <f>$C$12*(ReDiarioFert!G42+ReDiarioFert!G43)</f>
        <v>#DIV/0!</v>
      </c>
      <c r="K31">
        <f>$C$12*(ReDiarioFert!I42+ReDiarioFert!I43)</f>
        <v>2.2463555180220647</v>
      </c>
      <c r="M31">
        <f>$C$12*(ReDiarioFert!K42+ReDiarioFert!K43)</f>
        <v>4.63032111111111</v>
      </c>
      <c r="O31">
        <f>$C$12*(ReDiarioFert!M42+ReDiarioFert!M43)</f>
        <v>236.49619512195125</v>
      </c>
      <c r="Q31">
        <f>$C$12*Main!$D$63</f>
        <v>28</v>
      </c>
      <c r="S31" t="e">
        <f>((E31/100)*$G$68+(G31/100)*$G$69+(I31/100)*$G$70+(K31/100)*$G$71+(M31/100)*$G$72+(O31)*$G$73+(Q31*$G$74))</f>
        <v>#DIV/0!</v>
      </c>
    </row>
    <row r="32">
      <c r="B32">
        <f>B31+2</f>
        <v>38</v>
      </c>
      <c r="C32">
        <f>$I$11+B32</f>
        <v>40003</v>
      </c>
      <c r="E32" t="e">
        <f>IF(($C$12*(ReDiarioFert!C44+ReDiarioFert!C45))&lt;=0,"0",($C$12*(ReDiarioFert!C44+ReDiarioFert!C45)))</f>
        <v>#DIV/0!</v>
      </c>
      <c r="G32" t="e">
        <f>$C$12*(ReDiarioFert!E44+ReDiarioFert!E45)</f>
        <v>#DIV/0!</v>
      </c>
      <c r="I32" t="e">
        <f>$C$12*(ReDiarioFert!G44+ReDiarioFert!G45)</f>
        <v>#DIV/0!</v>
      </c>
      <c r="K32">
        <f>$C$12*(ReDiarioFert!I44+ReDiarioFert!I45)</f>
        <v>2.2463555180220647</v>
      </c>
      <c r="M32">
        <f>$C$12*(ReDiarioFert!K44+ReDiarioFert!K45)</f>
        <v>4.63032111111111</v>
      </c>
      <c r="O32">
        <f>$C$12*(ReDiarioFert!M44+ReDiarioFert!M45)</f>
        <v>236.49619512195125</v>
      </c>
      <c r="S32" t="e">
        <f>((E32/100)*$G$68+(G32/100)*$G$69+(I32/100)*$G$70+(K32/100)*$G$71+(M32/100)*$G$72+(O32)*$G$73+(Q32*$G$74))</f>
        <v>#DIV/0!</v>
      </c>
    </row>
    <row r="33">
      <c r="B33">
        <f>B32+2</f>
        <v>40</v>
      </c>
      <c r="C33">
        <f>$I$11+B33</f>
        <v>40005</v>
      </c>
      <c r="E33" t="e">
        <f>IF(($C$12*(ReDiarioFert!C46+ReDiarioFert!C47+ReDiarioFert!C48))&lt;=0,"0",($C$12*(ReDiarioFert!C46+ReDiarioFert!C47+ReDiarioFert!C48)))</f>
        <v>#DIV/0!</v>
      </c>
      <c r="G33" t="e">
        <f>$C$12*(ReDiarioFert!E46+ReDiarioFert!E47+ReDiarioFert!E48)</f>
        <v>#DIV/0!</v>
      </c>
      <c r="I33" t="e">
        <f>$C$12*(ReDiarioFert!G46+ReDiarioFert!G47+ReDiarioFert!G48)</f>
        <v>#DIV/0!</v>
      </c>
      <c r="K33">
        <f>$C$12*(ReDiarioFert!I46+ReDiarioFert!I47+ReDiarioFert!I48)</f>
        <v>21.190620386674812</v>
      </c>
      <c r="M33">
        <f>$C$12*(ReDiarioFert!K46+ReDiarioFert!K47+ReDiarioFert!K48)</f>
        <v>43.679362481481476</v>
      </c>
      <c r="O33">
        <f>$C$12*(ReDiarioFert!M46+ReDiarioFert!M47+ReDiarioFert!M48)</f>
        <v>354.74429268292687</v>
      </c>
      <c r="S33" t="e">
        <f>((E33/100)*$G$68+(G33/100)*$G$69+(I33/100)*$G$70+(K33/100)*$G$71+(M33/100)*$G$72+(O33)*$G$73+(Q33*$G$74))</f>
        <v>#DIV/0!</v>
      </c>
    </row>
    <row r="34">
      <c r="A34">
        <v>7</v>
      </c>
      <c r="B34">
        <f>B33+3</f>
        <v>43</v>
      </c>
      <c r="C34">
        <f>$I$11+B34</f>
        <v>40008</v>
      </c>
      <c r="E34" t="e">
        <f>IF(($C$12*(ReDiarioFert!C49+ReDiarioFert!C50))&lt;=0,"0",($C$12*(ReDiarioFert!C49+ReDiarioFert!C50)))</f>
        <v>#DIV/0!</v>
      </c>
      <c r="G34" t="e">
        <f>$C$12*(ReDiarioFert!E49+ReDiarioFert!E50)</f>
        <v>#DIV/0!</v>
      </c>
      <c r="I34" t="e">
        <f>$C$12*(ReDiarioFert!G49+ReDiarioFert!G50)</f>
        <v>#DIV/0!</v>
      </c>
      <c r="K34">
        <f>$C$12*(ReDiarioFert!I49+ReDiarioFert!I50)</f>
        <v>20.06744262766378</v>
      </c>
      <c r="M34">
        <f>$C$12*(ReDiarioFert!K49+ReDiarioFert!K50)</f>
        <v>41.364201925925926</v>
      </c>
      <c r="O34">
        <f>$C$12*(ReDiarioFert!M49+ReDiarioFert!M50)</f>
        <v>236.49619512195125</v>
      </c>
      <c r="Q34">
        <f>$C$12*Main!$D$63</f>
        <v>28</v>
      </c>
      <c r="S34" t="e">
        <f>((E34/100)*$G$68+(G34/100)*$G$69+(I34/100)*$G$70+(K34/100)*$G$71+(M34/100)*$G$72+(O34)*$G$73+(Q34*$G$74))</f>
        <v>#DIV/0!</v>
      </c>
    </row>
    <row r="35">
      <c r="B35">
        <f>B34+2</f>
        <v>45</v>
      </c>
      <c r="C35">
        <f>$I$11+B35</f>
        <v>40010</v>
      </c>
      <c r="E35" t="e">
        <f>IF(($C$12*(ReDiarioFert!C51+ReDiarioFert!C52))&lt;=0,"0",($C$12*(ReDiarioFert!C51+ReDiarioFert!C52)))</f>
        <v>#DIV/0!</v>
      </c>
      <c r="G35" t="e">
        <f>$C$12*(ReDiarioFert!E51+ReDiarioFert!E52)</f>
        <v>#DIV/0!</v>
      </c>
      <c r="I35" t="e">
        <f>$C$12*(ReDiarioFert!G51+ReDiarioFert!G52)</f>
        <v>#DIV/0!</v>
      </c>
      <c r="K35">
        <f>$C$12*(ReDiarioFert!I51+ReDiarioFert!I52)</f>
        <v>20.06744262766378</v>
      </c>
      <c r="M35">
        <f>$C$12*(ReDiarioFert!K51+ReDiarioFert!K52)</f>
        <v>41.364201925925926</v>
      </c>
      <c r="O35">
        <f>$C$12*(ReDiarioFert!M51+ReDiarioFert!M52)</f>
        <v>236.49619512195125</v>
      </c>
      <c r="S35" t="e">
        <f>((E35/100)*$G$68+(G35/100)*$G$69+(I35/100)*$G$70+(K35/100)*$G$71+(M35/100)*$G$72+(O35)*$G$73+(Q35*$G$74))</f>
        <v>#DIV/0!</v>
      </c>
    </row>
    <row r="36">
      <c r="B36">
        <f>B35+2</f>
        <v>47</v>
      </c>
      <c r="C36">
        <f>$I$11+B36</f>
        <v>40012</v>
      </c>
      <c r="E36" t="e">
        <f>IF(($C$12*(ReDiarioFert!C53+ReDiarioFert!C54+ReDiarioFert!C55))&lt;=0,"0",($C$12*(ReDiarioFert!C53+ReDiarioFert!C54+ReDiarioFert!C55)))</f>
        <v>#DIV/0!</v>
      </c>
      <c r="G36" t="e">
        <f>$C$12*(ReDiarioFert!E53+ReDiarioFert!E54+ReDiarioFert!E55)</f>
        <v>#DIV/0!</v>
      </c>
      <c r="I36" t="e">
        <f>$C$12*(ReDiarioFert!G53+ReDiarioFert!G54+ReDiarioFert!G55)</f>
        <v>#DIV/0!</v>
      </c>
      <c r="K36">
        <f>$C$12*(ReDiarioFert!I53+ReDiarioFert!I54+ReDiarioFert!I55)</f>
        <v>30.101163941495667</v>
      </c>
      <c r="M36">
        <f>$C$12*(ReDiarioFert!K53+ReDiarioFert!K54+ReDiarioFert!K55)</f>
        <v>62.04630288888889</v>
      </c>
      <c r="O36">
        <f>$C$12*(ReDiarioFert!M53+ReDiarioFert!M54+ReDiarioFert!M55)</f>
        <v>438.2129756097561</v>
      </c>
      <c r="S36" t="e">
        <f>((E36/100)*$G$68+(G36/100)*$G$69+(I36/100)*$G$70+(K36/100)*$G$71+(M36/100)*$G$72+(O36)*$G$73+(Q36*$G$74))</f>
        <v>#DIV/0!</v>
      </c>
    </row>
    <row r="37">
      <c r="A37">
        <v>8</v>
      </c>
      <c r="B37">
        <f>B36+3</f>
        <v>50</v>
      </c>
      <c r="C37">
        <f>$I$11+B37</f>
        <v>40015</v>
      </c>
      <c r="E37" t="e">
        <f>IF(($C$12*(ReDiarioFert!C56+ReDiarioFert!C57))&lt;=0,"0",($C$12*(ReDiarioFert!C56+ReDiarioFert!C57)))</f>
        <v>#DIV/0!</v>
      </c>
      <c r="G37" t="e">
        <f>$C$12*(ReDiarioFert!E56+ReDiarioFert!E57)</f>
        <v>#DIV/0!</v>
      </c>
      <c r="I37" t="e">
        <f>$C$12*(ReDiarioFert!G56+ReDiarioFert!G57)</f>
        <v>#DIV/0!</v>
      </c>
      <c r="K37">
        <f>$C$12*(ReDiarioFert!I56+ReDiarioFert!I57)</f>
        <v>20.06744262766378</v>
      </c>
      <c r="M37">
        <f>$C$12*(ReDiarioFert!K56+ReDiarioFert!K57)</f>
        <v>41.364201925925926</v>
      </c>
      <c r="O37">
        <f>$C$12*(ReDiarioFert!M56+ReDiarioFert!M57)</f>
        <v>319.96487804878046</v>
      </c>
      <c r="Q37">
        <f>$C$12*Main!$D$63</f>
        <v>28</v>
      </c>
      <c r="S37" t="e">
        <f>((E37/100)*$G$68+(G37/100)*$G$69+(I37/100)*$G$70+(K37/100)*$G$71+(M37/100)*$G$72+(O37)*$G$73+(Q37*$G$74))</f>
        <v>#DIV/0!</v>
      </c>
    </row>
    <row r="38">
      <c r="B38">
        <f>B37+2</f>
        <v>52</v>
      </c>
      <c r="C38">
        <f>$I$11+B38</f>
        <v>40017</v>
      </c>
      <c r="E38" t="e">
        <f>IF(($C$12*(ReDiarioFert!C58+ReDiarioFert!C59))&lt;=0,"0",($C$12*(ReDiarioFert!C58+ReDiarioFert!C59)))</f>
        <v>#DIV/0!</v>
      </c>
      <c r="G38" t="e">
        <f>$C$12*(ReDiarioFert!E58+ReDiarioFert!E59)</f>
        <v>#DIV/0!</v>
      </c>
      <c r="I38" t="e">
        <f>$C$12*(ReDiarioFert!G58+ReDiarioFert!G59)</f>
        <v>#DIV/0!</v>
      </c>
      <c r="K38">
        <f>$C$12*(ReDiarioFert!I58+ReDiarioFert!I59)</f>
        <v>20.06744262766378</v>
      </c>
      <c r="M38">
        <f>$C$12*(ReDiarioFert!K58+ReDiarioFert!K59)</f>
        <v>41.364201925925926</v>
      </c>
      <c r="O38">
        <f>$C$12*(ReDiarioFert!M58+ReDiarioFert!M59)</f>
        <v>319.96487804878046</v>
      </c>
      <c r="S38" t="e">
        <f>((E38/100)*$G$68+(G38/100)*$G$69+(I38/100)*$G$70+(K38/100)*$G$71+(M38/100)*$G$72+(O38)*$G$73+(Q38*$G$74))</f>
        <v>#DIV/0!</v>
      </c>
    </row>
    <row r="39">
      <c r="B39">
        <f>B38+2</f>
        <v>54</v>
      </c>
      <c r="C39">
        <f>$I$11+B39</f>
        <v>40019</v>
      </c>
      <c r="E39" t="e">
        <f>IF(($C$12*(ReDiarioFert!C60+ReDiarioFert!C61+ReDiarioFert!C62))&lt;=0,"0",($C$12*(ReDiarioFert!C60+ReDiarioFert!C61+ReDiarioFert!C62)))</f>
        <v>#DIV/0!</v>
      </c>
      <c r="G39" t="e">
        <f>$C$12*(ReDiarioFert!E60+ReDiarioFert!E61+ReDiarioFert!E62)</f>
        <v>#DIV/0!</v>
      </c>
      <c r="I39" t="e">
        <f>$C$12*(ReDiarioFert!G60+ReDiarioFert!G61+ReDiarioFert!G62)</f>
        <v>#DIV/0!</v>
      </c>
      <c r="K39">
        <f>$C$12*(ReDiarioFert!I60+ReDiarioFert!I61+ReDiarioFert!I62)</f>
        <v>30.101163941495667</v>
      </c>
      <c r="M39">
        <f>$C$12*(ReDiarioFert!K60+ReDiarioFert!K61+ReDiarioFert!K62)</f>
        <v>62.04630288888889</v>
      </c>
      <c r="O39">
        <f>$C$12*(ReDiarioFert!M60+ReDiarioFert!M61+ReDiarioFert!M62)</f>
        <v>479.94731707317067</v>
      </c>
      <c r="S39" t="e">
        <f>((E39/100)*$G$68+(G39/100)*$G$69+(I39/100)*$G$70+(K39/100)*$G$71+(M39/100)*$G$72+(O39)*$G$73+(Q39*$G$74))</f>
        <v>#DIV/0!</v>
      </c>
    </row>
    <row r="40">
      <c r="A40">
        <v>9</v>
      </c>
      <c r="B40">
        <f>B39+3</f>
        <v>57</v>
      </c>
      <c r="C40">
        <f>$I$11+B40</f>
        <v>40022</v>
      </c>
      <c r="E40" t="e">
        <f>IF(($C$12*(ReDiarioFert!C63+ReDiarioFert!C64))&lt;=0,"0",($C$12*(ReDiarioFert!C63+ReDiarioFert!C64)))</f>
        <v>#DIV/0!</v>
      </c>
      <c r="G40" t="e">
        <f>$C$12*(ReDiarioFert!E63+ReDiarioFert!E64)</f>
        <v>#DIV/0!</v>
      </c>
      <c r="I40" t="e">
        <f>$C$12*(ReDiarioFert!G63+ReDiarioFert!G64)</f>
        <v>#DIV/0!</v>
      </c>
      <c r="K40">
        <f>$C$12*(ReDiarioFert!I63+ReDiarioFert!I64)</f>
        <v>20.06744262766378</v>
      </c>
      <c r="M40">
        <f>$C$12*(ReDiarioFert!K63+ReDiarioFert!K64)</f>
        <v>41.364201925925926</v>
      </c>
      <c r="O40">
        <f>$C$12*(ReDiarioFert!M63+ReDiarioFert!M64)</f>
        <v>319.96487804878046</v>
      </c>
      <c r="Q40">
        <f>$C$12*Main!$D$63</f>
        <v>28</v>
      </c>
      <c r="S40" t="e">
        <f>((E40/100)*$G$68+(G40/100)*$G$69+(I40/100)*$G$70+(K40/100)*$G$71+(M40/100)*$G$72+(O40)*$G$73+(Q40*$G$74))</f>
        <v>#DIV/0!</v>
      </c>
    </row>
    <row r="41">
      <c r="B41">
        <f>B40+2</f>
        <v>59</v>
      </c>
      <c r="C41">
        <f>$I$11+B41</f>
        <v>40024</v>
      </c>
      <c r="E41" t="e">
        <f>IF(($C$12*(ReDiarioFert!C65+ReDiarioFert!C66))&lt;=0,"0",($C$12*(ReDiarioFert!C65+ReDiarioFert!C66)))</f>
        <v>#DIV/0!</v>
      </c>
      <c r="G41" t="e">
        <f>$C$12*(ReDiarioFert!E65+ReDiarioFert!E66)</f>
        <v>#DIV/0!</v>
      </c>
      <c r="I41" t="e">
        <f>$C$12*(ReDiarioFert!G65+ReDiarioFert!G66)</f>
        <v>#DIV/0!</v>
      </c>
      <c r="K41">
        <f>$C$12*(ReDiarioFert!I65+ReDiarioFert!I66)</f>
        <v>20.06744262766378</v>
      </c>
      <c r="M41">
        <f>$C$12*(ReDiarioFert!K65+ReDiarioFert!K66)</f>
        <v>41.364201925925926</v>
      </c>
      <c r="O41">
        <f>$C$12*(ReDiarioFert!M65+ReDiarioFert!M66)</f>
        <v>319.96487804878046</v>
      </c>
      <c r="S41" t="e">
        <f>((E41/100)*$G$68+(G41/100)*$G$69+(I41/100)*$G$70+(K41/100)*$G$71+(M41/100)*$G$72+(O41)*$G$73+(Q41*$G$74))</f>
        <v>#DIV/0!</v>
      </c>
    </row>
    <row r="42">
      <c r="B42">
        <f>B41+2</f>
        <v>61</v>
      </c>
      <c r="C42">
        <f>$I$11+B42</f>
        <v>40026</v>
      </c>
      <c r="E42" t="e">
        <f>IF(($C$12*(ReDiarioFert!C67+ReDiarioFert!C68+ReDiarioFert!C69))&lt;=0,"0",($C$12*(ReDiarioFert!C67+ReDiarioFert!C68+ReDiarioFert!C69)))</f>
        <v>#DIV/0!</v>
      </c>
      <c r="G42" t="e">
        <f>$C$12*(ReDiarioFert!E67+ReDiarioFert!E68+ReDiarioFert!E69)</f>
        <v>#DIV/0!</v>
      </c>
      <c r="I42" t="e">
        <f>$C$12*(ReDiarioFert!G67+ReDiarioFert!G68+ReDiarioFert!G69)</f>
        <v>#DIV/0!</v>
      </c>
      <c r="K42">
        <f>$C$12*(ReDiarioFert!I67+ReDiarioFert!I68+ReDiarioFert!I69)</f>
        <v>43.1991445773474</v>
      </c>
      <c r="M42">
        <f>$C$12*(ReDiarioFert!K67+ReDiarioFert!K68+ReDiarioFert!K69)</f>
        <v>89.04463675213673</v>
      </c>
      <c r="O42">
        <f>$C$12*(ReDiarioFert!M67+ReDiarioFert!M68+ReDiarioFert!M69)</f>
        <v>521.6823414634146</v>
      </c>
      <c r="S42" t="e">
        <f>((E42/100)*$G$68+(G42/100)*$G$69+(I42/100)*$G$70+(K42/100)*$G$71+(M42/100)*$G$72+(O42)*$G$73+(Q42*$G$74))</f>
        <v>#DIV/0!</v>
      </c>
    </row>
    <row r="43">
      <c r="A43">
        <v>10</v>
      </c>
      <c r="B43">
        <f>B42+3</f>
        <v>64</v>
      </c>
      <c r="C43">
        <f>$I$11+B43</f>
        <v>40029</v>
      </c>
      <c r="E43" t="e">
        <f>IF(($C$12*(ReDiarioFert!C70+ReDiarioFert!C71))&lt;=0,"0",($C$12*(ReDiarioFert!C70+ReDiarioFert!C71)))</f>
        <v>#DIV/0!</v>
      </c>
      <c r="G43" t="e">
        <f>$C$12*(ReDiarioFert!E70+ReDiarioFert!E71)</f>
        <v>#DIV/0!</v>
      </c>
      <c r="I43" t="e">
        <f>$C$12*(ReDiarioFert!G70+ReDiarioFert!G71)</f>
        <v>#DIV/0!</v>
      </c>
      <c r="K43">
        <f>$C$12*(ReDiarioFert!I70+ReDiarioFert!I71)</f>
        <v>28.799429718231597</v>
      </c>
      <c r="M43">
        <f>$C$12*(ReDiarioFert!K70+ReDiarioFert!K71)</f>
        <v>59.36309116809116</v>
      </c>
      <c r="O43">
        <f>$C$12*(ReDiarioFert!M70+ReDiarioFert!M71)</f>
        <v>403.4349268292683</v>
      </c>
      <c r="Q43">
        <f>$C$12*Main!$D$63</f>
        <v>28</v>
      </c>
      <c r="S43" t="e">
        <f>((E43/100)*$G$68+(G43/100)*$G$69+(I43/100)*$G$70+(K43/100)*$G$71+(M43/100)*$G$72+(O43)*$G$73+(Q43*$G$74))</f>
        <v>#DIV/0!</v>
      </c>
    </row>
    <row r="44">
      <c r="B44">
        <f>B43+2</f>
        <v>66</v>
      </c>
      <c r="C44">
        <f>$I$11+B44</f>
        <v>40031</v>
      </c>
      <c r="E44" t="e">
        <f>IF(($C$12*(ReDiarioFert!C72+ReDiarioFert!C73))&lt;=0,"0",($C$12*(ReDiarioFert!C72+ReDiarioFert!C73)))</f>
        <v>#DIV/0!</v>
      </c>
      <c r="G44" t="e">
        <f>$C$12*(ReDiarioFert!E72+ReDiarioFert!E73)</f>
        <v>#DIV/0!</v>
      </c>
      <c r="I44" t="e">
        <f>$C$12*(ReDiarioFert!G72+ReDiarioFert!G73)</f>
        <v>#DIV/0!</v>
      </c>
      <c r="K44">
        <f>$C$12*(ReDiarioFert!I72+ReDiarioFert!I73)</f>
        <v>28.799429718231597</v>
      </c>
      <c r="M44">
        <f>$C$12*(ReDiarioFert!K72+ReDiarioFert!K73)</f>
        <v>59.36309116809116</v>
      </c>
      <c r="O44">
        <f>$C$12*(ReDiarioFert!M72+ReDiarioFert!M73)</f>
        <v>403.4349268292683</v>
      </c>
      <c r="S44" t="e">
        <f>((E44/100)*$G$68+(G44/100)*$G$69+(I44/100)*$G$70+(K44/100)*$G$71+(M44/100)*$G$72+(O44)*$G$73+(Q44*$G$74))</f>
        <v>#DIV/0!</v>
      </c>
    </row>
    <row r="45">
      <c r="B45">
        <f>B44+2</f>
        <v>68</v>
      </c>
      <c r="C45">
        <f>$I$11+B45</f>
        <v>40033</v>
      </c>
      <c r="E45" t="e">
        <f>IF(($C$12*(ReDiarioFert!C74+ReDiarioFert!C75+ReDiarioFert!C76))&lt;=0,"0",($C$12*(ReDiarioFert!C74+ReDiarioFert!C75+ReDiarioFert!C76)))</f>
        <v>#DIV/0!</v>
      </c>
      <c r="G45" t="e">
        <f>$C$12*(ReDiarioFert!E74+ReDiarioFert!E75+ReDiarioFert!E76)</f>
        <v>#DIV/0!</v>
      </c>
      <c r="I45" t="e">
        <f>$C$12*(ReDiarioFert!G74+ReDiarioFert!G75+ReDiarioFert!G76)</f>
        <v>#DIV/0!</v>
      </c>
      <c r="K45">
        <f>$C$12*(ReDiarioFert!I74+ReDiarioFert!I75+ReDiarioFert!I76)</f>
        <v>43.1991445773474</v>
      </c>
      <c r="M45">
        <f>$C$12*(ReDiarioFert!K74+ReDiarioFert!K75+ReDiarioFert!K76)</f>
        <v>89.04463675213673</v>
      </c>
      <c r="O45">
        <f>$C$12*(ReDiarioFert!M74+ReDiarioFert!M75+ReDiarioFert!M76)</f>
        <v>605.1523902439023</v>
      </c>
      <c r="S45" t="e">
        <f>((E45/100)*$G$68+(G45/100)*$G$69+(I45/100)*$G$70+(K45/100)*$G$71+(M45/100)*$G$72+(O45)*$G$73+(Q45*$G$74))</f>
        <v>#DIV/0!</v>
      </c>
    </row>
    <row r="46">
      <c r="A46">
        <v>11</v>
      </c>
      <c r="B46">
        <f>B45+3</f>
        <v>71</v>
      </c>
      <c r="C46">
        <f>$I$11+B46</f>
        <v>40036</v>
      </c>
      <c r="E46" t="e">
        <f>IF(($C$12*(ReDiarioFert!C77+ReDiarioFert!C78))&lt;=0,"0",($C$12*(ReDiarioFert!C77+ReDiarioFert!C78)))</f>
        <v>#DIV/0!</v>
      </c>
      <c r="G46" t="e">
        <f>$C$12*(ReDiarioFert!E77+ReDiarioFert!E78)</f>
        <v>#DIV/0!</v>
      </c>
      <c r="I46" t="e">
        <f>$C$12*(ReDiarioFert!G77+ReDiarioFert!G78)</f>
        <v>#DIV/0!</v>
      </c>
      <c r="K46">
        <f>$C$12*(ReDiarioFert!I77+ReDiarioFert!I78)</f>
        <v>28.799429718231597</v>
      </c>
      <c r="M46">
        <f>$C$12*(ReDiarioFert!K77+ReDiarioFert!K78)</f>
        <v>59.36309116809116</v>
      </c>
      <c r="O46">
        <f>$C$12*(ReDiarioFert!M77+ReDiarioFert!M78)</f>
        <v>403.4349268292683</v>
      </c>
      <c r="Q46">
        <f>$C$12*Main!$D$63</f>
        <v>28</v>
      </c>
      <c r="S46" t="e">
        <f>((E46/100)*$G$68+(G46/100)*$G$69+(I46/100)*$G$70+(K46/100)*$G$71+(M46/100)*$G$72+(O46)*$G$73+(Q46*$G$74))</f>
        <v>#DIV/0!</v>
      </c>
    </row>
    <row r="47">
      <c r="B47">
        <f>B46+2</f>
        <v>73</v>
      </c>
      <c r="C47">
        <f>$I$11+B47</f>
        <v>40038</v>
      </c>
      <c r="E47" t="e">
        <f>IF(($C$12*(ReDiarioFert!C79+ReDiarioFert!C80))&lt;=0,"0",($C$12*(ReDiarioFert!C79+ReDiarioFert!C80)))</f>
        <v>#DIV/0!</v>
      </c>
      <c r="G47" t="e">
        <f>$C$12*(ReDiarioFert!E79+ReDiarioFert!E80)</f>
        <v>#DIV/0!</v>
      </c>
      <c r="I47" t="e">
        <f>$C$12*(ReDiarioFert!G79+ReDiarioFert!G80)</f>
        <v>#DIV/0!</v>
      </c>
      <c r="K47">
        <f>$C$12*(ReDiarioFert!I79+ReDiarioFert!I80)</f>
        <v>18.25061003286791</v>
      </c>
      <c r="M47">
        <f>$C$12*(ReDiarioFert!K79+ReDiarioFert!K80)</f>
        <v>37.619238917378915</v>
      </c>
      <c r="O47">
        <f>$C$12*(ReDiarioFert!M79+ReDiarioFert!M80)</f>
        <v>403.4349268292683</v>
      </c>
      <c r="S47" t="e">
        <f>((E47/100)*$G$68+(G47/100)*$G$69+(I47/100)*$G$70+(K47/100)*$G$71+(M47/100)*$G$72+(O47)*$G$73+(Q47*$G$74))</f>
        <v>#DIV/0!</v>
      </c>
    </row>
    <row r="48">
      <c r="B48">
        <f>B47+2</f>
        <v>75</v>
      </c>
      <c r="C48">
        <f>$I$11+B48</f>
        <v>40040</v>
      </c>
      <c r="E48" t="e">
        <f>IF(($C$12*(ReDiarioFert!C81+ReDiarioFert!C82+ReDiarioFert!C83))&lt;=0,"0",($C$12*(ReDiarioFert!C81+ReDiarioFert!C82+ReDiarioFert!C83)))</f>
        <v>#DIV/0!</v>
      </c>
      <c r="G48" t="e">
        <f>$C$12*(ReDiarioFert!E81+ReDiarioFert!E82+ReDiarioFert!E83)</f>
        <v>#DIV/0!</v>
      </c>
      <c r="I48" t="e">
        <f>$C$12*(ReDiarioFert!G81+ReDiarioFert!G82+ReDiarioFert!G83)</f>
        <v>#DIV/0!</v>
      </c>
      <c r="K48">
        <f>$C$12*(ReDiarioFert!I81+ReDiarioFert!I82+ReDiarioFert!I83)</f>
        <v>11.552685521256333</v>
      </c>
      <c r="M48">
        <f>$C$12*(ReDiarioFert!K81+ReDiarioFert!K82+ReDiarioFert!K83)</f>
        <v>23.81308</v>
      </c>
      <c r="O48">
        <f>$C$12*(ReDiarioFert!M81+ReDiarioFert!M82+ReDiarioFert!M83)</f>
        <v>605.1523902439023</v>
      </c>
      <c r="S48" t="e">
        <f>((E48/100)*$G$68+(G48/100)*$G$69+(I48/100)*$G$70+(K48/100)*$G$71+(M48/100)*$G$72+(O48)*$G$73+(Q48*$G$74))</f>
        <v>#DIV/0!</v>
      </c>
    </row>
    <row r="49">
      <c r="A49">
        <v>12</v>
      </c>
      <c r="B49">
        <f>B48+3</f>
        <v>78</v>
      </c>
      <c r="C49">
        <f>$I$11+B49</f>
        <v>40043</v>
      </c>
      <c r="E49" t="e">
        <f>IF(($C$12*(ReDiarioFert!C84+ReDiarioFert!C85))&lt;=0,"0",($C$12*(ReDiarioFert!C84+ReDiarioFert!C85)))</f>
        <v>#DIV/0!</v>
      </c>
      <c r="G49" t="e">
        <f>$C$12*(ReDiarioFert!E84+ReDiarioFert!E85)</f>
        <v>#DIV/0!</v>
      </c>
      <c r="I49" t="e">
        <f>$C$12*(ReDiarioFert!G84+ReDiarioFert!G85)</f>
        <v>#DIV/0!</v>
      </c>
      <c r="K49">
        <f>$C$12*(ReDiarioFert!I84+ReDiarioFert!I85)</f>
        <v>7.701790347504223</v>
      </c>
      <c r="M49">
        <f>$C$12*(ReDiarioFert!K84+ReDiarioFert!K85)</f>
        <v>15.875386666666667</v>
      </c>
      <c r="O49">
        <f>$C$12*(ReDiarioFert!M84+ReDiarioFert!M85)</f>
        <v>403.4349268292683</v>
      </c>
      <c r="Q49">
        <f>$C$12*Main!$D$63</f>
        <v>28</v>
      </c>
      <c r="S49" t="e">
        <f>((E49/100)*$G$68+(G49/100)*$G$69+(I49/100)*$G$70+(K49/100)*$G$71+(M49/100)*$G$72+(O49)*$G$73+(Q49*$G$74))</f>
        <v>#DIV/0!</v>
      </c>
    </row>
    <row r="50">
      <c r="B50">
        <f>B49+2</f>
        <v>80</v>
      </c>
      <c r="C50">
        <f>$I$11+B50</f>
        <v>40045</v>
      </c>
      <c r="E50" t="e">
        <f>IF(($C$12*(ReDiarioFert!C86+ReDiarioFert!C87))&lt;=0,"0",($C$12*(ReDiarioFert!C86+ReDiarioFert!C87)))</f>
        <v>#DIV/0!</v>
      </c>
      <c r="G50" t="e">
        <f>$C$12*(ReDiarioFert!E86+ReDiarioFert!E87)</f>
        <v>#DIV/0!</v>
      </c>
      <c r="I50" t="e">
        <f>$C$12*(ReDiarioFert!G86+ReDiarioFert!G87)</f>
        <v>#DIV/0!</v>
      </c>
      <c r="K50">
        <f>$C$12*(ReDiarioFert!I86+ReDiarioFert!I87)</f>
        <v>7.701790347504223</v>
      </c>
      <c r="M50">
        <f>$C$12*(ReDiarioFert!K86+ReDiarioFert!K87)</f>
        <v>15.875386666666667</v>
      </c>
      <c r="O50">
        <f>$C$12*(ReDiarioFert!M86+ReDiarioFert!M87)</f>
        <v>445.16926829268294</v>
      </c>
      <c r="S50" t="e">
        <f>((E50/100)*$G$68+(G50/100)*$G$69+(I50/100)*$G$70+(K50/100)*$G$71+(M50/100)*$G$72+(O50)*$G$73+(Q50*$G$74))</f>
        <v>#DIV/0!</v>
      </c>
    </row>
    <row r="51">
      <c r="B51">
        <f>B50+2</f>
        <v>82</v>
      </c>
      <c r="C51">
        <f>$I$11+B51</f>
        <v>40047</v>
      </c>
      <c r="E51" t="e">
        <f>IF(($C$12*(ReDiarioFert!C88+ReDiarioFert!C89+ReDiarioFert!C90))&lt;=0,"0",($C$12*(ReDiarioFert!C88+ReDiarioFert!C89+ReDiarioFert!C90)))</f>
        <v>#DIV/0!</v>
      </c>
      <c r="G51" t="e">
        <f>$C$12*(ReDiarioFert!E88+ReDiarioFert!E89+ReDiarioFert!E90)</f>
        <v>#DIV/0!</v>
      </c>
      <c r="I51" t="e">
        <f>$C$12*(ReDiarioFert!G88+ReDiarioFert!G89+ReDiarioFert!G90)</f>
        <v>#DIV/0!</v>
      </c>
      <c r="K51">
        <f>$C$12*(ReDiarioFert!I88+ReDiarioFert!I89+ReDiarioFert!I90)</f>
        <v>11.552685521256333</v>
      </c>
      <c r="M51">
        <f>$C$12*(ReDiarioFert!K88+ReDiarioFert!K89+ReDiarioFert!K90)</f>
        <v>23.81308</v>
      </c>
      <c r="O51">
        <f>$C$12*(ReDiarioFert!M88+ReDiarioFert!M89+ReDiarioFert!M90)</f>
        <v>730.3554146341464</v>
      </c>
      <c r="S51" t="e">
        <f>((E51/100)*$G$68+(G51/100)*$G$69+(I51/100)*$G$70+(K51/100)*$G$71+(M51/100)*$G$72+(O51)*$G$73+(Q51*$G$74))</f>
        <v>#DIV/0!</v>
      </c>
    </row>
    <row r="52" ht="18" customHeight="1">
      <c r="A52">
        <v>13</v>
      </c>
      <c r="B52">
        <f>B51+3</f>
        <v>85</v>
      </c>
      <c r="C52">
        <f>$I$11+B52</f>
        <v>40050</v>
      </c>
      <c r="E52" t="e">
        <f>IF(($C$12*(ReDiarioFert!C91+ReDiarioFert!C92))&lt;=0,"0",($C$12*(ReDiarioFert!C91+ReDiarioFert!C92)))</f>
        <v>#DIV/0!</v>
      </c>
      <c r="G52" t="e">
        <f>$C$12*(ReDiarioFert!E91+ReDiarioFert!E92)</f>
        <v>#DIV/0!</v>
      </c>
      <c r="I52" t="e">
        <f>$C$12*(ReDiarioFert!G91+ReDiarioFert!G92)</f>
        <v>#DIV/0!</v>
      </c>
      <c r="K52">
        <f>$C$12*(ReDiarioFert!I91+ReDiarioFert!I92)</f>
        <v>7.701790347504223</v>
      </c>
      <c r="M52">
        <f>$C$12*(ReDiarioFert!K91+ReDiarioFert!K92)</f>
        <v>15.875386666666667</v>
      </c>
      <c r="O52">
        <f>$C$12*(ReDiarioFert!M91+ReDiarioFert!M92)</f>
        <v>486.9036097560976</v>
      </c>
      <c r="Q52">
        <f>$C$12*Main!$D$63</f>
        <v>28</v>
      </c>
      <c r="S52" t="e">
        <f>((E52/100)*$G$68+(G52/100)*$G$69+(I52/100)*$G$70+(K52/100)*$G$71+(M52/100)*$G$72+(O52)*$G$73+(Q52*$G$74))</f>
        <v>#DIV/0!</v>
      </c>
    </row>
    <row r="53" ht="18" customHeight="1">
      <c r="B53">
        <f>B52+2</f>
        <v>87</v>
      </c>
      <c r="C53">
        <f>$I$11+B53</f>
        <v>40052</v>
      </c>
      <c r="E53" t="e">
        <f>IF(($C$12*(ReDiarioFert!C93+ReDiarioFert!C94))&lt;=0,"0",($C$12*(ReDiarioFert!C93+ReDiarioFert!C94)))</f>
        <v>#DIV/0!</v>
      </c>
      <c r="G53" t="e">
        <f>$C$12*(ReDiarioFert!E93+ReDiarioFert!E94)</f>
        <v>#DIV/0!</v>
      </c>
      <c r="I53" t="e">
        <f>$C$12*(ReDiarioFert!G93+ReDiarioFert!G94)</f>
        <v>#DIV/0!</v>
      </c>
      <c r="K53">
        <f>$C$12*(ReDiarioFert!I93+ReDiarioFert!I94)</f>
        <v>20.324168972580587</v>
      </c>
      <c r="M53">
        <f>$C$12*(ReDiarioFert!K93+ReDiarioFert!K94)</f>
        <v>41.893381481481484</v>
      </c>
      <c r="O53">
        <f>$C$12*(ReDiarioFert!M93+ReDiarioFert!M94)</f>
        <v>486.9036097560976</v>
      </c>
      <c r="S53" t="e">
        <f>((E53/100)*$G$68+(G53/100)*$G$69+(I53/100)*$G$70+(K53/100)*$G$71+(M53/100)*$G$72+(O53)*$G$73+(Q53*$G$74))</f>
        <v>#DIV/0!</v>
      </c>
    </row>
    <row r="54" ht="18" customHeight="1">
      <c r="B54">
        <f>B53+2</f>
        <v>89</v>
      </c>
      <c r="C54">
        <f>$I$11+B54</f>
        <v>40054</v>
      </c>
      <c r="E54" t="e">
        <f>IF(($C$12*(ReDiarioFert!C95+ReDiarioFert!C96+ReDiarioFert!C97))&lt;=0,"0",($C$12*(ReDiarioFert!C95+ReDiarioFert!C96+ReDiarioFert!C97)))</f>
        <v>#DIV/0!</v>
      </c>
      <c r="G54" t="e">
        <f>$C$12*(ReDiarioFert!E95+ReDiarioFert!E96+ReDiarioFert!E97)</f>
        <v>#DIV/0!</v>
      </c>
      <c r="I54" t="e">
        <f>$C$12*(ReDiarioFert!G95+ReDiarioFert!G96+ReDiarioFert!G97)</f>
        <v>#DIV/0!</v>
      </c>
      <c r="K54">
        <f>$C$12*(ReDiarioFert!I95+ReDiarioFert!I96+ReDiarioFert!I97)</f>
        <v>49.41982139648544</v>
      </c>
      <c r="M54">
        <f>$C$12*(ReDiarioFert!K95+ReDiarioFert!K96+ReDiarioFert!K97)</f>
        <v>101.86706444444445</v>
      </c>
      <c r="O54">
        <f>$C$12*(ReDiarioFert!M95+ReDiarioFert!M96+ReDiarioFert!M97)</f>
        <v>730.3554146341464</v>
      </c>
      <c r="S54" t="e">
        <f>((E54/100)*$G$68+(G54/100)*$G$69+(I54/100)*$G$70+(K54/100)*$G$71+(M54/100)*$G$72+(O54)*$G$73+(Q54*$G$74))</f>
        <v>#DIV/0!</v>
      </c>
    </row>
    <row r="55">
      <c r="A55">
        <v>14</v>
      </c>
      <c r="B55">
        <f>B54+3</f>
        <v>92</v>
      </c>
      <c r="C55">
        <f>$I$11+B55</f>
        <v>40057</v>
      </c>
      <c r="E55" t="e">
        <f>IF(($C$12*(ReDiarioFert!C98+ReDiarioFert!C99))&lt;=0,"0",($C$12*(ReDiarioFert!C98+ReDiarioFert!C99)))</f>
        <v>#DIV/0!</v>
      </c>
      <c r="G55" t="e">
        <f>$C$12*(ReDiarioFert!E98+ReDiarioFert!E99)</f>
        <v>#DIV/0!</v>
      </c>
      <c r="I55" t="e">
        <f>$C$12*(ReDiarioFert!G98+ReDiarioFert!G99)</f>
        <v>#DIV/0!</v>
      </c>
      <c r="K55">
        <f>$C$12*(ReDiarioFert!I98+ReDiarioFert!I99)</f>
        <v>32.94654759765696</v>
      </c>
      <c r="M55">
        <f>$C$12*(ReDiarioFert!K98+ReDiarioFert!K99)</f>
        <v>67.9113762962963</v>
      </c>
      <c r="O55">
        <f>$C$12*(ReDiarioFert!M98+ReDiarioFert!M99)</f>
        <v>486.9036097560976</v>
      </c>
      <c r="Q55">
        <f>$C$12*Main!$D$63</f>
        <v>28</v>
      </c>
      <c r="S55" t="e">
        <f>((E55/100)*$G$68+(G55/100)*$G$69+(I55/100)*$G$70+(K55/100)*$G$71+(M55/100)*$G$72+(O55)*$G$73+(Q55*$G$74))</f>
        <v>#DIV/0!</v>
      </c>
    </row>
    <row r="56">
      <c r="B56">
        <f>B55+2</f>
        <v>94</v>
      </c>
      <c r="C56">
        <f>$I$11+B56</f>
        <v>40059</v>
      </c>
      <c r="E56" t="e">
        <f>IF(($C$12*(ReDiarioFert!C100+ReDiarioFert!C101))&lt;=0,"0",($C$12*(ReDiarioFert!C100+ReDiarioFert!C101)))</f>
        <v>#DIV/0!</v>
      </c>
      <c r="G56" t="e">
        <f>$C$12*(ReDiarioFert!E100+ReDiarioFert!E101)</f>
        <v>#DIV/0!</v>
      </c>
      <c r="I56" t="e">
        <f>$C$12*(ReDiarioFert!G100+ReDiarioFert!G101)</f>
        <v>#DIV/0!</v>
      </c>
      <c r="K56">
        <f>$C$12*(ReDiarioFert!I100+ReDiarioFert!I101)</f>
        <v>32.94654759765696</v>
      </c>
      <c r="M56">
        <f>$C$12*(ReDiarioFert!K100+ReDiarioFert!K101)</f>
        <v>67.9113762962963</v>
      </c>
      <c r="O56">
        <f>$C$12*(ReDiarioFert!M100+ReDiarioFert!M101)</f>
        <v>486.9036097560976</v>
      </c>
      <c r="S56" t="e">
        <f>((E56/100)*$G$68+(G56/100)*$G$69+(I56/100)*$G$70+(K56/100)*$G$71+(M56/100)*$G$72+(O56)*$G$73+(Q56*$G$74))</f>
        <v>#DIV/0!</v>
      </c>
    </row>
    <row r="57">
      <c r="B57">
        <f>B56+2</f>
        <v>96</v>
      </c>
      <c r="C57">
        <f>$I$11+B57</f>
        <v>40061</v>
      </c>
      <c r="E57" t="e">
        <f>IF(($C$12*(ReDiarioFert!C102+ReDiarioFert!C103+ReDiarioFert!C104))&lt;=0,"0",($C$12*(ReDiarioFert!C102+ReDiarioFert!C103+ReDiarioFert!C104)))</f>
        <v>#DIV/0!</v>
      </c>
      <c r="G57" t="e">
        <f>$C$12*(ReDiarioFert!E102+ReDiarioFert!E103+ReDiarioFert!E104)</f>
        <v>#DIV/0!</v>
      </c>
      <c r="I57" t="e">
        <f>$C$12*(ReDiarioFert!G102+ReDiarioFert!G103+ReDiarioFert!G104)</f>
        <v>#DIV/0!</v>
      </c>
      <c r="K57">
        <f>$C$12*(ReDiarioFert!I102+ReDiarioFert!I103+ReDiarioFert!I104)</f>
        <v>49.41982139648544</v>
      </c>
      <c r="M57">
        <f>$C$12*(ReDiarioFert!K102+ReDiarioFert!K103+ReDiarioFert!K104)</f>
        <v>101.86706444444445</v>
      </c>
      <c r="O57">
        <f>$C$12*(ReDiarioFert!M102+ReDiarioFert!M103+ReDiarioFert!M104)</f>
        <v>730.3554146341464</v>
      </c>
      <c r="S57" t="e">
        <f>((E57/100)*$G$68+(G57/100)*$G$69+(I57/100)*$G$70+(K57/100)*$G$71+(M57/100)*$G$72+(O57)*$G$73+(Q57*$G$74))</f>
        <v>#DIV/0!</v>
      </c>
    </row>
    <row r="58">
      <c r="A58">
        <v>15</v>
      </c>
      <c r="B58">
        <f>B57+3</f>
        <v>99</v>
      </c>
      <c r="C58">
        <f>$I$11+B58</f>
        <v>40064</v>
      </c>
      <c r="E58" t="e">
        <f>IF(($C$12*(ReDiarioFert!C105+ReDiarioFert!C106))&lt;=0,"0",($C$12*(ReDiarioFert!C105+ReDiarioFert!C106)))</f>
        <v>#DIV/0!</v>
      </c>
      <c r="G58" t="e">
        <f>$C$12*(ReDiarioFert!E105+ReDiarioFert!E106)</f>
        <v>#DIV/0!</v>
      </c>
      <c r="I58" t="e">
        <f>$C$12*(ReDiarioFert!G105+ReDiarioFert!G106)</f>
        <v>#DIV/0!</v>
      </c>
      <c r="K58">
        <f>$C$12*(ReDiarioFert!I105+ReDiarioFert!I106)</f>
        <v>32.94654759765696</v>
      </c>
      <c r="M58">
        <f>$C$12*(ReDiarioFert!K105+ReDiarioFert!K106)</f>
        <v>67.9113762962963</v>
      </c>
      <c r="O58">
        <f>$C$12*(ReDiarioFert!M105+ReDiarioFert!M106)</f>
        <v>486.9036097560976</v>
      </c>
      <c r="Q58">
        <f>$C$12*Main!$D$63</f>
        <v>28</v>
      </c>
      <c r="S58" t="e">
        <f>((E58/100)*$G$68+(G58/100)*$G$69+(I58/100)*$G$70+(K58/100)*$G$71+(M58/100)*$G$72+(O58)*$G$73+(Q58*$G$74))</f>
        <v>#DIV/0!</v>
      </c>
    </row>
    <row r="59">
      <c r="B59">
        <f>B58+2</f>
        <v>101</v>
      </c>
      <c r="C59">
        <f>$I$11+B59</f>
        <v>40066</v>
      </c>
      <c r="E59" t="e">
        <f>IF(($C$12*(ReDiarioFert!C107+ReDiarioFert!C108))&lt;=0,"0",($C$12*(ReDiarioFert!C107+ReDiarioFert!C108)))</f>
        <v>#DIV/0!</v>
      </c>
      <c r="G59" t="e">
        <f>$C$12*(ReDiarioFert!E107+ReDiarioFert!E108)</f>
        <v>#DIV/0!</v>
      </c>
      <c r="I59" t="e">
        <f>$C$12*(ReDiarioFert!G107+ReDiarioFert!G108)</f>
        <v>#DIV/0!</v>
      </c>
      <c r="K59">
        <f>$C$12*(ReDiarioFert!I107+ReDiarioFert!I108)</f>
        <v>32.94654759765696</v>
      </c>
      <c r="M59">
        <f>$C$12*(ReDiarioFert!K107+ReDiarioFert!K108)</f>
        <v>67.9113762962963</v>
      </c>
      <c r="O59">
        <f>$C$12*(ReDiarioFert!M107+ReDiarioFert!M108)</f>
        <v>486.9036097560976</v>
      </c>
      <c r="S59" t="e">
        <f>((E59/100)*$G$68+(G59/100)*$G$69+(I59/100)*$G$70+(K59/100)*$G$71+(M59/100)*$G$72+(O59)*$G$73+(Q59*$G$74))</f>
        <v>#DIV/0!</v>
      </c>
    </row>
    <row r="60">
      <c r="B60">
        <f>B59+2</f>
        <v>103</v>
      </c>
      <c r="C60">
        <f>$I$11+B60</f>
        <v>40068</v>
      </c>
      <c r="E60" t="e">
        <f>IF(($C$12*(ReDiarioFert!C109+ReDiarioFert!C110+ReDiarioFert!C111))&lt;=0,"0",($C$12*(ReDiarioFert!C109+ReDiarioFert!C110+ReDiarioFert!C111)))</f>
        <v>#DIV/0!</v>
      </c>
      <c r="G60" t="e">
        <f>$C$12*(ReDiarioFert!E109+ReDiarioFert!E110+ReDiarioFert!E111)</f>
        <v>#DIV/0!</v>
      </c>
      <c r="I60" t="e">
        <f>$C$12*(ReDiarioFert!G109+ReDiarioFert!G110+ReDiarioFert!G111)</f>
        <v>#DIV/0!</v>
      </c>
      <c r="K60">
        <f>$C$12*(ReDiarioFert!I109+ReDiarioFert!I110+ReDiarioFert!I111)</f>
        <v>49.41982139648544</v>
      </c>
      <c r="M60">
        <f>$C$12*(ReDiarioFert!K109+ReDiarioFert!K110+ReDiarioFert!K111)</f>
        <v>101.86706444444445</v>
      </c>
      <c r="O60">
        <f>$C$12*(ReDiarioFert!M109+ReDiarioFert!M110+ReDiarioFert!M111)</f>
        <v>730.3554146341464</v>
      </c>
      <c r="S60" t="e">
        <f>((E60/100)*$G$68+(G60/100)*$G$69+(I60/100)*$G$70+(K60/100)*$G$71+(M60/100)*$G$72+(O60)*$G$73+(Q60*$G$74))</f>
        <v>#DIV/0!</v>
      </c>
    </row>
    <row r="61">
      <c r="A61">
        <v>16</v>
      </c>
      <c r="B61">
        <f>B60+3</f>
        <v>106</v>
      </c>
      <c r="C61">
        <f>$I$11+B61</f>
        <v>40071</v>
      </c>
      <c r="E61" t="e">
        <f>IF(($C$12*(ReDiarioFert!C112+ReDiarioFert!C113))&lt;=0,"0",($C$12*(ReDiarioFert!C112+ReDiarioFert!C113)))</f>
        <v>#DIV/0!</v>
      </c>
      <c r="G61" t="e">
        <f>$C$12*(ReDiarioFert!E112+ReDiarioFert!E113)</f>
        <v>#DIV/0!</v>
      </c>
      <c r="I61" t="e">
        <f>$C$12*(ReDiarioFert!G112+ReDiarioFert!G113)</f>
        <v>#DIV/0!</v>
      </c>
      <c r="K61">
        <f>$C$12*(ReDiarioFert!I112+ReDiarioFert!I113)</f>
        <v>0</v>
      </c>
      <c r="M61">
        <f>$C$12*(ReDiarioFert!K112+ReDiarioFert!K113)</f>
        <v>0</v>
      </c>
      <c r="O61">
        <f>$C$12*(ReDiarioFert!M112+ReDiarioFert!M113)</f>
        <v>486.9036097560976</v>
      </c>
      <c r="Q61">
        <f>$C$12*Main!$D$63</f>
        <v>28</v>
      </c>
      <c r="S61" t="e">
        <f>((E61/100)*$G$68+(G61/100)*$G$69+(I61/100)*$G$70+(K61/100)*$G$71+(M61/100)*$G$72+(O61)*$G$73+(Q61*$G$74))</f>
        <v>#DIV/0!</v>
      </c>
    </row>
    <row r="62">
      <c r="B62">
        <f>B61+2</f>
        <v>108</v>
      </c>
      <c r="C62">
        <f>$I$11+B62</f>
        <v>40073</v>
      </c>
      <c r="E62" t="e">
        <f>IF(($C$12*(ReDiarioFert!C114+ReDiarioFert!C115))&lt;=0,"0",($C$12*(ReDiarioFert!C114+ReDiarioFert!C115)))</f>
        <v>#DIV/0!</v>
      </c>
      <c r="G62" t="e">
        <f>$C$12*(ReDiarioFert!E114+ReDiarioFert!E115)</f>
        <v>#DIV/0!</v>
      </c>
      <c r="I62" t="e">
        <f>$C$12*(ReDiarioFert!G114+ReDiarioFert!G115)</f>
        <v>#DIV/0!</v>
      </c>
      <c r="K62">
        <f>$C$12*(ReDiarioFert!I114+ReDiarioFert!I115)</f>
        <v>0</v>
      </c>
      <c r="M62">
        <f>$C$12*(ReDiarioFert!K114+ReDiarioFert!K115)</f>
        <v>0</v>
      </c>
      <c r="O62">
        <f>$C$12*(ReDiarioFert!M114+ReDiarioFert!M115)</f>
        <v>486.9036097560976</v>
      </c>
      <c r="S62" t="e">
        <f>((E62/100)*$G$68+(G62/100)*$G$69+(I62/100)*$G$70+(K62/100)*$G$71+(M62/100)*$G$72+(O62)*$G$73+(Q62*$G$74))</f>
        <v>#DIV/0!</v>
      </c>
    </row>
    <row r="63">
      <c r="B63">
        <f>B62+2</f>
        <v>110</v>
      </c>
      <c r="C63">
        <f>$I$11+B63</f>
        <v>40075</v>
      </c>
      <c r="E63" t="e">
        <f>IF(($C$12*(ReDiarioFert!C116+ReDiarioFert!C117+ReDiarioFert!C118))&lt;=0,"0",($C$12*(ReDiarioFert!C116+ReDiarioFert!C117+ReDiarioFert!C118)))</f>
        <v>#DIV/0!</v>
      </c>
      <c r="G63" t="e">
        <f>$C$12*(ReDiarioFert!E116+ReDiarioFert!E117+ReDiarioFert!E118)</f>
        <v>#DIV/0!</v>
      </c>
      <c r="I63" t="e">
        <f>$C$12*(ReDiarioFert!G116+ReDiarioFert!G117+ReDiarioFert!G118)</f>
        <v>#DIV/0!</v>
      </c>
      <c r="K63">
        <f>$C$12*(ReDiarioFert!I116+ReDiarioFert!I117+ReDiarioFert!I118)</f>
        <v>0</v>
      </c>
      <c r="M63">
        <f>$C$12*(ReDiarioFert!K116+ReDiarioFert!K117+ReDiarioFert!K118)</f>
        <v>0</v>
      </c>
      <c r="O63">
        <f>$C$12*(ReDiarioFert!M116+ReDiarioFert!M117+ReDiarioFert!M118)</f>
        <v>730.3554146341464</v>
      </c>
      <c r="S63" t="e">
        <f>((E63/100)*$G$68+(G63/100)*$G$69+(I63/100)*$G$70+(K63/100)*$G$71+(M63/100)*$G$72+(O63)*$G$73+(Q63*$G$74))</f>
        <v>#DIV/0!</v>
      </c>
    </row>
    <row r="64">
      <c r="C64" t="str">
        <v>Total</v>
      </c>
      <c r="E64" t="e">
        <f>SUM(E16:E63)</f>
        <v>#DIV/0!</v>
      </c>
      <c r="G64" t="e">
        <f>SUM(G16:G63)</f>
        <v>#DIV/0!</v>
      </c>
      <c r="I64" t="e">
        <f>SUM(I16:I63)</f>
        <v>#DIV/0!</v>
      </c>
      <c r="K64">
        <f>SUM(K16:K63)</f>
        <v>783.2292906170265</v>
      </c>
      <c r="M64">
        <f>SUM(M16:M63)</f>
        <v>1614.4386274074075</v>
      </c>
      <c r="O64">
        <f>SUM(O16:O63)</f>
        <v>17632.860682926832</v>
      </c>
      <c r="Q64">
        <f>SUM(Q16:Q63)</f>
        <v>448</v>
      </c>
      <c r="S64" t="e">
        <f>SUM(S16:S63)</f>
        <v>#DIV/0!</v>
      </c>
    </row>
    <row r="65">
      <c r="D65" t="str">
        <v>OJO cualquier cultivo que no se termine la cosecha en el ultimo día del calendario solo seguir repitiendo la ultima aplicación de fertilizante.</v>
      </c>
    </row>
    <row r="66" ht="39.75" customHeight="1">
      <c r="B66" t="str">
        <v>Producto</v>
      </c>
      <c r="F66" t="str">
        <v>Lbs/Ha</v>
      </c>
      <c r="G66" t="str">
        <v>Costo por qq</v>
      </c>
    </row>
    <row r="67" ht="24" customHeight="1">
      <c r="G67" t="str">
        <f>Main!$E$25</f>
        <v>Lempiras</v>
      </c>
    </row>
    <row r="68">
      <c r="B68" t="str">
        <f>Main!D42</f>
        <v>Urea</v>
      </c>
      <c r="F68" t="e">
        <f>E64/C12</f>
        <v>#DIV/0!</v>
      </c>
      <c r="G68">
        <f>Main!D43</f>
        <v>650</v>
      </c>
    </row>
    <row r="69">
      <c r="B69" t="str">
        <f>Main!D32</f>
        <v>FofatoMonoPotasico</v>
      </c>
      <c r="F69" t="e">
        <f>G64/C12</f>
        <v>#DIV/0!</v>
      </c>
      <c r="G69">
        <f>Main!D33</f>
        <v>1700</v>
      </c>
    </row>
    <row r="70">
      <c r="B70" t="str">
        <f>Main!D37</f>
        <v>Kcl</v>
      </c>
      <c r="F70" t="e">
        <f>I64/C12</f>
        <v>#DIV/0!</v>
      </c>
      <c r="G70">
        <f>Main!D38</f>
        <v>580</v>
      </c>
    </row>
    <row r="71">
      <c r="B71" t="str">
        <f>Main!D47</f>
        <v>Sulfato de Magnesio</v>
      </c>
      <c r="F71">
        <f>K64/C12</f>
        <v>559.4494932978762</v>
      </c>
      <c r="G71">
        <f>Main!D48</f>
        <v>951</v>
      </c>
    </row>
    <row r="72">
      <c r="B72" t="str">
        <f>Main!D52</f>
        <v>Nitrato de Calcio</v>
      </c>
      <c r="F72">
        <f>M64/C12</f>
        <v>1153.1704481481484</v>
      </c>
      <c r="G72">
        <f>Main!D53</f>
        <v>1100</v>
      </c>
    </row>
    <row r="73">
      <c r="B73" t="str">
        <f>Main!D57</f>
        <v>Solubor</v>
      </c>
      <c r="F73">
        <f>O64/C12</f>
        <v>12594.90048780488</v>
      </c>
      <c r="G73">
        <f>Main!D58</f>
        <v>0.04</v>
      </c>
      <c r="I73" t="str">
        <v xml:space="preserve">Preparado y Autorizado Por </v>
      </c>
    </row>
    <row r="74" ht="18" customHeight="1">
      <c r="B74" t="str">
        <f>Main!D61</f>
        <v>Melaza</v>
      </c>
      <c r="F74">
        <f>Q64/C12</f>
        <v>320</v>
      </c>
      <c r="G74">
        <f>Main!D62</f>
        <v>2.8</v>
      </c>
      <c r="I74" t="str">
        <v>MSc Ricardo D. Lardizábal</v>
      </c>
    </row>
    <row r="75" ht="17.45" customHeight="1">
      <c r="B75" t="str">
        <v>NOTA: El Nitrato de Calcio se debe de diluir en un barril aparte para inyectarse al sistema</v>
      </c>
    </row>
    <row r="78">
      <c r="B78" t="str">
        <v>Abreviaciones usadas</v>
      </c>
    </row>
    <row r="79">
      <c r="B79" t="str">
        <v>Mz.-Manzanas, Ha-Hectáreas, Lbs-Libras, Lts-Litros y DDT-Días después de Trasplante</v>
      </c>
    </row>
  </sheetData>
  <mergeCells count="53">
    <mergeCell ref="P4:S6"/>
    <mergeCell ref="P8:S10"/>
    <mergeCell ref="P11:S13"/>
    <mergeCell ref="B79:S79"/>
    <mergeCell ref="A8:M8"/>
    <mergeCell ref="F10:H10"/>
    <mergeCell ref="F11:H11"/>
    <mergeCell ref="C9:E9"/>
    <mergeCell ref="B78:C78"/>
    <mergeCell ref="B74:E74"/>
    <mergeCell ref="B72:E72"/>
    <mergeCell ref="B75:I76"/>
    <mergeCell ref="B73:E73"/>
    <mergeCell ref="F9:H9"/>
    <mergeCell ref="G72:H72"/>
    <mergeCell ref="A12:B12"/>
    <mergeCell ref="C12:E12"/>
    <mergeCell ref="G71:H71"/>
    <mergeCell ref="A9:B9"/>
    <mergeCell ref="G70:H70"/>
    <mergeCell ref="A10:B10"/>
    <mergeCell ref="C10:E10"/>
    <mergeCell ref="C11:E11"/>
    <mergeCell ref="A11:B11"/>
    <mergeCell ref="B71:E71"/>
    <mergeCell ref="B66:E66"/>
    <mergeCell ref="B68:E68"/>
    <mergeCell ref="B69:E69"/>
    <mergeCell ref="B70:E70"/>
    <mergeCell ref="A14:A15"/>
    <mergeCell ref="B14:B15"/>
    <mergeCell ref="C14:D14"/>
    <mergeCell ref="E14:F14"/>
    <mergeCell ref="S14:S15"/>
    <mergeCell ref="M14:N14"/>
    <mergeCell ref="Q14:R14"/>
    <mergeCell ref="O14:P14"/>
    <mergeCell ref="G68:H68"/>
    <mergeCell ref="G69:H69"/>
    <mergeCell ref="I14:J14"/>
    <mergeCell ref="K14:L14"/>
    <mergeCell ref="G66:H66"/>
    <mergeCell ref="G67:H67"/>
    <mergeCell ref="G73:H73"/>
    <mergeCell ref="I74:Q74"/>
    <mergeCell ref="I9:M9"/>
    <mergeCell ref="I10:M10"/>
    <mergeCell ref="I11:M11"/>
    <mergeCell ref="I12:M12"/>
    <mergeCell ref="I73:Q73"/>
    <mergeCell ref="G74:H74"/>
    <mergeCell ref="F12:H12"/>
    <mergeCell ref="G14:H14"/>
  </mergeCells>
  <pageMargins left="0.25" right="0.25" top="0.39" bottom="0.5" header="0.27" footer="0.25"/>
  <ignoredErrors>
    <ignoredError numberStoredAsText="1" sqref="A1:V88"/>
  </ignoredErrors>
  <legacyDrawing r:id="rId1"/>
</worksheet>
</file>

<file path=xl/worksheets/sheet5.xml><?xml version="1.0" encoding="utf-8"?>
<worksheet xmlns="http://schemas.openxmlformats.org/spreadsheetml/2006/main" xmlns:r="http://schemas.openxmlformats.org/officeDocument/2006/relationships">
  <dimension ref="A1:V72"/>
  <sheetViews>
    <sheetView workbookViewId="0" rightToLeft="0"/>
  </sheetViews>
  <sheetData>
    <row r="1" ht="56.45000000000001" customHeight="1"/>
    <row r="2" ht="32.65" customHeight="1"/>
    <row r="3" ht="32.65" customHeight="1"/>
    <row r="4">
      <c r="P4" t="str">
        <f>Main!$E$21</f>
        <v>Papa</v>
      </c>
    </row>
    <row r="5" ht="23.45" customHeight="1"/>
    <row r="6" ht="29.25" customHeight="1"/>
    <row r="7" ht="26.25" customHeight="1"/>
    <row r="8" ht="25.899999999999995" customHeight="1">
      <c r="A8" t="str">
        <f>Main!$C$13</f>
        <v>"Sin Fertilización Base"</v>
      </c>
      <c r="P8" t="str">
        <f>Main!$G$21</f>
        <v>Provento</v>
      </c>
    </row>
    <row r="9" ht="20.1" customHeight="1">
      <c r="A9" t="str">
        <v>Productor</v>
      </c>
      <c r="C9" t="str">
        <f>Main!E17</f>
        <v>Pancho Pérez</v>
      </c>
      <c r="G9" t="str">
        <v>Parcela</v>
      </c>
      <c r="J9" t="str">
        <f>Main!E19</f>
        <v>La Frondosa</v>
      </c>
    </row>
    <row r="10" ht="20.1" customHeight="1">
      <c r="A10" t="str">
        <v>Zona</v>
      </c>
      <c r="C10" t="str">
        <f>Main!E18</f>
        <v>Cantarranas</v>
      </c>
      <c r="G10" t="str">
        <v>Técnico</v>
      </c>
      <c r="J10" t="str">
        <f>Main!E20</f>
        <v>Nelson Galindo</v>
      </c>
    </row>
    <row r="11" ht="20.1" customHeight="1">
      <c r="A11" t="str">
        <v>Área Mz.</v>
      </c>
      <c r="C11">
        <f>Main!E22</f>
        <v>2</v>
      </c>
      <c r="G11" t="str">
        <v>Fecha:</v>
      </c>
      <c r="J11">
        <f>Main!E23</f>
        <v>39965</v>
      </c>
      <c r="P11" t="str">
        <v>Calendario de Fertilización para Goteo 2 Veces Por Semana</v>
      </c>
    </row>
    <row r="12" ht="20.1" customHeight="1">
      <c r="A12" t="str">
        <v>Área Ha.</v>
      </c>
      <c r="C12">
        <f>Main!I22</f>
        <v>1.4</v>
      </c>
      <c r="G12" t="str">
        <v>Fecha de Cosecha:</v>
      </c>
      <c r="J12">
        <f>J11+Main!E24</f>
        <v>40055</v>
      </c>
    </row>
    <row r="13" ht="19.5" customHeight="1"/>
    <row r="14" ht="28.5" customHeight="1">
      <c r="A14" t="str">
        <v>Semana</v>
      </c>
      <c r="B14" t="str">
        <v>DDT</v>
      </c>
      <c r="C14" t="str">
        <v>FECHA</v>
      </c>
      <c r="D14" t="str">
        <v>Seleccioné su opción</v>
      </c>
      <c r="E14" t="str">
        <v>Preventivos</v>
      </c>
      <c r="G14" t="str">
        <f>Main!$D$42</f>
        <v>Urea</v>
      </c>
      <c r="I14" t="str">
        <f>Main!$D$32</f>
        <v>FofatoMonoPotasico</v>
      </c>
      <c r="K14" t="str">
        <f>Main!$D$37</f>
        <v>Kcl</v>
      </c>
      <c r="M14" t="str">
        <f>Main!$D$47</f>
        <v>Sulfato de Magnesio</v>
      </c>
      <c r="O14" t="str">
        <f>Main!$D$52</f>
        <v>Nitrato de Calcio</v>
      </c>
      <c r="Q14" t="str">
        <f>Main!$D$57</f>
        <v>Solubor</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t="str">
        <f>Main!E52</f>
        <v>Lbs</v>
      </c>
      <c r="P15" t="str">
        <v>Cambios</v>
      </c>
      <c r="Q15" t="str">
        <f>Main!E57</f>
        <v>Gramos</v>
      </c>
      <c r="R15" t="str">
        <v>Cambios</v>
      </c>
      <c r="S15" t="str">
        <f>Main!$E$61</f>
        <v>Lts</v>
      </c>
    </row>
    <row r="16" ht="18.75" customHeight="1">
      <c r="A16">
        <v>1</v>
      </c>
      <c r="B16">
        <v>3</v>
      </c>
      <c r="C16">
        <f>$J$11+B16</f>
        <v>39968</v>
      </c>
      <c r="E16">
        <f>VLOOKUP(D16,Fertilizantes!$A$49:$E$124,2,FALSE)*$C$12</f>
        <v>0</v>
      </c>
      <c r="F16">
        <f>VLOOKUP(D16,Fertilizantes!$A$49:$E$124,4,FALSE)</f>
        <v>0</v>
      </c>
      <c r="G16" t="e">
        <f>IF(((SUM(ReDiarioFert!C7:C13)/2)*$C$12)&lt;=0,"0",(((SUM(ReDiarioFert!C7:C13)/2)*$C$12)))</f>
        <v>#DIV/0!</v>
      </c>
      <c r="I16" t="e">
        <f>IF(((SUM(ReDiarioFert!E7:E13)/2)*$C$12)&lt;=0,"0",(((SUM(ReDiarioFert!E7:E13)/2)*$C$12)))</f>
        <v>#DIV/0!</v>
      </c>
      <c r="K16" t="e">
        <f>IF(((SUM(ReDiarioFert!G7:G13)/2)*$C$12)&lt;=0,"0",(((SUM(ReDiarioFert!G7:G13)/2)*$C$12)))</f>
        <v>#DIV/0!</v>
      </c>
      <c r="M16">
        <f>IF(((SUM(ReDiarioFert!I7:I13)/2)*$C$12)&lt;=0,"0",(((SUM(ReDiarioFert!I7:I13)/2)*$C$12)))</f>
        <v>3.931122156538614</v>
      </c>
      <c r="O16">
        <f>IF(((SUM(ReDiarioFert!K7:K13)/2)*$C$12)&lt;=0,"0",(((SUM(ReDiarioFert!K7:K13)/2)*$C$12)))</f>
        <v>8.103061944444441</v>
      </c>
      <c r="Q16">
        <f>IF(((SUM(ReDiarioFert!M7:M13)/2)*$C$12)&lt;=0,"0",(((SUM(ReDiarioFert!M7:M13)/2)*$C$12)))</f>
        <v>121.72556097560975</v>
      </c>
      <c r="S16">
        <f>$C$12*Main!$D$63</f>
        <v>28</v>
      </c>
      <c r="T16" t="e">
        <f>((G16/100)*$G$52+(I16/100)*$G$53+(K16/100)*$G$54+(M16/100)*$G$55+(O16/100)*$G$56+(Q16)*$G$57+(S16*$G$58)+(E16*(VLOOKUP(D16,Fertilizantes!$A$49:$E$123,3,FALSE))))</f>
        <v>#DIV/0!</v>
      </c>
    </row>
    <row r="17" ht="18.75" customHeight="1">
      <c r="B17">
        <v>7</v>
      </c>
      <c r="C17">
        <f>$J$11+B17</f>
        <v>39972</v>
      </c>
      <c r="E17">
        <f>VLOOKUP(D17,Fertilizantes!$A$49:$E$124,2,FALSE)*$C$12</f>
        <v>0</v>
      </c>
      <c r="F17">
        <f>VLOOKUP(D17,Fertilizantes!$A$49:$E$124,4,FALSE)</f>
        <v>0</v>
      </c>
      <c r="G17" t="e">
        <f>G16</f>
        <v>#DIV/0!</v>
      </c>
      <c r="I17" t="e">
        <f>I16</f>
        <v>#DIV/0!</v>
      </c>
      <c r="K17" t="e">
        <f>K16</f>
        <v>#DIV/0!</v>
      </c>
      <c r="M17">
        <f>M16</f>
        <v>3.931122156538614</v>
      </c>
      <c r="O17">
        <f>O16</f>
        <v>8.103061944444441</v>
      </c>
      <c r="Q17">
        <f>Q16</f>
        <v>121.72556097560975</v>
      </c>
      <c r="T17" t="e">
        <f>((G17/100)*$G$52+(I17/100)*$G$53+(K17/100)*$G$54+(M17/100)*$G$55+(O17/100)*$G$56+(Q17)*$G$57+(S17*$G$58)+(E17*(VLOOKUP(D17,Fertilizantes!$A$49:$E$123,3,FALSE))))</f>
        <v>#DIV/0!</v>
      </c>
    </row>
    <row r="18">
      <c r="A18">
        <v>2</v>
      </c>
      <c r="B18">
        <f>B17+3</f>
        <v>10</v>
      </c>
      <c r="C18">
        <f>$J$11+B18</f>
        <v>39975</v>
      </c>
      <c r="E18">
        <f>VLOOKUP(D18,Fertilizantes!$A$49:$E$124,2,FALSE)*$C$12</f>
        <v>0</v>
      </c>
      <c r="F18">
        <f>VLOOKUP(D18,Fertilizantes!$A$49:$E$124,4,FALSE)</f>
        <v>0</v>
      </c>
      <c r="G18" t="e">
        <f>IF(((SUM(ReDiarioFert!C14:C20)/2)*$C$12)&lt;=0,"0",(((SUM(ReDiarioFert!C14:C20)/2)*$C$12)))</f>
        <v>#DIV/0!</v>
      </c>
      <c r="I18" t="e">
        <f>IF(((SUM(ReDiarioFert!E14:E20)/2)*$C$12)&lt;=0,"0",(((SUM(ReDiarioFert!E14:E20)/2)*$C$12)))</f>
        <v>#DIV/0!</v>
      </c>
      <c r="K18" t="e">
        <f>IF(((SUM(ReDiarioFert!G14:G20)/2)*$C$12)&lt;=0,"0",(((SUM(ReDiarioFert!G14:G20)/2)*$C$12)))</f>
        <v>#DIV/0!</v>
      </c>
      <c r="M18">
        <f>IF(((SUM(ReDiarioFert!I14:I20)/2)*$C$12)&lt;=0,"0",(((SUM(ReDiarioFert!I14:I20)/2)*$C$12)))</f>
        <v>3.931122156538614</v>
      </c>
      <c r="O18">
        <f>IF(((SUM(ReDiarioFert!K14:K20)/2)*$C$12)&lt;=0,"0",(((SUM(ReDiarioFert!K14:K20)/2)*$C$12)))</f>
        <v>8.103061944444441</v>
      </c>
      <c r="Q18">
        <f>IF(((SUM(ReDiarioFert!M14:M20)/2)*$C$12)&lt;=0,"0",(((SUM(ReDiarioFert!M14:M20)/2)*$C$12)))</f>
        <v>177.37180487804878</v>
      </c>
      <c r="S18">
        <f>$C$12*Main!$D$63</f>
        <v>28</v>
      </c>
      <c r="T18" t="e">
        <f>((G18/100)*$G$52+(I18/100)*$G$53+(K18/100)*$G$54+(M18/100)*$G$55+(O18/100)*$G$56+(Q18)*$G$57+(S18*$G$58)+(E18*(VLOOKUP(D18,Fertilizantes!$A$49:$E$123,3,FALSE))))</f>
        <v>#DIV/0!</v>
      </c>
    </row>
    <row r="19">
      <c r="B19">
        <f>B18+4</f>
        <v>14</v>
      </c>
      <c r="C19">
        <f>$J$11+B19</f>
        <v>39979</v>
      </c>
      <c r="E19">
        <f>VLOOKUP(D19,Fertilizantes!$A$49:$E$124,2,FALSE)*$C$12</f>
        <v>0</v>
      </c>
      <c r="F19">
        <f>VLOOKUP(D19,Fertilizantes!$A$49:$E$124,4,FALSE)</f>
        <v>0</v>
      </c>
      <c r="G19" t="e">
        <f>G18</f>
        <v>#DIV/0!</v>
      </c>
      <c r="I19" t="e">
        <f>I18</f>
        <v>#DIV/0!</v>
      </c>
      <c r="K19" t="e">
        <f>K18</f>
        <v>#DIV/0!</v>
      </c>
      <c r="M19">
        <f>M18</f>
        <v>3.931122156538614</v>
      </c>
      <c r="O19">
        <f>O18</f>
        <v>8.103061944444441</v>
      </c>
      <c r="Q19">
        <f>Q18</f>
        <v>177.37180487804878</v>
      </c>
      <c r="T19" t="e">
        <f>((G19/100)*$G$52+(I19/100)*$G$53+(K19/100)*$G$54+(M19/100)*$G$55+(O19/100)*$G$56+(Q19)*$G$57+(S19*$G$58)+(E19*(VLOOKUP(D19,Fertilizantes!$A$49:$E$123,3,FALSE))))</f>
        <v>#DIV/0!</v>
      </c>
    </row>
    <row r="20">
      <c r="A20">
        <v>3</v>
      </c>
      <c r="B20">
        <f>B19+3</f>
        <v>17</v>
      </c>
      <c r="C20">
        <f>$J$11+B20</f>
        <v>39982</v>
      </c>
      <c r="E20">
        <f>VLOOKUP(D20,Fertilizantes!$A$49:$E$124,2,FALSE)*$C$12</f>
        <v>0</v>
      </c>
      <c r="F20">
        <f>VLOOKUP(D20,Fertilizantes!$A$49:$E$124,4,FALSE)</f>
        <v>0</v>
      </c>
      <c r="G20" t="e">
        <f>IF(((SUM(ReDiarioFert!C21:C27)/2)*$C$12)&lt;=0,"0",(((SUM(ReDiarioFert!C21:C27)/2)*$C$12)))</f>
        <v>#DIV/0!</v>
      </c>
      <c r="I20" t="e">
        <f>IF(((SUM(ReDiarioFert!E21:E27)/2)*$C$12)&lt;=0,"0",(((SUM(ReDiarioFert!E21:E27)/2)*$C$12)))</f>
        <v>#DIV/0!</v>
      </c>
      <c r="K20" t="e">
        <f>IF(((SUM(ReDiarioFert!G21:G27)/2)*$C$12)&lt;=0,"0",(((SUM(ReDiarioFert!G21:G27)/2)*$C$12)))</f>
        <v>#DIV/0!</v>
      </c>
      <c r="M20">
        <f>IF(((SUM(ReDiarioFert!I21:I27)/2)*$C$12)&lt;=0,"0",(((SUM(ReDiarioFert!I21:I27)/2)*$C$12)))</f>
        <v>3.931122156538614</v>
      </c>
      <c r="O20">
        <f>IF(((SUM(ReDiarioFert!K21:K27)/2)*$C$12)&lt;=0,"0",(((SUM(ReDiarioFert!K21:K27)/2)*$C$12)))</f>
        <v>8.103061944444441</v>
      </c>
      <c r="Q20">
        <f>IF(((SUM(ReDiarioFert!M21:M27)/2)*$C$12)&lt;=0,"0",(((SUM(ReDiarioFert!M21:M27)/2)*$C$12)))</f>
        <v>260.8401463414634</v>
      </c>
      <c r="S20">
        <f>$C$12*Main!$D$63</f>
        <v>28</v>
      </c>
      <c r="T20" t="e">
        <f>((G20/100)*$G$52+(I20/100)*$G$53+(K20/100)*$G$54+(M20/100)*$G$55+(O20/100)*$G$56+(Q20)*$G$57+(S20*$G$58)+(E20*(VLOOKUP(D20,Fertilizantes!$A$49:$E$123,3,FALSE))))</f>
        <v>#DIV/0!</v>
      </c>
    </row>
    <row r="21">
      <c r="B21">
        <f>B20+4</f>
        <v>21</v>
      </c>
      <c r="C21">
        <f>$J$11+B21</f>
        <v>39986</v>
      </c>
      <c r="E21">
        <f>VLOOKUP(D21,Fertilizantes!$A$49:$E$124,2,FALSE)*$C$12</f>
        <v>0</v>
      </c>
      <c r="F21">
        <f>VLOOKUP(D21,Fertilizantes!$A$49:$E$124,4,FALSE)</f>
        <v>0</v>
      </c>
      <c r="G21" t="e">
        <f>G20</f>
        <v>#DIV/0!</v>
      </c>
      <c r="I21" t="e">
        <f>I20</f>
        <v>#DIV/0!</v>
      </c>
      <c r="K21" t="e">
        <f>K20</f>
        <v>#DIV/0!</v>
      </c>
      <c r="M21">
        <f>M20</f>
        <v>3.931122156538614</v>
      </c>
      <c r="O21">
        <f>O20</f>
        <v>8.103061944444441</v>
      </c>
      <c r="Q21">
        <f>Q20</f>
        <v>260.8401463414634</v>
      </c>
      <c r="T21" t="e">
        <f>((G21/100)*$G$52+(I21/100)*$G$53+(K21/100)*$G$54+(M21/100)*$G$55+(O21/100)*$G$56+(Q21)*$G$57+(S21*$G$58)+(E21*(VLOOKUP(D21,Fertilizantes!$A$49:$E$123,3,FALSE))))</f>
        <v>#DIV/0!</v>
      </c>
    </row>
    <row r="22">
      <c r="A22">
        <v>4</v>
      </c>
      <c r="B22">
        <f>B21+3</f>
        <v>24</v>
      </c>
      <c r="C22">
        <f>$J$11+B22</f>
        <v>39989</v>
      </c>
      <c r="E22">
        <f>VLOOKUP(D22,Fertilizantes!$A$49:$E$124,2,FALSE)*$C$12</f>
        <v>0</v>
      </c>
      <c r="F22">
        <f>VLOOKUP(D22,Fertilizantes!$A$49:$E$124,4,FALSE)</f>
        <v>0</v>
      </c>
      <c r="G22" t="e">
        <f>IF(((SUM(ReDiarioFert!C28:C34)/2)*$C$12)&lt;=0,"0",(((SUM(ReDiarioFert!C28:C34)/2)*$C$12)))</f>
        <v>#DIV/0!</v>
      </c>
      <c r="I22" t="e">
        <f>IF(((SUM(ReDiarioFert!E28:E34)/2)*$C$12)&lt;=0,"0",(((SUM(ReDiarioFert!E28:E34)/2)*$C$12)))</f>
        <v>#DIV/0!</v>
      </c>
      <c r="K22" t="e">
        <f>IF(((SUM(ReDiarioFert!G28:G34)/2)*$C$12)&lt;=0,"0",(((SUM(ReDiarioFert!G28:G34)/2)*$C$12)))</f>
        <v>#DIV/0!</v>
      </c>
      <c r="M22">
        <f>IF(((SUM(ReDiarioFert!I28:I34)/2)*$C$12)&lt;=0,"0",(((SUM(ReDiarioFert!I28:I34)/2)*$C$12)))</f>
        <v>3.931122156538614</v>
      </c>
      <c r="O22">
        <f>IF(((SUM(ReDiarioFert!K28:K34)/2)*$C$12)&lt;=0,"0",(((SUM(ReDiarioFert!K28:K34)/2)*$C$12)))</f>
        <v>8.103061944444441</v>
      </c>
      <c r="Q22">
        <f>IF(((SUM(ReDiarioFert!M28:M34)/2)*$C$12)&lt;=0,"0",(((SUM(ReDiarioFert!M28:M34)/2)*$C$12)))</f>
        <v>292.14039024390246</v>
      </c>
      <c r="S22">
        <f>$C$12*Main!$D$63</f>
        <v>28</v>
      </c>
      <c r="T22" t="e">
        <f>((G22/100)*$G$52+(I22/100)*$G$53+(K22/100)*$G$54+(M22/100)*$G$55+(O22/100)*$G$56+(Q22)*$G$57+(S22*$G$58)+(E22*(VLOOKUP(D22,Fertilizantes!$A$49:$E$123,3,FALSE))))</f>
        <v>#DIV/0!</v>
      </c>
    </row>
    <row r="23">
      <c r="B23">
        <f>B22+4</f>
        <v>28</v>
      </c>
      <c r="C23">
        <f>$J$11+B23</f>
        <v>39993</v>
      </c>
      <c r="E23">
        <f>VLOOKUP(D23,Fertilizantes!$A$49:$E$124,2,FALSE)*$C$12</f>
        <v>0</v>
      </c>
      <c r="F23">
        <f>VLOOKUP(D23,Fertilizantes!$A$49:$E$124,4,FALSE)</f>
        <v>0</v>
      </c>
      <c r="G23" t="e">
        <f>G22</f>
        <v>#DIV/0!</v>
      </c>
      <c r="I23" t="e">
        <f>I22</f>
        <v>#DIV/0!</v>
      </c>
      <c r="K23" t="e">
        <f>K22</f>
        <v>#DIV/0!</v>
      </c>
      <c r="M23">
        <f>M22</f>
        <v>3.931122156538614</v>
      </c>
      <c r="O23">
        <f>O22</f>
        <v>8.103061944444441</v>
      </c>
      <c r="Q23">
        <f>Q22</f>
        <v>292.14039024390246</v>
      </c>
      <c r="T23" t="e">
        <f>((G23/100)*$G$52+(I23/100)*$G$53+(K23/100)*$G$54+(M23/100)*$G$55+(O23/100)*$G$56+(Q23)*$G$57+(S23*$G$58)+(E23*(VLOOKUP(D23,Fertilizantes!$A$49:$E$123,3,FALSE))))</f>
        <v>#DIV/0!</v>
      </c>
    </row>
    <row r="24">
      <c r="A24">
        <v>5</v>
      </c>
      <c r="B24">
        <f>B23+3</f>
        <v>31</v>
      </c>
      <c r="C24">
        <f>$J$11+B24</f>
        <v>39996</v>
      </c>
      <c r="E24">
        <f>VLOOKUP(D24,Fertilizantes!$A$49:$E$124,2,FALSE)*$C$12</f>
        <v>0</v>
      </c>
      <c r="F24">
        <f>VLOOKUP(D24,Fertilizantes!$A$49:$E$124,4,FALSE)</f>
        <v>0</v>
      </c>
      <c r="G24" t="e">
        <f>IF(((SUM(ReDiarioFert!C35:C41)/2)*$C$12)&lt;=0,"0",(((SUM(ReDiarioFert!C35:C41)/2)*$C$12)))</f>
        <v>#DIV/0!</v>
      </c>
      <c r="I24" t="e">
        <f>IF(((SUM(ReDiarioFert!E35:E41)/2)*$C$12)&lt;=0,"0",(((SUM(ReDiarioFert!E35:E41)/2)*$C$12)))</f>
        <v>#DIV/0!</v>
      </c>
      <c r="K24" t="e">
        <f>IF(((SUM(ReDiarioFert!G35:G41)/2)*$C$12)&lt;=0,"0",(((SUM(ReDiarioFert!G35:G41)/2)*$C$12)))</f>
        <v>#DIV/0!</v>
      </c>
      <c r="M24">
        <f>IF(((SUM(ReDiarioFert!I35:I41)/2)*$C$12)&lt;=0,"0",(((SUM(ReDiarioFert!I35:I41)/2)*$C$12)))</f>
        <v>3.931122156538614</v>
      </c>
      <c r="O24">
        <f>IF(((SUM(ReDiarioFert!K35:K41)/2)*$C$12)&lt;=0,"0",(((SUM(ReDiarioFert!K35:K41)/2)*$C$12)))</f>
        <v>8.103061944444441</v>
      </c>
      <c r="Q24">
        <f>IF(((SUM(ReDiarioFert!M35:M41)/2)*$C$12)&lt;=0,"0",(((SUM(ReDiarioFert!M35:M41)/2)*$C$12)))</f>
        <v>344.309512195122</v>
      </c>
      <c r="S24">
        <f>$C$12*Main!$D$63</f>
        <v>28</v>
      </c>
      <c r="T24" t="e">
        <f>((G24/100)*$G$52+(I24/100)*$G$53+(K24/100)*$G$54+(M24/100)*$G$55+(O24/100)*$G$56+(Q24)*$G$57+(S24*$G$58)+(E24*(VLOOKUP(D24,Fertilizantes!$A$49:$E$123,3,FALSE))))</f>
        <v>#DIV/0!</v>
      </c>
    </row>
    <row r="25">
      <c r="B25">
        <f>B24+4</f>
        <v>35</v>
      </c>
      <c r="C25">
        <f>$J$11+B25</f>
        <v>40000</v>
      </c>
      <c r="E25">
        <f>VLOOKUP(D25,Fertilizantes!$A$49:$E$124,2,FALSE)*$C$12</f>
        <v>0</v>
      </c>
      <c r="F25">
        <f>VLOOKUP(D25,Fertilizantes!$A$49:$E$124,4,FALSE)</f>
        <v>0</v>
      </c>
      <c r="G25" t="e">
        <f>G24</f>
        <v>#DIV/0!</v>
      </c>
      <c r="I25" t="e">
        <f>I24</f>
        <v>#DIV/0!</v>
      </c>
      <c r="K25" t="e">
        <f>K24</f>
        <v>#DIV/0!</v>
      </c>
      <c r="M25">
        <f>M24</f>
        <v>3.931122156538614</v>
      </c>
      <c r="O25">
        <f>O24</f>
        <v>8.103061944444441</v>
      </c>
      <c r="Q25">
        <f>Q24</f>
        <v>344.309512195122</v>
      </c>
      <c r="T25" t="e">
        <f>((G25/100)*$G$52+(I25/100)*$G$53+(K25/100)*$G$54+(M25/100)*$G$55+(O25/100)*$G$56+(Q25)*$G$57+(S25*$G$58)+(E25*(VLOOKUP(D25,Fertilizantes!$A$49:$E$123,3,FALSE))))</f>
        <v>#DIV/0!</v>
      </c>
    </row>
    <row r="26">
      <c r="A26">
        <v>6</v>
      </c>
      <c r="B26">
        <f>B25+3</f>
        <v>38</v>
      </c>
      <c r="C26">
        <f>$J$11+B26</f>
        <v>40003</v>
      </c>
      <c r="E26">
        <f>VLOOKUP(D26,Fertilizantes!$A$49:$E$124,2,FALSE)*$C$12</f>
        <v>0</v>
      </c>
      <c r="F26">
        <f>VLOOKUP(D26,Fertilizantes!$A$49:$E$124,4,FALSE)</f>
        <v>0</v>
      </c>
      <c r="G26" t="e">
        <f>IF(((SUM(ReDiarioFert!C42:C48)/2)*$C$12)&lt;=0,"0",(((SUM(ReDiarioFert!C42:C48)/2)*$C$12)))</f>
        <v>#DIV/0!</v>
      </c>
      <c r="I26" t="e">
        <f>IF(((SUM(ReDiarioFert!E42:E48)/2)*$C$12)&lt;=0,"0",(((SUM(ReDiarioFert!E42:E48)/2)*$C$12)))</f>
        <v>#DIV/0!</v>
      </c>
      <c r="K26" t="e">
        <f>IF(((SUM(ReDiarioFert!G42:G48)/2)*$C$12)&lt;=0,"0",(((SUM(ReDiarioFert!G42:G48)/2)*$C$12)))</f>
        <v>#DIV/0!</v>
      </c>
      <c r="M26">
        <f>IF(((SUM(ReDiarioFert!I42:I48)/2)*$C$12)&lt;=0,"0",(((SUM(ReDiarioFert!I42:I48)/2)*$C$12)))</f>
        <v>12.84166571135947</v>
      </c>
      <c r="O26">
        <f>IF(((SUM(ReDiarioFert!K42:K48)/2)*$C$12)&lt;=0,"0",(((SUM(ReDiarioFert!K42:K48)/2)*$C$12)))</f>
        <v>26.470002351851846</v>
      </c>
      <c r="Q26">
        <f>IF(((SUM(ReDiarioFert!M42:M48)/2)*$C$12)&lt;=0,"0",(((SUM(ReDiarioFert!M42:M48)/2)*$C$12)))</f>
        <v>413.8683414634147</v>
      </c>
      <c r="S26">
        <f>$C$12*Main!$D$63</f>
        <v>28</v>
      </c>
      <c r="T26" t="e">
        <f>((G26/100)*$G$52+(I26/100)*$G$53+(K26/100)*$G$54+(M26/100)*$G$55+(O26/100)*$G$56+(Q26)*$G$57+(S26*$G$58)+(E26*(VLOOKUP(D26,Fertilizantes!$A$49:$E$123,3,FALSE))))</f>
        <v>#DIV/0!</v>
      </c>
    </row>
    <row r="27">
      <c r="B27">
        <f>B26+4</f>
        <v>42</v>
      </c>
      <c r="C27">
        <f>$J$11+B27</f>
        <v>40007</v>
      </c>
      <c r="E27">
        <f>VLOOKUP(D27,Fertilizantes!$A$49:$E$124,2,FALSE)*$C$12</f>
        <v>0</v>
      </c>
      <c r="F27">
        <f>VLOOKUP(D27,Fertilizantes!$A$49:$E$124,4,FALSE)</f>
        <v>0</v>
      </c>
      <c r="G27" t="e">
        <f>G26</f>
        <v>#DIV/0!</v>
      </c>
      <c r="I27" t="e">
        <f>I26</f>
        <v>#DIV/0!</v>
      </c>
      <c r="K27" t="e">
        <f>K26</f>
        <v>#DIV/0!</v>
      </c>
      <c r="M27">
        <f>M26</f>
        <v>12.84166571135947</v>
      </c>
      <c r="O27">
        <f>O26</f>
        <v>26.470002351851846</v>
      </c>
      <c r="Q27">
        <f>Q26</f>
        <v>413.8683414634147</v>
      </c>
      <c r="T27" t="e">
        <f>((G27/100)*$G$52+(I27/100)*$G$53+(K27/100)*$G$54+(M27/100)*$G$55+(O27/100)*$G$56+(Q27)*$G$57+(S27*$G$58)+(E27*(VLOOKUP(D27,Fertilizantes!$A$49:$E$123,3,FALSE))))</f>
        <v>#DIV/0!</v>
      </c>
    </row>
    <row r="28">
      <c r="A28">
        <v>7</v>
      </c>
      <c r="B28">
        <f>B27+3</f>
        <v>45</v>
      </c>
      <c r="C28">
        <f>$J$11+B28</f>
        <v>40010</v>
      </c>
      <c r="E28">
        <f>VLOOKUP(D28,Fertilizantes!$A$49:$E$124,2,FALSE)*$C$12</f>
        <v>0</v>
      </c>
      <c r="F28">
        <f>VLOOKUP(D28,Fertilizantes!$A$49:$E$124,4,FALSE)</f>
        <v>0</v>
      </c>
      <c r="G28" t="e">
        <f>IF(((SUM(ReDiarioFert!C49:C55)/2)*$C$12)&lt;=0,"0",(((SUM(ReDiarioFert!C49:C55)/2)*$C$12)))</f>
        <v>#DIV/0!</v>
      </c>
      <c r="I28" t="e">
        <f>IF(((SUM(ReDiarioFert!E49:E55)/2)*$C$12)&lt;=0,"0",(((SUM(ReDiarioFert!E49:E55)/2)*$C$12)))</f>
        <v>#DIV/0!</v>
      </c>
      <c r="K28" t="e">
        <f>IF(((SUM(ReDiarioFert!G49:G55)/2)*$C$12)&lt;=0,"0",(((SUM(ReDiarioFert!G49:G55)/2)*$C$12)))</f>
        <v>#DIV/0!</v>
      </c>
      <c r="M28">
        <f>IF(((SUM(ReDiarioFert!I49:I55)/2)*$C$12)&lt;=0,"0",(((SUM(ReDiarioFert!I49:I55)/2)*$C$12)))</f>
        <v>35.118024598411616</v>
      </c>
      <c r="O28">
        <f>IF(((SUM(ReDiarioFert!K49:K55)/2)*$C$12)&lt;=0,"0",(((SUM(ReDiarioFert!K49:K55)/2)*$C$12)))</f>
        <v>72.38735337037036</v>
      </c>
      <c r="Q28">
        <f>IF(((SUM(ReDiarioFert!M49:M55)/2)*$C$12)&lt;=0,"0",(((SUM(ReDiarioFert!M49:M55)/2)*$C$12)))</f>
        <v>455.60268292682935</v>
      </c>
      <c r="S28">
        <f>$C$12*Main!$D$63</f>
        <v>28</v>
      </c>
      <c r="T28" t="e">
        <f>((G28/100)*$G$52+(I28/100)*$G$53+(K28/100)*$G$54+(M28/100)*$G$55+(O28/100)*$G$56+(Q28)*$G$57+(S28*$G$58)+(E28*(VLOOKUP(D28,Fertilizantes!$A$49:$E$123,3,FALSE))))</f>
        <v>#DIV/0!</v>
      </c>
    </row>
    <row r="29">
      <c r="B29">
        <f>B28+4</f>
        <v>49</v>
      </c>
      <c r="C29">
        <f>$J$11+B29</f>
        <v>40014</v>
      </c>
      <c r="E29">
        <f>VLOOKUP(D29,Fertilizantes!$A$49:$E$124,2,FALSE)*$C$12</f>
        <v>0</v>
      </c>
      <c r="F29">
        <f>VLOOKUP(D29,Fertilizantes!$A$49:$E$124,4,FALSE)</f>
        <v>0</v>
      </c>
      <c r="G29" t="e">
        <f>G28</f>
        <v>#DIV/0!</v>
      </c>
      <c r="I29" t="e">
        <f>I28</f>
        <v>#DIV/0!</v>
      </c>
      <c r="K29" t="e">
        <f>K28</f>
        <v>#DIV/0!</v>
      </c>
      <c r="M29">
        <f>M28</f>
        <v>35.118024598411616</v>
      </c>
      <c r="O29">
        <f>O28</f>
        <v>72.38735337037036</v>
      </c>
      <c r="Q29">
        <f>Q28</f>
        <v>455.60268292682935</v>
      </c>
      <c r="T29" t="e">
        <f>((G29/100)*$G$52+(I29/100)*$G$53+(K29/100)*$G$54+(M29/100)*$G$55+(O29/100)*$G$56+(Q29)*$G$57+(S29*$G$58)+(E29*(VLOOKUP(D29,Fertilizantes!$A$49:$E$123,3,FALSE))))</f>
        <v>#DIV/0!</v>
      </c>
    </row>
    <row r="30">
      <c r="A30">
        <v>8</v>
      </c>
      <c r="B30">
        <f>B29+3</f>
        <v>52</v>
      </c>
      <c r="C30">
        <f>$J$11+B30</f>
        <v>40017</v>
      </c>
      <c r="E30">
        <f>VLOOKUP(D30,Fertilizantes!$A$49:$E$124,2,FALSE)*$C$12</f>
        <v>0</v>
      </c>
      <c r="F30">
        <f>VLOOKUP(D30,Fertilizantes!$A$49:$E$124,4,FALSE)</f>
        <v>0</v>
      </c>
      <c r="G30" t="e">
        <f>IF(((SUM(ReDiarioFert!C56:C62)/2)*$C$12)&lt;=0,"0",(((SUM(ReDiarioFert!C56:C62)/2)*$C$12)))</f>
        <v>#DIV/0!</v>
      </c>
      <c r="I30" t="e">
        <f>IF(((SUM(ReDiarioFert!E56:E62)/2)*$C$12)&lt;=0,"0",(((SUM(ReDiarioFert!E56:E62)/2)*$C$12)))</f>
        <v>#DIV/0!</v>
      </c>
      <c r="K30" t="e">
        <f>IF(((SUM(ReDiarioFert!G56:G62)/2)*$C$12)&lt;=0,"0",(((SUM(ReDiarioFert!G56:G62)/2)*$C$12)))</f>
        <v>#DIV/0!</v>
      </c>
      <c r="M30">
        <f>IF(((SUM(ReDiarioFert!I56:I62)/2)*$C$12)&lt;=0,"0",(((SUM(ReDiarioFert!I56:I62)/2)*$C$12)))</f>
        <v>35.118024598411616</v>
      </c>
      <c r="O30">
        <f>IF(((SUM(ReDiarioFert!K56:K62)/2)*$C$12)&lt;=0,"0",(((SUM(ReDiarioFert!K56:K62)/2)*$C$12)))</f>
        <v>72.38735337037036</v>
      </c>
      <c r="Q30">
        <f>IF(((SUM(ReDiarioFert!M56:M62)/2)*$C$12)&lt;=0,"0",(((SUM(ReDiarioFert!M56:M62)/2)*$C$12)))</f>
        <v>559.9385365853658</v>
      </c>
      <c r="S30">
        <f>$C$12*Main!$D$63</f>
        <v>28</v>
      </c>
      <c r="T30" t="e">
        <f>((G30/100)*$G$52+(I30/100)*$G$53+(K30/100)*$G$54+(M30/100)*$G$55+(O30/100)*$G$56+(Q30)*$G$57+(S30*$G$58)+(E30*(VLOOKUP(D30,Fertilizantes!$A$49:$E$123,3,FALSE))))</f>
        <v>#DIV/0!</v>
      </c>
    </row>
    <row r="31">
      <c r="B31">
        <f>B30+4</f>
        <v>56</v>
      </c>
      <c r="C31">
        <f>$J$11+B31</f>
        <v>40021</v>
      </c>
      <c r="E31">
        <f>VLOOKUP(D31,Fertilizantes!$A$49:$E$124,2,FALSE)*$C$12</f>
        <v>0</v>
      </c>
      <c r="F31">
        <f>VLOOKUP(D31,Fertilizantes!$A$49:$E$124,4,FALSE)</f>
        <v>0</v>
      </c>
      <c r="G31" t="e">
        <f>G30</f>
        <v>#DIV/0!</v>
      </c>
      <c r="I31" t="e">
        <f>I30</f>
        <v>#DIV/0!</v>
      </c>
      <c r="K31" t="e">
        <f>K30</f>
        <v>#DIV/0!</v>
      </c>
      <c r="M31">
        <f>M30</f>
        <v>35.118024598411616</v>
      </c>
      <c r="O31">
        <f>O30</f>
        <v>72.38735337037036</v>
      </c>
      <c r="Q31">
        <f>Q30</f>
        <v>559.9385365853658</v>
      </c>
      <c r="T31" t="e">
        <f>((G31/100)*$G$52+(I31/100)*$G$53+(K31/100)*$G$54+(M31/100)*$G$55+(O31/100)*$G$56+(Q31)*$G$57+(S31*$G$58)+(E31*(VLOOKUP(D31,Fertilizantes!$A$49:$E$123,3,FALSE))))</f>
        <v>#DIV/0!</v>
      </c>
    </row>
    <row r="32">
      <c r="A32">
        <v>9</v>
      </c>
      <c r="B32">
        <f>B31+3</f>
        <v>59</v>
      </c>
      <c r="C32">
        <f>$J$11+B32</f>
        <v>40024</v>
      </c>
      <c r="E32">
        <f>VLOOKUP(D32,Fertilizantes!$A$49:$E$124,2,FALSE)*$C$12</f>
        <v>0</v>
      </c>
      <c r="F32">
        <f>VLOOKUP(D32,Fertilizantes!$A$49:$E$124,4,FALSE)</f>
        <v>0</v>
      </c>
      <c r="G32" t="e">
        <f>IF(((SUM(ReDiarioFert!C63:C69)/2)*$C$12)&lt;=0,"0",(((SUM(ReDiarioFert!C63:C69)/2)*$C$12)))</f>
        <v>#DIV/0!</v>
      </c>
      <c r="I32" t="e">
        <f>IF(((SUM(ReDiarioFert!E63:E69)/2)*$C$12)&lt;=0,"0",(((SUM(ReDiarioFert!E63:E69)/2)*$C$12)))</f>
        <v>#DIV/0!</v>
      </c>
      <c r="K32" t="e">
        <f>IF(((SUM(ReDiarioFert!G63:G69)/2)*$C$12)&lt;=0,"0",(((SUM(ReDiarioFert!G63:G69)/2)*$C$12)))</f>
        <v>#DIV/0!</v>
      </c>
      <c r="M32">
        <f>IF(((SUM(ReDiarioFert!I63:I69)/2)*$C$12)&lt;=0,"0",(((SUM(ReDiarioFert!I63:I69)/2)*$C$12)))</f>
        <v>41.66701491633747</v>
      </c>
      <c r="O32">
        <f>IF(((SUM(ReDiarioFert!K63:K69)/2)*$C$12)&lt;=0,"0",(((SUM(ReDiarioFert!K63:K69)/2)*$C$12)))</f>
        <v>85.8865203019943</v>
      </c>
      <c r="Q32">
        <f>IF(((SUM(ReDiarioFert!M63:M69)/2)*$C$12)&lt;=0,"0",(((SUM(ReDiarioFert!M63:M69)/2)*$C$12)))</f>
        <v>580.8060487804878</v>
      </c>
      <c r="S32">
        <f>$C$12*Main!$D$63</f>
        <v>28</v>
      </c>
      <c r="T32" t="e">
        <f>((G32/100)*$G$52+(I32/100)*$G$53+(K32/100)*$G$54+(M32/100)*$G$55+(O32/100)*$G$56+(Q32)*$G$57+(S32*$G$58)+(E32*(VLOOKUP(D32,Fertilizantes!$A$49:$E$123,3,FALSE))))</f>
        <v>#DIV/0!</v>
      </c>
    </row>
    <row r="33">
      <c r="B33">
        <f>B32+4</f>
        <v>63</v>
      </c>
      <c r="C33">
        <f>$J$11+B33</f>
        <v>40028</v>
      </c>
      <c r="E33">
        <f>VLOOKUP(D33,Fertilizantes!$A$49:$E$124,2,FALSE)*$C$12</f>
        <v>0</v>
      </c>
      <c r="F33">
        <f>VLOOKUP(D33,Fertilizantes!$A$49:$E$124,4,FALSE)</f>
        <v>0</v>
      </c>
      <c r="G33" t="e">
        <f>G32</f>
        <v>#DIV/0!</v>
      </c>
      <c r="I33" t="e">
        <f>I32</f>
        <v>#DIV/0!</v>
      </c>
      <c r="K33" t="e">
        <f>K32</f>
        <v>#DIV/0!</v>
      </c>
      <c r="M33">
        <f>M32</f>
        <v>41.66701491633747</v>
      </c>
      <c r="O33">
        <f>O32</f>
        <v>85.8865203019943</v>
      </c>
      <c r="Q33">
        <f>Q32</f>
        <v>580.8060487804878</v>
      </c>
      <c r="T33" t="e">
        <f>((G33/100)*$G$52+(I33/100)*$G$53+(K33/100)*$G$54+(M33/100)*$G$55+(O33/100)*$G$56+(Q33)*$G$57+(S33*$G$58)+(E33*(VLOOKUP(D33,Fertilizantes!$A$49:$E$123,3,FALSE))))</f>
        <v>#DIV/0!</v>
      </c>
    </row>
    <row r="34">
      <c r="A34">
        <v>10</v>
      </c>
      <c r="B34">
        <f>B33+3</f>
        <v>66</v>
      </c>
      <c r="C34">
        <f>$J$11+B34</f>
        <v>40031</v>
      </c>
      <c r="E34">
        <f>VLOOKUP(D34,Fertilizantes!$A$49:$E$124,2,FALSE)*$C$12</f>
        <v>0</v>
      </c>
      <c r="F34">
        <f>VLOOKUP(D34,Fertilizantes!$A$49:$E$124,4,FALSE)</f>
        <v>0</v>
      </c>
      <c r="G34" t="e">
        <f>IF(((SUM(ReDiarioFert!C70:C76)/2)*$C$12)&lt;=0,"0",(((SUM(ReDiarioFert!C70:C76)/2)*$C$12)))</f>
        <v>#DIV/0!</v>
      </c>
      <c r="I34" t="e">
        <f>IF(((SUM(ReDiarioFert!E70:E76)/2)*$C$12)&lt;=0,"0",(((SUM(ReDiarioFert!E70:E76)/2)*$C$12)))</f>
        <v>#DIV/0!</v>
      </c>
      <c r="K34" t="e">
        <f>IF(((SUM(ReDiarioFert!G70:G76)/2)*$C$12)&lt;=0,"0",(((SUM(ReDiarioFert!G70:G76)/2)*$C$12)))</f>
        <v>#DIV/0!</v>
      </c>
      <c r="M34">
        <f>IF(((SUM(ReDiarioFert!I70:I76)/2)*$C$12)&lt;=0,"0",(((SUM(ReDiarioFert!I70:I76)/2)*$C$12)))</f>
        <v>50.39900200690529</v>
      </c>
      <c r="O34">
        <f>IF(((SUM(ReDiarioFert!K70:K76)/2)*$C$12)&lt;=0,"0",(((SUM(ReDiarioFert!K70:K76)/2)*$C$12)))</f>
        <v>103.88540954415953</v>
      </c>
      <c r="Q34">
        <f>IF(((SUM(ReDiarioFert!M70:M76)/2)*$C$12)&lt;=0,"0",(((SUM(ReDiarioFert!M70:M76)/2)*$C$12)))</f>
        <v>706.0111219512196</v>
      </c>
      <c r="S34">
        <f>$C$12*Main!$D$63</f>
        <v>28</v>
      </c>
      <c r="T34" t="e">
        <f>((G34/100)*$G$52+(I34/100)*$G$53+(K34/100)*$G$54+(M34/100)*$G$55+(O34/100)*$G$56+(Q34)*$G$57+(S34*$G$58)+(E34*(VLOOKUP(D34,Fertilizantes!$A$49:$E$123,3,FALSE))))</f>
        <v>#DIV/0!</v>
      </c>
    </row>
    <row r="35">
      <c r="B35">
        <f>B34+4</f>
        <v>70</v>
      </c>
      <c r="C35">
        <f>$J$11+B35</f>
        <v>40035</v>
      </c>
      <c r="E35">
        <f>VLOOKUP(D35,Fertilizantes!$A$49:$E$124,2,FALSE)*$C$12</f>
        <v>0</v>
      </c>
      <c r="F35">
        <f>VLOOKUP(D35,Fertilizantes!$A$49:$E$124,4,FALSE)</f>
        <v>0</v>
      </c>
      <c r="G35" t="e">
        <f>G34</f>
        <v>#DIV/0!</v>
      </c>
      <c r="I35" t="e">
        <f>I34</f>
        <v>#DIV/0!</v>
      </c>
      <c r="K35" t="e">
        <f>K34</f>
        <v>#DIV/0!</v>
      </c>
      <c r="M35">
        <f>M34</f>
        <v>50.39900200690529</v>
      </c>
      <c r="O35">
        <f>O34</f>
        <v>103.88540954415953</v>
      </c>
      <c r="Q35">
        <f>Q34</f>
        <v>706.0111219512196</v>
      </c>
      <c r="T35" t="e">
        <f>((G35/100)*$G$52+(I35/100)*$G$53+(K35/100)*$G$54+(M35/100)*$G$55+(O35/100)*$G$56+(Q35)*$G$57+(S35*$G$58)+(E35*(VLOOKUP(D35,Fertilizantes!$A$49:$E$123,3,FALSE))))</f>
        <v>#DIV/0!</v>
      </c>
    </row>
    <row r="36">
      <c r="A36">
        <v>11</v>
      </c>
      <c r="B36">
        <f>B35+3</f>
        <v>73</v>
      </c>
      <c r="C36">
        <f>$J$11+B36</f>
        <v>40038</v>
      </c>
      <c r="E36">
        <f>VLOOKUP(D36,Fertilizantes!$A$49:$E$124,2,FALSE)*$C$12</f>
        <v>0</v>
      </c>
      <c r="F36">
        <f>VLOOKUP(D36,Fertilizantes!$A$49:$E$124,4,FALSE)</f>
        <v>0</v>
      </c>
      <c r="G36" t="e">
        <f>IF(((SUM(ReDiarioFert!C77:C83)/2)*$C$12)&lt;=0,"0",(((SUM(ReDiarioFert!C77:C83)/2)*$C$12)))</f>
        <v>#DIV/0!</v>
      </c>
      <c r="I36" t="e">
        <f>IF(((SUM(ReDiarioFert!E77:E83)/2)*$C$12)&lt;=0,"0",(((SUM(ReDiarioFert!E77:E83)/2)*$C$12)))</f>
        <v>#DIV/0!</v>
      </c>
      <c r="K36" t="e">
        <f>IF(((SUM(ReDiarioFert!G77:G83)/2)*$C$12)&lt;=0,"0",(((SUM(ReDiarioFert!G77:G83)/2)*$C$12)))</f>
        <v>#DIV/0!</v>
      </c>
      <c r="M36">
        <f>IF(((SUM(ReDiarioFert!I77:I83)/2)*$C$12)&lt;=0,"0",(((SUM(ReDiarioFert!I77:I83)/2)*$C$12)))</f>
        <v>29.30136263617792</v>
      </c>
      <c r="O36">
        <f>IF(((SUM(ReDiarioFert!K77:K83)/2)*$C$12)&lt;=0,"0",(((SUM(ReDiarioFert!K77:K83)/2)*$C$12)))</f>
        <v>60.39770504273501</v>
      </c>
      <c r="Q36">
        <f>IF(((SUM(ReDiarioFert!M77:M83)/2)*$C$12)&lt;=0,"0",(((SUM(ReDiarioFert!M77:M83)/2)*$C$12)))</f>
        <v>706.0111219512196</v>
      </c>
      <c r="S36">
        <f>$C$12*Main!$D$63</f>
        <v>28</v>
      </c>
      <c r="T36" t="e">
        <f>((G36/100)*$G$52+(I36/100)*$G$53+(K36/100)*$G$54+(M36/100)*$G$55+(O36/100)*$G$56+(Q36)*$G$57+(S36*$G$58)+(E36*(VLOOKUP(D36,Fertilizantes!$A$49:$E$123,3,FALSE))))</f>
        <v>#DIV/0!</v>
      </c>
    </row>
    <row r="37">
      <c r="B37">
        <f>B36+4</f>
        <v>77</v>
      </c>
      <c r="C37">
        <f>$J$11+B37</f>
        <v>40042</v>
      </c>
      <c r="E37">
        <f>VLOOKUP(D37,Fertilizantes!$A$49:$E$124,2,FALSE)*$C$12</f>
        <v>0</v>
      </c>
      <c r="F37">
        <f>VLOOKUP(D37,Fertilizantes!$A$49:$E$124,4,FALSE)</f>
        <v>0</v>
      </c>
      <c r="G37" t="e">
        <f>G36</f>
        <v>#DIV/0!</v>
      </c>
      <c r="I37" t="e">
        <f>I36</f>
        <v>#DIV/0!</v>
      </c>
      <c r="K37" t="e">
        <f>K36</f>
        <v>#DIV/0!</v>
      </c>
      <c r="M37">
        <f>M36</f>
        <v>29.30136263617792</v>
      </c>
      <c r="O37">
        <f>O36</f>
        <v>60.39770504273501</v>
      </c>
      <c r="Q37">
        <f>Q36</f>
        <v>706.0111219512196</v>
      </c>
      <c r="T37" t="e">
        <f>((G37/100)*$G$52+(I37/100)*$G$53+(K37/100)*$G$54+(M37/100)*$G$55+(O37/100)*$G$56+(Q37)*$G$57+(S37*$G$58)+(E37*(VLOOKUP(D37,Fertilizantes!$A$49:$E$123,3,FALSE))))</f>
        <v>#DIV/0!</v>
      </c>
    </row>
    <row r="38">
      <c r="A38">
        <v>12</v>
      </c>
      <c r="B38">
        <f>B37+3</f>
        <v>80</v>
      </c>
      <c r="C38">
        <f>$J$11+B38</f>
        <v>40045</v>
      </c>
      <c r="E38">
        <f>VLOOKUP(D38,Fertilizantes!$A$49:$E$124,2,FALSE)*$C$12</f>
        <v>0</v>
      </c>
      <c r="F38">
        <f>VLOOKUP(D38,Fertilizantes!$A$49:$E$124,4,FALSE)</f>
        <v>0</v>
      </c>
      <c r="G38" t="e">
        <f>IF(((SUM(ReDiarioFert!C84:C90)/2)*$C$12)&lt;=0,"0",(((SUM(ReDiarioFert!C84:C90)/2)*$C$12)))</f>
        <v>#DIV/0!</v>
      </c>
      <c r="I38" t="e">
        <f>IF(((SUM(ReDiarioFert!E84:E90)/2)*$C$12)&lt;=0,"0",(((SUM(ReDiarioFert!E84:E90)/2)*$C$12)))</f>
        <v>#DIV/0!</v>
      </c>
      <c r="K38" t="e">
        <f>IF(((SUM(ReDiarioFert!G84:G90)/2)*$C$12)&lt;=0,"0",(((SUM(ReDiarioFert!G84:G90)/2)*$C$12)))</f>
        <v>#DIV/0!</v>
      </c>
      <c r="M38">
        <f>IF(((SUM(ReDiarioFert!I84:I90)/2)*$C$12)&lt;=0,"0",(((SUM(ReDiarioFert!I84:I90)/2)*$C$12)))</f>
        <v>13.478133108132392</v>
      </c>
      <c r="O38">
        <f>IF(((SUM(ReDiarioFert!K84:K90)/2)*$C$12)&lt;=0,"0",(((SUM(ReDiarioFert!K84:K90)/2)*$C$12)))</f>
        <v>27.781926666666667</v>
      </c>
      <c r="Q38">
        <f>IF(((SUM(ReDiarioFert!M84:M90)/2)*$C$12)&lt;=0,"0",(((SUM(ReDiarioFert!M84:M90)/2)*$C$12)))</f>
        <v>789.4798048780486</v>
      </c>
      <c r="S38">
        <f>$C$12*Main!$D$63</f>
        <v>28</v>
      </c>
      <c r="T38" t="e">
        <f>((G38/100)*$G$52+(I38/100)*$G$53+(K38/100)*$G$54+(M38/100)*$G$55+(O38/100)*$G$56+(Q38)*$G$57+(S38*$G$58)+(E38*(VLOOKUP(D38,Fertilizantes!$A$49:$E$123,3,FALSE))))</f>
        <v>#DIV/0!</v>
      </c>
    </row>
    <row r="39">
      <c r="B39">
        <f>B38+4</f>
        <v>84</v>
      </c>
      <c r="C39">
        <f>$J$11+B39</f>
        <v>40049</v>
      </c>
      <c r="E39">
        <f>VLOOKUP(D39,Fertilizantes!$A$49:$E$124,2,FALSE)*$C$12</f>
        <v>0</v>
      </c>
      <c r="F39">
        <f>VLOOKUP(D39,Fertilizantes!$A$49:$E$124,4,FALSE)</f>
        <v>0</v>
      </c>
      <c r="G39" t="e">
        <f>G38</f>
        <v>#DIV/0!</v>
      </c>
      <c r="I39" t="e">
        <f>I38</f>
        <v>#DIV/0!</v>
      </c>
      <c r="K39" t="e">
        <f>K38</f>
        <v>#DIV/0!</v>
      </c>
      <c r="M39">
        <f>M38</f>
        <v>13.478133108132392</v>
      </c>
      <c r="O39">
        <f>O38</f>
        <v>27.781926666666667</v>
      </c>
      <c r="Q39">
        <f>Q38</f>
        <v>789.4798048780486</v>
      </c>
      <c r="T39" t="e">
        <f>((G39/100)*$G$52+(I39/100)*$G$53+(K39/100)*$G$54+(M39/100)*$G$55+(O39/100)*$G$56+(Q39)*$G$57+(S39*$G$58)+(E39*(VLOOKUP(D39,Fertilizantes!$A$49:$E$123,3,FALSE))))</f>
        <v>#DIV/0!</v>
      </c>
    </row>
    <row r="40" ht="18" customHeight="1">
      <c r="A40">
        <v>13</v>
      </c>
      <c r="B40">
        <f>B39+3</f>
        <v>87</v>
      </c>
      <c r="C40">
        <f>$J$11+B40</f>
        <v>40052</v>
      </c>
      <c r="E40">
        <f>VLOOKUP(D40,Fertilizantes!$A$49:$E$124,2,FALSE)*$C$12</f>
        <v>0</v>
      </c>
      <c r="F40">
        <f>VLOOKUP(D40,Fertilizantes!$A$49:$E$124,4,FALSE)</f>
        <v>0</v>
      </c>
      <c r="G40" t="e">
        <f>IF(((SUM(ReDiarioFert!C91:C97)/2)*$C$12)&lt;=0,"0",(((SUM(ReDiarioFert!C91:C97)/2)*$C$12)))</f>
        <v>#DIV/0!</v>
      </c>
      <c r="I40" t="e">
        <f>IF(((SUM(ReDiarioFert!E91:E97)/2)*$C$12)&lt;=0,"0",(((SUM(ReDiarioFert!E91:E97)/2)*$C$12)))</f>
        <v>#DIV/0!</v>
      </c>
      <c r="K40" t="e">
        <f>IF(((SUM(ReDiarioFert!G91:G97)/2)*$C$12)&lt;=0,"0",(((SUM(ReDiarioFert!G91:G97)/2)*$C$12)))</f>
        <v>#DIV/0!</v>
      </c>
      <c r="M40">
        <f>IF(((SUM(ReDiarioFert!I91:I97)/2)*$C$12)&lt;=0,"0",(((SUM(ReDiarioFert!I91:I97)/2)*$C$12)))</f>
        <v>38.72289035828512</v>
      </c>
      <c r="O40">
        <f>IF(((SUM(ReDiarioFert!K91:K97)/2)*$C$12)&lt;=0,"0",(((SUM(ReDiarioFert!K91:K97)/2)*$C$12)))</f>
        <v>79.8179162962963</v>
      </c>
      <c r="Q40">
        <f>IF(((SUM(ReDiarioFert!M91:M97)/2)*$C$12)&lt;=0,"0",(((SUM(ReDiarioFert!M91:M97)/2)*$C$12)))</f>
        <v>852.0813170731708</v>
      </c>
      <c r="S40">
        <f>$C$12*Main!$D$63</f>
        <v>28</v>
      </c>
      <c r="T40" t="e">
        <f>((G40/100)*$G$52+(I40/100)*$G$53+(K40/100)*$G$54+(M40/100)*$G$55+(O40/100)*$G$56+(Q40)*$G$57+(S40*$G$58)+(E40*(VLOOKUP(D40,Fertilizantes!$A$49:$E$123,3,FALSE))))</f>
        <v>#DIV/0!</v>
      </c>
    </row>
    <row r="41" ht="18" customHeight="1">
      <c r="B41">
        <f>B40+4</f>
        <v>91</v>
      </c>
      <c r="C41">
        <f>$J$11+B41</f>
        <v>40056</v>
      </c>
      <c r="E41">
        <f>VLOOKUP(D41,Fertilizantes!$A$49:$E$124,2,FALSE)*$C$12</f>
        <v>0</v>
      </c>
      <c r="F41">
        <f>VLOOKUP(D41,Fertilizantes!$A$49:$E$124,4,FALSE)</f>
        <v>0</v>
      </c>
      <c r="G41" t="e">
        <f>G40</f>
        <v>#DIV/0!</v>
      </c>
      <c r="I41" t="e">
        <f>I40</f>
        <v>#DIV/0!</v>
      </c>
      <c r="K41" t="e">
        <f>K40</f>
        <v>#DIV/0!</v>
      </c>
      <c r="M41">
        <f>M40</f>
        <v>38.72289035828512</v>
      </c>
      <c r="O41">
        <f>O40</f>
        <v>79.8179162962963</v>
      </c>
      <c r="Q41">
        <f>Q40</f>
        <v>852.0813170731708</v>
      </c>
      <c r="T41" t="e">
        <f>((G41/100)*$G$52+(I41/100)*$G$53+(K41/100)*$G$54+(M41/100)*$G$55+(O41/100)*$G$56+(Q41)*$G$57+(S41*$G$58)+(E41*(VLOOKUP(D41,Fertilizantes!$A$49:$E$123,3,FALSE))))</f>
        <v>#DIV/0!</v>
      </c>
    </row>
    <row r="42">
      <c r="A42">
        <v>14</v>
      </c>
      <c r="B42">
        <f>B41+3</f>
        <v>94</v>
      </c>
      <c r="C42">
        <f>$J$11+B42</f>
        <v>40059</v>
      </c>
      <c r="E42">
        <f>VLOOKUP(D42,Fertilizantes!$A$49:$E$124,2,FALSE)*$C$12</f>
        <v>0</v>
      </c>
      <c r="F42">
        <f>VLOOKUP(D42,Fertilizantes!$A$49:$E$124,4,FALSE)</f>
        <v>0</v>
      </c>
      <c r="G42" t="e">
        <f>IF(((SUM(ReDiarioFert!C98:C104)/2)*$C$12)&lt;=0,"0",(((SUM(ReDiarioFert!C98:C104)/2)*$C$12)))</f>
        <v>#DIV/0!</v>
      </c>
      <c r="I42" t="e">
        <f>IF(((SUM(ReDiarioFert!E98:E104)/2)*$C$12)&lt;=0,"0",(((SUM(ReDiarioFert!E98:E104)/2)*$C$12)))</f>
        <v>#DIV/0!</v>
      </c>
      <c r="K42" t="e">
        <f>IF(((SUM(ReDiarioFert!G98:G104)/2)*$C$12)&lt;=0,"0",(((SUM(ReDiarioFert!G98:G104)/2)*$C$12)))</f>
        <v>#DIV/0!</v>
      </c>
      <c r="M42">
        <f>IF(((SUM(ReDiarioFert!I98:I104)/2)*$C$12)&lt;=0,"0",(((SUM(ReDiarioFert!I98:I104)/2)*$C$12)))</f>
        <v>57.65645829589968</v>
      </c>
      <c r="O42">
        <f>IF(((SUM(ReDiarioFert!K98:K104)/2)*$C$12)&lt;=0,"0",(((SUM(ReDiarioFert!K98:K104)/2)*$C$12)))</f>
        <v>118.84490851851852</v>
      </c>
      <c r="Q42">
        <f>IF(((SUM(ReDiarioFert!M98:M104)/2)*$C$12)&lt;=0,"0",(((SUM(ReDiarioFert!M98:M104)/2)*$C$12)))</f>
        <v>852.0813170731708</v>
      </c>
      <c r="S42">
        <f>$C$12*Main!$D$63</f>
        <v>28</v>
      </c>
      <c r="T42" t="e">
        <f>((G42/100)*$G$52+(I42/100)*$G$53+(K42/100)*$G$54+(M42/100)*$G$55+(O42/100)*$G$56+(Q42)*$G$57+(S42*$G$58)+(E42*(VLOOKUP(D42,Fertilizantes!$A$49:$E$123,3,FALSE))))</f>
        <v>#DIV/0!</v>
      </c>
    </row>
    <row r="43">
      <c r="B43">
        <f>B42+4</f>
        <v>98</v>
      </c>
      <c r="C43">
        <f>$J$11+B43</f>
        <v>40063</v>
      </c>
      <c r="E43">
        <f>VLOOKUP(D43,Fertilizantes!$A$49:$E$124,2,FALSE)*$C$12</f>
        <v>0</v>
      </c>
      <c r="F43">
        <f>VLOOKUP(D43,Fertilizantes!$A$49:$E$124,4,FALSE)</f>
        <v>0</v>
      </c>
      <c r="G43" t="e">
        <f>G42</f>
        <v>#DIV/0!</v>
      </c>
      <c r="I43" t="e">
        <f>I42</f>
        <v>#DIV/0!</v>
      </c>
      <c r="K43" t="e">
        <f>K42</f>
        <v>#DIV/0!</v>
      </c>
      <c r="M43">
        <f>M42</f>
        <v>57.65645829589968</v>
      </c>
      <c r="O43">
        <f>O42</f>
        <v>118.84490851851852</v>
      </c>
      <c r="Q43">
        <f>Q42</f>
        <v>852.0813170731708</v>
      </c>
      <c r="T43" t="e">
        <f>((G43/100)*$G$52+(I43/100)*$G$53+(K43/100)*$G$54+(M43/100)*$G$55+(O43/100)*$G$56+(Q43)*$G$57+(S43*$G$58)+(E43*(VLOOKUP(D43,Fertilizantes!$A$49:$E$123,3,FALSE))))</f>
        <v>#DIV/0!</v>
      </c>
    </row>
    <row r="44">
      <c r="A44">
        <v>15</v>
      </c>
      <c r="B44">
        <f>B43+3</f>
        <v>101</v>
      </c>
      <c r="C44">
        <f>$J$11+B44</f>
        <v>40066</v>
      </c>
      <c r="E44">
        <f>VLOOKUP(D44,Fertilizantes!$A$49:$E$124,2,FALSE)*$C$12</f>
        <v>0</v>
      </c>
      <c r="F44">
        <f>VLOOKUP(D44,Fertilizantes!$A$49:$E$124,4,FALSE)</f>
        <v>0</v>
      </c>
      <c r="G44" t="e">
        <f>IF(((SUM(ReDiarioFert!C105:C111)/2)*$C$12)&lt;=0,"0",(((SUM(ReDiarioFert!C105:C111)/2)*$C$12)))</f>
        <v>#DIV/0!</v>
      </c>
      <c r="I44" t="e">
        <f>IF(((SUM(ReDiarioFert!E105:E111)/2)*$C$12)&lt;=0,"0",(((SUM(ReDiarioFert!E105:E111)/2)*$C$12)))</f>
        <v>#DIV/0!</v>
      </c>
      <c r="K44" t="e">
        <f>IF(((SUM(ReDiarioFert!G105:G111)/2)*$C$12)&lt;=0,"0",(((SUM(ReDiarioFert!G105:G111)/2)*$C$12)))</f>
        <v>#DIV/0!</v>
      </c>
      <c r="M44">
        <f>IF(((SUM(ReDiarioFert!I105:I111)/2)*$C$12)&lt;=0,"0",(((SUM(ReDiarioFert!I105:I111)/2)*$C$12)))</f>
        <v>57.65645829589968</v>
      </c>
      <c r="O44">
        <f>IF(((SUM(ReDiarioFert!K105:K111)/2)*$C$12)&lt;=0,"0",(((SUM(ReDiarioFert!K105:K111)/2)*$C$12)))</f>
        <v>118.84490851851852</v>
      </c>
      <c r="Q44">
        <f>IF(((SUM(ReDiarioFert!M105:M111)/2)*$C$12)&lt;=0,"0",(((SUM(ReDiarioFert!M105:M111)/2)*$C$12)))</f>
        <v>852.0813170731708</v>
      </c>
      <c r="S44">
        <f>$C$12*Main!$D$63</f>
        <v>28</v>
      </c>
      <c r="T44" t="e">
        <f>((G44/100)*$G$52+(I44/100)*$G$53+(K44/100)*$G$54+(M44/100)*$G$55+(O44/100)*$G$56+(Q44)*$G$57+(S44*$G$58)+(E44*(VLOOKUP(D44,Fertilizantes!$A$49:$E$123,3,FALSE))))</f>
        <v>#DIV/0!</v>
      </c>
    </row>
    <row r="45">
      <c r="B45">
        <f>B44+4</f>
        <v>105</v>
      </c>
      <c r="C45">
        <f>$J$11+B45</f>
        <v>40070</v>
      </c>
      <c r="E45">
        <f>VLOOKUP(D45,Fertilizantes!$A$49:$E$124,2,FALSE)*$C$12</f>
        <v>0</v>
      </c>
      <c r="F45">
        <f>VLOOKUP(D45,Fertilizantes!$A$49:$E$124,4,FALSE)</f>
        <v>0</v>
      </c>
      <c r="G45" t="e">
        <f>G44</f>
        <v>#DIV/0!</v>
      </c>
      <c r="I45" t="e">
        <f>I44</f>
        <v>#DIV/0!</v>
      </c>
      <c r="K45" t="e">
        <f>K44</f>
        <v>#DIV/0!</v>
      </c>
      <c r="M45">
        <f>M44</f>
        <v>57.65645829589968</v>
      </c>
      <c r="O45">
        <f>O44</f>
        <v>118.84490851851852</v>
      </c>
      <c r="Q45">
        <f>Q44</f>
        <v>852.0813170731708</v>
      </c>
      <c r="T45" t="e">
        <f>((G45/100)*$G$52+(I45/100)*$G$53+(K45/100)*$G$54+(M45/100)*$G$55+(O45/100)*$G$56+(Q45)*$G$57+(S45*$G$58)+(E45*(VLOOKUP(D45,Fertilizantes!$A$49:$E$123,3,FALSE))))</f>
        <v>#DIV/0!</v>
      </c>
    </row>
    <row r="46">
      <c r="A46">
        <v>16</v>
      </c>
      <c r="B46">
        <f>B45+3</f>
        <v>108</v>
      </c>
      <c r="C46">
        <f>$J$11+B46</f>
        <v>40073</v>
      </c>
      <c r="E46">
        <f>VLOOKUP(D46,Fertilizantes!$A$49:$E$124,2,FALSE)*$C$12</f>
        <v>0</v>
      </c>
      <c r="F46">
        <f>VLOOKUP(D46,Fertilizantes!$A$49:$E$124,4,FALSE)</f>
        <v>0</v>
      </c>
      <c r="G46" t="e">
        <f>IF(((SUM(ReDiarioFert!C112:C118)/2)*$C$12)&lt;=0,"0",(((SUM(ReDiarioFert!C112:C118)/2)*$C$12)))</f>
        <v>#DIV/0!</v>
      </c>
      <c r="I46" t="e">
        <f>IF(((SUM(ReDiarioFert!E112:E118)/2)*$C$12)&lt;=0,"0",(((SUM(ReDiarioFert!E112:E118)/2)*$C$12)))</f>
        <v>#DIV/0!</v>
      </c>
      <c r="K46" t="e">
        <f>IF(((SUM(ReDiarioFert!G112:G118)/2)*$C$12)&lt;=0,"0",(((SUM(ReDiarioFert!G112:G118)/2)*$C$12)))</f>
        <v>#DIV/0!</v>
      </c>
      <c r="M46" t="str">
        <f>IF(((SUM(ReDiarioFert!I112:I118)/2)*$C$12)&lt;=0,"0",(((SUM(ReDiarioFert!I112:I118)/2)*$C$12)))</f>
        <v>0</v>
      </c>
      <c r="O46" t="str">
        <f>IF(((SUM(ReDiarioFert!K112:K118)/2)*$C$12)&lt;=0,"0",(((SUM(ReDiarioFert!K112:K118)/2)*$C$12)))</f>
        <v>0</v>
      </c>
      <c r="Q46">
        <f>IF(((SUM(ReDiarioFert!M112:M118)/2)*$C$12)&lt;=0,"0",(((SUM(ReDiarioFert!M112:M118)/2)*$C$12)))</f>
        <v>852.0813170731708</v>
      </c>
      <c r="S46">
        <f>$C$12*Main!$D$63</f>
        <v>28</v>
      </c>
      <c r="T46" t="e">
        <f>((G46/100)*$G$52+(I46/100)*$G$53+(K46/100)*$G$54+(M46/100)*$G$55+(O46/100)*$G$56+(Q46)*$G$57+(S46*$G$58)+(E46*(VLOOKUP(D46,Fertilizantes!$A$49:$E$123,3,FALSE))))</f>
        <v>#DIV/0!</v>
      </c>
    </row>
    <row r="47">
      <c r="B47">
        <f>B46+4</f>
        <v>112</v>
      </c>
      <c r="C47">
        <f>$J$11+B47</f>
        <v>40077</v>
      </c>
      <c r="E47">
        <f>VLOOKUP(D47,Fertilizantes!$A$49:$E$124,2,FALSE)*$C$12</f>
        <v>0</v>
      </c>
      <c r="F47">
        <f>VLOOKUP(D47,Fertilizantes!$A$49:$E$124,4,FALSE)</f>
        <v>0</v>
      </c>
      <c r="G47" t="e">
        <f>G46</f>
        <v>#DIV/0!</v>
      </c>
      <c r="I47" t="e">
        <f>I46</f>
        <v>#DIV/0!</v>
      </c>
      <c r="K47" t="e">
        <f>K46</f>
        <v>#DIV/0!</v>
      </c>
      <c r="M47" t="str">
        <f>M46</f>
        <v>0</v>
      </c>
      <c r="O47" t="str">
        <f>O46</f>
        <v>0</v>
      </c>
      <c r="Q47">
        <f>Q46</f>
        <v>852.0813170731708</v>
      </c>
      <c r="T47" t="e">
        <f>((G47/100)*$G$52+(I47/100)*$G$53+(K47/100)*$G$54+(M47/100)*$G$55+(O47/100)*$G$56+(Q47)*$G$57+(S47*$G$58)+(E47*(VLOOKUP(D47,Fertilizantes!$A$49:$E$123,3,FALSE))))</f>
        <v>#DIV/0!</v>
      </c>
    </row>
    <row r="48">
      <c r="C48" t="str">
        <v>Total</v>
      </c>
      <c r="G48" t="e">
        <f>SUM(G16:G47)</f>
        <v>#DIV/0!</v>
      </c>
      <c r="I48" t="e">
        <f>SUM(I16:I47)</f>
        <v>#DIV/0!</v>
      </c>
      <c r="K48" t="e">
        <f>SUM(K16:K47)</f>
        <v>#DIV/0!</v>
      </c>
      <c r="M48">
        <f>SUM(M16:M47)</f>
        <v>783.2292906170268</v>
      </c>
      <c r="O48">
        <f>SUM(O16:O47)</f>
        <v>1614.4386274074068</v>
      </c>
      <c r="Q48">
        <f>SUM(Q16:Q47)</f>
        <v>17632.860682926832</v>
      </c>
      <c r="S48">
        <f>SUM(S16:S47)</f>
        <v>448</v>
      </c>
      <c r="T48" t="e">
        <f>SUM(T16:T47)</f>
        <v>#DIV/0!</v>
      </c>
    </row>
    <row r="49">
      <c r="D49" t="str">
        <v>OJO cualquier cultivo que no se termine la cosecha en el ultimo día del calendario solo seguir repitiendo la ultima aplicación de fertilizante.</v>
      </c>
    </row>
    <row r="50" ht="39.75" customHeight="1">
      <c r="B50" t="str">
        <v>Producto</v>
      </c>
      <c r="F50" t="str">
        <v>Lbs/Ha</v>
      </c>
      <c r="G50" t="str">
        <v>Costo por qq</v>
      </c>
    </row>
    <row r="51" ht="24" customHeight="1">
      <c r="G51" t="str">
        <f>Main!$E$25</f>
        <v>Lempiras</v>
      </c>
    </row>
    <row r="52">
      <c r="B52" t="str">
        <f>Main!D42</f>
        <v>Urea</v>
      </c>
      <c r="F52" t="e">
        <f>G48/C12</f>
        <v>#DIV/0!</v>
      </c>
      <c r="G52">
        <f>Main!D43</f>
        <v>650</v>
      </c>
    </row>
    <row r="53">
      <c r="B53" t="str">
        <f>Main!D32</f>
        <v>FofatoMonoPotasico</v>
      </c>
      <c r="F53" t="e">
        <f>I48/C12</f>
        <v>#DIV/0!</v>
      </c>
      <c r="G53">
        <f>Main!D33</f>
        <v>1700</v>
      </c>
    </row>
    <row r="54">
      <c r="B54" t="str">
        <f>Main!D37</f>
        <v>Kcl</v>
      </c>
      <c r="F54" t="e">
        <f>K48/C12</f>
        <v>#DIV/0!</v>
      </c>
      <c r="G54">
        <f>Main!D38</f>
        <v>580</v>
      </c>
    </row>
    <row r="55">
      <c r="B55" t="str">
        <f>Main!D47</f>
        <v>Sulfato de Magnesio</v>
      </c>
      <c r="F55">
        <f>M48/C12</f>
        <v>559.4494932978763</v>
      </c>
      <c r="G55">
        <f>Main!D48</f>
        <v>951</v>
      </c>
    </row>
    <row r="56">
      <c r="B56" t="str">
        <f>Main!D52</f>
        <v>Nitrato de Calcio</v>
      </c>
      <c r="F56">
        <f>O48/C12</f>
        <v>1153.1704481481477</v>
      </c>
      <c r="G56">
        <f>Main!D53</f>
        <v>1100</v>
      </c>
    </row>
    <row r="57">
      <c r="B57" t="str">
        <f>Main!D57</f>
        <v>Solubor</v>
      </c>
      <c r="F57">
        <f>Q48/C12</f>
        <v>12594.90048780488</v>
      </c>
      <c r="G57">
        <f>Main!D58</f>
        <v>0.04</v>
      </c>
      <c r="I57" t="str">
        <v xml:space="preserve">Preparado y Autorizado Por </v>
      </c>
    </row>
    <row r="58" ht="18" customHeight="1">
      <c r="B58" t="str">
        <f>Main!D61</f>
        <v>Melaza</v>
      </c>
      <c r="F58">
        <f>S48/C12</f>
        <v>320</v>
      </c>
      <c r="G58">
        <f>Main!D62</f>
        <v>2.8</v>
      </c>
      <c r="I58" t="str">
        <v>MSc Ricardo D. Lardizábal</v>
      </c>
    </row>
    <row r="59" ht="17.45" customHeight="1">
      <c r="B59" t="str">
        <v>NOTA: El Nitrato de Calcio se debe de diluir en un barril aparte para inyectarse al sistema</v>
      </c>
    </row>
    <row r="62">
      <c r="B62" t="str">
        <v>Abreviaciones usadas</v>
      </c>
    </row>
    <row r="63">
      <c r="B63" t="str">
        <v>Mz.-Manzanas, Ha-Hectáreas, Lbs-Libras, Lts-Litros y DDT-Días después de Trasplante</v>
      </c>
    </row>
  </sheetData>
  <autoFilter ref="E16:F47"/>
  <mergeCells count="52">
    <mergeCell ref="J9:N9"/>
    <mergeCell ref="J10:N10"/>
    <mergeCell ref="J11:N11"/>
    <mergeCell ref="J12:N12"/>
    <mergeCell ref="P4:S6"/>
    <mergeCell ref="P8:S10"/>
    <mergeCell ref="P11:S13"/>
    <mergeCell ref="A8:N8"/>
    <mergeCell ref="A10:B10"/>
    <mergeCell ref="T14:T15"/>
    <mergeCell ref="Q14:R14"/>
    <mergeCell ref="I14:J14"/>
    <mergeCell ref="K14:L14"/>
    <mergeCell ref="M14:N14"/>
    <mergeCell ref="O14:P14"/>
    <mergeCell ref="G12:I12"/>
    <mergeCell ref="A14:A15"/>
    <mergeCell ref="B14:B15"/>
    <mergeCell ref="A11:B11"/>
    <mergeCell ref="A12:B12"/>
    <mergeCell ref="G54:H54"/>
    <mergeCell ref="G50:H50"/>
    <mergeCell ref="G51:H51"/>
    <mergeCell ref="G52:H52"/>
    <mergeCell ref="G53:H53"/>
    <mergeCell ref="B63:S63"/>
    <mergeCell ref="G14:H14"/>
    <mergeCell ref="B62:C62"/>
    <mergeCell ref="B58:E58"/>
    <mergeCell ref="B50:E50"/>
    <mergeCell ref="B52:E52"/>
    <mergeCell ref="B53:E53"/>
    <mergeCell ref="B54:E54"/>
    <mergeCell ref="B59:I60"/>
    <mergeCell ref="B56:E56"/>
    <mergeCell ref="I58:Q58"/>
    <mergeCell ref="B57:E57"/>
    <mergeCell ref="G58:H58"/>
    <mergeCell ref="G57:H57"/>
    <mergeCell ref="G55:H55"/>
    <mergeCell ref="G56:H56"/>
    <mergeCell ref="I57:Q57"/>
    <mergeCell ref="G9:I9"/>
    <mergeCell ref="G10:I10"/>
    <mergeCell ref="A9:B9"/>
    <mergeCell ref="C9:F9"/>
    <mergeCell ref="C10:F10"/>
    <mergeCell ref="B55:E55"/>
    <mergeCell ref="E14:F14"/>
    <mergeCell ref="C11:F11"/>
    <mergeCell ref="C12:F12"/>
    <mergeCell ref="G11:I11"/>
  </mergeCells>
  <pageMargins left="0.25" right="0.25" top="0.48" bottom="0.8" header="0.25" footer="0.25"/>
  <ignoredErrors>
    <ignoredError numberStoredAsText="1" sqref="A1:V72"/>
  </ignoredErrors>
  <legacyDrawing r:id="rId1"/>
</worksheet>
</file>

<file path=xl/worksheets/sheet6.xml><?xml version="1.0" encoding="utf-8"?>
<worksheet xmlns="http://schemas.openxmlformats.org/spreadsheetml/2006/main" xmlns:r="http://schemas.openxmlformats.org/officeDocument/2006/relationships">
  <dimension ref="A1:V72"/>
  <sheetViews>
    <sheetView workbookViewId="0" rightToLeft="0"/>
  </sheetViews>
  <sheetData>
    <row r="1" ht="32.65" customHeight="1"/>
    <row r="2" ht="32.65" customHeight="1"/>
    <row r="3" ht="32.65" customHeight="1"/>
    <row r="4">
      <c r="P4" t="str">
        <f>Main!$E$21</f>
        <v>Papa</v>
      </c>
    </row>
    <row r="5" ht="23.45" customHeight="1"/>
    <row r="6" ht="29.25" customHeight="1"/>
    <row r="7" ht="26.25" customHeight="1"/>
    <row r="8" ht="25.899999999999995" customHeight="1">
      <c r="A8" t="str">
        <f>Main!$C$13</f>
        <v>"Sin Fertilización Base"</v>
      </c>
      <c r="P8" t="str">
        <f>Main!$G$21</f>
        <v>Provento</v>
      </c>
    </row>
    <row r="9" ht="20.1" customHeight="1">
      <c r="A9" t="str">
        <v>Productor</v>
      </c>
      <c r="C9" t="str">
        <f>Main!E17</f>
        <v>Pancho Pérez</v>
      </c>
      <c r="G9" t="str">
        <v>Parcela</v>
      </c>
      <c r="J9" t="str">
        <f>Main!E19</f>
        <v>La Frondosa</v>
      </c>
    </row>
    <row r="10" ht="20.1" customHeight="1">
      <c r="A10" t="str">
        <v>Zona</v>
      </c>
      <c r="C10" t="str">
        <f>Main!E18</f>
        <v>Cantarranas</v>
      </c>
      <c r="G10" t="str">
        <v>Técnico</v>
      </c>
      <c r="J10" t="str">
        <f>Main!E20</f>
        <v>Nelson Galindo</v>
      </c>
    </row>
    <row r="11" ht="20.1" customHeight="1">
      <c r="A11" t="str">
        <v>Área Mz.</v>
      </c>
      <c r="C11">
        <f>Main!E22</f>
        <v>2</v>
      </c>
      <c r="G11" t="str">
        <v>Fecha:</v>
      </c>
      <c r="J11">
        <f>Main!E23</f>
        <v>39965</v>
      </c>
      <c r="P11" t="str">
        <v>Calendario de Fertilización para Goteo 2 Veces Por Semana</v>
      </c>
    </row>
    <row r="12" ht="20.1" customHeight="1">
      <c r="A12" t="str">
        <v>Área Ha.</v>
      </c>
      <c r="C12">
        <f>Main!I22</f>
        <v>1.4</v>
      </c>
      <c r="G12" t="str">
        <v>Fecha de Cosecha:</v>
      </c>
      <c r="J12">
        <f>J11+Main!E24</f>
        <v>40055</v>
      </c>
    </row>
    <row r="13" ht="19.5" customHeight="1"/>
    <row r="14" ht="28.5" customHeight="1">
      <c r="A14" t="str">
        <v>Semana</v>
      </c>
      <c r="B14" t="str">
        <v>DDT</v>
      </c>
      <c r="C14" t="str">
        <v>FECHA</v>
      </c>
      <c r="E14" t="str">
        <f>Main!$D$42</f>
        <v>Urea</v>
      </c>
      <c r="G14" t="str">
        <f>Main!$D$32</f>
        <v>FofatoMonoPotasico</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39968</v>
      </c>
      <c r="E16" t="e">
        <f>IF(((SUM(ReDiarioFert!C7:C13)/2)*$C$12)&lt;=0,"0",(((SUM(ReDiarioFert!C7:C13)/2)*$C$12)))</f>
        <v>#DIV/0!</v>
      </c>
      <c r="G16" t="e">
        <f>IF(((SUM(ReDiarioFert!E7:E13)/2)*$C$12)&lt;=0,"0",(((SUM(ReDiarioFert!E7:E13)/2)*$C$12)))</f>
        <v>#DIV/0!</v>
      </c>
      <c r="I16" t="e">
        <f>IF(((SUM(ReDiarioFert!G7:G13)/2)*$C$12)&lt;=0,"0",(((SUM(ReDiarioFert!G7:G13)/2)*$C$12)))</f>
        <v>#DIV/0!</v>
      </c>
      <c r="K16">
        <f>IF(((SUM(ReDiarioFert!I7:I13)/2)*$C$12)&lt;=0,"0",(((SUM(ReDiarioFert!I7:I13)/2)*$C$12)))</f>
        <v>3.931122156538614</v>
      </c>
      <c r="M16">
        <f>IF(((SUM(ReDiarioFert!K7:K13)/2)*$C$12)&lt;=0,"0",(((SUM(ReDiarioFert!K7:K13)/2)*$C$12)))</f>
        <v>8.103061944444441</v>
      </c>
      <c r="O16">
        <f>IF(((SUM(ReDiarioFert!M7:M13)/2)*$C$12)&lt;=0,"0",(((SUM(ReDiarioFert!M7:M13)/2)*$C$12)))</f>
        <v>121.72556097560975</v>
      </c>
      <c r="Q16">
        <f>$C$12*Main!$D$63</f>
        <v>28</v>
      </c>
      <c r="S16" t="e">
        <f>((E16/100)*$G$52+(G16/100)*$G$53+(I16/100)*$G$54+(K16/100)*$G$55+(M16/100)*$G$56+(O16)*$G$57+(Q16*$G$58))</f>
        <v>#DIV/0!</v>
      </c>
    </row>
    <row r="17" ht="18.75" customHeight="1">
      <c r="B17">
        <v>7</v>
      </c>
      <c r="C17">
        <f>$J$11+B17</f>
        <v>39972</v>
      </c>
      <c r="E17" t="e">
        <f>E16</f>
        <v>#DIV/0!</v>
      </c>
      <c r="G17" t="e">
        <f>G16</f>
        <v>#DIV/0!</v>
      </c>
      <c r="I17" t="e">
        <f>I16</f>
        <v>#DIV/0!</v>
      </c>
      <c r="K17">
        <f>K16</f>
        <v>3.931122156538614</v>
      </c>
      <c r="M17">
        <f>M16</f>
        <v>8.103061944444441</v>
      </c>
      <c r="O17">
        <f>O16</f>
        <v>121.72556097560975</v>
      </c>
      <c r="S17" t="e">
        <f>((E17/100)*$G$52+(G17/100)*$G$53+(I17/100)*$G$54+(K17/100)*$G$55+(M17/100)*$G$56+(O17)*$G$57+(Q17*$G$58))</f>
        <v>#DIV/0!</v>
      </c>
    </row>
    <row r="18">
      <c r="A18">
        <v>2</v>
      </c>
      <c r="B18">
        <f>B17+3</f>
        <v>10</v>
      </c>
      <c r="C18">
        <f>$J$11+B18</f>
        <v>39975</v>
      </c>
      <c r="E18" t="e">
        <f>IF(((SUM(ReDiarioFert!C14:C20)/2)*$C$12)&lt;=0,"0",(((SUM(ReDiarioFert!C14:C20)/2)*$C$12)))</f>
        <v>#DIV/0!</v>
      </c>
      <c r="G18" t="e">
        <f>IF(((SUM(ReDiarioFert!E14:E20)/2)*$C$12)&lt;=0,"0",(((SUM(ReDiarioFert!E14:E20)/2)*$C$12)))</f>
        <v>#DIV/0!</v>
      </c>
      <c r="I18" t="e">
        <f>IF(((SUM(ReDiarioFert!G14:G20)/2)*$C$12)&lt;=0,"0",(((SUM(ReDiarioFert!G14:G20)/2)*$C$12)))</f>
        <v>#DIV/0!</v>
      </c>
      <c r="K18">
        <f>IF(((SUM(ReDiarioFert!I14:I20)/2)*$C$12)&lt;=0,"0",(((SUM(ReDiarioFert!I14:I20)/2)*$C$12)))</f>
        <v>3.931122156538614</v>
      </c>
      <c r="M18">
        <f>IF(((SUM(ReDiarioFert!K14:K20)/2)*$C$12)&lt;=0,"0",(((SUM(ReDiarioFert!K14:K20)/2)*$C$12)))</f>
        <v>8.103061944444441</v>
      </c>
      <c r="O18">
        <f>IF(((SUM(ReDiarioFert!M14:M20)/2)*$C$12)&lt;=0,"0",(((SUM(ReDiarioFert!M14:M20)/2)*$C$12)))</f>
        <v>177.37180487804878</v>
      </c>
      <c r="Q18">
        <f>$C$12*Main!$D$63</f>
        <v>28</v>
      </c>
      <c r="S18" t="e">
        <f>((E18/100)*$G$52+(G18/100)*$G$53+(I18/100)*$G$54+(K18/100)*$G$55+(M18/100)*$G$56+(O18)*$G$57+(Q18*$G$58))</f>
        <v>#DIV/0!</v>
      </c>
    </row>
    <row r="19">
      <c r="B19">
        <f>B18+4</f>
        <v>14</v>
      </c>
      <c r="C19">
        <f>$J$11+B19</f>
        <v>39979</v>
      </c>
      <c r="E19" t="e">
        <f>E18</f>
        <v>#DIV/0!</v>
      </c>
      <c r="G19" t="e">
        <f>G18</f>
        <v>#DIV/0!</v>
      </c>
      <c r="I19" t="e">
        <f>I18</f>
        <v>#DIV/0!</v>
      </c>
      <c r="K19">
        <f>K18</f>
        <v>3.931122156538614</v>
      </c>
      <c r="M19">
        <f>M18</f>
        <v>8.103061944444441</v>
      </c>
      <c r="O19">
        <f>O18</f>
        <v>177.37180487804878</v>
      </c>
      <c r="S19" t="e">
        <f>((E19/100)*$G$52+(G19/100)*$G$53+(I19/100)*$G$54+(K19/100)*$G$55+(M19/100)*$G$56+(O19)*$G$57+(Q19*$G$58))</f>
        <v>#DIV/0!</v>
      </c>
    </row>
    <row r="20">
      <c r="A20">
        <v>3</v>
      </c>
      <c r="B20">
        <f>B19+3</f>
        <v>17</v>
      </c>
      <c r="C20">
        <f>$J$11+B20</f>
        <v>39982</v>
      </c>
      <c r="E20" t="e">
        <f>IF(((SUM(ReDiarioFert!C21:C27)/2)*$C$12)&lt;=0,"0",(((SUM(ReDiarioFert!C21:C27)/2)*$C$12)))</f>
        <v>#DIV/0!</v>
      </c>
      <c r="G20" t="e">
        <f>IF(((SUM(ReDiarioFert!E21:E27)/2)*$C$12)&lt;=0,"0",(((SUM(ReDiarioFert!E21:E27)/2)*$C$12)))</f>
        <v>#DIV/0!</v>
      </c>
      <c r="I20" t="e">
        <f>IF(((SUM(ReDiarioFert!G21:G27)/2)*$C$12)&lt;=0,"0",(((SUM(ReDiarioFert!G21:G27)/2)*$C$12)))</f>
        <v>#DIV/0!</v>
      </c>
      <c r="K20">
        <f>IF(((SUM(ReDiarioFert!I21:I27)/2)*$C$12)&lt;=0,"0",(((SUM(ReDiarioFert!I21:I27)/2)*$C$12)))</f>
        <v>3.931122156538614</v>
      </c>
      <c r="M20">
        <f>IF(((SUM(ReDiarioFert!K21:K27)/2)*$C$12)&lt;=0,"0",(((SUM(ReDiarioFert!K21:K27)/2)*$C$12)))</f>
        <v>8.103061944444441</v>
      </c>
      <c r="O20">
        <f>IF(((SUM(ReDiarioFert!M21:M27)/2)*$C$12)&lt;=0,"0",(((SUM(ReDiarioFert!M21:M27)/2)*$C$12)))</f>
        <v>260.8401463414634</v>
      </c>
      <c r="Q20">
        <f>$C$12*Main!$D$63</f>
        <v>28</v>
      </c>
      <c r="S20" t="e">
        <f>((E20/100)*$G$52+(G20/100)*$G$53+(I20/100)*$G$54+(K20/100)*$G$55+(M20/100)*$G$56+(O20)*$G$57+(Q20*$G$58))</f>
        <v>#DIV/0!</v>
      </c>
    </row>
    <row r="21">
      <c r="B21">
        <f>B20+4</f>
        <v>21</v>
      </c>
      <c r="C21">
        <f>$J$11+B21</f>
        <v>39986</v>
      </c>
      <c r="E21" t="e">
        <f>E20</f>
        <v>#DIV/0!</v>
      </c>
      <c r="G21" t="e">
        <f>G20</f>
        <v>#DIV/0!</v>
      </c>
      <c r="I21" t="e">
        <f>I20</f>
        <v>#DIV/0!</v>
      </c>
      <c r="K21">
        <f>K20</f>
        <v>3.931122156538614</v>
      </c>
      <c r="M21">
        <f>M20</f>
        <v>8.103061944444441</v>
      </c>
      <c r="O21">
        <f>O20</f>
        <v>260.8401463414634</v>
      </c>
      <c r="S21" t="e">
        <f>((E21/100)*$G$52+(G21/100)*$G$53+(I21/100)*$G$54+(K21/100)*$G$55+(M21/100)*$G$56+(O21)*$G$57+(Q21*$G$58))</f>
        <v>#DIV/0!</v>
      </c>
    </row>
    <row r="22">
      <c r="A22">
        <v>4</v>
      </c>
      <c r="B22">
        <f>B21+3</f>
        <v>24</v>
      </c>
      <c r="C22">
        <f>$J$11+B22</f>
        <v>39989</v>
      </c>
      <c r="E22" t="e">
        <f>IF(((SUM(ReDiarioFert!C28:C34)/2)*$C$12)&lt;=0,"0",(((SUM(ReDiarioFert!C28:C34)/2)*$C$12)))</f>
        <v>#DIV/0!</v>
      </c>
      <c r="G22" t="e">
        <f>IF(((SUM(ReDiarioFert!E28:E34)/2)*$C$12)&lt;=0,"0",(((SUM(ReDiarioFert!E28:E34)/2)*$C$12)))</f>
        <v>#DIV/0!</v>
      </c>
      <c r="I22" t="e">
        <f>IF(((SUM(ReDiarioFert!G28:G34)/2)*$C$12)&lt;=0,"0",(((SUM(ReDiarioFert!G28:G34)/2)*$C$12)))</f>
        <v>#DIV/0!</v>
      </c>
      <c r="K22">
        <f>IF(((SUM(ReDiarioFert!I28:I34)/2)*$C$12)&lt;=0,"0",(((SUM(ReDiarioFert!I28:I34)/2)*$C$12)))</f>
        <v>3.931122156538614</v>
      </c>
      <c r="M22">
        <f>IF(((SUM(ReDiarioFert!K28:K34)/2)*$C$12)&lt;=0,"0",(((SUM(ReDiarioFert!K28:K34)/2)*$C$12)))</f>
        <v>8.103061944444441</v>
      </c>
      <c r="O22">
        <f>IF(((SUM(ReDiarioFert!M28:M34)/2)*$C$12)&lt;=0,"0",(((SUM(ReDiarioFert!M28:M34)/2)*$C$12)))</f>
        <v>292.14039024390246</v>
      </c>
      <c r="Q22">
        <f>$C$12*Main!$D$63</f>
        <v>28</v>
      </c>
      <c r="S22" t="e">
        <f>((E22/100)*$G$52+(G22/100)*$G$53+(I22/100)*$G$54+(K22/100)*$G$55+(M22/100)*$G$56+(O22)*$G$57+(Q22*$G$58))</f>
        <v>#DIV/0!</v>
      </c>
    </row>
    <row r="23">
      <c r="B23">
        <f>B22+4</f>
        <v>28</v>
      </c>
      <c r="C23">
        <f>$J$11+B23</f>
        <v>39993</v>
      </c>
      <c r="E23" t="e">
        <f>E22</f>
        <v>#DIV/0!</v>
      </c>
      <c r="G23" t="e">
        <f>G22</f>
        <v>#DIV/0!</v>
      </c>
      <c r="I23" t="e">
        <f>I22</f>
        <v>#DIV/0!</v>
      </c>
      <c r="K23">
        <f>K22</f>
        <v>3.931122156538614</v>
      </c>
      <c r="M23">
        <f>M22</f>
        <v>8.103061944444441</v>
      </c>
      <c r="O23">
        <f>O22</f>
        <v>292.14039024390246</v>
      </c>
      <c r="S23" t="e">
        <f>((E23/100)*$G$52+(G23/100)*$G$53+(I23/100)*$G$54+(K23/100)*$G$55+(M23/100)*$G$56+(O23)*$G$57+(Q23*$G$58))</f>
        <v>#DIV/0!</v>
      </c>
    </row>
    <row r="24">
      <c r="A24">
        <v>5</v>
      </c>
      <c r="B24">
        <f>B23+3</f>
        <v>31</v>
      </c>
      <c r="C24">
        <f>$J$11+B24</f>
        <v>39996</v>
      </c>
      <c r="E24" t="e">
        <f>IF(((SUM(ReDiarioFert!C35:C41)/2)*$C$12)&lt;=0,"0",(((SUM(ReDiarioFert!C35:C41)/2)*$C$12)))</f>
        <v>#DIV/0!</v>
      </c>
      <c r="G24" t="e">
        <f>IF(((SUM(ReDiarioFert!E35:E41)/2)*$C$12)&lt;=0,"0",(((SUM(ReDiarioFert!E35:E41)/2)*$C$12)))</f>
        <v>#DIV/0!</v>
      </c>
      <c r="I24" t="e">
        <f>IF(((SUM(ReDiarioFert!G35:G41)/2)*$C$12)&lt;=0,"0",(((SUM(ReDiarioFert!G35:G41)/2)*$C$12)))</f>
        <v>#DIV/0!</v>
      </c>
      <c r="K24">
        <f>IF(((SUM(ReDiarioFert!I35:I41)/2)*$C$12)&lt;=0,"0",(((SUM(ReDiarioFert!I35:I41)/2)*$C$12)))</f>
        <v>3.931122156538614</v>
      </c>
      <c r="M24">
        <f>IF(((SUM(ReDiarioFert!K35:K41)/2)*$C$12)&lt;=0,"0",(((SUM(ReDiarioFert!K35:K41)/2)*$C$12)))</f>
        <v>8.103061944444441</v>
      </c>
      <c r="O24">
        <f>IF(((SUM(ReDiarioFert!M35:M41)/2)*$C$12)&lt;=0,"0",(((SUM(ReDiarioFert!M35:M41)/2)*$C$12)))</f>
        <v>344.309512195122</v>
      </c>
      <c r="Q24">
        <f>$C$12*Main!$D$63</f>
        <v>28</v>
      </c>
      <c r="S24" t="e">
        <f>((E24/100)*$G$52+(G24/100)*$G$53+(I24/100)*$G$54+(K24/100)*$G$55+(M24/100)*$G$56+(O24)*$G$57+(Q24*$G$58))</f>
        <v>#DIV/0!</v>
      </c>
    </row>
    <row r="25">
      <c r="B25">
        <f>B24+4</f>
        <v>35</v>
      </c>
      <c r="C25">
        <f>$J$11+B25</f>
        <v>40000</v>
      </c>
      <c r="E25" t="e">
        <f>E24</f>
        <v>#DIV/0!</v>
      </c>
      <c r="G25" t="e">
        <f>G24</f>
        <v>#DIV/0!</v>
      </c>
      <c r="I25" t="e">
        <f>I24</f>
        <v>#DIV/0!</v>
      </c>
      <c r="K25">
        <f>K24</f>
        <v>3.931122156538614</v>
      </c>
      <c r="M25">
        <f>M24</f>
        <v>8.103061944444441</v>
      </c>
      <c r="O25">
        <f>O24</f>
        <v>344.309512195122</v>
      </c>
      <c r="S25" t="e">
        <f>((E25/100)*$G$52+(G25/100)*$G$53+(I25/100)*$G$54+(K25/100)*$G$55+(M25/100)*$G$56+(O25)*$G$57+(Q25*$G$58))</f>
        <v>#DIV/0!</v>
      </c>
    </row>
    <row r="26">
      <c r="A26">
        <v>6</v>
      </c>
      <c r="B26">
        <f>B25+3</f>
        <v>38</v>
      </c>
      <c r="C26">
        <f>$J$11+B26</f>
        <v>40003</v>
      </c>
      <c r="E26" t="e">
        <f>IF(((SUM(ReDiarioFert!C42:C48)/2)*$C$12)&lt;=0,"0",(((SUM(ReDiarioFert!C42:C48)/2)*$C$12)))</f>
        <v>#DIV/0!</v>
      </c>
      <c r="G26" t="e">
        <f>IF(((SUM(ReDiarioFert!E42:E48)/2)*$C$12)&lt;=0,"0",(((SUM(ReDiarioFert!E42:E48)/2)*$C$12)))</f>
        <v>#DIV/0!</v>
      </c>
      <c r="I26" t="e">
        <f>IF(((SUM(ReDiarioFert!G42:G48)/2)*$C$12)&lt;=0,"0",(((SUM(ReDiarioFert!G42:G48)/2)*$C$12)))</f>
        <v>#DIV/0!</v>
      </c>
      <c r="K26">
        <f>IF(((SUM(ReDiarioFert!I42:I48)/2)*$C$12)&lt;=0,"0",(((SUM(ReDiarioFert!I42:I48)/2)*$C$12)))</f>
        <v>12.84166571135947</v>
      </c>
      <c r="M26">
        <f>IF(((SUM(ReDiarioFert!K42:K48)/2)*$C$12)&lt;=0,"0",(((SUM(ReDiarioFert!K42:K48)/2)*$C$12)))</f>
        <v>26.470002351851846</v>
      </c>
      <c r="O26">
        <f>IF(((SUM(ReDiarioFert!M42:M48)/2)*$C$12)&lt;=0,"0",(((SUM(ReDiarioFert!M42:M48)/2)*$C$12)))</f>
        <v>413.8683414634147</v>
      </c>
      <c r="Q26">
        <f>$C$12*Main!$D$63</f>
        <v>28</v>
      </c>
      <c r="S26" t="e">
        <f>((E26/100)*$G$52+(G26/100)*$G$53+(I26/100)*$G$54+(K26/100)*$G$55+(M26/100)*$G$56+(O26)*$G$57+(Q26*$G$58))</f>
        <v>#DIV/0!</v>
      </c>
    </row>
    <row r="27">
      <c r="B27">
        <f>B26+4</f>
        <v>42</v>
      </c>
      <c r="C27">
        <f>$J$11+B27</f>
        <v>40007</v>
      </c>
      <c r="E27" t="e">
        <f>E26</f>
        <v>#DIV/0!</v>
      </c>
      <c r="G27" t="e">
        <f>G26</f>
        <v>#DIV/0!</v>
      </c>
      <c r="I27" t="e">
        <f>I26</f>
        <v>#DIV/0!</v>
      </c>
      <c r="K27">
        <f>K26</f>
        <v>12.84166571135947</v>
      </c>
      <c r="M27">
        <f>M26</f>
        <v>26.470002351851846</v>
      </c>
      <c r="O27">
        <f>O26</f>
        <v>413.8683414634147</v>
      </c>
      <c r="S27" t="e">
        <f>((E27/100)*$G$52+(G27/100)*$G$53+(I27/100)*$G$54+(K27/100)*$G$55+(M27/100)*$G$56+(O27)*$G$57+(Q27*$G$58))</f>
        <v>#DIV/0!</v>
      </c>
    </row>
    <row r="28">
      <c r="A28">
        <v>7</v>
      </c>
      <c r="B28">
        <f>B27+3</f>
        <v>45</v>
      </c>
      <c r="C28">
        <f>$J$11+B28</f>
        <v>40010</v>
      </c>
      <c r="E28" t="e">
        <f>IF(((SUM(ReDiarioFert!C49:C55)/2)*$C$12)&lt;=0,"0",(((SUM(ReDiarioFert!C49:C55)/2)*$C$12)))</f>
        <v>#DIV/0!</v>
      </c>
      <c r="G28" t="e">
        <f>IF(((SUM(ReDiarioFert!E49:E55)/2)*$C$12)&lt;=0,"0",(((SUM(ReDiarioFert!E49:E55)/2)*$C$12)))</f>
        <v>#DIV/0!</v>
      </c>
      <c r="I28" t="e">
        <f>IF(((SUM(ReDiarioFert!G49:G55)/2)*$C$12)&lt;=0,"0",(((SUM(ReDiarioFert!G49:G55)/2)*$C$12)))</f>
        <v>#DIV/0!</v>
      </c>
      <c r="K28">
        <f>IF(((SUM(ReDiarioFert!I49:I55)/2)*$C$12)&lt;=0,"0",(((SUM(ReDiarioFert!I49:I55)/2)*$C$12)))</f>
        <v>35.118024598411616</v>
      </c>
      <c r="M28">
        <f>IF(((SUM(ReDiarioFert!K49:K55)/2)*$C$12)&lt;=0,"0",(((SUM(ReDiarioFert!K49:K55)/2)*$C$12)))</f>
        <v>72.38735337037036</v>
      </c>
      <c r="O28">
        <f>IF(((SUM(ReDiarioFert!M49:M55)/2)*$C$12)&lt;=0,"0",(((SUM(ReDiarioFert!M49:M55)/2)*$C$12)))</f>
        <v>455.60268292682935</v>
      </c>
      <c r="Q28">
        <f>$C$12*Main!$D$63</f>
        <v>28</v>
      </c>
      <c r="S28" t="e">
        <f>((E28/100)*$G$52+(G28/100)*$G$53+(I28/100)*$G$54+(K28/100)*$G$55+(M28/100)*$G$56+(O28)*$G$57+(Q28*$G$58))</f>
        <v>#DIV/0!</v>
      </c>
    </row>
    <row r="29">
      <c r="B29">
        <f>B28+4</f>
        <v>49</v>
      </c>
      <c r="C29">
        <f>$J$11+B29</f>
        <v>40014</v>
      </c>
      <c r="E29" t="e">
        <f>E28</f>
        <v>#DIV/0!</v>
      </c>
      <c r="G29" t="e">
        <f>G28</f>
        <v>#DIV/0!</v>
      </c>
      <c r="I29" t="e">
        <f>I28</f>
        <v>#DIV/0!</v>
      </c>
      <c r="K29">
        <f>K28</f>
        <v>35.118024598411616</v>
      </c>
      <c r="M29">
        <f>M28</f>
        <v>72.38735337037036</v>
      </c>
      <c r="O29">
        <f>O28</f>
        <v>455.60268292682935</v>
      </c>
      <c r="S29" t="e">
        <f>((E29/100)*$G$52+(G29/100)*$G$53+(I29/100)*$G$54+(K29/100)*$G$55+(M29/100)*$G$56+(O29)*$G$57+(Q29*$G$58))</f>
        <v>#DIV/0!</v>
      </c>
    </row>
    <row r="30">
      <c r="A30">
        <v>8</v>
      </c>
      <c r="B30">
        <f>B29+3</f>
        <v>52</v>
      </c>
      <c r="C30">
        <f>$J$11+B30</f>
        <v>40017</v>
      </c>
      <c r="E30" t="e">
        <f>IF(((SUM(ReDiarioFert!C56:C62)/2)*$C$12)&lt;=0,"0",(((SUM(ReDiarioFert!C56:C62)/2)*$C$12)))</f>
        <v>#DIV/0!</v>
      </c>
      <c r="G30" t="e">
        <f>IF(((SUM(ReDiarioFert!E56:E62)/2)*$C$12)&lt;=0,"0",(((SUM(ReDiarioFert!E56:E62)/2)*$C$12)))</f>
        <v>#DIV/0!</v>
      </c>
      <c r="I30" t="e">
        <f>IF(((SUM(ReDiarioFert!G56:G62)/2)*$C$12)&lt;=0,"0",(((SUM(ReDiarioFert!G56:G62)/2)*$C$12)))</f>
        <v>#DIV/0!</v>
      </c>
      <c r="K30">
        <f>IF(((SUM(ReDiarioFert!I56:I62)/2)*$C$12)&lt;=0,"0",(((SUM(ReDiarioFert!I56:I62)/2)*$C$12)))</f>
        <v>35.118024598411616</v>
      </c>
      <c r="M30">
        <f>IF(((SUM(ReDiarioFert!K56:K62)/2)*$C$12)&lt;=0,"0",(((SUM(ReDiarioFert!K56:K62)/2)*$C$12)))</f>
        <v>72.38735337037036</v>
      </c>
      <c r="O30">
        <f>IF(((SUM(ReDiarioFert!M56:M62)/2)*$C$12)&lt;=0,"0",(((SUM(ReDiarioFert!M56:M62)/2)*$C$12)))</f>
        <v>559.9385365853658</v>
      </c>
      <c r="Q30">
        <f>$C$12*Main!$D$63</f>
        <v>28</v>
      </c>
      <c r="S30" t="e">
        <f>((E30/100)*$G$52+(G30/100)*$G$53+(I30/100)*$G$54+(K30/100)*$G$55+(M30/100)*$G$56+(O30)*$G$57+(Q30*$G$58))</f>
        <v>#DIV/0!</v>
      </c>
    </row>
    <row r="31">
      <c r="B31">
        <f>B30+4</f>
        <v>56</v>
      </c>
      <c r="C31">
        <f>$J$11+B31</f>
        <v>40021</v>
      </c>
      <c r="E31" t="e">
        <f>E30</f>
        <v>#DIV/0!</v>
      </c>
      <c r="G31" t="e">
        <f>G30</f>
        <v>#DIV/0!</v>
      </c>
      <c r="I31" t="e">
        <f>I30</f>
        <v>#DIV/0!</v>
      </c>
      <c r="K31">
        <f>K30</f>
        <v>35.118024598411616</v>
      </c>
      <c r="M31">
        <f>M30</f>
        <v>72.38735337037036</v>
      </c>
      <c r="O31">
        <f>O30</f>
        <v>559.9385365853658</v>
      </c>
      <c r="S31" t="e">
        <f>((E31/100)*$G$52+(G31/100)*$G$53+(I31/100)*$G$54+(K31/100)*$G$55+(M31/100)*$G$56+(O31)*$G$57+(Q31*$G$58))</f>
        <v>#DIV/0!</v>
      </c>
    </row>
    <row r="32">
      <c r="A32">
        <v>9</v>
      </c>
      <c r="B32">
        <f>B31+3</f>
        <v>59</v>
      </c>
      <c r="C32">
        <f>$J$11+B32</f>
        <v>40024</v>
      </c>
      <c r="E32" t="e">
        <f>IF(((SUM(ReDiarioFert!C63:C69)/2)*$C$12)&lt;=0,"0",(((SUM(ReDiarioFert!C63:C69)/2)*$C$12)))</f>
        <v>#DIV/0!</v>
      </c>
      <c r="G32" t="e">
        <f>IF(((SUM(ReDiarioFert!E63:E69)/2)*$C$12)&lt;=0,"0",(((SUM(ReDiarioFert!E63:E69)/2)*$C$12)))</f>
        <v>#DIV/0!</v>
      </c>
      <c r="I32" t="e">
        <f>IF(((SUM(ReDiarioFert!G63:G69)/2)*$C$12)&lt;=0,"0",(((SUM(ReDiarioFert!G63:G69)/2)*$C$12)))</f>
        <v>#DIV/0!</v>
      </c>
      <c r="K32">
        <f>IF(((SUM(ReDiarioFert!I63:I69)/2)*$C$12)&lt;=0,"0",(((SUM(ReDiarioFert!I63:I69)/2)*$C$12)))</f>
        <v>41.66701491633747</v>
      </c>
      <c r="M32">
        <f>IF(((SUM(ReDiarioFert!K63:K69)/2)*$C$12)&lt;=0,"0",(((SUM(ReDiarioFert!K63:K69)/2)*$C$12)))</f>
        <v>85.8865203019943</v>
      </c>
      <c r="O32">
        <f>IF(((SUM(ReDiarioFert!M63:M69)/2)*$C$12)&lt;=0,"0",(((SUM(ReDiarioFert!M63:M69)/2)*$C$12)))</f>
        <v>580.8060487804878</v>
      </c>
      <c r="Q32">
        <f>$C$12*Main!$D$63</f>
        <v>28</v>
      </c>
      <c r="S32" t="e">
        <f>((E32/100)*$G$52+(G32/100)*$G$53+(I32/100)*$G$54+(K32/100)*$G$55+(M32/100)*$G$56+(O32)*$G$57+(Q32*$G$58))</f>
        <v>#DIV/0!</v>
      </c>
    </row>
    <row r="33">
      <c r="B33">
        <f>B32+4</f>
        <v>63</v>
      </c>
      <c r="C33">
        <f>$J$11+B33</f>
        <v>40028</v>
      </c>
      <c r="E33" t="e">
        <f>E32</f>
        <v>#DIV/0!</v>
      </c>
      <c r="G33" t="e">
        <f>G32</f>
        <v>#DIV/0!</v>
      </c>
      <c r="I33" t="e">
        <f>I32</f>
        <v>#DIV/0!</v>
      </c>
      <c r="K33">
        <f>K32</f>
        <v>41.66701491633747</v>
      </c>
      <c r="M33">
        <f>M32</f>
        <v>85.8865203019943</v>
      </c>
      <c r="O33">
        <f>O32</f>
        <v>580.8060487804878</v>
      </c>
      <c r="S33" t="e">
        <f>((E33/100)*$G$52+(G33/100)*$G$53+(I33/100)*$G$54+(K33/100)*$G$55+(M33/100)*$G$56+(O33)*$G$57+(Q33*$G$58))</f>
        <v>#DIV/0!</v>
      </c>
    </row>
    <row r="34">
      <c r="A34">
        <v>10</v>
      </c>
      <c r="B34">
        <f>B33+3</f>
        <v>66</v>
      </c>
      <c r="C34">
        <f>$J$11+B34</f>
        <v>40031</v>
      </c>
      <c r="E34" t="e">
        <f>IF(((SUM(ReDiarioFert!C70:C76)/2)*$C$12)&lt;=0,"0",(((SUM(ReDiarioFert!C70:C76)/2)*$C$12)))</f>
        <v>#DIV/0!</v>
      </c>
      <c r="G34" t="e">
        <f>IF(((SUM(ReDiarioFert!E70:E76)/2)*$C$12)&lt;=0,"0",(((SUM(ReDiarioFert!E70:E76)/2)*$C$12)))</f>
        <v>#DIV/0!</v>
      </c>
      <c r="I34" t="e">
        <f>IF(((SUM(ReDiarioFert!G70:G76)/2)*$C$12)&lt;=0,"0",(((SUM(ReDiarioFert!G70:G76)/2)*$C$12)))</f>
        <v>#DIV/0!</v>
      </c>
      <c r="K34">
        <f>IF(((SUM(ReDiarioFert!I70:I76)/2)*$C$12)&lt;=0,"0",(((SUM(ReDiarioFert!I70:I76)/2)*$C$12)))</f>
        <v>50.39900200690529</v>
      </c>
      <c r="M34">
        <f>IF(((SUM(ReDiarioFert!K70:K76)/2)*$C$12)&lt;=0,"0",(((SUM(ReDiarioFert!K70:K76)/2)*$C$12)))</f>
        <v>103.88540954415953</v>
      </c>
      <c r="O34">
        <f>IF(((SUM(ReDiarioFert!M70:M76)/2)*$C$12)&lt;=0,"0",(((SUM(ReDiarioFert!M70:M76)/2)*$C$12)))</f>
        <v>706.0111219512196</v>
      </c>
      <c r="Q34">
        <f>$C$12*Main!$D$63</f>
        <v>28</v>
      </c>
      <c r="S34" t="e">
        <f>((E34/100)*$G$52+(G34/100)*$G$53+(I34/100)*$G$54+(K34/100)*$G$55+(M34/100)*$G$56+(O34)*$G$57+(Q34*$G$58))</f>
        <v>#DIV/0!</v>
      </c>
    </row>
    <row r="35">
      <c r="B35">
        <f>B34+4</f>
        <v>70</v>
      </c>
      <c r="C35">
        <f>$J$11+B35</f>
        <v>40035</v>
      </c>
      <c r="E35" t="e">
        <f>E34</f>
        <v>#DIV/0!</v>
      </c>
      <c r="G35" t="e">
        <f>G34</f>
        <v>#DIV/0!</v>
      </c>
      <c r="I35" t="e">
        <f>I34</f>
        <v>#DIV/0!</v>
      </c>
      <c r="K35">
        <f>K34</f>
        <v>50.39900200690529</v>
      </c>
      <c r="M35">
        <f>M34</f>
        <v>103.88540954415953</v>
      </c>
      <c r="O35">
        <f>O34</f>
        <v>706.0111219512196</v>
      </c>
      <c r="S35" t="e">
        <f>((E35/100)*$G$52+(G35/100)*$G$53+(I35/100)*$G$54+(K35/100)*$G$55+(M35/100)*$G$56+(O35)*$G$57+(Q35*$G$58))</f>
        <v>#DIV/0!</v>
      </c>
    </row>
    <row r="36">
      <c r="A36">
        <v>11</v>
      </c>
      <c r="B36">
        <f>B35+3</f>
        <v>73</v>
      </c>
      <c r="C36">
        <f>$J$11+B36</f>
        <v>40038</v>
      </c>
      <c r="E36" t="e">
        <f>IF(((SUM(ReDiarioFert!C77:C83)/2)*$C$12)&lt;=0,"0",(((SUM(ReDiarioFert!C77:C83)/2)*$C$12)))</f>
        <v>#DIV/0!</v>
      </c>
      <c r="G36" t="e">
        <f>IF(((SUM(ReDiarioFert!E77:E83)/2)*$C$12)&lt;=0,"0",(((SUM(ReDiarioFert!E77:E83)/2)*$C$12)))</f>
        <v>#DIV/0!</v>
      </c>
      <c r="I36" t="e">
        <f>IF(((SUM(ReDiarioFert!G77:G83)/2)*$C$12)&lt;=0,"0",(((SUM(ReDiarioFert!G77:G83)/2)*$C$12)))</f>
        <v>#DIV/0!</v>
      </c>
      <c r="K36">
        <f>IF(((SUM(ReDiarioFert!I77:I83)/2)*$C$12)&lt;=0,"0",(((SUM(ReDiarioFert!I77:I83)/2)*$C$12)))</f>
        <v>29.30136263617792</v>
      </c>
      <c r="M36">
        <f>IF(((SUM(ReDiarioFert!K77:K83)/2)*$C$12)&lt;=0,"0",(((SUM(ReDiarioFert!K77:K83)/2)*$C$12)))</f>
        <v>60.39770504273501</v>
      </c>
      <c r="O36">
        <f>IF(((SUM(ReDiarioFert!M77:M83)/2)*$C$12)&lt;=0,"0",(((SUM(ReDiarioFert!M77:M83)/2)*$C$12)))</f>
        <v>706.0111219512196</v>
      </c>
      <c r="Q36">
        <f>$C$12*Main!$D$63</f>
        <v>28</v>
      </c>
      <c r="S36" t="e">
        <f>((E36/100)*$G$52+(G36/100)*$G$53+(I36/100)*$G$54+(K36/100)*$G$55+(M36/100)*$G$56+(O36)*$G$57+(Q36*$G$58))</f>
        <v>#DIV/0!</v>
      </c>
    </row>
    <row r="37">
      <c r="B37">
        <f>B36+4</f>
        <v>77</v>
      </c>
      <c r="C37">
        <f>$J$11+B37</f>
        <v>40042</v>
      </c>
      <c r="E37" t="e">
        <f>E36</f>
        <v>#DIV/0!</v>
      </c>
      <c r="G37" t="e">
        <f>G36</f>
        <v>#DIV/0!</v>
      </c>
      <c r="I37" t="e">
        <f>I36</f>
        <v>#DIV/0!</v>
      </c>
      <c r="K37">
        <f>K36</f>
        <v>29.30136263617792</v>
      </c>
      <c r="M37">
        <f>M36</f>
        <v>60.39770504273501</v>
      </c>
      <c r="O37">
        <f>O36</f>
        <v>706.0111219512196</v>
      </c>
      <c r="S37" t="e">
        <f>((E37/100)*$G$52+(G37/100)*$G$53+(I37/100)*$G$54+(K37/100)*$G$55+(M37/100)*$G$56+(O37)*$G$57+(Q37*$G$58))</f>
        <v>#DIV/0!</v>
      </c>
    </row>
    <row r="38">
      <c r="A38">
        <v>12</v>
      </c>
      <c r="B38">
        <f>B37+3</f>
        <v>80</v>
      </c>
      <c r="C38">
        <f>$J$11+B38</f>
        <v>40045</v>
      </c>
      <c r="E38" t="e">
        <f>IF(((SUM(ReDiarioFert!C84:C90)/2)*$C$12)&lt;=0,"0",(((SUM(ReDiarioFert!C84:C90)/2)*$C$12)))</f>
        <v>#DIV/0!</v>
      </c>
      <c r="G38" t="e">
        <f>IF(((SUM(ReDiarioFert!E84:E90)/2)*$C$12)&lt;=0,"0",(((SUM(ReDiarioFert!E84:E90)/2)*$C$12)))</f>
        <v>#DIV/0!</v>
      </c>
      <c r="I38" t="e">
        <f>IF(((SUM(ReDiarioFert!G84:G90)/2)*$C$12)&lt;=0,"0",(((SUM(ReDiarioFert!G84:G90)/2)*$C$12)))</f>
        <v>#DIV/0!</v>
      </c>
      <c r="K38">
        <f>IF(((SUM(ReDiarioFert!I84:I90)/2)*$C$12)&lt;=0,"0",(((SUM(ReDiarioFert!I84:I90)/2)*$C$12)))</f>
        <v>13.478133108132392</v>
      </c>
      <c r="M38">
        <f>IF(((SUM(ReDiarioFert!K84:K90)/2)*$C$12)&lt;=0,"0",(((SUM(ReDiarioFert!K84:K90)/2)*$C$12)))</f>
        <v>27.781926666666667</v>
      </c>
      <c r="O38">
        <f>IF(((SUM(ReDiarioFert!M84:M90)/2)*$C$12)&lt;=0,"0",(((SUM(ReDiarioFert!M84:M90)/2)*$C$12)))</f>
        <v>789.4798048780486</v>
      </c>
      <c r="Q38">
        <f>$C$12*Main!$D$63</f>
        <v>28</v>
      </c>
      <c r="S38" t="e">
        <f>((E38/100)*$G$52+(G38/100)*$G$53+(I38/100)*$G$54+(K38/100)*$G$55+(M38/100)*$G$56+(O38)*$G$57+(Q38*$G$58))</f>
        <v>#DIV/0!</v>
      </c>
    </row>
    <row r="39">
      <c r="B39">
        <f>B38+4</f>
        <v>84</v>
      </c>
      <c r="C39">
        <f>$J$11+B39</f>
        <v>40049</v>
      </c>
      <c r="E39" t="e">
        <f>E38</f>
        <v>#DIV/0!</v>
      </c>
      <c r="G39" t="e">
        <f>G38</f>
        <v>#DIV/0!</v>
      </c>
      <c r="I39" t="e">
        <f>I38</f>
        <v>#DIV/0!</v>
      </c>
      <c r="K39">
        <f>K38</f>
        <v>13.478133108132392</v>
      </c>
      <c r="M39">
        <f>M38</f>
        <v>27.781926666666667</v>
      </c>
      <c r="O39">
        <f>O38</f>
        <v>789.4798048780486</v>
      </c>
      <c r="S39" t="e">
        <f>((E39/100)*$G$52+(G39/100)*$G$53+(I39/100)*$G$54+(K39/100)*$G$55+(M39/100)*$G$56+(O39)*$G$57+(Q39*$G$58))</f>
        <v>#DIV/0!</v>
      </c>
    </row>
    <row r="40" ht="18" customHeight="1">
      <c r="A40">
        <v>13</v>
      </c>
      <c r="B40">
        <f>B39+3</f>
        <v>87</v>
      </c>
      <c r="C40">
        <f>$J$11+B40</f>
        <v>40052</v>
      </c>
      <c r="E40" t="e">
        <f>IF(((SUM(ReDiarioFert!C91:C97)/2)*$C$12)&lt;=0,"0",(((SUM(ReDiarioFert!C91:C97)/2)*$C$12)))</f>
        <v>#DIV/0!</v>
      </c>
      <c r="G40" t="e">
        <f>IF(((SUM(ReDiarioFert!E91:E97)/2)*$C$12)&lt;=0,"0",(((SUM(ReDiarioFert!E91:E97)/2)*$C$12)))</f>
        <v>#DIV/0!</v>
      </c>
      <c r="I40" t="e">
        <f>IF(((SUM(ReDiarioFert!G91:G97)/2)*$C$12)&lt;=0,"0",(((SUM(ReDiarioFert!G91:G97)/2)*$C$12)))</f>
        <v>#DIV/0!</v>
      </c>
      <c r="K40">
        <f>IF(((SUM(ReDiarioFert!I91:I97)/2)*$C$12)&lt;=0,"0",(((SUM(ReDiarioFert!I91:I97)/2)*$C$12)))</f>
        <v>38.72289035828512</v>
      </c>
      <c r="M40">
        <f>IF(((SUM(ReDiarioFert!K91:K97)/2)*$C$12)&lt;=0,"0",(((SUM(ReDiarioFert!K91:K97)/2)*$C$12)))</f>
        <v>79.8179162962963</v>
      </c>
      <c r="O40">
        <f>IF(((SUM(ReDiarioFert!M91:M97)/2)*$C$12)&lt;=0,"0",(((SUM(ReDiarioFert!M91:M97)/2)*$C$12)))</f>
        <v>852.0813170731708</v>
      </c>
      <c r="Q40">
        <f>$C$12*Main!$D$63</f>
        <v>28</v>
      </c>
      <c r="S40" t="e">
        <f>((E40/100)*$G$52+(G40/100)*$G$53+(I40/100)*$G$54+(K40/100)*$G$55+(M40/100)*$G$56+(O40)*$G$57+(Q40*$G$58))</f>
        <v>#DIV/0!</v>
      </c>
    </row>
    <row r="41" ht="18" customHeight="1">
      <c r="B41">
        <f>B40+4</f>
        <v>91</v>
      </c>
      <c r="C41">
        <f>$J$11+B41</f>
        <v>40056</v>
      </c>
      <c r="E41" t="e">
        <f>E40</f>
        <v>#DIV/0!</v>
      </c>
      <c r="G41" t="e">
        <f>G40</f>
        <v>#DIV/0!</v>
      </c>
      <c r="I41" t="e">
        <f>I40</f>
        <v>#DIV/0!</v>
      </c>
      <c r="K41">
        <f>K40</f>
        <v>38.72289035828512</v>
      </c>
      <c r="M41">
        <f>M40</f>
        <v>79.8179162962963</v>
      </c>
      <c r="O41">
        <f>O40</f>
        <v>852.0813170731708</v>
      </c>
      <c r="S41" t="e">
        <f>((E41/100)*$G$52+(G41/100)*$G$53+(I41/100)*$G$54+(K41/100)*$G$55+(M41/100)*$G$56+(O41)*$G$57+(Q41*$G$58))</f>
        <v>#DIV/0!</v>
      </c>
    </row>
    <row r="42">
      <c r="A42">
        <v>14</v>
      </c>
      <c r="B42">
        <f>B41+3</f>
        <v>94</v>
      </c>
      <c r="C42">
        <f>$J$11+B42</f>
        <v>40059</v>
      </c>
      <c r="E42" t="e">
        <f>IF(((SUM(ReDiarioFert!C98:C104)/2)*$C$12)&lt;=0,"0",(((SUM(ReDiarioFert!C98:C104)/2)*$C$12)))</f>
        <v>#DIV/0!</v>
      </c>
      <c r="G42" t="e">
        <f>IF(((SUM(ReDiarioFert!E98:E104)/2)*$C$12)&lt;=0,"0",(((SUM(ReDiarioFert!E98:E104)/2)*$C$12)))</f>
        <v>#DIV/0!</v>
      </c>
      <c r="I42" t="e">
        <f>IF(((SUM(ReDiarioFert!G98:G104)/2)*$C$12)&lt;=0,"0",(((SUM(ReDiarioFert!G98:G104)/2)*$C$12)))</f>
        <v>#DIV/0!</v>
      </c>
      <c r="K42">
        <f>IF(((SUM(ReDiarioFert!I98:I104)/2)*$C$12)&lt;=0,"0",(((SUM(ReDiarioFert!I98:I104)/2)*$C$12)))</f>
        <v>57.65645829589968</v>
      </c>
      <c r="M42">
        <f>IF(((SUM(ReDiarioFert!K98:K104)/2)*$C$12)&lt;=0,"0",(((SUM(ReDiarioFert!K98:K104)/2)*$C$12)))</f>
        <v>118.84490851851852</v>
      </c>
      <c r="O42">
        <f>IF(((SUM(ReDiarioFert!M98:M104)/2)*$C$12)&lt;=0,"0",(((SUM(ReDiarioFert!M98:M104)/2)*$C$12)))</f>
        <v>852.0813170731708</v>
      </c>
      <c r="Q42">
        <f>$C$12*Main!$D$63</f>
        <v>28</v>
      </c>
      <c r="S42" t="e">
        <f>((E42/100)*$G$52+(G42/100)*$G$53+(I42/100)*$G$54+(K42/100)*$G$55+(M42/100)*$G$56+(O42)*$G$57+(Q42*$G$58))</f>
        <v>#DIV/0!</v>
      </c>
    </row>
    <row r="43">
      <c r="B43">
        <f>B42+4</f>
        <v>98</v>
      </c>
      <c r="C43">
        <f>$J$11+B43</f>
        <v>40063</v>
      </c>
      <c r="E43" t="e">
        <f>E42</f>
        <v>#DIV/0!</v>
      </c>
      <c r="G43" t="e">
        <f>G42</f>
        <v>#DIV/0!</v>
      </c>
      <c r="I43" t="e">
        <f>I42</f>
        <v>#DIV/0!</v>
      </c>
      <c r="K43">
        <f>K42</f>
        <v>57.65645829589968</v>
      </c>
      <c r="M43">
        <f>M42</f>
        <v>118.84490851851852</v>
      </c>
      <c r="O43">
        <f>O42</f>
        <v>852.0813170731708</v>
      </c>
      <c r="S43" t="e">
        <f>((E43/100)*$G$52+(G43/100)*$G$53+(I43/100)*$G$54+(K43/100)*$G$55+(M43/100)*$G$56+(O43)*$G$57+(Q43*$G$58))</f>
        <v>#DIV/0!</v>
      </c>
    </row>
    <row r="44">
      <c r="A44">
        <v>15</v>
      </c>
      <c r="B44">
        <f>B43+3</f>
        <v>101</v>
      </c>
      <c r="C44">
        <f>$J$11+B44</f>
        <v>40066</v>
      </c>
      <c r="E44" t="e">
        <f>IF(((SUM(ReDiarioFert!C105:C111)/2)*$C$12)&lt;=0,"0",(((SUM(ReDiarioFert!C105:C111)/2)*$C$12)))</f>
        <v>#DIV/0!</v>
      </c>
      <c r="G44" t="e">
        <f>IF(((SUM(ReDiarioFert!E105:E111)/2)*$C$12)&lt;=0,"0",(((SUM(ReDiarioFert!E105:E111)/2)*$C$12)))</f>
        <v>#DIV/0!</v>
      </c>
      <c r="I44" t="e">
        <f>IF(((SUM(ReDiarioFert!G105:G111)/2)*$C$12)&lt;=0,"0",(((SUM(ReDiarioFert!G105:G111)/2)*$C$12)))</f>
        <v>#DIV/0!</v>
      </c>
      <c r="K44">
        <f>IF(((SUM(ReDiarioFert!I105:I111)/2)*$C$12)&lt;=0,"0",(((SUM(ReDiarioFert!I105:I111)/2)*$C$12)))</f>
        <v>57.65645829589968</v>
      </c>
      <c r="M44">
        <f>IF(((SUM(ReDiarioFert!K105:K111)/2)*$C$12)&lt;=0,"0",(((SUM(ReDiarioFert!K105:K111)/2)*$C$12)))</f>
        <v>118.84490851851852</v>
      </c>
      <c r="O44">
        <f>IF(((SUM(ReDiarioFert!M105:M111)/2)*$C$12)&lt;=0,"0",(((SUM(ReDiarioFert!M105:M111)/2)*$C$12)))</f>
        <v>852.0813170731708</v>
      </c>
      <c r="Q44">
        <f>$C$12*Main!$D$63</f>
        <v>28</v>
      </c>
      <c r="S44" t="e">
        <f>((E44/100)*$G$52+(G44/100)*$G$53+(I44/100)*$G$54+(K44/100)*$G$55+(M44/100)*$G$56+(O44)*$G$57+(Q44*$G$58))</f>
        <v>#DIV/0!</v>
      </c>
    </row>
    <row r="45">
      <c r="B45">
        <f>B44+4</f>
        <v>105</v>
      </c>
      <c r="C45">
        <f>$J$11+B45</f>
        <v>40070</v>
      </c>
      <c r="E45" t="e">
        <f>E44</f>
        <v>#DIV/0!</v>
      </c>
      <c r="G45" t="e">
        <f>G44</f>
        <v>#DIV/0!</v>
      </c>
      <c r="I45" t="e">
        <f>I44</f>
        <v>#DIV/0!</v>
      </c>
      <c r="K45">
        <f>K44</f>
        <v>57.65645829589968</v>
      </c>
      <c r="M45">
        <f>M44</f>
        <v>118.84490851851852</v>
      </c>
      <c r="O45">
        <f>O44</f>
        <v>852.0813170731708</v>
      </c>
      <c r="S45" t="e">
        <f>((E45/100)*$G$52+(G45/100)*$G$53+(I45/100)*$G$54+(K45/100)*$G$55+(M45/100)*$G$56+(O45)*$G$57+(Q45*$G$58))</f>
        <v>#DIV/0!</v>
      </c>
    </row>
    <row r="46">
      <c r="A46">
        <v>16</v>
      </c>
      <c r="B46">
        <f>B45+3</f>
        <v>108</v>
      </c>
      <c r="C46">
        <f>$J$11+B46</f>
        <v>40073</v>
      </c>
      <c r="E46" t="e">
        <f>IF(((SUM(ReDiarioFert!C112:C118)/2)*$C$12)&lt;=0,"0",(((SUM(ReDiarioFert!C112:C118)/2)*$C$12)))</f>
        <v>#DIV/0!</v>
      </c>
      <c r="G46" t="e">
        <f>IF(((SUM(ReDiarioFert!E112:E118)/2)*$C$12)&lt;=0,"0",(((SUM(ReDiarioFert!E112:E118)/2)*$C$12)))</f>
        <v>#DIV/0!</v>
      </c>
      <c r="I46" t="e">
        <f>IF(((SUM(ReDiarioFert!G112:G118)/2)*$C$12)&lt;=0,"0",(((SUM(ReDiarioFert!G112:G118)/2)*$C$12)))</f>
        <v>#DIV/0!</v>
      </c>
      <c r="K46" t="str">
        <f>IF(((SUM(ReDiarioFert!I112:I118)/2)*$C$12)&lt;=0,"0",(((SUM(ReDiarioFert!I112:I118)/2)*$C$12)))</f>
        <v>0</v>
      </c>
      <c r="M46" t="str">
        <f>IF(((SUM(ReDiarioFert!K112:K118)/2)*$C$12)&lt;=0,"0",(((SUM(ReDiarioFert!K112:K118)/2)*$C$12)))</f>
        <v>0</v>
      </c>
      <c r="O46">
        <f>IF(((SUM(ReDiarioFert!M112:M118)/2)*$C$12)&lt;=0,"0",(((SUM(ReDiarioFert!M112:M118)/2)*$C$12)))</f>
        <v>852.0813170731708</v>
      </c>
      <c r="Q46">
        <f>$C$12*Main!$D$63</f>
        <v>28</v>
      </c>
      <c r="S46" t="e">
        <f>((E46/100)*$G$52+(G46/100)*$G$53+(I46/100)*$G$54+(K46/100)*$G$55+(M46/100)*$G$56+(O46)*$G$57+(Q46*$G$58))</f>
        <v>#DIV/0!</v>
      </c>
    </row>
    <row r="47">
      <c r="B47">
        <f>B46+4</f>
        <v>112</v>
      </c>
      <c r="C47">
        <f>$J$11+B47</f>
        <v>40077</v>
      </c>
      <c r="E47" t="e">
        <f>E46</f>
        <v>#DIV/0!</v>
      </c>
      <c r="G47" t="e">
        <f>G46</f>
        <v>#DIV/0!</v>
      </c>
      <c r="I47" t="e">
        <f>I46</f>
        <v>#DIV/0!</v>
      </c>
      <c r="K47" t="str">
        <f>K46</f>
        <v>0</v>
      </c>
      <c r="M47" t="str">
        <f>M46</f>
        <v>0</v>
      </c>
      <c r="O47">
        <f>O46</f>
        <v>852.0813170731708</v>
      </c>
      <c r="S47" t="e">
        <f>((E47/100)*$G$52+(G47/100)*$G$53+(I47/100)*$G$54+(K47/100)*$G$55+(M47/100)*$G$56+(O47)*$G$57+(Q47*$G$58))</f>
        <v>#DIV/0!</v>
      </c>
    </row>
    <row r="48">
      <c r="C48" t="str">
        <v>Total</v>
      </c>
      <c r="E48" t="e">
        <f>SUM(E16:E47)</f>
        <v>#DIV/0!</v>
      </c>
      <c r="G48" t="e">
        <f>SUM(G16:G47)</f>
        <v>#DIV/0!</v>
      </c>
      <c r="I48" t="e">
        <f>SUM(I16:I47)</f>
        <v>#DIV/0!</v>
      </c>
      <c r="K48">
        <f>SUM(K16:K47)</f>
        <v>783.2292906170268</v>
      </c>
      <c r="M48">
        <f>SUM(M16:M47)</f>
        <v>1614.4386274074068</v>
      </c>
      <c r="O48">
        <f>SUM(O16:O47)</f>
        <v>17632.860682926832</v>
      </c>
      <c r="Q48">
        <f>SUM(Q16:Q47)</f>
        <v>448</v>
      </c>
      <c r="S48" t="e">
        <f>SUM(S16:S47)</f>
        <v>#DIV/0!</v>
      </c>
    </row>
    <row r="49">
      <c r="D49" t="str">
        <v>OJO cualquier cultivo que no se termine la cosecha en el ultimo día del calendario solo seguir repitiendo la ultima aplicación de fertilizante.</v>
      </c>
    </row>
    <row r="50" ht="39.75" customHeight="1">
      <c r="B50" t="str">
        <v>Producto</v>
      </c>
      <c r="F50" t="str">
        <v>Lbs/Ha</v>
      </c>
      <c r="G50" t="str">
        <v>Costo por qq</v>
      </c>
    </row>
    <row r="51" ht="24" customHeight="1">
      <c r="G51" t="str">
        <f>Main!$E$25</f>
        <v>Lempiras</v>
      </c>
    </row>
    <row r="52">
      <c r="B52" t="str">
        <f>Main!D42</f>
        <v>Urea</v>
      </c>
      <c r="F52" t="e">
        <f>E48/C12</f>
        <v>#DIV/0!</v>
      </c>
      <c r="G52">
        <f>Main!D43</f>
        <v>650</v>
      </c>
    </row>
    <row r="53">
      <c r="B53" t="str">
        <f>Main!D32</f>
        <v>FofatoMonoPotasico</v>
      </c>
      <c r="F53" t="e">
        <f>G48/C12</f>
        <v>#DIV/0!</v>
      </c>
      <c r="G53">
        <f>Main!D33</f>
        <v>1700</v>
      </c>
    </row>
    <row r="54">
      <c r="B54" t="str">
        <f>Main!D37</f>
        <v>Kcl</v>
      </c>
      <c r="F54" t="e">
        <f>I48/C12</f>
        <v>#DIV/0!</v>
      </c>
      <c r="G54">
        <f>Main!D38</f>
        <v>580</v>
      </c>
    </row>
    <row r="55">
      <c r="B55" t="str">
        <f>Main!D47</f>
        <v>Sulfato de Magnesio</v>
      </c>
      <c r="F55">
        <f>K48/C12</f>
        <v>559.4494932978763</v>
      </c>
      <c r="G55">
        <f>Main!D48</f>
        <v>951</v>
      </c>
    </row>
    <row r="56">
      <c r="B56" t="str">
        <f>Main!D52</f>
        <v>Nitrato de Calcio</v>
      </c>
      <c r="F56">
        <f>M48/C12</f>
        <v>1153.1704481481477</v>
      </c>
      <c r="G56">
        <f>Main!D53</f>
        <v>1100</v>
      </c>
    </row>
    <row r="57">
      <c r="B57" t="str">
        <f>Main!D57</f>
        <v>Solubor</v>
      </c>
      <c r="F57">
        <f>O48/C12</f>
        <v>12594.90048780488</v>
      </c>
      <c r="G57">
        <f>Main!D58</f>
        <v>0.04</v>
      </c>
      <c r="I57" t="str">
        <v xml:space="preserve">Preparado y Autorizado Por </v>
      </c>
    </row>
    <row r="58" ht="18" customHeight="1">
      <c r="B58" t="str">
        <f>Main!D61</f>
        <v>Melaza</v>
      </c>
      <c r="F58">
        <f>Q48/C12</f>
        <v>320</v>
      </c>
      <c r="G58">
        <f>Main!D62</f>
        <v>2.8</v>
      </c>
      <c r="I58" t="str">
        <v>MSc Ricardo D. Lardizábal</v>
      </c>
    </row>
    <row r="59" ht="17.45" customHeight="1">
      <c r="B59" t="str">
        <v>NOTA: El Nitrato de Calcio se debe de diluir en un barril aparte para inyectarse al sistema</v>
      </c>
    </row>
    <row r="62">
      <c r="B62" t="str">
        <v>Abreviaciones usadas</v>
      </c>
    </row>
    <row r="63">
      <c r="B63" t="str">
        <v>Mz.-Manzanas, Ha-Hectáreas, Lbs-Libras, Lts-Litros y DDT-Días después de Trasplante</v>
      </c>
    </row>
  </sheetData>
  <mergeCells count="54">
    <mergeCell ref="P4:S6"/>
    <mergeCell ref="P8:S10"/>
    <mergeCell ref="P11:S13"/>
    <mergeCell ref="A8:N8"/>
    <mergeCell ref="P2:S3"/>
    <mergeCell ref="A10:B10"/>
    <mergeCell ref="G9:I9"/>
    <mergeCell ref="G10:I10"/>
    <mergeCell ref="A9:B9"/>
    <mergeCell ref="C9:F9"/>
    <mergeCell ref="C10:F10"/>
    <mergeCell ref="B59:I60"/>
    <mergeCell ref="B56:E56"/>
    <mergeCell ref="B55:E55"/>
    <mergeCell ref="I58:Q58"/>
    <mergeCell ref="B57:E57"/>
    <mergeCell ref="G58:H58"/>
    <mergeCell ref="G57:H57"/>
    <mergeCell ref="G55:H55"/>
    <mergeCell ref="G56:H56"/>
    <mergeCell ref="I57:Q57"/>
    <mergeCell ref="B63:S63"/>
    <mergeCell ref="E14:F14"/>
    <mergeCell ref="B62:C62"/>
    <mergeCell ref="B58:E58"/>
    <mergeCell ref="B50:E50"/>
    <mergeCell ref="B52:E52"/>
    <mergeCell ref="B53:E53"/>
    <mergeCell ref="B54:E54"/>
    <mergeCell ref="C14:D14"/>
    <mergeCell ref="A14:A15"/>
    <mergeCell ref="B14:B15"/>
    <mergeCell ref="A11:B11"/>
    <mergeCell ref="A12:B12"/>
    <mergeCell ref="C11:F11"/>
    <mergeCell ref="C12:F12"/>
    <mergeCell ref="G54:H54"/>
    <mergeCell ref="S14:S15"/>
    <mergeCell ref="O14:P14"/>
    <mergeCell ref="Q14:R14"/>
    <mergeCell ref="G14:H14"/>
    <mergeCell ref="I14:J14"/>
    <mergeCell ref="K14:L14"/>
    <mergeCell ref="M14:N14"/>
    <mergeCell ref="G51:H51"/>
    <mergeCell ref="G52:H52"/>
    <mergeCell ref="G53:H53"/>
    <mergeCell ref="J9:N9"/>
    <mergeCell ref="J10:N10"/>
    <mergeCell ref="J11:N11"/>
    <mergeCell ref="J12:N12"/>
    <mergeCell ref="G11:I11"/>
    <mergeCell ref="G12:I12"/>
    <mergeCell ref="G50:H50"/>
  </mergeCells>
  <pageMargins left="0.25" right="0.25" top="0.48" bottom="0.8" header="0.25" footer="0.25"/>
  <ignoredErrors>
    <ignoredError numberStoredAsText="1" sqref="A1:V72"/>
  </ignoredErrors>
  <legacyDrawing r:id="rId1"/>
</worksheet>
</file>

<file path=xl/worksheets/sheet7.xml><?xml version="1.0" encoding="utf-8"?>
<worksheet xmlns="http://schemas.openxmlformats.org/spreadsheetml/2006/main" xmlns:r="http://schemas.openxmlformats.org/officeDocument/2006/relationships">
  <dimension ref="A1:V54"/>
  <sheetViews>
    <sheetView workbookViewId="0" rightToLeft="0"/>
  </sheetViews>
  <sheetData>
    <row r="1" ht="32.65" customHeight="1"/>
    <row r="2" ht="32.65" customHeight="1"/>
    <row r="3" ht="32.65" customHeight="1"/>
    <row r="4">
      <c r="P4" t="str">
        <f>Main!$E$21</f>
        <v>Papa</v>
      </c>
    </row>
    <row r="5" ht="23.45" customHeight="1"/>
    <row r="6" ht="29.25" customHeight="1"/>
    <row r="7" ht="26.25" customHeight="1"/>
    <row r="8" ht="27.600000000000005" customHeight="1">
      <c r="A8" t="str">
        <f>Main!$C$13</f>
        <v>"Sin Fertilización Base"</v>
      </c>
      <c r="P8" t="str">
        <f>Main!$G$21</f>
        <v>Provento</v>
      </c>
    </row>
    <row r="9" ht="20.1" customHeight="1">
      <c r="A9" t="str">
        <v>Productor</v>
      </c>
      <c r="C9" t="str">
        <f>Main!E17</f>
        <v>Pancho Pérez</v>
      </c>
      <c r="G9" t="str">
        <v>Parcela</v>
      </c>
      <c r="J9" t="str">
        <f>Main!E19</f>
        <v>La Frondosa</v>
      </c>
    </row>
    <row r="10" ht="20.1" customHeight="1">
      <c r="A10" t="str">
        <v>Zona</v>
      </c>
      <c r="C10" t="str">
        <f>Main!E18</f>
        <v>Cantarranas</v>
      </c>
      <c r="G10" t="str">
        <v>Técnico</v>
      </c>
      <c r="J10" t="str">
        <f>Main!E20</f>
        <v>Nelson Galindo</v>
      </c>
    </row>
    <row r="11" ht="20.1" customHeight="1">
      <c r="A11" t="str">
        <v>Área Mz.</v>
      </c>
      <c r="C11">
        <f>Main!E22</f>
        <v>2</v>
      </c>
      <c r="G11" t="str">
        <v>Fecha:</v>
      </c>
      <c r="J11">
        <f>Main!E23</f>
        <v>39965</v>
      </c>
      <c r="P11" t="str">
        <v>Calendario de Fertilización para Goteo 1 Vez Por Semana</v>
      </c>
    </row>
    <row r="12" ht="20.1" customHeight="1">
      <c r="A12" t="str">
        <v>Área Ha.</v>
      </c>
      <c r="C12">
        <f>Main!I22</f>
        <v>1.4</v>
      </c>
      <c r="G12" t="str">
        <v>Fecha de Cosecha:</v>
      </c>
      <c r="J12">
        <f>J11+Main!E24</f>
        <v>40055</v>
      </c>
    </row>
    <row r="13" ht="19.5" customHeight="1"/>
    <row r="14" ht="26.45" customHeight="1">
      <c r="A14" t="str">
        <v>Semana</v>
      </c>
      <c r="B14" t="str">
        <v>DDT</v>
      </c>
      <c r="C14" t="str">
        <v>FECHA</v>
      </c>
      <c r="E14" t="str">
        <f>Main!$D$42</f>
        <v>Urea</v>
      </c>
      <c r="G14" t="str">
        <f>Main!$D$32</f>
        <v>FofatoMonoPotasico</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39966</v>
      </c>
      <c r="E16" t="e">
        <f>IF((SUM(ReDiarioFert!C7:C13)*$C$12)&lt;=0,"0",((SUM(ReDiarioFert!C7:C13)*$C$12)))</f>
        <v>#DIV/0!</v>
      </c>
      <c r="G16" t="e">
        <f>IF((SUM(ReDiarioFert!E7:E13)*$C$12)&lt;=0,"0",((SUM(ReDiarioFert!E7:E13)*$C$12)))</f>
        <v>#DIV/0!</v>
      </c>
      <c r="I16" t="e">
        <f>IF((SUM(ReDiarioFert!G7:G13)*$C$12)&lt;=0,"0",((SUM(ReDiarioFert!G7:G13)*$C$12)))</f>
        <v>#DIV/0!</v>
      </c>
      <c r="K16">
        <f>IF((SUM(ReDiarioFert!I7:I13)*$C$12)&lt;=0,"0",((SUM(ReDiarioFert!I7:I13)*$C$12)))</f>
        <v>7.862244313077228</v>
      </c>
      <c r="M16">
        <f>IF((SUM(ReDiarioFert!K7:K13)*$C$12)&lt;=0,"0",((SUM(ReDiarioFert!K7:K13)*$C$12)))</f>
        <v>16.206123888888882</v>
      </c>
      <c r="O16">
        <f>IF((SUM(ReDiarioFert!M7:M13)*$C$12)&lt;=0,"0",((SUM(ReDiarioFert!M7:M13)*$C$12)))</f>
        <v>243.4511219512195</v>
      </c>
      <c r="Q16">
        <f>$C$12*Main!$D$63</f>
        <v>28</v>
      </c>
      <c r="S16" t="e">
        <f>((E16/100)*$G$36+(G16/100)*$G$37+(I16/100)*$G$38+(K16/100)*$G$39+(M16/100)*$G$40+(O16)*$G$41+(Q16*$G$42))</f>
        <v>#DIV/0!</v>
      </c>
    </row>
    <row r="17">
      <c r="A17">
        <v>2</v>
      </c>
      <c r="B17">
        <v>8</v>
      </c>
      <c r="C17">
        <f>$J$11+B17</f>
        <v>39973</v>
      </c>
      <c r="E17" t="e">
        <f>IF((SUM(ReDiarioFert!C14:C20)*$C$12)&lt;=0,"0",((SUM(ReDiarioFert!C14:C20)*$C$12)))</f>
        <v>#DIV/0!</v>
      </c>
      <c r="G17" t="e">
        <f>IF((SUM(ReDiarioFert!E14:E20)*$C$12)&lt;=0,"0",((SUM(ReDiarioFert!E14:E20)*$C$12)))</f>
        <v>#DIV/0!</v>
      </c>
      <c r="I17" t="e">
        <f>IF((SUM(ReDiarioFert!G14:G20)*$C$12)&lt;=0,"0",((SUM(ReDiarioFert!G14:G20)*$C$12)))</f>
        <v>#DIV/0!</v>
      </c>
      <c r="K17">
        <f>IF((SUM(ReDiarioFert!I14:I20)*$C$12)&lt;=0,"0",((SUM(ReDiarioFert!I14:I20)*$C$12)))</f>
        <v>7.862244313077228</v>
      </c>
      <c r="M17">
        <f>IF((SUM(ReDiarioFert!K14:K20)*$C$12)&lt;=0,"0",((SUM(ReDiarioFert!K14:K20)*$C$12)))</f>
        <v>16.206123888888882</v>
      </c>
      <c r="O17">
        <f>IF((SUM(ReDiarioFert!M14:M20)*$C$12)&lt;=0,"0",((SUM(ReDiarioFert!M14:M20)*$C$12)))</f>
        <v>354.74360975609756</v>
      </c>
      <c r="Q17">
        <f>$C$12*Main!$D$63</f>
        <v>28</v>
      </c>
      <c r="S17" t="e">
        <f>((E17/100)*$G$36+(G17/100)*$G$37+(I17/100)*$G$38+(K17/100)*$G$39+(M17/100)*$G$40+(O17)*$G$41+(Q17*$G$42))</f>
        <v>#DIV/0!</v>
      </c>
    </row>
    <row r="18">
      <c r="A18">
        <v>3</v>
      </c>
      <c r="B18">
        <v>15</v>
      </c>
      <c r="C18">
        <f>$J$11+B18</f>
        <v>39980</v>
      </c>
      <c r="E18" t="e">
        <f>IF((SUM(ReDiarioFert!C21:C27)*$C$12)&lt;=0,"0",((SUM(ReDiarioFert!C21:C27)*$C$12)))</f>
        <v>#DIV/0!</v>
      </c>
      <c r="G18" t="e">
        <f>IF((SUM(ReDiarioFert!E21:E27)*$C$12)&lt;=0,"0",((SUM(ReDiarioFert!E21:E27)*$C$12)))</f>
        <v>#DIV/0!</v>
      </c>
      <c r="I18" t="e">
        <f>IF((SUM(ReDiarioFert!G21:G27)*$C$12)&lt;=0,"0",((SUM(ReDiarioFert!G21:G27)*$C$12)))</f>
        <v>#DIV/0!</v>
      </c>
      <c r="K18">
        <f>IF((SUM(ReDiarioFert!I21:I27)*$C$12)&lt;=0,"0",((SUM(ReDiarioFert!I21:I27)*$C$12)))</f>
        <v>7.862244313077228</v>
      </c>
      <c r="M18">
        <f>IF((SUM(ReDiarioFert!K21:K27)*$C$12)&lt;=0,"0",((SUM(ReDiarioFert!K21:K27)*$C$12)))</f>
        <v>16.206123888888882</v>
      </c>
      <c r="O18">
        <f>IF((SUM(ReDiarioFert!M21:M27)*$C$12)&lt;=0,"0",((SUM(ReDiarioFert!M21:M27)*$C$12)))</f>
        <v>521.6802926829268</v>
      </c>
      <c r="Q18">
        <f>$C$12*Main!$D$63</f>
        <v>28</v>
      </c>
      <c r="S18" t="e">
        <f>((E18/100)*$G$36+(G18/100)*$G$37+(I18/100)*$G$38+(K18/100)*$G$39+(M18/100)*$G$40+(O18)*$G$41+(Q18*$G$42))</f>
        <v>#DIV/0!</v>
      </c>
    </row>
    <row r="19">
      <c r="A19">
        <v>4</v>
      </c>
      <c r="B19">
        <v>22</v>
      </c>
      <c r="C19">
        <f>$J$11+B19</f>
        <v>39987</v>
      </c>
      <c r="E19" t="e">
        <f>IF((SUM(ReDiarioFert!C28:C34)*$C$12)&lt;=0,"0",((SUM(ReDiarioFert!C28:C34)*$C$12)))</f>
        <v>#DIV/0!</v>
      </c>
      <c r="G19" t="e">
        <f>IF((SUM(ReDiarioFert!E28:E34)*$C$12)&lt;=0,"0",((SUM(ReDiarioFert!E28:E34)*$C$12)))</f>
        <v>#DIV/0!</v>
      </c>
      <c r="I19" t="e">
        <f>IF((SUM(ReDiarioFert!G28:G34)*$C$12)&lt;=0,"0",((SUM(ReDiarioFert!G28:G34)*$C$12)))</f>
        <v>#DIV/0!</v>
      </c>
      <c r="K19">
        <f>IF((SUM(ReDiarioFert!I28:I34)*$C$12)&lt;=0,"0",((SUM(ReDiarioFert!I28:I34)*$C$12)))</f>
        <v>7.862244313077228</v>
      </c>
      <c r="M19">
        <f>IF((SUM(ReDiarioFert!K28:K34)*$C$12)&lt;=0,"0",((SUM(ReDiarioFert!K28:K34)*$C$12)))</f>
        <v>16.206123888888882</v>
      </c>
      <c r="O19">
        <f>IF((SUM(ReDiarioFert!M28:M34)*$C$12)&lt;=0,"0",((SUM(ReDiarioFert!M28:M34)*$C$12)))</f>
        <v>584.2807804878049</v>
      </c>
      <c r="Q19">
        <f>$C$12*Main!$D$63</f>
        <v>28</v>
      </c>
      <c r="S19" t="e">
        <f>((E19/100)*$G$36+(G19/100)*$G$37+(I19/100)*$G$38+(K19/100)*$G$39+(M19/100)*$G$40+(O19)*$G$41+(Q19*$G$42))</f>
        <v>#DIV/0!</v>
      </c>
    </row>
    <row r="20">
      <c r="A20">
        <v>5</v>
      </c>
      <c r="B20">
        <v>29</v>
      </c>
      <c r="C20">
        <f>$J$11+B20</f>
        <v>39994</v>
      </c>
      <c r="E20" t="e">
        <f>IF((SUM(ReDiarioFert!C35:C41)*$C$12)&lt;=0,"0",((SUM(ReDiarioFert!C35:C41)*$C$12)))</f>
        <v>#DIV/0!</v>
      </c>
      <c r="G20" t="e">
        <f>IF((SUM(ReDiarioFert!E35:E41)*$C$12)&lt;=0,"0",((SUM(ReDiarioFert!E35:E41)*$C$12)))</f>
        <v>#DIV/0!</v>
      </c>
      <c r="I20" t="e">
        <f>IF((SUM(ReDiarioFert!G35:G41)*$C$12)&lt;=0,"0",((SUM(ReDiarioFert!G35:G41)*$C$12)))</f>
        <v>#DIV/0!</v>
      </c>
      <c r="K20">
        <f>IF((SUM(ReDiarioFert!I35:I41)*$C$12)&lt;=0,"0",((SUM(ReDiarioFert!I35:I41)*$C$12)))</f>
        <v>7.862244313077228</v>
      </c>
      <c r="M20">
        <f>IF((SUM(ReDiarioFert!K35:K41)*$C$12)&lt;=0,"0",((SUM(ReDiarioFert!K35:K41)*$C$12)))</f>
        <v>16.206123888888882</v>
      </c>
      <c r="O20">
        <f>IF((SUM(ReDiarioFert!M35:M41)*$C$12)&lt;=0,"0",((SUM(ReDiarioFert!M35:M41)*$C$12)))</f>
        <v>688.619024390244</v>
      </c>
      <c r="Q20">
        <f>$C$12*Main!$D$63</f>
        <v>28</v>
      </c>
      <c r="S20" t="e">
        <f>((E20/100)*$G$36+(G20/100)*$G$37+(I20/100)*$G$38+(K20/100)*$G$39+(M20/100)*$G$40+(O20)*$G$41+(Q20*$G$42))</f>
        <v>#DIV/0!</v>
      </c>
    </row>
    <row r="21">
      <c r="A21">
        <v>6</v>
      </c>
      <c r="B21">
        <v>36</v>
      </c>
      <c r="C21">
        <f>$J$11+B21</f>
        <v>40001</v>
      </c>
      <c r="E21" t="e">
        <f>IF((SUM(ReDiarioFert!C42:C48)*$C$12)&lt;=0,"0",((SUM(ReDiarioFert!C42:C48)*$C$12)))</f>
        <v>#DIV/0!</v>
      </c>
      <c r="G21" t="e">
        <f>IF((SUM(ReDiarioFert!E42:E48)*$C$12)&lt;=0,"0",((SUM(ReDiarioFert!E42:E48)*$C$12)))</f>
        <v>#DIV/0!</v>
      </c>
      <c r="I21" t="e">
        <f>IF((SUM(ReDiarioFert!G42:G48)*$C$12)&lt;=0,"0",((SUM(ReDiarioFert!G42:G48)*$C$12)))</f>
        <v>#DIV/0!</v>
      </c>
      <c r="K21">
        <f>IF((SUM(ReDiarioFert!I42:I48)*$C$12)&lt;=0,"0",((SUM(ReDiarioFert!I42:I48)*$C$12)))</f>
        <v>25.68333142271894</v>
      </c>
      <c r="M21">
        <f>IF((SUM(ReDiarioFert!K42:K48)*$C$12)&lt;=0,"0",((SUM(ReDiarioFert!K42:K48)*$C$12)))</f>
        <v>52.94000470370369</v>
      </c>
      <c r="O21">
        <f>IF((SUM(ReDiarioFert!M42:M48)*$C$12)&lt;=0,"0",((SUM(ReDiarioFert!M42:M48)*$C$12)))</f>
        <v>827.7366829268294</v>
      </c>
      <c r="Q21">
        <f>$C$12*Main!$D$63</f>
        <v>28</v>
      </c>
      <c r="S21" t="e">
        <f>((E21/100)*$G$36+(G21/100)*$G$37+(I21/100)*$G$38+(K21/100)*$G$39+(M21/100)*$G$40+(O21)*$G$41+(Q21*$G$42))</f>
        <v>#DIV/0!</v>
      </c>
    </row>
    <row r="22">
      <c r="A22">
        <v>7</v>
      </c>
      <c r="B22">
        <v>43</v>
      </c>
      <c r="C22">
        <f>$J$11+B22</f>
        <v>40008</v>
      </c>
      <c r="E22" t="e">
        <f>IF((SUM(ReDiarioFert!C49:C55)*$C$12)&lt;=0,"0",((SUM(ReDiarioFert!C49:C55)*$C$12)))</f>
        <v>#DIV/0!</v>
      </c>
      <c r="G22" t="e">
        <f>IF((SUM(ReDiarioFert!E49:E55)*$C$12)&lt;=0,"0",((SUM(ReDiarioFert!E49:E55)*$C$12)))</f>
        <v>#DIV/0!</v>
      </c>
      <c r="I22" t="e">
        <f>IF((SUM(ReDiarioFert!G49:G55)*$C$12)&lt;=0,"0",((SUM(ReDiarioFert!G49:G55)*$C$12)))</f>
        <v>#DIV/0!</v>
      </c>
      <c r="K22">
        <f>IF((SUM(ReDiarioFert!I49:I55)*$C$12)&lt;=0,"0",((SUM(ReDiarioFert!I49:I55)*$C$12)))</f>
        <v>70.23604919682323</v>
      </c>
      <c r="M22">
        <f>IF((SUM(ReDiarioFert!K49:K55)*$C$12)&lt;=0,"0",((SUM(ReDiarioFert!K49:K55)*$C$12)))</f>
        <v>144.77470674074073</v>
      </c>
      <c r="O22">
        <f>IF((SUM(ReDiarioFert!M49:M55)*$C$12)&lt;=0,"0",((SUM(ReDiarioFert!M49:M55)*$C$12)))</f>
        <v>911.2053658536587</v>
      </c>
      <c r="Q22">
        <f>$C$12*Main!$D$63</f>
        <v>28</v>
      </c>
      <c r="S22" t="e">
        <f>((E22/100)*$G$36+(G22/100)*$G$37+(I22/100)*$G$38+(K22/100)*$G$39+(M22/100)*$G$40+(O22)*$G$41+(Q22*$G$42))</f>
        <v>#DIV/0!</v>
      </c>
    </row>
    <row r="23">
      <c r="A23">
        <v>8</v>
      </c>
      <c r="B23">
        <v>50</v>
      </c>
      <c r="C23">
        <f>$J$11+B23</f>
        <v>40015</v>
      </c>
      <c r="E23" t="e">
        <f>IF((SUM(ReDiarioFert!C56:C62)*$C$12)&lt;=0,"0",((SUM(ReDiarioFert!C56:C62)*$C$12)))</f>
        <v>#DIV/0!</v>
      </c>
      <c r="G23" t="e">
        <f>IF((SUM(ReDiarioFert!E56:E62)*$C$12)&lt;=0,"0",((SUM(ReDiarioFert!E56:E62)*$C$12)))</f>
        <v>#DIV/0!</v>
      </c>
      <c r="I23" t="e">
        <f>IF((SUM(ReDiarioFert!G56:G62)*$C$12)&lt;=0,"0",((SUM(ReDiarioFert!G56:G62)*$C$12)))</f>
        <v>#DIV/0!</v>
      </c>
      <c r="K23">
        <f>IF((SUM(ReDiarioFert!I56:I62)*$C$12)&lt;=0,"0",((SUM(ReDiarioFert!I56:I62)*$C$12)))</f>
        <v>70.23604919682323</v>
      </c>
      <c r="M23">
        <f>IF((SUM(ReDiarioFert!K56:K62)*$C$12)&lt;=0,"0",((SUM(ReDiarioFert!K56:K62)*$C$12)))</f>
        <v>144.77470674074073</v>
      </c>
      <c r="O23">
        <f>IF((SUM(ReDiarioFert!M56:M62)*$C$12)&lt;=0,"0",((SUM(ReDiarioFert!M56:M62)*$C$12)))</f>
        <v>1119.8770731707316</v>
      </c>
      <c r="Q23">
        <f>$C$12*Main!$D$63</f>
        <v>28</v>
      </c>
      <c r="S23" t="e">
        <f>((E23/100)*$G$36+(G23/100)*$G$37+(I23/100)*$G$38+(K23/100)*$G$39+(M23/100)*$G$40+(O23)*$G$41+(Q23*$G$42))</f>
        <v>#DIV/0!</v>
      </c>
    </row>
    <row r="24">
      <c r="A24">
        <v>9</v>
      </c>
      <c r="B24">
        <v>57</v>
      </c>
      <c r="C24">
        <f>$J$11+B24</f>
        <v>40022</v>
      </c>
      <c r="E24" t="e">
        <f>IF((SUM(ReDiarioFert!C63:C69)*$C$12)&lt;=0,"0",((SUM(ReDiarioFert!C63:C69)*$C$12)))</f>
        <v>#DIV/0!</v>
      </c>
      <c r="G24" t="e">
        <f>IF((SUM(ReDiarioFert!E63:E69)*$C$12)&lt;=0,"0",((SUM(ReDiarioFert!E63:E69)*$C$12)))</f>
        <v>#DIV/0!</v>
      </c>
      <c r="I24" t="e">
        <f>IF((SUM(ReDiarioFert!G63:G69)*$C$12)&lt;=0,"0",((SUM(ReDiarioFert!G63:G69)*$C$12)))</f>
        <v>#DIV/0!</v>
      </c>
      <c r="K24">
        <f>IF((SUM(ReDiarioFert!I63:I69)*$C$12)&lt;=0,"0",((SUM(ReDiarioFert!I63:I69)*$C$12)))</f>
        <v>83.33402983267494</v>
      </c>
      <c r="M24">
        <f>IF((SUM(ReDiarioFert!K63:K69)*$C$12)&lt;=0,"0",((SUM(ReDiarioFert!K63:K69)*$C$12)))</f>
        <v>171.7730406039886</v>
      </c>
      <c r="O24">
        <f>IF((SUM(ReDiarioFert!M63:M69)*$C$12)&lt;=0,"0",((SUM(ReDiarioFert!M63:M69)*$C$12)))</f>
        <v>1161.6120975609756</v>
      </c>
      <c r="Q24">
        <f>$C$12*Main!$D$63</f>
        <v>28</v>
      </c>
      <c r="S24" t="e">
        <f>((E24/100)*$G$36+(G24/100)*$G$37+(I24/100)*$G$38+(K24/100)*$G$39+(M24/100)*$G$40+(O24)*$G$41+(Q24*$G$42))</f>
        <v>#DIV/0!</v>
      </c>
    </row>
    <row r="25">
      <c r="A25">
        <v>10</v>
      </c>
      <c r="B25">
        <v>64</v>
      </c>
      <c r="C25">
        <f>$J$11+B25</f>
        <v>40029</v>
      </c>
      <c r="E25" t="e">
        <f>IF((SUM(ReDiarioFert!C70:C76)*$C$12)&lt;=0,"0",((SUM(ReDiarioFert!C70:C76)*$C$12)))</f>
        <v>#DIV/0!</v>
      </c>
      <c r="G25" t="e">
        <f>IF((SUM(ReDiarioFert!E70:E76)*$C$12)&lt;=0,"0",((SUM(ReDiarioFert!E70:E76)*$C$12)))</f>
        <v>#DIV/0!</v>
      </c>
      <c r="I25" t="e">
        <f>IF((SUM(ReDiarioFert!G70:G76)*$C$12)&lt;=0,"0",((SUM(ReDiarioFert!G70:G76)*$C$12)))</f>
        <v>#DIV/0!</v>
      </c>
      <c r="K25">
        <f>IF((SUM(ReDiarioFert!I70:I76)*$C$12)&lt;=0,"0",((SUM(ReDiarioFert!I70:I76)*$C$12)))</f>
        <v>100.79800401381058</v>
      </c>
      <c r="M25">
        <f>IF((SUM(ReDiarioFert!K70:K76)*$C$12)&lt;=0,"0",((SUM(ReDiarioFert!K70:K76)*$C$12)))</f>
        <v>207.77081908831906</v>
      </c>
      <c r="O25">
        <f>IF((SUM(ReDiarioFert!M70:M76)*$C$12)&lt;=0,"0",((SUM(ReDiarioFert!M70:M76)*$C$12)))</f>
        <v>1412.0222439024392</v>
      </c>
      <c r="Q25">
        <f>$C$12*Main!$D$63</f>
        <v>28</v>
      </c>
      <c r="S25" t="e">
        <f>((E25/100)*$G$36+(G25/100)*$G$37+(I25/100)*$G$38+(K25/100)*$G$39+(M25/100)*$G$40+(O25)*$G$41+(Q25*$G$42))</f>
        <v>#DIV/0!</v>
      </c>
    </row>
    <row r="26">
      <c r="A26">
        <v>11</v>
      </c>
      <c r="B26">
        <v>71</v>
      </c>
      <c r="C26">
        <f>$J$11+B26</f>
        <v>40036</v>
      </c>
      <c r="E26" t="e">
        <f>IF((SUM(ReDiarioFert!C77:C83)*$C$12)&lt;=0,"0",((SUM(ReDiarioFert!C77:C83)*$C$12)))</f>
        <v>#DIV/0!</v>
      </c>
      <c r="G26" t="e">
        <f>IF((SUM(ReDiarioFert!E77:E83)*$C$12)&lt;=0,"0",((SUM(ReDiarioFert!E77:E83)*$C$12)))</f>
        <v>#DIV/0!</v>
      </c>
      <c r="I26" t="e">
        <f>IF((SUM(ReDiarioFert!G77:G83)*$C$12)&lt;=0,"0",((SUM(ReDiarioFert!G77:G83)*$C$12)))</f>
        <v>#DIV/0!</v>
      </c>
      <c r="K26">
        <f>IF((SUM(ReDiarioFert!I77:I83)*$C$12)&lt;=0,"0",((SUM(ReDiarioFert!I77:I83)*$C$12)))</f>
        <v>58.60272527235584</v>
      </c>
      <c r="M26">
        <f>IF((SUM(ReDiarioFert!K77:K83)*$C$12)&lt;=0,"0",((SUM(ReDiarioFert!K77:K83)*$C$12)))</f>
        <v>120.79541008547002</v>
      </c>
      <c r="O26">
        <f>IF((SUM(ReDiarioFert!M77:M83)*$C$12)&lt;=0,"0",((SUM(ReDiarioFert!M77:M83)*$C$12)))</f>
        <v>1412.0222439024392</v>
      </c>
      <c r="Q26">
        <f>$C$12*Main!$D$63</f>
        <v>28</v>
      </c>
      <c r="S26" t="e">
        <f>((E26/100)*$G$36+(G26/100)*$G$37+(I26/100)*$G$38+(K26/100)*$G$39+(M26/100)*$G$40+(O26)*$G$41+(Q26*$G$42))</f>
        <v>#DIV/0!</v>
      </c>
    </row>
    <row r="27">
      <c r="A27">
        <v>12</v>
      </c>
      <c r="B27">
        <v>78</v>
      </c>
      <c r="C27">
        <f>$J$11+B27</f>
        <v>40043</v>
      </c>
      <c r="E27" t="e">
        <f>IF((SUM(ReDiarioFert!C84:C90)*$C$12)&lt;=0,"0",((SUM(ReDiarioFert!C84:C90)*$C$12)))</f>
        <v>#DIV/0!</v>
      </c>
      <c r="G27" t="e">
        <f>IF((SUM(ReDiarioFert!E84:E90)*$C$12)&lt;=0,"0",((SUM(ReDiarioFert!E84:E90)*$C$12)))</f>
        <v>#DIV/0!</v>
      </c>
      <c r="I27" t="e">
        <f>IF((SUM(ReDiarioFert!G84:G90)*$C$12)&lt;=0,"0",((SUM(ReDiarioFert!G84:G90)*$C$12)))</f>
        <v>#DIV/0!</v>
      </c>
      <c r="K27">
        <f>IF((SUM(ReDiarioFert!I84:I90)*$C$12)&lt;=0,"0",((SUM(ReDiarioFert!I84:I90)*$C$12)))</f>
        <v>26.956266216264783</v>
      </c>
      <c r="M27">
        <f>IF((SUM(ReDiarioFert!K84:K90)*$C$12)&lt;=0,"0",((SUM(ReDiarioFert!K84:K90)*$C$12)))</f>
        <v>55.563853333333334</v>
      </c>
      <c r="O27">
        <f>IF((SUM(ReDiarioFert!M84:M90)*$C$12)&lt;=0,"0",((SUM(ReDiarioFert!M84:M90)*$C$12)))</f>
        <v>1578.9596097560973</v>
      </c>
      <c r="Q27">
        <f>$C$12*Main!$D$63</f>
        <v>28</v>
      </c>
      <c r="S27" t="e">
        <f>((E27/100)*$G$36+(G27/100)*$G$37+(I27/100)*$G$38+(K27/100)*$G$39+(M27/100)*$G$40+(O27)*$G$41+(Q27*$G$42))</f>
        <v>#DIV/0!</v>
      </c>
    </row>
    <row r="28" ht="18" customHeight="1">
      <c r="A28">
        <v>13</v>
      </c>
      <c r="B28">
        <v>85</v>
      </c>
      <c r="C28">
        <f>$J$11+B28</f>
        <v>40050</v>
      </c>
      <c r="E28" t="e">
        <f>IF((SUM(ReDiarioFert!C91:C97)*$C$12)&lt;=0,"0",((SUM(ReDiarioFert!C91:C97)*$C$12)))</f>
        <v>#DIV/0!</v>
      </c>
      <c r="G28" t="e">
        <f>IF((SUM(ReDiarioFert!E91:E97)*$C$12)&lt;=0,"0",((SUM(ReDiarioFert!E91:E97)*$C$12)))</f>
        <v>#DIV/0!</v>
      </c>
      <c r="I28" t="e">
        <f>IF((SUM(ReDiarioFert!G91:G97)*$C$12)&lt;=0,"0",((SUM(ReDiarioFert!G91:G97)*$C$12)))</f>
        <v>#DIV/0!</v>
      </c>
      <c r="K28">
        <f>IF((SUM(ReDiarioFert!I91:I97)*$C$12)&lt;=0,"0",((SUM(ReDiarioFert!I91:I97)*$C$12)))</f>
        <v>77.44578071657024</v>
      </c>
      <c r="M28">
        <f>IF((SUM(ReDiarioFert!K91:K97)*$C$12)&lt;=0,"0",((SUM(ReDiarioFert!K91:K97)*$C$12)))</f>
        <v>159.6358325925926</v>
      </c>
      <c r="O28">
        <f>IF((SUM(ReDiarioFert!M91:M97)*$C$12)&lt;=0,"0",((SUM(ReDiarioFert!M91:M97)*$C$12)))</f>
        <v>1704.1626341463416</v>
      </c>
      <c r="Q28">
        <f>$C$12*Main!$D$63</f>
        <v>28</v>
      </c>
      <c r="S28" t="e">
        <f>((E28/100)*$G$36+(G28/100)*$G$37+(I28/100)*$G$38+(K28/100)*$G$39+(M28/100)*$G$40+(O28)*$G$41+(Q28*$G$42))</f>
        <v>#DIV/0!</v>
      </c>
    </row>
    <row r="29">
      <c r="A29">
        <v>14</v>
      </c>
      <c r="B29">
        <v>92</v>
      </c>
      <c r="C29">
        <f>$J$11+B29</f>
        <v>40057</v>
      </c>
      <c r="E29" t="e">
        <f>IF((SUM(ReDiarioFert!C98:C104)*$C$12)&lt;=0,"0",((SUM(ReDiarioFert!C98:C104)*$C$12)))</f>
        <v>#DIV/0!</v>
      </c>
      <c r="G29" t="e">
        <f>IF((SUM(ReDiarioFert!E98:E104)*$C$12)&lt;=0,"0",((SUM(ReDiarioFert!E98:E104)*$C$12)))</f>
        <v>#DIV/0!</v>
      </c>
      <c r="I29" t="e">
        <f>IF((SUM(ReDiarioFert!G98:G104)*$C$12)&lt;=0,"0",((SUM(ReDiarioFert!G98:G104)*$C$12)))</f>
        <v>#DIV/0!</v>
      </c>
      <c r="K29">
        <f>IF((SUM(ReDiarioFert!I98:I104)*$C$12)&lt;=0,"0",((SUM(ReDiarioFert!I98:I104)*$C$12)))</f>
        <v>115.31291659179936</v>
      </c>
      <c r="M29">
        <f>IF((SUM(ReDiarioFert!K98:K104)*$C$12)&lt;=0,"0",((SUM(ReDiarioFert!K98:K104)*$C$12)))</f>
        <v>237.68981703703705</v>
      </c>
      <c r="O29">
        <f>IF((SUM(ReDiarioFert!M98:M104)*$C$12)&lt;=0,"0",((SUM(ReDiarioFert!M98:M104)*$C$12)))</f>
        <v>1704.1626341463416</v>
      </c>
      <c r="Q29">
        <f>$C$12*Main!$D$63</f>
        <v>28</v>
      </c>
      <c r="S29" t="e">
        <f>((E29/100)*$G$36+(G29/100)*$G$37+(I29/100)*$G$38+(K29/100)*$G$39+(M29/100)*$G$40+(O29)*$G$41+(Q29*$G$42))</f>
        <v>#DIV/0!</v>
      </c>
    </row>
    <row r="30">
      <c r="A30">
        <v>15</v>
      </c>
      <c r="B30">
        <v>99</v>
      </c>
      <c r="C30">
        <f>$J$11+B30</f>
        <v>40064</v>
      </c>
      <c r="E30" t="e">
        <f>IF((SUM(ReDiarioFert!C105:C111)*$C$12)&lt;=0,"0",((SUM(ReDiarioFert!C105:C111)*$C$12)))</f>
        <v>#DIV/0!</v>
      </c>
      <c r="G30" t="e">
        <f>IF((SUM(ReDiarioFert!E105:E111)*$C$12)&lt;=0,"0",((SUM(ReDiarioFert!E105:E111)*$C$12)))</f>
        <v>#DIV/0!</v>
      </c>
      <c r="I30" t="e">
        <f>IF((SUM(ReDiarioFert!G105:G111)*$C$12)&lt;=0,"0",((SUM(ReDiarioFert!G105:G111)*$C$12)))</f>
        <v>#DIV/0!</v>
      </c>
      <c r="K30">
        <f>IF((SUM(ReDiarioFert!I105:I111)*$C$12)&lt;=0,"0",((SUM(ReDiarioFert!I105:I111)*$C$12)))</f>
        <v>115.31291659179936</v>
      </c>
      <c r="M30">
        <f>IF((SUM(ReDiarioFert!K105:K111)*$C$12)&lt;=0,"0",((SUM(ReDiarioFert!K105:K111)*$C$12)))</f>
        <v>237.68981703703705</v>
      </c>
      <c r="O30">
        <f>IF((SUM(ReDiarioFert!M105:M111)*$C$12)&lt;=0,"0",((SUM(ReDiarioFert!M105:M111)*$C$12)))</f>
        <v>1704.1626341463416</v>
      </c>
      <c r="Q30">
        <f>$C$12*Main!$D$63</f>
        <v>28</v>
      </c>
      <c r="S30" t="e">
        <f>((E30/100)*$G$36+(G30/100)*$G$37+(I30/100)*$G$38+(K30/100)*$G$39+(M30/100)*$G$40+(O30)*$G$41+(Q30*$G$42))</f>
        <v>#DIV/0!</v>
      </c>
    </row>
    <row r="31">
      <c r="A31">
        <v>16</v>
      </c>
      <c r="B31">
        <v>106</v>
      </c>
      <c r="C31">
        <f>$J$11+B31</f>
        <v>40071</v>
      </c>
      <c r="E31" t="e">
        <f>IF((SUM(ReDiarioFert!C112:C118)*$C$12)&lt;=0,"0",((SUM(ReDiarioFert!C112:C118)*$C$12)))</f>
        <v>#DIV/0!</v>
      </c>
      <c r="G31" t="e">
        <f>IF((SUM(ReDiarioFert!E112:E118)*$C$12)&lt;=0,"0",((SUM(ReDiarioFert!E112:E118)*$C$12)))</f>
        <v>#DIV/0!</v>
      </c>
      <c r="I31" t="e">
        <f>IF((SUM(ReDiarioFert!G112:G118)*$C$12)&lt;=0,"0",((SUM(ReDiarioFert!G112:G118)*$C$12)))</f>
        <v>#DIV/0!</v>
      </c>
      <c r="K31" t="str">
        <f>IF((SUM(ReDiarioFert!I112:I118)*$C$12)&lt;=0,"0",((SUM(ReDiarioFert!I112:I118)*$C$12)))</f>
        <v>0</v>
      </c>
      <c r="M31" t="str">
        <f>IF((SUM(ReDiarioFert!K112:K118)*$C$12)&lt;=0,"0",((SUM(ReDiarioFert!K112:K118)*$C$12)))</f>
        <v>0</v>
      </c>
      <c r="O31">
        <f>IF((SUM(ReDiarioFert!M112:M118)*$C$12)&lt;=0,"0",((SUM(ReDiarioFert!M112:M118)*$C$12)))</f>
        <v>1704.1626341463416</v>
      </c>
      <c r="Q31">
        <f>$C$12*Main!$D$63</f>
        <v>28</v>
      </c>
      <c r="S31" t="e">
        <f>((E31/100)*$G$36+(G31/100)*$G$37+(I31/100)*$G$38+(K31/100)*$G$39+(M31/100)*$G$40+(O31)*$G$41+(Q31*$G$42))</f>
        <v>#DIV/0!</v>
      </c>
    </row>
    <row r="32">
      <c r="C32" t="str">
        <v>Total</v>
      </c>
      <c r="E32" t="e">
        <f>SUM(E16:E31)</f>
        <v>#DIV/0!</v>
      </c>
      <c r="G32" t="e">
        <f>SUM(G16:G31)</f>
        <v>#DIV/0!</v>
      </c>
      <c r="I32" t="e">
        <f>SUM(I16:I31)</f>
        <v>#DIV/0!</v>
      </c>
      <c r="K32">
        <f>SUM(K16:K31)</f>
        <v>783.2292906170267</v>
      </c>
      <c r="M32">
        <f>SUM(M16:M31)</f>
        <v>1614.4386274074075</v>
      </c>
      <c r="O32">
        <f>SUM(O16:O31)</f>
        <v>17632.860682926832</v>
      </c>
      <c r="Q32">
        <f>SUM(Q16:Q31)</f>
        <v>448</v>
      </c>
      <c r="S32" t="e">
        <f>SUM(S16:S31)</f>
        <v>#DIV/0!</v>
      </c>
    </row>
    <row r="33">
      <c r="D33" t="str">
        <v>OJO cualquier cultivo que no se termine la cosecha en el ultimo día del calendario solo seguir repitiendo la ultima aplicación de fertilizante.</v>
      </c>
    </row>
    <row r="34" ht="39.75" customHeight="1">
      <c r="B34" t="str">
        <v>Producto</v>
      </c>
      <c r="F34" t="str">
        <v>Lbs/Ha</v>
      </c>
      <c r="G34" t="str">
        <v>Costo por qq</v>
      </c>
    </row>
    <row r="35" ht="24" customHeight="1">
      <c r="G35" t="str">
        <f>Main!$E$25</f>
        <v>Lempiras</v>
      </c>
    </row>
    <row r="36">
      <c r="B36" t="str">
        <f>Main!D42</f>
        <v>Urea</v>
      </c>
      <c r="F36" t="e">
        <f>E32/C12</f>
        <v>#DIV/0!</v>
      </c>
      <c r="G36">
        <f>Main!D43</f>
        <v>650</v>
      </c>
    </row>
    <row r="37">
      <c r="B37" t="str">
        <f>Main!D32</f>
        <v>FofatoMonoPotasico</v>
      </c>
      <c r="F37" t="e">
        <f>G32/C12</f>
        <v>#DIV/0!</v>
      </c>
      <c r="G37">
        <f>Main!D33</f>
        <v>1700</v>
      </c>
    </row>
    <row r="38">
      <c r="B38" t="str">
        <f>Main!D37</f>
        <v>Kcl</v>
      </c>
      <c r="F38" t="e">
        <f>I32/C12</f>
        <v>#DIV/0!</v>
      </c>
      <c r="G38">
        <f>Main!D38</f>
        <v>580</v>
      </c>
    </row>
    <row r="39">
      <c r="B39" t="str">
        <f>Main!D47</f>
        <v>Sulfato de Magnesio</v>
      </c>
      <c r="F39">
        <f>K32/C12</f>
        <v>559.4494932978762</v>
      </c>
      <c r="G39">
        <f>Main!D48</f>
        <v>951</v>
      </c>
    </row>
    <row r="40">
      <c r="B40" t="str">
        <f>Main!D52</f>
        <v>Nitrato de Calcio</v>
      </c>
      <c r="F40">
        <f>M32/C12</f>
        <v>1153.1704481481484</v>
      </c>
      <c r="G40">
        <f>Main!D53</f>
        <v>1100</v>
      </c>
    </row>
    <row r="41">
      <c r="B41" t="str">
        <f>Main!D57</f>
        <v>Solubor</v>
      </c>
      <c r="F41">
        <f>O32/C12</f>
        <v>12594.90048780488</v>
      </c>
      <c r="G41">
        <f>Main!D58</f>
        <v>0.04</v>
      </c>
      <c r="I41" t="str">
        <v xml:space="preserve">Preparado y Autorizado Por </v>
      </c>
    </row>
    <row r="42" ht="18" customHeight="1">
      <c r="B42" t="str">
        <f>Main!D61</f>
        <v>Melaza</v>
      </c>
      <c r="F42">
        <f>Q32/C12</f>
        <v>320</v>
      </c>
      <c r="G42">
        <f>Main!D62</f>
        <v>2.8</v>
      </c>
      <c r="I42" t="str">
        <v>MSc Ricardo D. Lardizábal</v>
      </c>
    </row>
    <row r="43" ht="17.45" customHeight="1">
      <c r="B43" t="str">
        <v>NOTA: El Nitrato de Calcio se debe de diluir en un barril aparte para inyectarse al sistema</v>
      </c>
    </row>
    <row r="45">
      <c r="B45" t="str">
        <v>Abreviaciones usadas</v>
      </c>
    </row>
    <row r="46">
      <c r="B46" t="str">
        <v>Mz.-Manzanas, Ha-Hectáreas, Lbs-Libras, Lts-Litros y DDT-Días después de Trasplante</v>
      </c>
    </row>
  </sheetData>
  <mergeCells count="56">
    <mergeCell ref="P4:S6"/>
    <mergeCell ref="P8:S10"/>
    <mergeCell ref="P11:S13"/>
    <mergeCell ref="B46:S46"/>
    <mergeCell ref="P2:S3"/>
    <mergeCell ref="A8:M8"/>
    <mergeCell ref="C11:F11"/>
    <mergeCell ref="C10:F10"/>
    <mergeCell ref="G10:I10"/>
    <mergeCell ref="A9:B9"/>
    <mergeCell ref="G9:I9"/>
    <mergeCell ref="J11:M11"/>
    <mergeCell ref="B45:C45"/>
    <mergeCell ref="B37:E37"/>
    <mergeCell ref="B38:E38"/>
    <mergeCell ref="G11:I11"/>
    <mergeCell ref="J10:M10"/>
    <mergeCell ref="B42:E42"/>
    <mergeCell ref="B40:E40"/>
    <mergeCell ref="B43:I44"/>
    <mergeCell ref="G42:H42"/>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39:E39"/>
    <mergeCell ref="B34:E34"/>
    <mergeCell ref="B36:E36"/>
    <mergeCell ref="G34:H34"/>
    <mergeCell ref="G35:H35"/>
    <mergeCell ref="B41:E41"/>
    <mergeCell ref="G40:H40"/>
    <mergeCell ref="G41:H41"/>
    <mergeCell ref="G36:H36"/>
    <mergeCell ref="I41:Q41"/>
    <mergeCell ref="I42:Q42"/>
    <mergeCell ref="G12:I12"/>
    <mergeCell ref="J12:M12"/>
    <mergeCell ref="I39:Q39"/>
    <mergeCell ref="I38:Q38"/>
    <mergeCell ref="G38:H38"/>
    <mergeCell ref="G39:H39"/>
    <mergeCell ref="G37:H37"/>
    <mergeCell ref="G14:H14"/>
  </mergeCells>
  <pageMargins left="0.35" right="0.25" top="0.32" bottom="0.53" header="0.17" footer="0.16"/>
  <ignoredErrors>
    <ignoredError numberStoredAsText="1" sqref="A1:V54"/>
  </ignoredErrors>
  <legacyDrawing r:id="rId1"/>
</worksheet>
</file>

<file path=xl/worksheets/sheet8.xml><?xml version="1.0" encoding="utf-8"?>
<worksheet xmlns="http://schemas.openxmlformats.org/spreadsheetml/2006/main" xmlns:r="http://schemas.openxmlformats.org/officeDocument/2006/relationships">
  <dimension ref="A1:T39"/>
  <sheetViews>
    <sheetView workbookViewId="0" rightToLeft="0"/>
  </sheetViews>
  <sheetData>
    <row r="1" ht="32.65" customHeight="1"/>
    <row r="2" ht="32.65" customHeight="1"/>
    <row r="3" ht="32.45" customHeight="1"/>
    <row r="4">
      <c r="P4" t="str">
        <f>Main!$E$21</f>
        <v>Papa</v>
      </c>
    </row>
    <row r="5" ht="23.45" customHeight="1"/>
    <row r="6" ht="31.149999999999995" customHeight="1"/>
    <row r="7" ht="27" customHeight="1"/>
    <row r="8" ht="28.899999999999995" customHeight="1">
      <c r="A8" t="str">
        <f>Main!$C$13</f>
        <v>"Sin Fertilización Base"</v>
      </c>
      <c r="P8" t="str">
        <f>Main!$G$21</f>
        <v>Provento</v>
      </c>
    </row>
    <row r="9" ht="19.9" customHeight="1">
      <c r="A9" t="str">
        <v>Productor</v>
      </c>
      <c r="C9" t="str">
        <f>'1 Por Sem'!C9</f>
        <v>Pancho Pérez</v>
      </c>
      <c r="F9" t="str">
        <v>Parcela</v>
      </c>
      <c r="I9" t="str">
        <f>'1 Por Sem'!J9</f>
        <v>La Frondosa</v>
      </c>
    </row>
    <row r="10" ht="19.9" customHeight="1">
      <c r="A10" t="str">
        <v>Zona</v>
      </c>
      <c r="C10" t="str">
        <f>'1 Por Sem'!C10</f>
        <v>Cantarranas</v>
      </c>
      <c r="F10" t="str">
        <v>Técnico</v>
      </c>
      <c r="I10" t="str">
        <f>'1 Por Sem'!J10</f>
        <v>Nelson Galindo</v>
      </c>
    </row>
    <row r="11" ht="19.9" customHeight="1">
      <c r="A11" t="str">
        <v>Área Mz.</v>
      </c>
      <c r="C11">
        <f>'1 Por Sem'!C11</f>
        <v>2</v>
      </c>
      <c r="F11" t="str">
        <v>Fecha</v>
      </c>
      <c r="I11">
        <f>'1 Por Sem'!J11</f>
        <v>39965</v>
      </c>
      <c r="P11" t="str">
        <v>Calendario de Fertilización Cada 14 Días o a Mano</v>
      </c>
    </row>
    <row r="12" ht="19.9" customHeight="1">
      <c r="A12" t="str">
        <v>Área Ha.</v>
      </c>
      <c r="C12">
        <f>Main!I22</f>
        <v>1.4</v>
      </c>
      <c r="F12" t="str">
        <v>Fecha  de Cosecha</v>
      </c>
      <c r="I12">
        <f>'1 Por Sem'!J12</f>
        <v>40055</v>
      </c>
    </row>
    <row r="14" ht="28.899999999999995" customHeight="1">
      <c r="A14" t="str">
        <v>Semana</v>
      </c>
      <c r="B14" t="str">
        <v>DDT</v>
      </c>
      <c r="C14" t="str">
        <v>FECHA</v>
      </c>
      <c r="E14" t="str">
        <f>Main!$D$42</f>
        <v>Urea</v>
      </c>
      <c r="G14" t="str">
        <f>Main!$D$32</f>
        <v>FofatoMonoPotasico</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39966</v>
      </c>
      <c r="E16" t="e">
        <f>IF((SUM(ReDiarioFert!C7:C20)*$C$12)&lt;=0,"0",((SUM(ReDiarioFert!C7:C20)*$C$12)))</f>
        <v>#DIV/0!</v>
      </c>
      <c r="G16" t="e">
        <f>IF((SUM(ReDiarioFert!E7:E20)*$C$12)&lt;=0,"0",((SUM(ReDiarioFert!E7:E20)*$C$12)))</f>
        <v>#DIV/0!</v>
      </c>
      <c r="I16" t="e">
        <f>IF((SUM(ReDiarioFert!G7:G20)*$C$12)&lt;=0,"0",((SUM(ReDiarioFert!G7:G20)*$C$12)))</f>
        <v>#DIV/0!</v>
      </c>
      <c r="K16">
        <f>IF((SUM(ReDiarioFert!I7:I20)*$C$12)&lt;=0,"0",((SUM(ReDiarioFert!I7:I20)*$C$12)))</f>
        <v>15.724488626154457</v>
      </c>
      <c r="M16">
        <f>IF((SUM(ReDiarioFert!K7:K20)*$C$12)&lt;=0,"0",((SUM(ReDiarioFert!K7:K20)*$C$12)))</f>
        <v>32.41224777777776</v>
      </c>
      <c r="O16">
        <f>IF((SUM(ReDiarioFert!M7:M20)*$C$12)&lt;=0,"0",((SUM(ReDiarioFert!M7:M20)*$C$12)))</f>
        <v>598.1947317073171</v>
      </c>
      <c r="Q16">
        <f>$C$12*Main!$D$63</f>
        <v>28</v>
      </c>
      <c r="S16" t="e">
        <f>((E16/100)*$F$28+(G16/100)*$F$29+(I16/100)*$F$30+(K16/100)*$F$31+(M16/100)*$F$32+(O16)*$F$33+(Q16*$F$34))</f>
        <v>#DIV/0!</v>
      </c>
    </row>
    <row r="17">
      <c r="A17">
        <v>4</v>
      </c>
      <c r="B17">
        <v>15</v>
      </c>
      <c r="C17">
        <f>$I$11+B17</f>
        <v>39980</v>
      </c>
      <c r="E17" t="e">
        <f>IF((SUM(ReDiarioFert!C21:C34)*$C$12)&lt;=0,"0",((SUM(ReDiarioFert!C21:C34)*$C$12)))</f>
        <v>#DIV/0!</v>
      </c>
      <c r="G17" t="e">
        <f>IF((SUM(ReDiarioFert!E21:E34)*$C$12)&lt;=0,"0",((SUM(ReDiarioFert!E21:E34)*$C$12)))</f>
        <v>#DIV/0!</v>
      </c>
      <c r="I17" t="e">
        <f>IF((SUM(ReDiarioFert!G21:G34)*$C$12)&lt;=0,"0",((SUM(ReDiarioFert!G21:G34)*$C$12)))</f>
        <v>#DIV/0!</v>
      </c>
      <c r="K17">
        <f>IF((SUM(ReDiarioFert!I21:I34)*$C$12)&lt;=0,"0",((SUM(ReDiarioFert!I21:I34)*$C$12)))</f>
        <v>15.724488626154457</v>
      </c>
      <c r="M17">
        <f>IF((SUM(ReDiarioFert!K21:K34)*$C$12)&lt;=0,"0",((SUM(ReDiarioFert!K21:K34)*$C$12)))</f>
        <v>32.41224777777776</v>
      </c>
      <c r="O17">
        <f>IF((SUM(ReDiarioFert!M21:M34)*$C$12)&lt;=0,"0",((SUM(ReDiarioFert!M21:M34)*$C$12)))</f>
        <v>1105.9610731707317</v>
      </c>
      <c r="Q17">
        <f>$C$12*Main!$D$63</f>
        <v>28</v>
      </c>
      <c r="S17" t="e">
        <f>((E17/100)*$F$28+(G17/100)*$F$29+(I17/100)*$F$30+(K17/100)*$F$31+(M17/100)*$F$32+(O17)*$F$33+(Q17*$F$34))</f>
        <v>#DIV/0!</v>
      </c>
    </row>
    <row r="18">
      <c r="A18">
        <v>6</v>
      </c>
      <c r="B18">
        <v>29</v>
      </c>
      <c r="C18">
        <f>$I$11+B18</f>
        <v>39994</v>
      </c>
      <c r="E18" t="e">
        <f>IF((SUM(ReDiarioFert!C35:C48)*$C$12)&lt;=0,"0",((SUM(ReDiarioFert!C35:C48)*$C$12)))</f>
        <v>#DIV/0!</v>
      </c>
      <c r="G18" t="e">
        <f>IF((SUM(ReDiarioFert!E35:E48)*$C$12)&lt;=0,"0",((SUM(ReDiarioFert!E35:E48)*$C$12)))</f>
        <v>#DIV/0!</v>
      </c>
      <c r="I18" t="e">
        <f>IF((SUM(ReDiarioFert!G35:G48)*$C$12)&lt;=0,"0",((SUM(ReDiarioFert!G35:G48)*$C$12)))</f>
        <v>#DIV/0!</v>
      </c>
      <c r="K18">
        <f>IF((SUM(ReDiarioFert!I35:I48)*$C$12)&lt;=0,"0",((SUM(ReDiarioFert!I35:I48)*$C$12)))</f>
        <v>33.54557573579618</v>
      </c>
      <c r="M18">
        <f>IF((SUM(ReDiarioFert!K35:K48)*$C$12)&lt;=0,"0",((SUM(ReDiarioFert!K35:K48)*$C$12)))</f>
        <v>69.14612859259258</v>
      </c>
      <c r="O18">
        <f>IF((SUM(ReDiarioFert!M35:M48)*$C$12)&lt;=0,"0",((SUM(ReDiarioFert!M35:M48)*$C$12)))</f>
        <v>1516.3557073170737</v>
      </c>
      <c r="Q18">
        <f>$C$12*Main!$D$63</f>
        <v>28</v>
      </c>
      <c r="S18" t="e">
        <f>((E18/100)*$F$28+(G18/100)*$F$29+(I18/100)*$F$30+(K18/100)*$F$31+(M18/100)*$F$32+(O18)*$F$33+(Q18*$F$34))</f>
        <v>#DIV/0!</v>
      </c>
    </row>
    <row r="19">
      <c r="A19">
        <v>8</v>
      </c>
      <c r="B19">
        <v>43</v>
      </c>
      <c r="C19">
        <f>$I$11+B19</f>
        <v>40008</v>
      </c>
      <c r="E19" t="e">
        <f>IF((SUM(ReDiarioFert!C49:C62)*$C$12)&lt;=0,"0",((SUM(ReDiarioFert!C49:C62)*$C$12)))</f>
        <v>#DIV/0!</v>
      </c>
      <c r="G19" t="e">
        <f>IF((SUM(ReDiarioFert!E49:E62)*$C$12)&lt;=0,"0",((SUM(ReDiarioFert!E49:E62)*$C$12)))</f>
        <v>#DIV/0!</v>
      </c>
      <c r="I19" t="e">
        <f>IF((SUM(ReDiarioFert!G49:G62)*$C$12)&lt;=0,"0",((SUM(ReDiarioFert!G49:G62)*$C$12)))</f>
        <v>#DIV/0!</v>
      </c>
      <c r="K19">
        <f>IF((SUM(ReDiarioFert!I49:I62)*$C$12)&lt;=0,"0",((SUM(ReDiarioFert!I49:I62)*$C$12)))</f>
        <v>140.47209839364646</v>
      </c>
      <c r="M19">
        <f>IF((SUM(ReDiarioFert!K49:K62)*$C$12)&lt;=0,"0",((SUM(ReDiarioFert!K49:K62)*$C$12)))</f>
        <v>289.54941348148145</v>
      </c>
      <c r="O19">
        <f>IF((SUM(ReDiarioFert!M49:M62)*$C$12)&lt;=0,"0",((SUM(ReDiarioFert!M49:M62)*$C$12)))</f>
        <v>2031.0824390243902</v>
      </c>
      <c r="Q19">
        <f>$C$12*Main!$D$63</f>
        <v>28</v>
      </c>
      <c r="S19" t="e">
        <f>((E19/100)*$F$28+(G19/100)*$F$29+(I19/100)*$F$30+(K19/100)*$F$31+(M19/100)*$F$32+(O19)*$F$33+(Q19*$F$34))</f>
        <v>#DIV/0!</v>
      </c>
    </row>
    <row r="20">
      <c r="A20">
        <v>10</v>
      </c>
      <c r="B20">
        <v>57</v>
      </c>
      <c r="C20">
        <f>$I$11+B20</f>
        <v>40022</v>
      </c>
      <c r="E20" t="e">
        <f>IF((SUM(ReDiarioFert!C63:C76)*$C$12)&lt;=0,"0",((SUM(ReDiarioFert!C63:C76)*$C$12)))</f>
        <v>#DIV/0!</v>
      </c>
      <c r="G20" t="e">
        <f>IF((SUM(ReDiarioFert!E63:E76)*$C$12)&lt;=0,"0",((SUM(ReDiarioFert!E63:E76)*$C$12)))</f>
        <v>#DIV/0!</v>
      </c>
      <c r="I20" t="e">
        <f>IF((SUM(ReDiarioFert!G63:G76)*$C$12)&lt;=0,"0",((SUM(ReDiarioFert!G63:G76)*$C$12)))</f>
        <v>#DIV/0!</v>
      </c>
      <c r="K20">
        <f>IF((SUM(ReDiarioFert!I63:I76)*$C$12)&lt;=0,"0",((SUM(ReDiarioFert!I63:I76)*$C$12)))</f>
        <v>184.1320338464855</v>
      </c>
      <c r="M20">
        <f>IF((SUM(ReDiarioFert!K63:K76)*$C$12)&lt;=0,"0",((SUM(ReDiarioFert!K63:K76)*$C$12)))</f>
        <v>379.54385969230765</v>
      </c>
      <c r="O20">
        <f>IF((SUM(ReDiarioFert!M63:M76)*$C$12)&lt;=0,"0",((SUM(ReDiarioFert!M63:M76)*$C$12)))</f>
        <v>2573.634341463414</v>
      </c>
      <c r="Q20">
        <f>$C$12*Main!$D$63</f>
        <v>28</v>
      </c>
      <c r="S20" t="e">
        <f>((E20/100)*$F$28+(G20/100)*$F$29+(I20/100)*$F$30+(K20/100)*$F$31+(M20/100)*$F$32+(O20)*$F$33+(Q20*$F$34))</f>
        <v>#DIV/0!</v>
      </c>
    </row>
    <row r="21">
      <c r="A21">
        <v>12</v>
      </c>
      <c r="B21">
        <v>71</v>
      </c>
      <c r="C21">
        <f>$I$11+B21</f>
        <v>40036</v>
      </c>
      <c r="E21" t="e">
        <f>IF((SUM(ReDiarioFert!C77:C90)*$C$12)&lt;=0,"0",((SUM(ReDiarioFert!C77:C90)*$C$12)))</f>
        <v>#DIV/0!</v>
      </c>
      <c r="G21" t="e">
        <f>IF((SUM(ReDiarioFert!E77:E90)*$C$12)&lt;=0,"0",((SUM(ReDiarioFert!E77:E90)*$C$12)))</f>
        <v>#DIV/0!</v>
      </c>
      <c r="I21" t="e">
        <f>IF((SUM(ReDiarioFert!G77:G90)*$C$12)&lt;=0,"0",((SUM(ReDiarioFert!G77:G90)*$C$12)))</f>
        <v>#DIV/0!</v>
      </c>
      <c r="K21">
        <f>IF((SUM(ReDiarioFert!I77:I90)*$C$12)&lt;=0,"0",((SUM(ReDiarioFert!I77:I90)*$C$12)))</f>
        <v>85.55899148862063</v>
      </c>
      <c r="M21">
        <f>IF((SUM(ReDiarioFert!K77:K90)*$C$12)&lt;=0,"0",((SUM(ReDiarioFert!K77:K90)*$C$12)))</f>
        <v>176.3592634188033</v>
      </c>
      <c r="O21">
        <f>IF((SUM(ReDiarioFert!M77:M90)*$C$12)&lt;=0,"0",((SUM(ReDiarioFert!M77:M90)*$C$12)))</f>
        <v>2990.9818536585367</v>
      </c>
      <c r="Q21">
        <f>$C$12*Main!$D$63</f>
        <v>28</v>
      </c>
      <c r="S21" t="e">
        <f>((E21/100)*$F$28+(G21/100)*$F$29+(I21/100)*$F$30+(K21/100)*$F$31+(M21/100)*$F$32+(O21)*$F$33+(Q21*$F$34))</f>
        <v>#DIV/0!</v>
      </c>
    </row>
    <row r="22">
      <c r="A22">
        <v>14</v>
      </c>
      <c r="B22">
        <v>85</v>
      </c>
      <c r="C22">
        <f>$I$11+B22</f>
        <v>40050</v>
      </c>
      <c r="E22" t="e">
        <f>IF((SUM(ReDiarioFert!C91:C104)*$C$12)&lt;=0,"0",((SUM(ReDiarioFert!C91:C104)*$C$12)))</f>
        <v>#DIV/0!</v>
      </c>
      <c r="G22" t="e">
        <f>IF((SUM(ReDiarioFert!E91:E104)*$C$12)&lt;=0,"0",((SUM(ReDiarioFert!E91:E104)*$C$12)))</f>
        <v>#DIV/0!</v>
      </c>
      <c r="I22" t="e">
        <f>IF((SUM(ReDiarioFert!G91:G104)*$C$12)&lt;=0,"0",((SUM(ReDiarioFert!G91:G104)*$C$12)))</f>
        <v>#DIV/0!</v>
      </c>
      <c r="K22">
        <f>IF((SUM(ReDiarioFert!I91:I104)*$C$12)&lt;=0,"0",((SUM(ReDiarioFert!I91:I104)*$C$12)))</f>
        <v>192.75869730836965</v>
      </c>
      <c r="M22">
        <f>IF((SUM(ReDiarioFert!K91:K104)*$C$12)&lt;=0,"0",((SUM(ReDiarioFert!K91:K104)*$C$12)))</f>
        <v>397.32564962962965</v>
      </c>
      <c r="O22">
        <f>IF((SUM(ReDiarioFert!M91:M104)*$C$12)&lt;=0,"0",((SUM(ReDiarioFert!M91:M104)*$C$12)))</f>
        <v>3408.325268292684</v>
      </c>
      <c r="Q22">
        <f>$C$12*Main!$D$63</f>
        <v>28</v>
      </c>
      <c r="S22" t="e">
        <f>((E22/100)*$F$28+(G22/100)*$F$29+(I22/100)*$F$30+(K22/100)*$F$31+(M22/100)*$F$32+(O22)*$F$33+(Q22*$F$34))</f>
        <v>#DIV/0!</v>
      </c>
    </row>
    <row r="23">
      <c r="A23">
        <v>16</v>
      </c>
      <c r="B23">
        <v>99</v>
      </c>
      <c r="C23">
        <f>$I$11+B23</f>
        <v>40064</v>
      </c>
      <c r="E23" t="e">
        <f>IF((SUM(ReDiarioFert!C105:C118)*$C$12)&lt;=0,"0",((SUM(ReDiarioFert!C105:C118)*$C$12)))</f>
        <v>#DIV/0!</v>
      </c>
      <c r="G23" t="e">
        <f>IF((SUM(ReDiarioFert!E105:E118)*$C$12)&lt;=0,"0",((SUM(ReDiarioFert!E105:E118)*$C$12)))</f>
        <v>#DIV/0!</v>
      </c>
      <c r="I23" t="e">
        <f>IF((SUM(ReDiarioFert!G105:G118)*$C$12)&lt;=0,"0",((SUM(ReDiarioFert!G105:G118)*$C$12)))</f>
        <v>#DIV/0!</v>
      </c>
      <c r="K23">
        <f>IF((SUM(ReDiarioFert!I105:I118)*$C$12)&lt;=0,"0",((SUM(ReDiarioFert!I105:I118)*$C$12)))</f>
        <v>115.31291659179936</v>
      </c>
      <c r="M23">
        <f>IF((SUM(ReDiarioFert!K105:K118)*$C$12)&lt;=0,"0",((SUM(ReDiarioFert!K105:K118)*$C$12)))</f>
        <v>237.68981703703705</v>
      </c>
      <c r="O23">
        <f>IF((SUM(ReDiarioFert!M105:M118)*$C$12)&lt;=0,"0",((SUM(ReDiarioFert!M105:M118)*$C$12)))</f>
        <v>3408.325268292684</v>
      </c>
      <c r="Q23">
        <f>$C$12*Main!$D$63</f>
        <v>28</v>
      </c>
      <c r="S23" t="e">
        <f>((E23/100)*$F$28+(G23/100)*$F$29+(I23/100)*$F$30+(K23/100)*$F$31+(M23/100)*$F$32+(O23)*$F$33+(Q23*$F$34))</f>
        <v>#DIV/0!</v>
      </c>
    </row>
    <row r="24">
      <c r="C24" t="str">
        <v>Total</v>
      </c>
      <c r="E24" t="e">
        <f>SUM(E16:E23)</f>
        <v>#DIV/0!</v>
      </c>
      <c r="G24" t="e">
        <f>SUM(G16:G23)</f>
        <v>#DIV/0!</v>
      </c>
      <c r="I24" t="e">
        <f>SUM(I16:I23)</f>
        <v>#DIV/0!</v>
      </c>
      <c r="K24">
        <f>SUM(K16:K23)</f>
        <v>783.2292906170267</v>
      </c>
      <c r="M24">
        <f>SUM(M16:M23)</f>
        <v>1614.4386274074072</v>
      </c>
      <c r="O24">
        <f>SUM(O16:O23)</f>
        <v>17632.860682926832</v>
      </c>
      <c r="Q24">
        <f>SUM(Q16:Q23)</f>
        <v>224</v>
      </c>
      <c r="S24" t="e">
        <f>SUM(S16:S23)</f>
        <v>#DIV/0!</v>
      </c>
    </row>
    <row r="25">
      <c r="D25" t="str">
        <v>OJO cualquier cultivo que no se termine la cosecha en el ultimo día del calendario solo seguir repitiendo la ultima aplicación de fertilizante.</v>
      </c>
    </row>
    <row r="26" ht="33.75" customHeight="1">
      <c r="B26" t="str">
        <v>Producto</v>
      </c>
      <c r="E26" t="str">
        <v>Lbs/Ha</v>
      </c>
      <c r="F26" t="str">
        <v>Costo por qq</v>
      </c>
    </row>
    <row r="27" ht="24" customHeight="1">
      <c r="F27" t="str">
        <f>Main!$E$25</f>
        <v>Lempiras</v>
      </c>
    </row>
    <row r="28">
      <c r="B28" t="str">
        <f>Main!D42</f>
        <v>Urea</v>
      </c>
      <c r="E28" t="e">
        <f>E24/$C$12</f>
        <v>#DIV/0!</v>
      </c>
      <c r="F28">
        <f>Main!D43</f>
        <v>650</v>
      </c>
    </row>
    <row r="29">
      <c r="B29" t="str">
        <f>Main!D32</f>
        <v>FofatoMonoPotasico</v>
      </c>
      <c r="E29" t="e">
        <f>G24/$C$12</f>
        <v>#DIV/0!</v>
      </c>
      <c r="F29">
        <f>Main!D33</f>
        <v>1700</v>
      </c>
    </row>
    <row r="30">
      <c r="B30" t="str">
        <f>Main!D37</f>
        <v>Kcl</v>
      </c>
      <c r="E30" t="e">
        <f>I24/$C$12</f>
        <v>#DIV/0!</v>
      </c>
      <c r="F30">
        <f>Main!D38</f>
        <v>580</v>
      </c>
    </row>
    <row r="31">
      <c r="B31" t="str">
        <f>Main!D47</f>
        <v>Sulfato de Magnesio</v>
      </c>
      <c r="E31">
        <f>K24/$C$12</f>
        <v>559.4494932978762</v>
      </c>
      <c r="F31">
        <f>Main!D48</f>
        <v>951</v>
      </c>
    </row>
    <row r="32">
      <c r="B32" t="str">
        <f>Main!D52</f>
        <v>Nitrato de Calcio</v>
      </c>
      <c r="E32">
        <f>M24/$C$12</f>
        <v>1153.1704481481481</v>
      </c>
      <c r="F32">
        <f>Main!D53</f>
        <v>1100</v>
      </c>
    </row>
    <row r="33">
      <c r="B33" t="str">
        <f>Main!D57</f>
        <v>Solubor</v>
      </c>
      <c r="E33">
        <f>O24/$C$12</f>
        <v>12594.90048780488</v>
      </c>
      <c r="F33">
        <f>Main!D58</f>
        <v>0.04</v>
      </c>
      <c r="I33" t="str">
        <v xml:space="preserve">Preparado y Autorizado Por </v>
      </c>
    </row>
    <row r="34">
      <c r="B34" t="str">
        <f>Main!D61</f>
        <v>Melaza</v>
      </c>
      <c r="E34">
        <f>Q24/$C$12</f>
        <v>160</v>
      </c>
      <c r="F34">
        <f>Main!D62</f>
        <v>2.8</v>
      </c>
      <c r="I34" t="str">
        <v>MSc Ricardo D. Lardizábal</v>
      </c>
    </row>
    <row r="35">
      <c r="B35" t="str">
        <v>NOTA: El Nitrato de Calcio se debe de diluir en un barril aparte para inyectarse al sistema</v>
      </c>
    </row>
    <row r="36" ht="18.6" customHeight="1"/>
    <row r="38">
      <c r="B38" t="str">
        <v>Abreviaciones usadas</v>
      </c>
    </row>
    <row r="39">
      <c r="B39" t="str">
        <v>Mz.-Manzanas, Ha-Hectáreas, Lbs-Libras, Lts-Litros y DDT-Días después de Trasplante</v>
      </c>
    </row>
  </sheetData>
  <mergeCells count="53">
    <mergeCell ref="I10:M10"/>
    <mergeCell ref="B14:B15"/>
    <mergeCell ref="G14:H14"/>
    <mergeCell ref="A10:B10"/>
    <mergeCell ref="C11:E11"/>
    <mergeCell ref="C10:E10"/>
    <mergeCell ref="S14:S15"/>
    <mergeCell ref="Q14:R14"/>
    <mergeCell ref="O14:P14"/>
    <mergeCell ref="P4:S6"/>
    <mergeCell ref="P8:S10"/>
    <mergeCell ref="P11:S13"/>
    <mergeCell ref="P2:S3"/>
    <mergeCell ref="A8:M8"/>
    <mergeCell ref="A7:K7"/>
    <mergeCell ref="A9:B9"/>
    <mergeCell ref="C9:E9"/>
    <mergeCell ref="F9:H9"/>
    <mergeCell ref="I9:M9"/>
    <mergeCell ref="B39:Q39"/>
    <mergeCell ref="B38:C38"/>
    <mergeCell ref="B35:I36"/>
    <mergeCell ref="F27:G27"/>
    <mergeCell ref="F28:G28"/>
    <mergeCell ref="B28:D28"/>
    <mergeCell ref="B32:D32"/>
    <mergeCell ref="B33:D33"/>
    <mergeCell ref="B34:D34"/>
    <mergeCell ref="F31:G31"/>
    <mergeCell ref="F32:G32"/>
    <mergeCell ref="F33:G33"/>
    <mergeCell ref="F34:G34"/>
    <mergeCell ref="F29:G29"/>
    <mergeCell ref="I11:M11"/>
    <mergeCell ref="I12:M12"/>
    <mergeCell ref="I14:J14"/>
    <mergeCell ref="K14:L14"/>
    <mergeCell ref="M14:N14"/>
    <mergeCell ref="F11:H11"/>
    <mergeCell ref="F30:G30"/>
    <mergeCell ref="C12:E12"/>
    <mergeCell ref="B26:D26"/>
    <mergeCell ref="B29:D29"/>
    <mergeCell ref="B30:D30"/>
    <mergeCell ref="B31:D31"/>
    <mergeCell ref="F26:G26"/>
    <mergeCell ref="A14:A15"/>
    <mergeCell ref="C14:D14"/>
    <mergeCell ref="E14:F14"/>
    <mergeCell ref="F10:H10"/>
    <mergeCell ref="F12:H12"/>
    <mergeCell ref="A12:B12"/>
    <mergeCell ref="A11:B11"/>
  </mergeCells>
  <pageMargins left="0.81" right="0.47" top="0.26" bottom="0.37" header="0.18" footer="0.16"/>
  <ignoredErrors>
    <ignoredError numberStoredAsText="1" sqref="A1:T39"/>
  </ignoredErrors>
  <legacyDrawing r:id="rId1"/>
</worksheet>
</file>

<file path=xl/worksheets/sheet9.xml><?xml version="1.0" encoding="utf-8"?>
<worksheet xmlns="http://schemas.openxmlformats.org/spreadsheetml/2006/main" xmlns:r="http://schemas.openxmlformats.org/officeDocument/2006/relationships">
  <dimension ref="A1:Q120"/>
  <sheetViews>
    <sheetView workbookViewId="0" rightToLeft="0"/>
  </sheetViews>
  <sheetData>
    <row r="1">
      <c r="A1" t="str">
        <v>Requerimientos Diario para:</v>
      </c>
      <c r="E1" t="str">
        <f>Main!E21</f>
        <v>Papa</v>
      </c>
    </row>
    <row r="4" ht="30" customHeight="1">
      <c r="A4" t="str">
        <v>Semana</v>
      </c>
      <c r="B4" t="str">
        <v>N</v>
      </c>
      <c r="C4" t="str">
        <f>Main!D42</f>
        <v>Urea</v>
      </c>
      <c r="D4" t="str">
        <v>P2O5</v>
      </c>
      <c r="E4" t="str">
        <f>Main!D32</f>
        <v>FofatoMonoPotasico</v>
      </c>
      <c r="F4" t="str">
        <v>K2O</v>
      </c>
      <c r="G4" t="str">
        <f>Main!D37</f>
        <v>Kcl</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52</v>
      </c>
      <c r="G5">
        <f>Main!G36</f>
        <v>60</v>
      </c>
      <c r="I5">
        <f>Main!I46</f>
        <v>16</v>
      </c>
      <c r="K5">
        <f>Main!H51</f>
        <v>27</v>
      </c>
      <c r="M5">
        <f>Main!K56</f>
        <v>20.5</v>
      </c>
    </row>
    <row r="6">
      <c r="C6">
        <f>Main!E41/100</f>
        <v>0.46</v>
      </c>
      <c r="E6">
        <f>(Main!F31/100)/Main!F72</f>
        <v>0.52</v>
      </c>
      <c r="G6">
        <f>(Main!G36/100)/Main!F73</f>
        <v>0.6</v>
      </c>
      <c r="I6">
        <f>(I5/100)/Main!F74</f>
        <v>0.16</v>
      </c>
      <c r="K6">
        <f>(K5/100)/Main!F75</f>
        <v>0.27</v>
      </c>
      <c r="M6">
        <f>M5/100</f>
        <v>0.205</v>
      </c>
    </row>
    <row r="7">
      <c r="A7">
        <v>1</v>
      </c>
      <c r="B7">
        <f>'Req. Diario'!D6</f>
        <v>0.65</v>
      </c>
      <c r="C7" t="e">
        <f>(B7-((E7*(Main!$E$31/100))+(G7*(Main!$E$36/100))+(I7*(Main!$E$46/100))+(K7*(Main!$E$51/100))))/$C$6</f>
        <v>#DIV/0!</v>
      </c>
      <c r="D7">
        <f>'Req. Diario'!E6</f>
        <v>0.05</v>
      </c>
      <c r="E7" t="e">
        <f>(D7-((C7*(Main!$F$41/100))+(G7*(Main!$F$36/100))+(I7*(Main!$F$46/100))+(K7*(Main!$F$51/100))))/$E$6</f>
        <v>#DIV/0!</v>
      </c>
      <c r="F7">
        <f>'Req. Diario'!F6</f>
        <v>0.75</v>
      </c>
      <c r="G7" t="e">
        <f>(F7-((C7*(Main!$G$41/100))+(E7*(Main!$G$31/100))+(I7*(Main!$G$46/100))+(K7*(Main!$G$51/100))))/$G$6</f>
        <v>#DIV/0!</v>
      </c>
      <c r="H7">
        <f>'Req. Diario'!G6</f>
        <v>0.1283631724584037</v>
      </c>
      <c r="I7">
        <f>H7/$I$6</f>
        <v>0.8022698278650231</v>
      </c>
      <c r="J7">
        <f>'Req. Diario'!H6</f>
        <v>0.44649525</v>
      </c>
      <c r="K7">
        <f>J7/$K$6</f>
        <v>1.653686111111111</v>
      </c>
      <c r="L7">
        <f>'Req. Diario'!I6</f>
        <v>5.0926</v>
      </c>
      <c r="M7">
        <f>L7/$M$6</f>
        <v>24.841951219512197</v>
      </c>
    </row>
    <row r="8">
      <c r="B8">
        <f>'Req. Diario'!D7</f>
        <v>0.65</v>
      </c>
      <c r="C8" t="e">
        <f>(B8-((E8*(Main!$E$31/100))+(G8*(Main!$E$36/100))+(I8*(Main!$E$46/100))+(K8*(Main!$E$51/100))))/$C$6</f>
        <v>#DIV/0!</v>
      </c>
      <c r="D8">
        <f>'Req. Diario'!E7</f>
        <v>0.05</v>
      </c>
      <c r="E8" t="e">
        <f>(D8-((C8*(Main!$F$41/100))+(G8*(Main!$F$36/100))+(I8*(Main!$F$46/100))+(K8*(Main!$F$51/100))))/$E$6</f>
        <v>#DIV/0!</v>
      </c>
      <c r="F8">
        <f>'Req. Diario'!F7</f>
        <v>0.75</v>
      </c>
      <c r="G8" t="e">
        <f>(F8-((C8*(Main!$G$41/100))+(E8*(Main!$G$31/100))+(I8*(Main!$G$46/100))+(K8*(Main!$G$51/100))))/$G$6</f>
        <v>#DIV/0!</v>
      </c>
      <c r="H8">
        <f>'Req. Diario'!G7</f>
        <v>0.1283631724584037</v>
      </c>
      <c r="I8">
        <f>H8/$I$6</f>
        <v>0.8022698278650231</v>
      </c>
      <c r="J8">
        <f>'Req. Diario'!H7</f>
        <v>0.44649525</v>
      </c>
      <c r="K8">
        <f>J8/$K$6</f>
        <v>1.653686111111111</v>
      </c>
      <c r="L8">
        <f>'Req. Diario'!I7</f>
        <v>5.0926</v>
      </c>
      <c r="M8">
        <f>L8/$M$6</f>
        <v>24.841951219512197</v>
      </c>
    </row>
    <row r="9">
      <c r="B9">
        <f>'Req. Diario'!D8</f>
        <v>0.65</v>
      </c>
      <c r="C9" t="e">
        <f>(B9-((E9*(Main!$E$31/100))+(G9*(Main!$E$36/100))+(I9*(Main!$E$46/100))+(K9*(Main!$E$51/100))))/$C$6</f>
        <v>#DIV/0!</v>
      </c>
      <c r="D9">
        <f>'Req. Diario'!E8</f>
        <v>0.05</v>
      </c>
      <c r="E9" t="e">
        <f>(D9-((C9*(Main!$F$41/100))+(G9*(Main!$F$36/100))+(I9*(Main!$F$46/100))+(K9*(Main!$F$51/100))))/$E$6</f>
        <v>#DIV/0!</v>
      </c>
      <c r="F9">
        <f>'Req. Diario'!F8</f>
        <v>0.75</v>
      </c>
      <c r="G9" t="e">
        <f>(F9-((C9*(Main!$G$41/100))+(E9*(Main!$G$31/100))+(I9*(Main!$G$46/100))+(K9*(Main!$G$51/100))))/$G$6</f>
        <v>#DIV/0!</v>
      </c>
      <c r="H9">
        <f>'Req. Diario'!G8</f>
        <v>0.1283631724584037</v>
      </c>
      <c r="I9">
        <f>H9/$I$6</f>
        <v>0.8022698278650231</v>
      </c>
      <c r="J9">
        <f>'Req. Diario'!H8</f>
        <v>0.44649525</v>
      </c>
      <c r="K9">
        <f>J9/$K$6</f>
        <v>1.653686111111111</v>
      </c>
      <c r="L9">
        <f>'Req. Diario'!I8</f>
        <v>5.0926</v>
      </c>
      <c r="M9">
        <f>L9/$M$6</f>
        <v>24.841951219512197</v>
      </c>
    </row>
    <row r="10">
      <c r="B10">
        <f>'Req. Diario'!D9</f>
        <v>0.65</v>
      </c>
      <c r="C10" t="e">
        <f>(B10-((E10*(Main!$E$31/100))+(G10*(Main!$E$36/100))+(I10*(Main!$E$46/100))+(K10*(Main!$E$51/100))))/$C$6</f>
        <v>#DIV/0!</v>
      </c>
      <c r="D10">
        <f>'Req. Diario'!E9</f>
        <v>0.05</v>
      </c>
      <c r="E10" t="e">
        <f>(D10-((C10*(Main!$F$41/100))+(G10*(Main!$F$36/100))+(I10*(Main!$F$46/100))+(K10*(Main!$F$51/100))))/$E$6</f>
        <v>#DIV/0!</v>
      </c>
      <c r="F10">
        <f>'Req. Diario'!F9</f>
        <v>0.75</v>
      </c>
      <c r="G10" t="e">
        <f>(F10-((C10*(Main!$G$41/100))+(E10*(Main!$G$31/100))+(I10*(Main!$G$46/100))+(K10*(Main!$G$51/100))))/$G$6</f>
        <v>#DIV/0!</v>
      </c>
      <c r="H10">
        <f>'Req. Diario'!G9</f>
        <v>0.1283631724584037</v>
      </c>
      <c r="I10">
        <f>H10/$I$6</f>
        <v>0.8022698278650231</v>
      </c>
      <c r="J10">
        <f>'Req. Diario'!H9</f>
        <v>0.44649525</v>
      </c>
      <c r="K10">
        <f>J10/$K$6</f>
        <v>1.653686111111111</v>
      </c>
      <c r="L10">
        <f>'Req. Diario'!I9</f>
        <v>5.0926</v>
      </c>
      <c r="M10">
        <f>L10/$M$6</f>
        <v>24.841951219512197</v>
      </c>
    </row>
    <row r="11">
      <c r="B11">
        <f>'Req. Diario'!D10</f>
        <v>0.65</v>
      </c>
      <c r="C11" t="e">
        <f>(B11-((E11*(Main!$E$31/100))+(G11*(Main!$E$36/100))+(I11*(Main!$E$46/100))+(K11*(Main!$E$51/100))))/$C$6</f>
        <v>#DIV/0!</v>
      </c>
      <c r="D11">
        <f>'Req. Diario'!E10</f>
        <v>0.05</v>
      </c>
      <c r="E11" t="e">
        <f>(D11-((C11*(Main!$F$41/100))+(G11*(Main!$F$36/100))+(I11*(Main!$F$46/100))+(K11*(Main!$F$51/100))))/$E$6</f>
        <v>#DIV/0!</v>
      </c>
      <c r="F11">
        <f>'Req. Diario'!F10</f>
        <v>0.75</v>
      </c>
      <c r="G11" t="e">
        <f>(F11-((C11*(Main!$G$41/100))+(E11*(Main!$G$31/100))+(I11*(Main!$G$46/100))+(K11*(Main!$G$51/100))))/$G$6</f>
        <v>#DIV/0!</v>
      </c>
      <c r="H11">
        <f>'Req. Diario'!G10</f>
        <v>0.1283631724584037</v>
      </c>
      <c r="I11">
        <f>H11/$I$6</f>
        <v>0.8022698278650231</v>
      </c>
      <c r="J11">
        <f>'Req. Diario'!H10</f>
        <v>0.44649525</v>
      </c>
      <c r="K11">
        <f>J11/$K$6</f>
        <v>1.653686111111111</v>
      </c>
      <c r="L11">
        <f>'Req. Diario'!I10</f>
        <v>5.0926</v>
      </c>
      <c r="M11">
        <f>L11/$M$6</f>
        <v>24.841951219512197</v>
      </c>
    </row>
    <row r="12">
      <c r="B12">
        <f>'Req. Diario'!D11</f>
        <v>0.65</v>
      </c>
      <c r="C12" t="e">
        <f>(B12-((E12*(Main!$E$31/100))+(G12*(Main!$E$36/100))+(I12*(Main!$E$46/100))+(K12*(Main!$E$51/100))))/$C$6</f>
        <v>#DIV/0!</v>
      </c>
      <c r="D12">
        <f>'Req. Diario'!E11</f>
        <v>0.05</v>
      </c>
      <c r="E12" t="e">
        <f>(D12-((C12*(Main!$F$41/100))+(G12*(Main!$F$36/100))+(I12*(Main!$F$46/100))+(K12*(Main!$F$51/100))))/$E$6</f>
        <v>#DIV/0!</v>
      </c>
      <c r="F12">
        <f>'Req. Diario'!F11</f>
        <v>0.75</v>
      </c>
      <c r="G12" t="e">
        <f>(F12-((C12*(Main!$G$41/100))+(E12*(Main!$G$31/100))+(I12*(Main!$G$46/100))+(K12*(Main!$G$51/100))))/$G$6</f>
        <v>#DIV/0!</v>
      </c>
      <c r="H12">
        <f>'Req. Diario'!G11</f>
        <v>0.1283631724584037</v>
      </c>
      <c r="I12">
        <f>H12/$I$6</f>
        <v>0.8022698278650231</v>
      </c>
      <c r="J12">
        <f>'Req. Diario'!H11</f>
        <v>0.44649525</v>
      </c>
      <c r="K12">
        <f>J12/$K$6</f>
        <v>1.653686111111111</v>
      </c>
      <c r="L12">
        <f>'Req. Diario'!I11</f>
        <v>5.0926</v>
      </c>
      <c r="M12">
        <f>L12/$M$6</f>
        <v>24.841951219512197</v>
      </c>
    </row>
    <row r="13">
      <c r="B13">
        <f>'Req. Diario'!D12</f>
        <v>0.65</v>
      </c>
      <c r="C13" t="e">
        <f>(B13-((E13*(Main!$E$31/100))+(G13*(Main!$E$36/100))+(I13*(Main!$E$46/100))+(K13*(Main!$E$51/100))))/$C$6</f>
        <v>#DIV/0!</v>
      </c>
      <c r="D13">
        <f>'Req. Diario'!E12</f>
        <v>0.05</v>
      </c>
      <c r="E13" t="e">
        <f>(D13-((C13*(Main!$F$41/100))+(G13*(Main!$F$36/100))+(I13*(Main!$F$46/100))+(K13*(Main!$F$51/100))))/$E$6</f>
        <v>#DIV/0!</v>
      </c>
      <c r="F13">
        <f>'Req. Diario'!F12</f>
        <v>0.75</v>
      </c>
      <c r="G13" t="e">
        <f>(F13-((C13*(Main!$G$41/100))+(E13*(Main!$G$31/100))+(I13*(Main!$G$46/100))+(K13*(Main!$G$51/100))))/$G$6</f>
        <v>#DIV/0!</v>
      </c>
      <c r="H13">
        <f>'Req. Diario'!G12</f>
        <v>0.1283631724584037</v>
      </c>
      <c r="I13">
        <f>H13/$I$6</f>
        <v>0.8022698278650231</v>
      </c>
      <c r="J13">
        <f>'Req. Diario'!H12</f>
        <v>0.44649525</v>
      </c>
      <c r="K13">
        <f>J13/$K$6</f>
        <v>1.653686111111111</v>
      </c>
      <c r="L13">
        <f>'Req. Diario'!I12</f>
        <v>5.0926</v>
      </c>
      <c r="M13">
        <f>L13/$M$6</f>
        <v>24.841951219512197</v>
      </c>
    </row>
    <row r="14">
      <c r="A14">
        <v>2</v>
      </c>
      <c r="B14">
        <f>'Req. Diario'!D13</f>
        <v>0.65</v>
      </c>
      <c r="C14" t="e">
        <f>(B14-((E14*(Main!$E$31/100))+(G14*(Main!$E$36/100))+(I14*(Main!$E$46/100))+(K14*(Main!$E$51/100))))/$C$6</f>
        <v>#DIV/0!</v>
      </c>
      <c r="D14">
        <f>'Req. Diario'!E13</f>
        <v>0.05</v>
      </c>
      <c r="E14" t="e">
        <f>(D14-((C14*(Main!$F$41/100))+(G14*(Main!$F$36/100))+(I14*(Main!$F$46/100))+(K14*(Main!$F$51/100))))/$E$6</f>
        <v>#DIV/0!</v>
      </c>
      <c r="F14">
        <f>'Req. Diario'!F13</f>
        <v>0.75</v>
      </c>
      <c r="G14" t="e">
        <f>(F14-((C14*(Main!$G$41/100))+(E14*(Main!$G$31/100))+(I14*(Main!$G$46/100))+(K14*(Main!$G$51/100))))/$G$6</f>
        <v>#DIV/0!</v>
      </c>
      <c r="H14">
        <f>'Req. Diario'!G13</f>
        <v>0.1283631724584037</v>
      </c>
      <c r="I14">
        <f>H14/$I$6</f>
        <v>0.8022698278650231</v>
      </c>
      <c r="J14">
        <f>'Req. Diario'!H13</f>
        <v>0.44649525</v>
      </c>
      <c r="K14">
        <f>J14/$K$6</f>
        <v>1.653686111111111</v>
      </c>
      <c r="L14">
        <f>'Req. Diario'!I13</f>
        <v>5.0926</v>
      </c>
      <c r="M14">
        <f>L14/$M$6</f>
        <v>24.841951219512197</v>
      </c>
    </row>
    <row r="15">
      <c r="B15">
        <f>'Req. Diario'!D14</f>
        <v>0.65</v>
      </c>
      <c r="C15" t="e">
        <f>(B15-((E15*(Main!$E$31/100))+(G15*(Main!$E$36/100))+(I15*(Main!$E$46/100))+(K15*(Main!$E$51/100))))/$C$6</f>
        <v>#DIV/0!</v>
      </c>
      <c r="D15">
        <f>'Req. Diario'!E14</f>
        <v>0.05</v>
      </c>
      <c r="E15" t="e">
        <f>(D15-((C15*(Main!$F$41/100))+(G15*(Main!$F$36/100))+(I15*(Main!$F$46/100))+(K15*(Main!$F$51/100))))/$E$6</f>
        <v>#DIV/0!</v>
      </c>
      <c r="F15">
        <f>'Req. Diario'!F14</f>
        <v>0.75</v>
      </c>
      <c r="G15" t="e">
        <f>(F15-((C15*(Main!$G$41/100))+(E15*(Main!$G$31/100))+(I15*(Main!$G$46/100))+(K15*(Main!$G$51/100))))/$G$6</f>
        <v>#DIV/0!</v>
      </c>
      <c r="H15">
        <f>'Req. Diario'!G14</f>
        <v>0.1283631724584037</v>
      </c>
      <c r="I15">
        <f>H15/$I$6</f>
        <v>0.8022698278650231</v>
      </c>
      <c r="J15">
        <f>'Req. Diario'!H14</f>
        <v>0.44649525</v>
      </c>
      <c r="K15">
        <f>J15/$K$6</f>
        <v>1.653686111111111</v>
      </c>
      <c r="L15">
        <f>'Req. Diario'!I14</f>
        <v>5.0926</v>
      </c>
      <c r="M15">
        <f>L15/$M$6</f>
        <v>24.841951219512197</v>
      </c>
    </row>
    <row r="16">
      <c r="B16">
        <f>'Req. Diario'!D15</f>
        <v>0.65</v>
      </c>
      <c r="C16" t="e">
        <f>(B16-((E16*(Main!$E$31/100))+(G16*(Main!$E$36/100))+(I16*(Main!$E$46/100))+(K16*(Main!$E$51/100))))/$C$6</f>
        <v>#DIV/0!</v>
      </c>
      <c r="D16">
        <f>'Req. Diario'!E15</f>
        <v>0.05</v>
      </c>
      <c r="E16" t="e">
        <f>(D16-((C16*(Main!$F$41/100))+(G16*(Main!$F$36/100))+(I16*(Main!$F$46/100))+(K16*(Main!$F$51/100))))/$E$6</f>
        <v>#DIV/0!</v>
      </c>
      <c r="F16">
        <f>'Req. Diario'!F15</f>
        <v>0.75</v>
      </c>
      <c r="G16" t="e">
        <f>(F16-((C16*(Main!$G$41/100))+(E16*(Main!$G$31/100))+(I16*(Main!$G$46/100))+(K16*(Main!$G$51/100))))/$G$6</f>
        <v>#DIV/0!</v>
      </c>
      <c r="H16">
        <f>'Req. Diario'!G15</f>
        <v>0.1283631724584037</v>
      </c>
      <c r="I16">
        <f>H16/$I$6</f>
        <v>0.8022698278650231</v>
      </c>
      <c r="J16">
        <f>'Req. Diario'!H15</f>
        <v>0.44649525</v>
      </c>
      <c r="K16">
        <f>J16/$K$6</f>
        <v>1.653686111111111</v>
      </c>
      <c r="L16">
        <f>'Req. Diario'!I15</f>
        <v>5.0926</v>
      </c>
      <c r="M16">
        <f>L16/$M$6</f>
        <v>24.841951219512197</v>
      </c>
    </row>
    <row r="17">
      <c r="B17">
        <f>'Req. Diario'!D16</f>
        <v>0.65</v>
      </c>
      <c r="C17" t="e">
        <f>(B17-((E17*(Main!$E$31/100))+(G17*(Main!$E$36/100))+(I17*(Main!$E$46/100))+(K17*(Main!$E$51/100))))/$C$6</f>
        <v>#DIV/0!</v>
      </c>
      <c r="D17">
        <f>'Req. Diario'!E16</f>
        <v>0.05</v>
      </c>
      <c r="E17" t="e">
        <f>(D17-((C17*(Main!$F$41/100))+(G17*(Main!$F$36/100))+(I17*(Main!$F$46/100))+(K17*(Main!$F$51/100))))/$E$6</f>
        <v>#DIV/0!</v>
      </c>
      <c r="F17">
        <f>'Req. Diario'!F16</f>
        <v>0.75</v>
      </c>
      <c r="G17" t="e">
        <f>(F17-((C17*(Main!$G$41/100))+(E17*(Main!$G$31/100))+(I17*(Main!$G$46/100))+(K17*(Main!$G$51/100))))/$G$6</f>
        <v>#DIV/0!</v>
      </c>
      <c r="H17">
        <f>'Req. Diario'!G16</f>
        <v>0.1283631724584037</v>
      </c>
      <c r="I17">
        <f>H17/$I$6</f>
        <v>0.8022698278650231</v>
      </c>
      <c r="J17">
        <f>'Req. Diario'!H16</f>
        <v>0.44649525</v>
      </c>
      <c r="K17">
        <f>J17/$K$6</f>
        <v>1.653686111111111</v>
      </c>
      <c r="L17">
        <f>'Req. Diario'!I16</f>
        <v>9.1667</v>
      </c>
      <c r="M17">
        <f>L17/$M$6</f>
        <v>44.715609756097564</v>
      </c>
    </row>
    <row r="18">
      <c r="B18">
        <f>'Req. Diario'!D17</f>
        <v>0.65</v>
      </c>
      <c r="C18" t="e">
        <f>(B18-((E18*(Main!$E$31/100))+(G18*(Main!$E$36/100))+(I18*(Main!$E$46/100))+(K18*(Main!$E$51/100))))/$C$6</f>
        <v>#DIV/0!</v>
      </c>
      <c r="D18">
        <f>'Req. Diario'!E17</f>
        <v>0.05</v>
      </c>
      <c r="E18" t="e">
        <f>(D18-((C18*(Main!$F$41/100))+(G18*(Main!$F$36/100))+(I18*(Main!$F$46/100))+(K18*(Main!$F$51/100))))/$E$6</f>
        <v>#DIV/0!</v>
      </c>
      <c r="F18">
        <f>'Req. Diario'!F17</f>
        <v>0.75</v>
      </c>
      <c r="G18" t="e">
        <f>(F18-((C18*(Main!$G$41/100))+(E18*(Main!$G$31/100))+(I18*(Main!$G$46/100))+(K18*(Main!$G$51/100))))/$G$6</f>
        <v>#DIV/0!</v>
      </c>
      <c r="H18">
        <f>'Req. Diario'!G17</f>
        <v>0.1283631724584037</v>
      </c>
      <c r="I18">
        <f>H18/$I$6</f>
        <v>0.8022698278650231</v>
      </c>
      <c r="J18">
        <f>'Req. Diario'!H17</f>
        <v>0.44649525</v>
      </c>
      <c r="K18">
        <f>J18/$K$6</f>
        <v>1.653686111111111</v>
      </c>
      <c r="L18">
        <f>'Req. Diario'!I17</f>
        <v>9.1667</v>
      </c>
      <c r="M18">
        <f>L18/$M$6</f>
        <v>44.715609756097564</v>
      </c>
    </row>
    <row r="19">
      <c r="B19">
        <f>'Req. Diario'!D18</f>
        <v>0.65</v>
      </c>
      <c r="C19" t="e">
        <f>(B19-((E19*(Main!$E$31/100))+(G19*(Main!$E$36/100))+(I19*(Main!$E$46/100))+(K19*(Main!$E$51/100))))/$C$6</f>
        <v>#DIV/0!</v>
      </c>
      <c r="D19">
        <f>'Req. Diario'!E18</f>
        <v>0.05</v>
      </c>
      <c r="E19" t="e">
        <f>(D19-((C19*(Main!$F$41/100))+(G19*(Main!$F$36/100))+(I19*(Main!$F$46/100))+(K19*(Main!$F$51/100))))/$E$6</f>
        <v>#DIV/0!</v>
      </c>
      <c r="F19">
        <f>'Req. Diario'!F18</f>
        <v>0.75</v>
      </c>
      <c r="G19" t="e">
        <f>(F19-((C19*(Main!$G$41/100))+(E19*(Main!$G$31/100))+(I19*(Main!$G$46/100))+(K19*(Main!$G$51/100))))/$G$6</f>
        <v>#DIV/0!</v>
      </c>
      <c r="H19">
        <f>'Req. Diario'!G18</f>
        <v>0.1283631724584037</v>
      </c>
      <c r="I19">
        <f>H19/$I$6</f>
        <v>0.8022698278650231</v>
      </c>
      <c r="J19">
        <f>'Req. Diario'!H18</f>
        <v>0.44649525</v>
      </c>
      <c r="K19">
        <f>J19/$K$6</f>
        <v>1.653686111111111</v>
      </c>
      <c r="L19">
        <f>'Req. Diario'!I18</f>
        <v>9.1667</v>
      </c>
      <c r="M19">
        <f>L19/$M$6</f>
        <v>44.715609756097564</v>
      </c>
    </row>
    <row r="20">
      <c r="B20">
        <f>'Req. Diario'!D19</f>
        <v>0.65</v>
      </c>
      <c r="C20" t="e">
        <f>(B20-((E20*(Main!$E$31/100))+(G20*(Main!$E$36/100))+(I20*(Main!$E$46/100))+(K20*(Main!$E$51/100))))/$C$6</f>
        <v>#DIV/0!</v>
      </c>
      <c r="D20">
        <f>'Req. Diario'!E19</f>
        <v>0.05</v>
      </c>
      <c r="E20" t="e">
        <f>(D20-((C20*(Main!$F$41/100))+(G20*(Main!$F$36/100))+(I20*(Main!$F$46/100))+(K20*(Main!$F$51/100))))/$E$6</f>
        <v>#DIV/0!</v>
      </c>
      <c r="F20">
        <f>'Req. Diario'!F19</f>
        <v>0.75</v>
      </c>
      <c r="G20" t="e">
        <f>(F20-((C20*(Main!$G$41/100))+(E20*(Main!$G$31/100))+(I20*(Main!$G$46/100))+(K20*(Main!$G$51/100))))/$G$6</f>
        <v>#DIV/0!</v>
      </c>
      <c r="H20">
        <f>'Req. Diario'!G19</f>
        <v>0.1283631724584037</v>
      </c>
      <c r="I20">
        <f>H20/$I$6</f>
        <v>0.8022698278650231</v>
      </c>
      <c r="J20">
        <f>'Req. Diario'!H19</f>
        <v>0.44649525</v>
      </c>
      <c r="K20">
        <f>J20/$K$6</f>
        <v>1.653686111111111</v>
      </c>
      <c r="L20">
        <f>'Req. Diario'!I19</f>
        <v>9.1667</v>
      </c>
      <c r="M20">
        <f>L20/$M$6</f>
        <v>44.715609756097564</v>
      </c>
    </row>
    <row r="21">
      <c r="A21">
        <v>3</v>
      </c>
      <c r="B21">
        <f>'Req. Diario'!D20</f>
        <v>0.65</v>
      </c>
      <c r="C21" t="e">
        <f>(B21-((E21*(Main!$E$31/100))+(G21*(Main!$E$36/100))+(I21*(Main!$E$46/100))+(K21*(Main!$E$51/100))))/$C$6</f>
        <v>#DIV/0!</v>
      </c>
      <c r="D21">
        <f>'Req. Diario'!E20</f>
        <v>0.05</v>
      </c>
      <c r="E21" t="e">
        <f>(D21-((C21*(Main!$F$41/100))+(G21*(Main!$F$36/100))+(I21*(Main!$F$46/100))+(K21*(Main!$F$51/100))))/$E$6</f>
        <v>#DIV/0!</v>
      </c>
      <c r="F21">
        <f>'Req. Diario'!F20</f>
        <v>0.75</v>
      </c>
      <c r="G21" t="e">
        <f>(F21-((C21*(Main!$G$41/100))+(E21*(Main!$G$31/100))+(I21*(Main!$G$46/100))+(K21*(Main!$G$51/100))))/$G$6</f>
        <v>#DIV/0!</v>
      </c>
      <c r="H21">
        <f>'Req. Diario'!G20</f>
        <v>0.1283631724584037</v>
      </c>
      <c r="I21">
        <f>H21/$I$6</f>
        <v>0.8022698278650231</v>
      </c>
      <c r="J21">
        <f>'Req. Diario'!H20</f>
        <v>0.44649525</v>
      </c>
      <c r="K21">
        <f>J21/$K$6</f>
        <v>1.653686111111111</v>
      </c>
      <c r="L21">
        <f>'Req. Diario'!I20</f>
        <v>9.1667</v>
      </c>
      <c r="M21">
        <f>L21/$M$6</f>
        <v>44.715609756097564</v>
      </c>
    </row>
    <row r="22">
      <c r="B22">
        <f>'Req. Diario'!D21</f>
        <v>0.65</v>
      </c>
      <c r="C22" t="e">
        <f>(B22-((E22*(Main!$E$31/100))+(G22*(Main!$E$36/100))+(I22*(Main!$E$46/100))+(K22*(Main!$E$51/100))))/$C$6</f>
        <v>#DIV/0!</v>
      </c>
      <c r="D22">
        <f>'Req. Diario'!E21</f>
        <v>0.05</v>
      </c>
      <c r="E22" t="e">
        <f>(D22-((C22*(Main!$F$41/100))+(G22*(Main!$F$36/100))+(I22*(Main!$F$46/100))+(K22*(Main!$F$51/100))))/$E$6</f>
        <v>#DIV/0!</v>
      </c>
      <c r="F22">
        <f>'Req. Diario'!F21</f>
        <v>0.75</v>
      </c>
      <c r="G22" t="e">
        <f>(F22-((C22*(Main!$G$41/100))+(E22*(Main!$G$31/100))+(I22*(Main!$G$46/100))+(K22*(Main!$G$51/100))))/$G$6</f>
        <v>#DIV/0!</v>
      </c>
      <c r="H22">
        <f>'Req. Diario'!G21</f>
        <v>0.1283631724584037</v>
      </c>
      <c r="I22">
        <f>H22/$I$6</f>
        <v>0.8022698278650231</v>
      </c>
      <c r="J22">
        <f>'Req. Diario'!H21</f>
        <v>0.44649525</v>
      </c>
      <c r="K22">
        <f>J22/$K$6</f>
        <v>1.653686111111111</v>
      </c>
      <c r="L22">
        <f>'Req. Diario'!I21</f>
        <v>9.1667</v>
      </c>
      <c r="M22">
        <f>L22/$M$6</f>
        <v>44.715609756097564</v>
      </c>
    </row>
    <row r="23">
      <c r="B23">
        <f>'Req. Diario'!D22</f>
        <v>0.65</v>
      </c>
      <c r="C23" t="e">
        <f>(B23-((E23*(Main!$E$31/100))+(G23*(Main!$E$36/100))+(I23*(Main!$E$46/100))+(K23*(Main!$E$51/100))))/$C$6</f>
        <v>#DIV/0!</v>
      </c>
      <c r="D23">
        <f>'Req. Diario'!E22</f>
        <v>0.05</v>
      </c>
      <c r="E23" t="e">
        <f>(D23-((C23*(Main!$F$41/100))+(G23*(Main!$F$36/100))+(I23*(Main!$F$46/100))+(K23*(Main!$F$51/100))))/$E$6</f>
        <v>#DIV/0!</v>
      </c>
      <c r="F23">
        <f>'Req. Diario'!F22</f>
        <v>0.75</v>
      </c>
      <c r="G23" t="e">
        <f>(F23-((C23*(Main!$G$41/100))+(E23*(Main!$G$31/100))+(I23*(Main!$G$46/100))+(K23*(Main!$G$51/100))))/$G$6</f>
        <v>#DIV/0!</v>
      </c>
      <c r="H23">
        <f>'Req. Diario'!G22</f>
        <v>0.1283631724584037</v>
      </c>
      <c r="I23">
        <f>H23/$I$6</f>
        <v>0.8022698278650231</v>
      </c>
      <c r="J23">
        <f>'Req. Diario'!H22</f>
        <v>0.44649525</v>
      </c>
      <c r="K23">
        <f>J23/$K$6</f>
        <v>1.653686111111111</v>
      </c>
      <c r="L23">
        <f>'Req. Diario'!I22</f>
        <v>9.1667</v>
      </c>
      <c r="M23">
        <f>L23/$M$6</f>
        <v>44.715609756097564</v>
      </c>
    </row>
    <row r="24">
      <c r="B24">
        <f>'Req. Diario'!D23</f>
        <v>0.65</v>
      </c>
      <c r="C24" t="e">
        <f>(B24-((E24*(Main!$E$31/100))+(G24*(Main!$E$36/100))+(I24*(Main!$E$46/100))+(K24*(Main!$E$51/100))))/$C$6</f>
        <v>#DIV/0!</v>
      </c>
      <c r="D24">
        <f>'Req. Diario'!E23</f>
        <v>0.05</v>
      </c>
      <c r="E24" t="e">
        <f>(D24-((C24*(Main!$F$41/100))+(G24*(Main!$F$36/100))+(I24*(Main!$F$46/100))+(K24*(Main!$F$51/100))))/$E$6</f>
        <v>#DIV/0!</v>
      </c>
      <c r="F24">
        <f>'Req. Diario'!F23</f>
        <v>0.75</v>
      </c>
      <c r="G24" t="e">
        <f>(F24-((C24*(Main!$G$41/100))+(E24*(Main!$G$31/100))+(I24*(Main!$G$46/100))+(K24*(Main!$G$51/100))))/$G$6</f>
        <v>#DIV/0!</v>
      </c>
      <c r="H24">
        <f>'Req. Diario'!G23</f>
        <v>0.1283631724584037</v>
      </c>
      <c r="I24">
        <f>H24/$I$6</f>
        <v>0.8022698278650231</v>
      </c>
      <c r="J24">
        <f>'Req. Diario'!H23</f>
        <v>0.44649525</v>
      </c>
      <c r="K24">
        <f>J24/$K$6</f>
        <v>1.653686111111111</v>
      </c>
      <c r="L24">
        <f>'Req. Diario'!I23</f>
        <v>12.2222</v>
      </c>
      <c r="M24">
        <f>L24/$M$6</f>
        <v>59.62048780487805</v>
      </c>
    </row>
    <row r="25">
      <c r="B25">
        <f>'Req. Diario'!D24</f>
        <v>0.65</v>
      </c>
      <c r="C25" t="e">
        <f>(B25-((E25*(Main!$E$31/100))+(G25*(Main!$E$36/100))+(I25*(Main!$E$46/100))+(K25*(Main!$E$51/100))))/$C$6</f>
        <v>#DIV/0!</v>
      </c>
      <c r="D25">
        <f>'Req. Diario'!E24</f>
        <v>0.05</v>
      </c>
      <c r="E25" t="e">
        <f>(D25-((C25*(Main!$F$41/100))+(G25*(Main!$F$36/100))+(I25*(Main!$F$46/100))+(K25*(Main!$F$51/100))))/$E$6</f>
        <v>#DIV/0!</v>
      </c>
      <c r="F25">
        <f>'Req. Diario'!F24</f>
        <v>0.75</v>
      </c>
      <c r="G25" t="e">
        <f>(F25-((C25*(Main!$G$41/100))+(E25*(Main!$G$31/100))+(I25*(Main!$G$46/100))+(K25*(Main!$G$51/100))))/$G$6</f>
        <v>#DIV/0!</v>
      </c>
      <c r="H25">
        <f>'Req. Diario'!G24</f>
        <v>0.1283631724584037</v>
      </c>
      <c r="I25">
        <f>H25/$I$6</f>
        <v>0.8022698278650231</v>
      </c>
      <c r="J25">
        <f>'Req. Diario'!H24</f>
        <v>0.44649525</v>
      </c>
      <c r="K25">
        <f>J25/$K$6</f>
        <v>1.653686111111111</v>
      </c>
      <c r="L25">
        <f>'Req. Diario'!I24</f>
        <v>12.2222</v>
      </c>
      <c r="M25">
        <f>L25/$M$6</f>
        <v>59.62048780487805</v>
      </c>
    </row>
    <row r="26">
      <c r="B26">
        <f>'Req. Diario'!D25</f>
        <v>0.65</v>
      </c>
      <c r="C26" t="e">
        <f>(B26-((E26*(Main!$E$31/100))+(G26*(Main!$E$36/100))+(I26*(Main!$E$46/100))+(K26*(Main!$E$51/100))))/$C$6</f>
        <v>#DIV/0!</v>
      </c>
      <c r="D26">
        <f>'Req. Diario'!E25</f>
        <v>0.05</v>
      </c>
      <c r="E26" t="e">
        <f>(D26-((C26*(Main!$F$41/100))+(G26*(Main!$F$36/100))+(I26*(Main!$F$46/100))+(K26*(Main!$F$51/100))))/$E$6</f>
        <v>#DIV/0!</v>
      </c>
      <c r="F26">
        <f>'Req. Diario'!F25</f>
        <v>0.75</v>
      </c>
      <c r="G26" t="e">
        <f>(F26-((C26*(Main!$G$41/100))+(E26*(Main!$G$31/100))+(I26*(Main!$G$46/100))+(K26*(Main!$G$51/100))))/$G$6</f>
        <v>#DIV/0!</v>
      </c>
      <c r="H26">
        <f>'Req. Diario'!G25</f>
        <v>0.1283631724584037</v>
      </c>
      <c r="I26">
        <f>H26/$I$6</f>
        <v>0.8022698278650231</v>
      </c>
      <c r="J26">
        <f>'Req. Diario'!H25</f>
        <v>0.44649525</v>
      </c>
      <c r="K26">
        <f>J26/$K$6</f>
        <v>1.653686111111111</v>
      </c>
      <c r="L26">
        <f>'Req. Diario'!I25</f>
        <v>12.2222</v>
      </c>
      <c r="M26">
        <f>L26/$M$6</f>
        <v>59.62048780487805</v>
      </c>
    </row>
    <row r="27">
      <c r="B27">
        <f>'Req. Diario'!D26</f>
        <v>0.65</v>
      </c>
      <c r="C27" t="e">
        <f>(B27-((E27*(Main!$E$31/100))+(G27*(Main!$E$36/100))+(I27*(Main!$E$46/100))+(K27*(Main!$E$51/100))))/$C$6</f>
        <v>#DIV/0!</v>
      </c>
      <c r="D27">
        <f>'Req. Diario'!E26</f>
        <v>0.05</v>
      </c>
      <c r="E27" t="e">
        <f>(D27-((C27*(Main!$F$41/100))+(G27*(Main!$F$36/100))+(I27*(Main!$F$46/100))+(K27*(Main!$F$51/100))))/$E$6</f>
        <v>#DIV/0!</v>
      </c>
      <c r="F27">
        <f>'Req. Diario'!F26</f>
        <v>0.75</v>
      </c>
      <c r="G27" t="e">
        <f>(F27-((C27*(Main!$G$41/100))+(E27*(Main!$G$31/100))+(I27*(Main!$G$46/100))+(K27*(Main!$G$51/100))))/$G$6</f>
        <v>#DIV/0!</v>
      </c>
      <c r="H27">
        <f>'Req. Diario'!G26</f>
        <v>0.1283631724584037</v>
      </c>
      <c r="I27">
        <f>H27/$I$6</f>
        <v>0.8022698278650231</v>
      </c>
      <c r="J27">
        <f>'Req. Diario'!H26</f>
        <v>0.44649525</v>
      </c>
      <c r="K27">
        <f>J27/$K$6</f>
        <v>1.653686111111111</v>
      </c>
      <c r="L27">
        <f>'Req. Diario'!I26</f>
        <v>12.2222</v>
      </c>
      <c r="M27">
        <f>L27/$M$6</f>
        <v>59.62048780487805</v>
      </c>
    </row>
    <row r="28">
      <c r="A28">
        <v>4</v>
      </c>
      <c r="B28">
        <f>'Req. Diario'!D27</f>
        <v>0.65</v>
      </c>
      <c r="C28" t="e">
        <f>(B28-((E28*(Main!$E$31/100))+(G28*(Main!$E$36/100))+(I28*(Main!$E$46/100))+(K28*(Main!$E$51/100))))/$C$6</f>
        <v>#DIV/0!</v>
      </c>
      <c r="D28">
        <f>'Req. Diario'!E27</f>
        <v>0.05</v>
      </c>
      <c r="E28" t="e">
        <f>(D28-((C28*(Main!$F$41/100))+(G28*(Main!$F$36/100))+(I28*(Main!$F$46/100))+(K28*(Main!$F$51/100))))/$E$6</f>
        <v>#DIV/0!</v>
      </c>
      <c r="F28">
        <f>'Req. Diario'!F27</f>
        <v>0.75</v>
      </c>
      <c r="G28" t="e">
        <f>(F28-((C28*(Main!$G$41/100))+(E28*(Main!$G$31/100))+(I28*(Main!$G$46/100))+(K28*(Main!$G$51/100))))/$G$6</f>
        <v>#DIV/0!</v>
      </c>
      <c r="H28">
        <f>'Req. Diario'!G27</f>
        <v>0.1283631724584037</v>
      </c>
      <c r="I28">
        <f>H28/$I$6</f>
        <v>0.8022698278650231</v>
      </c>
      <c r="J28">
        <f>'Req. Diario'!H27</f>
        <v>0.44649525</v>
      </c>
      <c r="K28">
        <f>J28/$K$6</f>
        <v>1.653686111111111</v>
      </c>
      <c r="L28">
        <f>'Req. Diario'!I27</f>
        <v>12.2222</v>
      </c>
      <c r="M28">
        <f>L28/$M$6</f>
        <v>59.62048780487805</v>
      </c>
    </row>
    <row r="29">
      <c r="B29">
        <f>'Req. Diario'!D28</f>
        <v>0.65</v>
      </c>
      <c r="C29" t="e">
        <f>(B29-((E29*(Main!$E$31/100))+(G29*(Main!$E$36/100))+(I29*(Main!$E$46/100))+(K29*(Main!$E$51/100))))/$C$6</f>
        <v>#DIV/0!</v>
      </c>
      <c r="D29">
        <f>'Req. Diario'!E28</f>
        <v>0.05</v>
      </c>
      <c r="E29" t="e">
        <f>(D29-((C29*(Main!$F$41/100))+(G29*(Main!$F$36/100))+(I29*(Main!$F$46/100))+(K29*(Main!$F$51/100))))/$E$6</f>
        <v>#DIV/0!</v>
      </c>
      <c r="F29">
        <f>'Req. Diario'!F28</f>
        <v>0.75</v>
      </c>
      <c r="G29" t="e">
        <f>(F29-((C29*(Main!$G$41/100))+(E29*(Main!$G$31/100))+(I29*(Main!$G$46/100))+(K29*(Main!$G$51/100))))/$G$6</f>
        <v>#DIV/0!</v>
      </c>
      <c r="H29">
        <f>'Req. Diario'!G28</f>
        <v>0.1283631724584037</v>
      </c>
      <c r="I29">
        <f>H29/$I$6</f>
        <v>0.8022698278650231</v>
      </c>
      <c r="J29">
        <f>'Req. Diario'!H28</f>
        <v>0.44649525</v>
      </c>
      <c r="K29">
        <f>J29/$K$6</f>
        <v>1.653686111111111</v>
      </c>
      <c r="L29">
        <f>'Req. Diario'!I28</f>
        <v>12.2222</v>
      </c>
      <c r="M29">
        <f>L29/$M$6</f>
        <v>59.62048780487805</v>
      </c>
    </row>
    <row r="30">
      <c r="B30">
        <f>'Req. Diario'!D29</f>
        <v>0.65</v>
      </c>
      <c r="C30" t="e">
        <f>(B30-((E30*(Main!$E$31/100))+(G30*(Main!$E$36/100))+(I30*(Main!$E$46/100))+(K30*(Main!$E$51/100))))/$C$6</f>
        <v>#DIV/0!</v>
      </c>
      <c r="D30">
        <f>'Req. Diario'!E29</f>
        <v>0.05</v>
      </c>
      <c r="E30" t="e">
        <f>(D30-((C30*(Main!$F$41/100))+(G30*(Main!$F$36/100))+(I30*(Main!$F$46/100))+(K30*(Main!$F$51/100))))/$E$6</f>
        <v>#DIV/0!</v>
      </c>
      <c r="F30">
        <f>'Req. Diario'!F29</f>
        <v>0.75</v>
      </c>
      <c r="G30" t="e">
        <f>(F30-((C30*(Main!$G$41/100))+(E30*(Main!$G$31/100))+(I30*(Main!$G$46/100))+(K30*(Main!$G$51/100))))/$G$6</f>
        <v>#DIV/0!</v>
      </c>
      <c r="H30">
        <f>'Req. Diario'!G29</f>
        <v>0.1283631724584037</v>
      </c>
      <c r="I30">
        <f>H30/$I$6</f>
        <v>0.8022698278650231</v>
      </c>
      <c r="J30">
        <f>'Req. Diario'!H29</f>
        <v>0.44649525</v>
      </c>
      <c r="K30">
        <f>J30/$K$6</f>
        <v>1.653686111111111</v>
      </c>
      <c r="L30">
        <f>'Req. Diario'!I29</f>
        <v>12.2222</v>
      </c>
      <c r="M30">
        <f>L30/$M$6</f>
        <v>59.62048780487805</v>
      </c>
    </row>
    <row r="31">
      <c r="B31">
        <f>'Req. Diario'!D30</f>
        <v>0.65</v>
      </c>
      <c r="C31" t="e">
        <f>(B31-((E31*(Main!$E$31/100))+(G31*(Main!$E$36/100))+(I31*(Main!$E$46/100))+(K31*(Main!$E$51/100))))/$C$6</f>
        <v>#DIV/0!</v>
      </c>
      <c r="D31">
        <f>'Req. Diario'!E30</f>
        <v>0.05</v>
      </c>
      <c r="E31" t="e">
        <f>(D31-((C31*(Main!$F$41/100))+(G31*(Main!$F$36/100))+(I31*(Main!$F$46/100))+(K31*(Main!$F$51/100))))/$E$6</f>
        <v>#DIV/0!</v>
      </c>
      <c r="F31">
        <f>'Req. Diario'!F30</f>
        <v>0.75</v>
      </c>
      <c r="G31" t="e">
        <f>(F31-((C31*(Main!$G$41/100))+(E31*(Main!$G$31/100))+(I31*(Main!$G$46/100))+(K31*(Main!$G$51/100))))/$G$6</f>
        <v>#DIV/0!</v>
      </c>
      <c r="H31">
        <f>'Req. Diario'!G30</f>
        <v>0.1283631724584037</v>
      </c>
      <c r="I31">
        <f>H31/$I$6</f>
        <v>0.8022698278650231</v>
      </c>
      <c r="J31">
        <f>'Req. Diario'!H30</f>
        <v>0.44649525</v>
      </c>
      <c r="K31">
        <f>J31/$K$6</f>
        <v>1.653686111111111</v>
      </c>
      <c r="L31">
        <f>'Req. Diario'!I30</f>
        <v>12.2222</v>
      </c>
      <c r="M31">
        <f>L31/$M$6</f>
        <v>59.62048780487805</v>
      </c>
    </row>
    <row r="32">
      <c r="B32">
        <f>'Req. Diario'!D31</f>
        <v>0.65</v>
      </c>
      <c r="C32" t="e">
        <f>(B32-((E32*(Main!$E$31/100))+(G32*(Main!$E$36/100))+(I32*(Main!$E$46/100))+(K32*(Main!$E$51/100))))/$C$6</f>
        <v>#DIV/0!</v>
      </c>
      <c r="D32">
        <f>'Req. Diario'!E31</f>
        <v>0.05</v>
      </c>
      <c r="E32" t="e">
        <f>(D32-((C32*(Main!$F$41/100))+(G32*(Main!$F$36/100))+(I32*(Main!$F$46/100))+(K32*(Main!$F$51/100))))/$E$6</f>
        <v>#DIV/0!</v>
      </c>
      <c r="F32">
        <f>'Req. Diario'!F31</f>
        <v>0.75</v>
      </c>
      <c r="G32" t="e">
        <f>(F32-((C32*(Main!$G$41/100))+(E32*(Main!$G$31/100))+(I32*(Main!$G$46/100))+(K32*(Main!$G$51/100))))/$G$6</f>
        <v>#DIV/0!</v>
      </c>
      <c r="H32">
        <f>'Req. Diario'!G31</f>
        <v>0.1283631724584037</v>
      </c>
      <c r="I32">
        <f>H32/$I$6</f>
        <v>0.8022698278650231</v>
      </c>
      <c r="J32">
        <f>'Req. Diario'!H31</f>
        <v>0.44649525</v>
      </c>
      <c r="K32">
        <f>J32/$K$6</f>
        <v>1.653686111111111</v>
      </c>
      <c r="L32">
        <f>'Req. Diario'!I31</f>
        <v>12.2222</v>
      </c>
      <c r="M32">
        <f>L32/$M$6</f>
        <v>59.62048780487805</v>
      </c>
    </row>
    <row r="33">
      <c r="B33">
        <f>'Req. Diario'!D32</f>
        <v>0.65</v>
      </c>
      <c r="C33" t="e">
        <f>(B33-((E33*(Main!$E$31/100))+(G33*(Main!$E$36/100))+(I33*(Main!$E$46/100))+(K33*(Main!$E$51/100))))/$C$6</f>
        <v>#DIV/0!</v>
      </c>
      <c r="D33">
        <f>'Req. Diario'!E32</f>
        <v>0.05</v>
      </c>
      <c r="E33" t="e">
        <f>(D33-((C33*(Main!$F$41/100))+(G33*(Main!$F$36/100))+(I33*(Main!$F$46/100))+(K33*(Main!$F$51/100))))/$E$6</f>
        <v>#DIV/0!</v>
      </c>
      <c r="F33">
        <f>'Req. Diario'!F32</f>
        <v>0.75</v>
      </c>
      <c r="G33" t="e">
        <f>(F33-((C33*(Main!$G$41/100))+(E33*(Main!$G$31/100))+(I33*(Main!$G$46/100))+(K33*(Main!$G$51/100))))/$G$6</f>
        <v>#DIV/0!</v>
      </c>
      <c r="H33">
        <f>'Req. Diario'!G32</f>
        <v>0.1283631724584037</v>
      </c>
      <c r="I33">
        <f>H33/$I$6</f>
        <v>0.8022698278650231</v>
      </c>
      <c r="J33">
        <f>'Req. Diario'!H32</f>
        <v>0.44649525</v>
      </c>
      <c r="K33">
        <f>J33/$K$6</f>
        <v>1.653686111111111</v>
      </c>
      <c r="L33">
        <f>'Req. Diario'!I32</f>
        <v>12.2222</v>
      </c>
      <c r="M33">
        <f>L33/$M$6</f>
        <v>59.62048780487805</v>
      </c>
    </row>
    <row r="34">
      <c r="B34">
        <f>'Req. Diario'!D33</f>
        <v>0.65</v>
      </c>
      <c r="C34" t="e">
        <f>(B34-((E34*(Main!$E$31/100))+(G34*(Main!$E$36/100))+(I34*(Main!$E$46/100))+(K34*(Main!$E$51/100))))/$C$6</f>
        <v>#DIV/0!</v>
      </c>
      <c r="D34">
        <f>'Req. Diario'!E33</f>
        <v>0.05</v>
      </c>
      <c r="E34" t="e">
        <f>(D34-((C34*(Main!$F$41/100))+(G34*(Main!$F$36/100))+(I34*(Main!$F$46/100))+(K34*(Main!$F$51/100))))/$E$6</f>
        <v>#DIV/0!</v>
      </c>
      <c r="F34">
        <f>'Req. Diario'!F33</f>
        <v>0.75</v>
      </c>
      <c r="G34" t="e">
        <f>(F34-((C34*(Main!$G$41/100))+(E34*(Main!$G$31/100))+(I34*(Main!$G$46/100))+(K34*(Main!$G$51/100))))/$G$6</f>
        <v>#DIV/0!</v>
      </c>
      <c r="H34">
        <f>'Req. Diario'!G33</f>
        <v>0.1283631724584037</v>
      </c>
      <c r="I34">
        <f>H34/$I$6</f>
        <v>0.8022698278650231</v>
      </c>
      <c r="J34">
        <f>'Req. Diario'!H33</f>
        <v>0.44649525</v>
      </c>
      <c r="K34">
        <f>J34/$K$6</f>
        <v>1.653686111111111</v>
      </c>
      <c r="L34">
        <f>'Req. Diario'!I33</f>
        <v>12.2222</v>
      </c>
      <c r="M34">
        <f>L34/$M$6</f>
        <v>59.62048780487805</v>
      </c>
    </row>
    <row r="35">
      <c r="A35">
        <v>5</v>
      </c>
      <c r="B35">
        <f>'Req. Diario'!D34</f>
        <v>0.65</v>
      </c>
      <c r="C35" t="e">
        <f>(B35-((E35*(Main!$E$31/100))+(G35*(Main!$E$36/100))+(I35*(Main!$E$46/100))+(K35*(Main!$E$51/100))))/$C$6</f>
        <v>#DIV/0!</v>
      </c>
      <c r="D35">
        <f>'Req. Diario'!E34</f>
        <v>0.05</v>
      </c>
      <c r="E35" t="e">
        <f>(D35-((C35*(Main!$F$41/100))+(G35*(Main!$F$36/100))+(I35*(Main!$F$46/100))+(K35*(Main!$F$51/100))))/$E$6</f>
        <v>#DIV/0!</v>
      </c>
      <c r="F35">
        <f>'Req. Diario'!F34</f>
        <v>0.75</v>
      </c>
      <c r="G35" t="e">
        <f>(F35-((C35*(Main!$G$41/100))+(E35*(Main!$G$31/100))+(I35*(Main!$G$46/100))+(K35*(Main!$G$51/100))))/$G$6</f>
        <v>#DIV/0!</v>
      </c>
      <c r="H35">
        <f>'Req. Diario'!G34</f>
        <v>0.1283631724584037</v>
      </c>
      <c r="I35">
        <f>H35/$I$6</f>
        <v>0.8022698278650231</v>
      </c>
      <c r="J35">
        <f>'Req. Diario'!H34</f>
        <v>0.44649525</v>
      </c>
      <c r="K35">
        <f>J35/$K$6</f>
        <v>1.653686111111111</v>
      </c>
      <c r="L35">
        <f>'Req. Diario'!I34</f>
        <v>12.2222</v>
      </c>
      <c r="M35">
        <f>L35/$M$6</f>
        <v>59.62048780487805</v>
      </c>
    </row>
    <row r="36">
      <c r="B36">
        <f>'Req. Diario'!D35</f>
        <v>0.65</v>
      </c>
      <c r="C36" t="e">
        <f>(B36-((E36*(Main!$E$31/100))+(G36*(Main!$E$36/100))+(I36*(Main!$E$46/100))+(K36*(Main!$E$51/100))))/$C$6</f>
        <v>#DIV/0!</v>
      </c>
      <c r="D36">
        <f>'Req. Diario'!E35</f>
        <v>0.05</v>
      </c>
      <c r="E36" t="e">
        <f>(D36-((C36*(Main!$F$41/100))+(G36*(Main!$F$36/100))+(I36*(Main!$F$46/100))+(K36*(Main!$F$51/100))))/$E$6</f>
        <v>#DIV/0!</v>
      </c>
      <c r="F36">
        <f>'Req. Diario'!F35</f>
        <v>0.75</v>
      </c>
      <c r="G36" t="e">
        <f>(F36-((C36*(Main!$G$41/100))+(E36*(Main!$G$31/100))+(I36*(Main!$G$46/100))+(K36*(Main!$G$51/100))))/$G$6</f>
        <v>#DIV/0!</v>
      </c>
      <c r="H36">
        <f>'Req. Diario'!G35</f>
        <v>0.1283631724584037</v>
      </c>
      <c r="I36">
        <f>H36/$I$6</f>
        <v>0.8022698278650231</v>
      </c>
      <c r="J36">
        <f>'Req. Diario'!H35</f>
        <v>0.44649525</v>
      </c>
      <c r="K36">
        <f>J36/$K$6</f>
        <v>1.653686111111111</v>
      </c>
      <c r="L36">
        <f>'Req. Diario'!I35</f>
        <v>12.2222</v>
      </c>
      <c r="M36">
        <f>L36/$M$6</f>
        <v>59.62048780487805</v>
      </c>
    </row>
    <row r="37">
      <c r="B37">
        <f>'Req. Diario'!D36</f>
        <v>0.65</v>
      </c>
      <c r="C37" t="e">
        <f>(B37-((E37*(Main!$E$31/100))+(G37*(Main!$E$36/100))+(I37*(Main!$E$46/100))+(K37*(Main!$E$51/100))))/$C$6</f>
        <v>#DIV/0!</v>
      </c>
      <c r="D37">
        <f>'Req. Diario'!E36</f>
        <v>0.05</v>
      </c>
      <c r="E37" t="e">
        <f>(D37-((C37*(Main!$F$41/100))+(G37*(Main!$F$36/100))+(I37*(Main!$F$46/100))+(K37*(Main!$F$51/100))))/$E$6</f>
        <v>#DIV/0!</v>
      </c>
      <c r="F37">
        <f>'Req. Diario'!F36</f>
        <v>0.75</v>
      </c>
      <c r="G37" t="e">
        <f>(F37-((C37*(Main!$G$41/100))+(E37*(Main!$G$31/100))+(I37*(Main!$G$46/100))+(K37*(Main!$G$51/100))))/$G$6</f>
        <v>#DIV/0!</v>
      </c>
      <c r="H37">
        <f>'Req. Diario'!G36</f>
        <v>0.1283631724584037</v>
      </c>
      <c r="I37">
        <f>H37/$I$6</f>
        <v>0.8022698278650231</v>
      </c>
      <c r="J37">
        <f>'Req. Diario'!H36</f>
        <v>0.44649525</v>
      </c>
      <c r="K37">
        <f>J37/$K$6</f>
        <v>1.653686111111111</v>
      </c>
      <c r="L37">
        <f>'Req. Diario'!I36</f>
        <v>12.2222</v>
      </c>
      <c r="M37">
        <f>L37/$M$6</f>
        <v>59.62048780487805</v>
      </c>
    </row>
    <row r="38">
      <c r="B38">
        <f>'Req. Diario'!D37</f>
        <v>0.65</v>
      </c>
      <c r="C38" t="e">
        <f>(B38-((E38*(Main!$E$31/100))+(G38*(Main!$E$36/100))+(I38*(Main!$E$46/100))+(K38*(Main!$E$51/100))))/$C$6</f>
        <v>#DIV/0!</v>
      </c>
      <c r="D38">
        <f>'Req. Diario'!E37</f>
        <v>0.05</v>
      </c>
      <c r="E38" t="e">
        <f>(D38-((C38*(Main!$F$41/100))+(G38*(Main!$F$36/100))+(I38*(Main!$F$46/100))+(K38*(Main!$F$51/100))))/$E$6</f>
        <v>#DIV/0!</v>
      </c>
      <c r="F38">
        <f>'Req. Diario'!F37</f>
        <v>0.75</v>
      </c>
      <c r="G38" t="e">
        <f>(F38-((C38*(Main!$G$41/100))+(E38*(Main!$G$31/100))+(I38*(Main!$G$46/100))+(K38*(Main!$G$51/100))))/$G$6</f>
        <v>#DIV/0!</v>
      </c>
      <c r="H38">
        <f>'Req. Diario'!G37</f>
        <v>0.1283631724584037</v>
      </c>
      <c r="I38">
        <f>H38/$I$6</f>
        <v>0.8022698278650231</v>
      </c>
      <c r="J38">
        <f>'Req. Diario'!H37</f>
        <v>0.44649525</v>
      </c>
      <c r="K38">
        <f>J38/$K$6</f>
        <v>1.653686111111111</v>
      </c>
      <c r="L38">
        <f>'Req. Diario'!I37</f>
        <v>12.2222</v>
      </c>
      <c r="M38">
        <f>L38/$M$6</f>
        <v>59.62048780487805</v>
      </c>
    </row>
    <row r="39">
      <c r="B39">
        <f>'Req. Diario'!D38</f>
        <v>0.65</v>
      </c>
      <c r="C39" t="e">
        <f>(B39-((E39*(Main!$E$31/100))+(G39*(Main!$E$36/100))+(I39*(Main!$E$46/100))+(K39*(Main!$E$51/100))))/$C$6</f>
        <v>#DIV/0!</v>
      </c>
      <c r="D39">
        <f>'Req. Diario'!E38</f>
        <v>0.05</v>
      </c>
      <c r="E39" t="e">
        <f>(D39-((C39*(Main!$F$41/100))+(G39*(Main!$F$36/100))+(I39*(Main!$F$46/100))+(K39*(Main!$F$51/100))))/$E$6</f>
        <v>#DIV/0!</v>
      </c>
      <c r="F39">
        <f>'Req. Diario'!F38</f>
        <v>0.75</v>
      </c>
      <c r="G39" t="e">
        <f>(F39-((C39*(Main!$G$41/100))+(E39*(Main!$G$31/100))+(I39*(Main!$G$46/100))+(K39*(Main!$G$51/100))))/$G$6</f>
        <v>#DIV/0!</v>
      </c>
      <c r="H39">
        <f>'Req. Diario'!G38</f>
        <v>0.1283631724584037</v>
      </c>
      <c r="I39">
        <f>H39/$I$6</f>
        <v>0.8022698278650231</v>
      </c>
      <c r="J39">
        <f>'Req. Diario'!H38</f>
        <v>0.44649525</v>
      </c>
      <c r="K39">
        <f>J39/$K$6</f>
        <v>1.653686111111111</v>
      </c>
      <c r="L39">
        <f>'Req. Diario'!I38</f>
        <v>17.3149</v>
      </c>
      <c r="M39">
        <f>L39/$M$6</f>
        <v>84.46292682926831</v>
      </c>
    </row>
    <row r="40">
      <c r="B40">
        <f>'Req. Diario'!D39</f>
        <v>0.65</v>
      </c>
      <c r="C40" t="e">
        <f>(B40-((E40*(Main!$E$31/100))+(G40*(Main!$E$36/100))+(I40*(Main!$E$46/100))+(K40*(Main!$E$51/100))))/$C$6</f>
        <v>#DIV/0!</v>
      </c>
      <c r="D40">
        <f>'Req. Diario'!E39</f>
        <v>0.05</v>
      </c>
      <c r="E40" t="e">
        <f>(D40-((C40*(Main!$F$41/100))+(G40*(Main!$F$36/100))+(I40*(Main!$F$46/100))+(K40*(Main!$F$51/100))))/$E$6</f>
        <v>#DIV/0!</v>
      </c>
      <c r="F40">
        <f>'Req. Diario'!F39</f>
        <v>0.75</v>
      </c>
      <c r="G40" t="e">
        <f>(F40-((C40*(Main!$G$41/100))+(E40*(Main!$G$31/100))+(I40*(Main!$G$46/100))+(K40*(Main!$G$51/100))))/$G$6</f>
        <v>#DIV/0!</v>
      </c>
      <c r="H40">
        <f>'Req. Diario'!G39</f>
        <v>0.1283631724584037</v>
      </c>
      <c r="I40">
        <f>H40/$I$6</f>
        <v>0.8022698278650231</v>
      </c>
      <c r="J40">
        <f>'Req. Diario'!H39</f>
        <v>0.44649525</v>
      </c>
      <c r="K40">
        <f>J40/$K$6</f>
        <v>1.653686111111111</v>
      </c>
      <c r="L40">
        <f>'Req. Diario'!I39</f>
        <v>17.3149</v>
      </c>
      <c r="M40">
        <f>L40/$M$6</f>
        <v>84.46292682926831</v>
      </c>
    </row>
    <row r="41">
      <c r="B41">
        <f>'Req. Diario'!D40</f>
        <v>0.65</v>
      </c>
      <c r="C41" t="e">
        <f>(B41-((E41*(Main!$E$31/100))+(G41*(Main!$E$36/100))+(I41*(Main!$E$46/100))+(K41*(Main!$E$51/100))))/$C$6</f>
        <v>#DIV/0!</v>
      </c>
      <c r="D41">
        <f>'Req. Diario'!E40</f>
        <v>0.05</v>
      </c>
      <c r="E41" t="e">
        <f>(D41-((C41*(Main!$F$41/100))+(G41*(Main!$F$36/100))+(I41*(Main!$F$46/100))+(K41*(Main!$F$51/100))))/$E$6</f>
        <v>#DIV/0!</v>
      </c>
      <c r="F41">
        <f>'Req. Diario'!F40</f>
        <v>0.75</v>
      </c>
      <c r="G41" t="e">
        <f>(F41-((C41*(Main!$G$41/100))+(E41*(Main!$G$31/100))+(I41*(Main!$G$46/100))+(K41*(Main!$G$51/100))))/$G$6</f>
        <v>#DIV/0!</v>
      </c>
      <c r="H41">
        <f>'Req. Diario'!G40</f>
        <v>0.1283631724584037</v>
      </c>
      <c r="I41">
        <f>H41/$I$6</f>
        <v>0.8022698278650231</v>
      </c>
      <c r="J41">
        <f>'Req. Diario'!H40</f>
        <v>0.44649525</v>
      </c>
      <c r="K41">
        <f>J41/$K$6</f>
        <v>1.653686111111111</v>
      </c>
      <c r="L41">
        <f>'Req. Diario'!I40</f>
        <v>17.3149</v>
      </c>
      <c r="M41">
        <f>L41/$M$6</f>
        <v>84.46292682926831</v>
      </c>
    </row>
    <row r="42">
      <c r="A42">
        <v>6</v>
      </c>
      <c r="B42">
        <f>'Req. Diario'!D41</f>
        <v>0.65</v>
      </c>
      <c r="C42" t="e">
        <f>(B42-((E42*(Main!$E$31/100))+(G42*(Main!$E$36/100))+(I42*(Main!$E$46/100))+(K42*(Main!$E$51/100))))/$C$6</f>
        <v>#DIV/0!</v>
      </c>
      <c r="D42">
        <f>'Req. Diario'!E41</f>
        <v>0.05</v>
      </c>
      <c r="E42" t="e">
        <f>(D42-((C42*(Main!$F$41/100))+(G42*(Main!$F$36/100))+(I42*(Main!$F$46/100))+(K42*(Main!$F$51/100))))/$E$6</f>
        <v>#DIV/0!</v>
      </c>
      <c r="F42">
        <f>'Req. Diario'!F41</f>
        <v>0.75</v>
      </c>
      <c r="G42" t="e">
        <f>(F42-((C42*(Main!$G$41/100))+(E42*(Main!$G$31/100))+(I42*(Main!$G$46/100))+(K42*(Main!$G$51/100))))/$G$6</f>
        <v>#DIV/0!</v>
      </c>
      <c r="H42">
        <f>'Req. Diario'!G41</f>
        <v>0.1283631724584037</v>
      </c>
      <c r="I42">
        <f>H42/$I$6</f>
        <v>0.8022698278650231</v>
      </c>
      <c r="J42">
        <f>'Req. Diario'!H41</f>
        <v>0.44649525</v>
      </c>
      <c r="K42">
        <f>J42/$K$6</f>
        <v>1.653686111111111</v>
      </c>
      <c r="L42">
        <f>'Req. Diario'!I41</f>
        <v>17.3149</v>
      </c>
      <c r="M42">
        <f>L42/$M$6</f>
        <v>84.46292682926831</v>
      </c>
    </row>
    <row r="43">
      <c r="B43">
        <f>'Req. Diario'!D42</f>
        <v>0.65</v>
      </c>
      <c r="C43" t="e">
        <f>(B43-((E43*(Main!$E$31/100))+(G43*(Main!$E$36/100))+(I43*(Main!$E$46/100))+(K43*(Main!$E$51/100))))/$C$6</f>
        <v>#DIV/0!</v>
      </c>
      <c r="D43">
        <f>'Req. Diario'!E42</f>
        <v>0.05</v>
      </c>
      <c r="E43" t="e">
        <f>(D43-((C43*(Main!$F$41/100))+(G43*(Main!$F$36/100))+(I43*(Main!$F$46/100))+(K43*(Main!$F$51/100))))/$E$6</f>
        <v>#DIV/0!</v>
      </c>
      <c r="F43">
        <f>'Req. Diario'!F42</f>
        <v>0.75</v>
      </c>
      <c r="G43" t="e">
        <f>(F43-((C43*(Main!$G$41/100))+(E43*(Main!$G$31/100))+(I43*(Main!$G$46/100))+(K43*(Main!$G$51/100))))/$G$6</f>
        <v>#DIV/0!</v>
      </c>
      <c r="H43">
        <f>'Req. Diario'!G42</f>
        <v>0.1283631724584037</v>
      </c>
      <c r="I43">
        <f>H43/$I$6</f>
        <v>0.8022698278650231</v>
      </c>
      <c r="J43">
        <f>'Req. Diario'!H42</f>
        <v>0.44649525</v>
      </c>
      <c r="K43">
        <f>J43/$K$6</f>
        <v>1.653686111111111</v>
      </c>
      <c r="L43">
        <f>'Req. Diario'!I42</f>
        <v>17.3149</v>
      </c>
      <c r="M43">
        <f>L43/$M$6</f>
        <v>84.46292682926831</v>
      </c>
    </row>
    <row r="44">
      <c r="B44">
        <f>'Req. Diario'!D43</f>
        <v>0.65</v>
      </c>
      <c r="C44" t="e">
        <f>(B44-((E44*(Main!$E$31/100))+(G44*(Main!$E$36/100))+(I44*(Main!$E$46/100))+(K44*(Main!$E$51/100))))/$C$6</f>
        <v>#DIV/0!</v>
      </c>
      <c r="D44">
        <f>'Req. Diario'!E43</f>
        <v>0.05</v>
      </c>
      <c r="E44" t="e">
        <f>(D44-((C44*(Main!$F$41/100))+(G44*(Main!$F$36/100))+(I44*(Main!$F$46/100))+(K44*(Main!$F$51/100))))/$E$6</f>
        <v>#DIV/0!</v>
      </c>
      <c r="F44">
        <f>'Req. Diario'!F43</f>
        <v>0.75</v>
      </c>
      <c r="G44" t="e">
        <f>(F44-((C44*(Main!$G$41/100))+(E44*(Main!$G$31/100))+(I44*(Main!$G$46/100))+(K44*(Main!$G$51/100))))/$G$6</f>
        <v>#DIV/0!</v>
      </c>
      <c r="H44">
        <f>'Req. Diario'!G43</f>
        <v>0.1283631724584037</v>
      </c>
      <c r="I44">
        <f>H44/$I$6</f>
        <v>0.8022698278650231</v>
      </c>
      <c r="J44">
        <f>'Req. Diario'!H43</f>
        <v>0.44649525</v>
      </c>
      <c r="K44">
        <f>J44/$K$6</f>
        <v>1.653686111111111</v>
      </c>
      <c r="L44">
        <f>'Req. Diario'!I43</f>
        <v>17.3149</v>
      </c>
      <c r="M44">
        <f>L44/$M$6</f>
        <v>84.46292682926831</v>
      </c>
    </row>
    <row r="45">
      <c r="B45">
        <f>'Req. Diario'!D44</f>
        <v>0.65</v>
      </c>
      <c r="C45" t="e">
        <f>(B45-((E45*(Main!$E$31/100))+(G45*(Main!$E$36/100))+(I45*(Main!$E$46/100))+(K45*(Main!$E$51/100))))/$C$6</f>
        <v>#DIV/0!</v>
      </c>
      <c r="D45">
        <f>'Req. Diario'!E44</f>
        <v>0.05</v>
      </c>
      <c r="E45" t="e">
        <f>(D45-((C45*(Main!$F$41/100))+(G45*(Main!$F$36/100))+(I45*(Main!$F$46/100))+(K45*(Main!$F$51/100))))/$E$6</f>
        <v>#DIV/0!</v>
      </c>
      <c r="F45">
        <f>'Req. Diario'!F44</f>
        <v>0.75</v>
      </c>
      <c r="G45" t="e">
        <f>(F45-((C45*(Main!$G$41/100))+(E45*(Main!$G$31/100))+(I45*(Main!$G$46/100))+(K45*(Main!$G$51/100))))/$G$6</f>
        <v>#DIV/0!</v>
      </c>
      <c r="H45">
        <f>'Req. Diario'!G44</f>
        <v>0.1283631724584037</v>
      </c>
      <c r="I45">
        <f>H45/$I$6</f>
        <v>0.8022698278650231</v>
      </c>
      <c r="J45">
        <f>'Req. Diario'!H44</f>
        <v>0.44649525</v>
      </c>
      <c r="K45">
        <f>J45/$K$6</f>
        <v>1.653686111111111</v>
      </c>
      <c r="L45">
        <f>'Req. Diario'!I44</f>
        <v>17.3149</v>
      </c>
      <c r="M45">
        <f>L45/$M$6</f>
        <v>84.46292682926831</v>
      </c>
    </row>
    <row r="46">
      <c r="B46">
        <f>'Req. Diario'!D45</f>
        <v>0.65</v>
      </c>
      <c r="C46" t="e">
        <f>(B46-((E46*(Main!$E$31/100))+(G46*(Main!$E$36/100))+(I46*(Main!$E$46/100))+(K46*(Main!$E$51/100))))/$C$6</f>
        <v>#DIV/0!</v>
      </c>
      <c r="D46">
        <f>'Req. Diario'!E45</f>
        <v>0.05</v>
      </c>
      <c r="E46" t="e">
        <f>(D46-((C46*(Main!$F$41/100))+(G46*(Main!$F$36/100))+(I46*(Main!$F$46/100))+(K46*(Main!$F$51/100))))/$E$6</f>
        <v>#DIV/0!</v>
      </c>
      <c r="F46">
        <f>'Req. Diario'!F45</f>
        <v>0.75</v>
      </c>
      <c r="G46" t="e">
        <f>(F46-((C46*(Main!$G$41/100))+(E46*(Main!$G$31/100))+(I46*(Main!$G$46/100))+(K46*(Main!$G$51/100))))/$G$6</f>
        <v>#DIV/0!</v>
      </c>
      <c r="H46">
        <f>'Req. Diario'!G45</f>
        <v>0.1283631724584037</v>
      </c>
      <c r="I46">
        <f>H46/$I$6</f>
        <v>0.8022698278650231</v>
      </c>
      <c r="J46">
        <f>'Req. Diario'!H45</f>
        <v>0.44649525</v>
      </c>
      <c r="K46">
        <f>J46/$K$6</f>
        <v>1.653686111111111</v>
      </c>
      <c r="L46">
        <f>'Req. Diario'!I45</f>
        <v>17.3149</v>
      </c>
      <c r="M46">
        <f>L46/$M$6</f>
        <v>84.46292682926831</v>
      </c>
    </row>
    <row r="47">
      <c r="B47">
        <f>'Req. Diario'!D46</f>
        <v>5.3</v>
      </c>
      <c r="C47" t="e">
        <f>(B47-((E47*(Main!$E$31/100))+(G47*(Main!$E$36/100))+(I47*(Main!$E$46/100))+(K47*(Main!$E$51/100))))/$C$6</f>
        <v>#DIV/0!</v>
      </c>
      <c r="D47">
        <f>'Req. Diario'!E46</f>
        <v>0.35</v>
      </c>
      <c r="E47" t="e">
        <f>(D47-((C47*(Main!$F$41/100))+(G47*(Main!$F$36/100))+(I47*(Main!$F$46/100))+(K47*(Main!$F$51/100))))/$E$6</f>
        <v>#DIV/0!</v>
      </c>
      <c r="F47">
        <f>'Req. Diario'!F46</f>
        <v>6.7</v>
      </c>
      <c r="G47" t="e">
        <f>(F47-((C47*(Main!$G$41/100))+(E47*(Main!$G$31/100))+(I47*(Main!$G$46/100))+(K47*(Main!$G$51/100))))/$G$6</f>
        <v>#DIV/0!</v>
      </c>
      <c r="H47">
        <f>'Req. Diario'!G46</f>
        <v>1.1467110072950732</v>
      </c>
      <c r="I47">
        <f>H47/$I$6</f>
        <v>7.166943795594207</v>
      </c>
      <c r="J47">
        <f>'Req. Diario'!H46</f>
        <v>3.9886909000000004</v>
      </c>
      <c r="K47">
        <f>J47/$K$6</f>
        <v>14.772929259259259</v>
      </c>
      <c r="L47">
        <f>'Req. Diario'!I46</f>
        <v>17.3149</v>
      </c>
      <c r="M47">
        <f>L47/$M$6</f>
        <v>84.46292682926831</v>
      </c>
    </row>
    <row r="48">
      <c r="B48">
        <f>'Req. Diario'!D47</f>
        <v>5.3</v>
      </c>
      <c r="C48" t="e">
        <f>(B48-((E48*(Main!$E$31/100))+(G48*(Main!$E$36/100))+(I48*(Main!$E$46/100))+(K48*(Main!$E$51/100))))/$C$6</f>
        <v>#DIV/0!</v>
      </c>
      <c r="D48">
        <f>'Req. Diario'!E47</f>
        <v>0.35</v>
      </c>
      <c r="E48" t="e">
        <f>(D48-((C48*(Main!$F$41/100))+(G48*(Main!$F$36/100))+(I48*(Main!$F$46/100))+(K48*(Main!$F$51/100))))/$E$6</f>
        <v>#DIV/0!</v>
      </c>
      <c r="F48">
        <f>'Req. Diario'!F47</f>
        <v>6.7</v>
      </c>
      <c r="G48" t="e">
        <f>(F48-((C48*(Main!$G$41/100))+(E48*(Main!$G$31/100))+(I48*(Main!$G$46/100))+(K48*(Main!$G$51/100))))/$G$6</f>
        <v>#DIV/0!</v>
      </c>
      <c r="H48">
        <f>'Req. Diario'!G47</f>
        <v>1.1467110072950732</v>
      </c>
      <c r="I48">
        <f>H48/$I$6</f>
        <v>7.166943795594207</v>
      </c>
      <c r="J48">
        <f>'Req. Diario'!H47</f>
        <v>3.9886909000000004</v>
      </c>
      <c r="K48">
        <f>J48/$K$6</f>
        <v>14.772929259259259</v>
      </c>
      <c r="L48">
        <f>'Req. Diario'!I47</f>
        <v>17.3149</v>
      </c>
      <c r="M48">
        <f>L48/$M$6</f>
        <v>84.46292682926831</v>
      </c>
    </row>
    <row r="49">
      <c r="A49">
        <v>7</v>
      </c>
      <c r="B49">
        <f>'Req. Diario'!D48</f>
        <v>5.3</v>
      </c>
      <c r="C49" t="e">
        <f>(B49-((E49*(Main!$E$31/100))+(G49*(Main!$E$36/100))+(I49*(Main!$E$46/100))+(K49*(Main!$E$51/100))))/$C$6</f>
        <v>#DIV/0!</v>
      </c>
      <c r="D49">
        <f>'Req. Diario'!E48</f>
        <v>0.35</v>
      </c>
      <c r="E49" t="e">
        <f>(D49-((C49*(Main!$F$41/100))+(G49*(Main!$F$36/100))+(I49*(Main!$F$46/100))+(K49*(Main!$F$51/100))))/$E$6</f>
        <v>#DIV/0!</v>
      </c>
      <c r="F49">
        <f>'Req. Diario'!F48</f>
        <v>6.7</v>
      </c>
      <c r="G49" t="e">
        <f>(F49-((C49*(Main!$G$41/100))+(E49*(Main!$G$31/100))+(I49*(Main!$G$46/100))+(K49*(Main!$G$51/100))))/$G$6</f>
        <v>#DIV/0!</v>
      </c>
      <c r="H49">
        <f>'Req. Diario'!G48</f>
        <v>1.1467110072950732</v>
      </c>
      <c r="I49">
        <f>H49/$I$6</f>
        <v>7.166943795594207</v>
      </c>
      <c r="J49">
        <f>'Req. Diario'!H48</f>
        <v>3.9886909000000004</v>
      </c>
      <c r="K49">
        <f>J49/$K$6</f>
        <v>14.772929259259259</v>
      </c>
      <c r="L49">
        <f>'Req. Diario'!I48</f>
        <v>17.3149</v>
      </c>
      <c r="M49">
        <f>L49/$M$6</f>
        <v>84.46292682926831</v>
      </c>
    </row>
    <row r="50">
      <c r="B50">
        <f>'Req. Diario'!D49</f>
        <v>5.3</v>
      </c>
      <c r="C50" t="e">
        <f>(B50-((E50*(Main!$E$31/100))+(G50*(Main!$E$36/100))+(I50*(Main!$E$46/100))+(K50*(Main!$E$51/100))))/$C$6</f>
        <v>#DIV/0!</v>
      </c>
      <c r="D50">
        <f>'Req. Diario'!E49</f>
        <v>0.35</v>
      </c>
      <c r="E50" t="e">
        <f>(D50-((C50*(Main!$F$41/100))+(G50*(Main!$F$36/100))+(I50*(Main!$F$46/100))+(K50*(Main!$F$51/100))))/$E$6</f>
        <v>#DIV/0!</v>
      </c>
      <c r="F50">
        <f>'Req. Diario'!F49</f>
        <v>6.7</v>
      </c>
      <c r="G50" t="e">
        <f>(F50-((C50*(Main!$G$41/100))+(E50*(Main!$G$31/100))+(I50*(Main!$G$46/100))+(K50*(Main!$G$51/100))))/$G$6</f>
        <v>#DIV/0!</v>
      </c>
      <c r="H50">
        <f>'Req. Diario'!G49</f>
        <v>1.1467110072950732</v>
      </c>
      <c r="I50">
        <f>H50/$I$6</f>
        <v>7.166943795594207</v>
      </c>
      <c r="J50">
        <f>'Req. Diario'!H49</f>
        <v>3.9886909000000004</v>
      </c>
      <c r="K50">
        <f>J50/$K$6</f>
        <v>14.772929259259259</v>
      </c>
      <c r="L50">
        <f>'Req. Diario'!I49</f>
        <v>17.3149</v>
      </c>
      <c r="M50">
        <f>L50/$M$6</f>
        <v>84.46292682926831</v>
      </c>
    </row>
    <row r="51">
      <c r="B51">
        <f>'Req. Diario'!D50</f>
        <v>5.3</v>
      </c>
      <c r="C51" t="e">
        <f>(B51-((E51*(Main!$E$31/100))+(G51*(Main!$E$36/100))+(I51*(Main!$E$46/100))+(K51*(Main!$E$51/100))))/$C$6</f>
        <v>#DIV/0!</v>
      </c>
      <c r="D51">
        <f>'Req. Diario'!E50</f>
        <v>0.35</v>
      </c>
      <c r="E51" t="e">
        <f>(D51-((C51*(Main!$F$41/100))+(G51*(Main!$F$36/100))+(I51*(Main!$F$46/100))+(K51*(Main!$F$51/100))))/$E$6</f>
        <v>#DIV/0!</v>
      </c>
      <c r="F51">
        <f>'Req. Diario'!F50</f>
        <v>6.7</v>
      </c>
      <c r="G51" t="e">
        <f>(F51-((C51*(Main!$G$41/100))+(E51*(Main!$G$31/100))+(I51*(Main!$G$46/100))+(K51*(Main!$G$51/100))))/$G$6</f>
        <v>#DIV/0!</v>
      </c>
      <c r="H51">
        <f>'Req. Diario'!G50</f>
        <v>1.1467110072950732</v>
      </c>
      <c r="I51">
        <f>H51/$I$6</f>
        <v>7.166943795594207</v>
      </c>
      <c r="J51">
        <f>'Req. Diario'!H50</f>
        <v>3.9886909000000004</v>
      </c>
      <c r="K51">
        <f>J51/$K$6</f>
        <v>14.772929259259259</v>
      </c>
      <c r="L51">
        <f>'Req. Diario'!I50</f>
        <v>17.3149</v>
      </c>
      <c r="M51">
        <f>L51/$M$6</f>
        <v>84.46292682926831</v>
      </c>
    </row>
    <row r="52">
      <c r="B52">
        <f>'Req. Diario'!D51</f>
        <v>5.3</v>
      </c>
      <c r="C52" t="e">
        <f>(B52-((E52*(Main!$E$31/100))+(G52*(Main!$E$36/100))+(I52*(Main!$E$46/100))+(K52*(Main!$E$51/100))))/$C$6</f>
        <v>#DIV/0!</v>
      </c>
      <c r="D52">
        <f>'Req. Diario'!E51</f>
        <v>0.35</v>
      </c>
      <c r="E52" t="e">
        <f>(D52-((C52*(Main!$F$41/100))+(G52*(Main!$F$36/100))+(I52*(Main!$F$46/100))+(K52*(Main!$F$51/100))))/$E$6</f>
        <v>#DIV/0!</v>
      </c>
      <c r="F52">
        <f>'Req. Diario'!F51</f>
        <v>6.7</v>
      </c>
      <c r="G52" t="e">
        <f>(F52-((C52*(Main!$G$41/100))+(E52*(Main!$G$31/100))+(I52*(Main!$G$46/100))+(K52*(Main!$G$51/100))))/$G$6</f>
        <v>#DIV/0!</v>
      </c>
      <c r="H52">
        <f>'Req. Diario'!G51</f>
        <v>1.1467110072950732</v>
      </c>
      <c r="I52">
        <f>H52/$I$6</f>
        <v>7.166943795594207</v>
      </c>
      <c r="J52">
        <f>'Req. Diario'!H51</f>
        <v>3.9886909000000004</v>
      </c>
      <c r="K52">
        <f>J52/$K$6</f>
        <v>14.772929259259259</v>
      </c>
      <c r="L52">
        <f>'Req. Diario'!I51</f>
        <v>17.3149</v>
      </c>
      <c r="M52">
        <f>L52/$M$6</f>
        <v>84.46292682926831</v>
      </c>
    </row>
    <row r="53">
      <c r="B53">
        <f>'Req. Diario'!D52</f>
        <v>5.3</v>
      </c>
      <c r="C53" t="e">
        <f>(B53-((E53*(Main!$E$31/100))+(G53*(Main!$E$36/100))+(I53*(Main!$E$46/100))+(K53*(Main!$E$51/100))))/$C$6</f>
        <v>#DIV/0!</v>
      </c>
      <c r="D53">
        <f>'Req. Diario'!E52</f>
        <v>0.35</v>
      </c>
      <c r="E53" t="e">
        <f>(D53-((C53*(Main!$F$41/100))+(G53*(Main!$F$36/100))+(I53*(Main!$F$46/100))+(K53*(Main!$F$51/100))))/$E$6</f>
        <v>#DIV/0!</v>
      </c>
      <c r="F53">
        <f>'Req. Diario'!F52</f>
        <v>6.7</v>
      </c>
      <c r="G53" t="e">
        <f>(F53-((C53*(Main!$G$41/100))+(E53*(Main!$G$31/100))+(I53*(Main!$G$46/100))+(K53*(Main!$G$51/100))))/$G$6</f>
        <v>#DIV/0!</v>
      </c>
      <c r="H53">
        <f>'Req. Diario'!G52</f>
        <v>1.1467110072950732</v>
      </c>
      <c r="I53">
        <f>H53/$I$6</f>
        <v>7.166943795594207</v>
      </c>
      <c r="J53">
        <f>'Req. Diario'!H52</f>
        <v>3.9886909000000004</v>
      </c>
      <c r="K53">
        <f>J53/$K$6</f>
        <v>14.772929259259259</v>
      </c>
      <c r="L53">
        <f>'Req. Diario'!I52</f>
        <v>17.3149</v>
      </c>
      <c r="M53">
        <f>L53/$M$6</f>
        <v>84.46292682926831</v>
      </c>
    </row>
    <row r="54">
      <c r="B54">
        <f>'Req. Diario'!D53</f>
        <v>5.3</v>
      </c>
      <c r="C54" t="e">
        <f>(B54-((E54*(Main!$E$31/100))+(G54*(Main!$E$36/100))+(I54*(Main!$E$46/100))+(K54*(Main!$E$51/100))))/$C$6</f>
        <v>#DIV/0!</v>
      </c>
      <c r="D54">
        <f>'Req. Diario'!E53</f>
        <v>0.35</v>
      </c>
      <c r="E54" t="e">
        <f>(D54-((C54*(Main!$F$41/100))+(G54*(Main!$F$36/100))+(I54*(Main!$F$46/100))+(K54*(Main!$F$51/100))))/$E$6</f>
        <v>#DIV/0!</v>
      </c>
      <c r="F54">
        <f>'Req. Diario'!F53</f>
        <v>6.7</v>
      </c>
      <c r="G54" t="e">
        <f>(F54-((C54*(Main!$G$41/100))+(E54*(Main!$G$31/100))+(I54*(Main!$G$46/100))+(K54*(Main!$G$51/100))))/$G$6</f>
        <v>#DIV/0!</v>
      </c>
      <c r="H54">
        <f>'Req. Diario'!G53</f>
        <v>1.1467110072950732</v>
      </c>
      <c r="I54">
        <f>H54/$I$6</f>
        <v>7.166943795594207</v>
      </c>
      <c r="J54">
        <f>'Req. Diario'!H53</f>
        <v>3.9886909000000004</v>
      </c>
      <c r="K54">
        <f>J54/$K$6</f>
        <v>14.772929259259259</v>
      </c>
      <c r="L54">
        <f>'Req. Diario'!I53</f>
        <v>23.426</v>
      </c>
      <c r="M54">
        <f>L54/$M$6</f>
        <v>114.27317073170731</v>
      </c>
    </row>
    <row r="55">
      <c r="B55">
        <f>'Req. Diario'!D54</f>
        <v>5.3</v>
      </c>
      <c r="C55" t="e">
        <f>(B55-((E55*(Main!$E$31/100))+(G55*(Main!$E$36/100))+(I55*(Main!$E$46/100))+(K55*(Main!$E$51/100))))/$C$6</f>
        <v>#DIV/0!</v>
      </c>
      <c r="D55">
        <f>'Req. Diario'!E54</f>
        <v>0.35</v>
      </c>
      <c r="E55" t="e">
        <f>(D55-((C55*(Main!$F$41/100))+(G55*(Main!$F$36/100))+(I55*(Main!$F$46/100))+(K55*(Main!$F$51/100))))/$E$6</f>
        <v>#DIV/0!</v>
      </c>
      <c r="F55">
        <f>'Req. Diario'!F54</f>
        <v>6.7</v>
      </c>
      <c r="G55" t="e">
        <f>(F55-((C55*(Main!$G$41/100))+(E55*(Main!$G$31/100))+(I55*(Main!$G$46/100))+(K55*(Main!$G$51/100))))/$G$6</f>
        <v>#DIV/0!</v>
      </c>
      <c r="H55">
        <f>'Req. Diario'!G54</f>
        <v>1.1467110072950732</v>
      </c>
      <c r="I55">
        <f>H55/$I$6</f>
        <v>7.166943795594207</v>
      </c>
      <c r="J55">
        <f>'Req. Diario'!H54</f>
        <v>3.9886909000000004</v>
      </c>
      <c r="K55">
        <f>J55/$K$6</f>
        <v>14.772929259259259</v>
      </c>
      <c r="L55">
        <f>'Req. Diario'!I54</f>
        <v>23.426</v>
      </c>
      <c r="M55">
        <f>L55/$M$6</f>
        <v>114.27317073170731</v>
      </c>
    </row>
    <row r="56">
      <c r="A56">
        <v>8</v>
      </c>
      <c r="B56">
        <f>'Req. Diario'!D55</f>
        <v>5.3</v>
      </c>
      <c r="C56" t="e">
        <f>(B56-((E56*(Main!$E$31/100))+(G56*(Main!$E$36/100))+(I56*(Main!$E$46/100))+(K56*(Main!$E$51/100))))/$C$6</f>
        <v>#DIV/0!</v>
      </c>
      <c r="D56">
        <f>'Req. Diario'!E55</f>
        <v>0.35</v>
      </c>
      <c r="E56" t="e">
        <f>(D56-((C56*(Main!$F$41/100))+(G56*(Main!$F$36/100))+(I56*(Main!$F$46/100))+(K56*(Main!$F$51/100))))/$E$6</f>
        <v>#DIV/0!</v>
      </c>
      <c r="F56">
        <f>'Req. Diario'!F55</f>
        <v>6.7</v>
      </c>
      <c r="G56" t="e">
        <f>(F56-((C56*(Main!$G$41/100))+(E56*(Main!$G$31/100))+(I56*(Main!$G$46/100))+(K56*(Main!$G$51/100))))/$G$6</f>
        <v>#DIV/0!</v>
      </c>
      <c r="H56">
        <f>'Req. Diario'!G55</f>
        <v>1.1467110072950732</v>
      </c>
      <c r="I56">
        <f>H56/$I$6</f>
        <v>7.166943795594207</v>
      </c>
      <c r="J56">
        <f>'Req. Diario'!H55</f>
        <v>3.9886909000000004</v>
      </c>
      <c r="K56">
        <f>J56/$K$6</f>
        <v>14.772929259259259</v>
      </c>
      <c r="L56">
        <f>'Req. Diario'!I55</f>
        <v>23.426</v>
      </c>
      <c r="M56">
        <f>L56/$M$6</f>
        <v>114.27317073170731</v>
      </c>
    </row>
    <row r="57">
      <c r="B57">
        <f>'Req. Diario'!D56</f>
        <v>5.3</v>
      </c>
      <c r="C57" t="e">
        <f>(B57-((E57*(Main!$E$31/100))+(G57*(Main!$E$36/100))+(I57*(Main!$E$46/100))+(K57*(Main!$E$51/100))))/$C$6</f>
        <v>#DIV/0!</v>
      </c>
      <c r="D57">
        <f>'Req. Diario'!E56</f>
        <v>0.35</v>
      </c>
      <c r="E57" t="e">
        <f>(D57-((C57*(Main!$F$41/100))+(G57*(Main!$F$36/100))+(I57*(Main!$F$46/100))+(K57*(Main!$F$51/100))))/$E$6</f>
        <v>#DIV/0!</v>
      </c>
      <c r="F57">
        <f>'Req. Diario'!F56</f>
        <v>6.7</v>
      </c>
      <c r="G57" t="e">
        <f>(F57-((C57*(Main!$G$41/100))+(E57*(Main!$G$31/100))+(I57*(Main!$G$46/100))+(K57*(Main!$G$51/100))))/$G$6</f>
        <v>#DIV/0!</v>
      </c>
      <c r="H57">
        <f>'Req. Diario'!G56</f>
        <v>1.1467110072950732</v>
      </c>
      <c r="I57">
        <f>H57/$I$6</f>
        <v>7.166943795594207</v>
      </c>
      <c r="J57">
        <f>'Req. Diario'!H56</f>
        <v>3.9886909000000004</v>
      </c>
      <c r="K57">
        <f>J57/$K$6</f>
        <v>14.772929259259259</v>
      </c>
      <c r="L57">
        <f>'Req. Diario'!I56</f>
        <v>23.426</v>
      </c>
      <c r="M57">
        <f>L57/$M$6</f>
        <v>114.27317073170731</v>
      </c>
    </row>
    <row r="58">
      <c r="B58">
        <f>'Req. Diario'!D57</f>
        <v>5.3</v>
      </c>
      <c r="C58" t="e">
        <f>(B58-((E58*(Main!$E$31/100))+(G58*(Main!$E$36/100))+(I58*(Main!$E$46/100))+(K58*(Main!$E$51/100))))/$C$6</f>
        <v>#DIV/0!</v>
      </c>
      <c r="D58">
        <f>'Req. Diario'!E57</f>
        <v>0.35</v>
      </c>
      <c r="E58" t="e">
        <f>(D58-((C58*(Main!$F$41/100))+(G58*(Main!$F$36/100))+(I58*(Main!$F$46/100))+(K58*(Main!$F$51/100))))/$E$6</f>
        <v>#DIV/0!</v>
      </c>
      <c r="F58">
        <f>'Req. Diario'!F57</f>
        <v>6.7</v>
      </c>
      <c r="G58" t="e">
        <f>(F58-((C58*(Main!$G$41/100))+(E58*(Main!$G$31/100))+(I58*(Main!$G$46/100))+(K58*(Main!$G$51/100))))/$G$6</f>
        <v>#DIV/0!</v>
      </c>
      <c r="H58">
        <f>'Req. Diario'!G57</f>
        <v>1.1467110072950732</v>
      </c>
      <c r="I58">
        <f>H58/$I$6</f>
        <v>7.166943795594207</v>
      </c>
      <c r="J58">
        <f>'Req. Diario'!H57</f>
        <v>3.9886909000000004</v>
      </c>
      <c r="K58">
        <f>J58/$K$6</f>
        <v>14.772929259259259</v>
      </c>
      <c r="L58">
        <f>'Req. Diario'!I57</f>
        <v>23.426</v>
      </c>
      <c r="M58">
        <f>L58/$M$6</f>
        <v>114.27317073170731</v>
      </c>
    </row>
    <row r="59">
      <c r="B59">
        <f>'Req. Diario'!D58</f>
        <v>5.3</v>
      </c>
      <c r="C59" t="e">
        <f>(B59-((E59*(Main!$E$31/100))+(G59*(Main!$E$36/100))+(I59*(Main!$E$46/100))+(K59*(Main!$E$51/100))))/$C$6</f>
        <v>#DIV/0!</v>
      </c>
      <c r="D59">
        <f>'Req. Diario'!E58</f>
        <v>0.35</v>
      </c>
      <c r="E59" t="e">
        <f>(D59-((C59*(Main!$F$41/100))+(G59*(Main!$F$36/100))+(I59*(Main!$F$46/100))+(K59*(Main!$F$51/100))))/$E$6</f>
        <v>#DIV/0!</v>
      </c>
      <c r="F59">
        <f>'Req. Diario'!F58</f>
        <v>6.7</v>
      </c>
      <c r="G59" t="e">
        <f>(F59-((C59*(Main!$G$41/100))+(E59*(Main!$G$31/100))+(I59*(Main!$G$46/100))+(K59*(Main!$G$51/100))))/$G$6</f>
        <v>#DIV/0!</v>
      </c>
      <c r="H59">
        <f>'Req. Diario'!G58</f>
        <v>1.1467110072950732</v>
      </c>
      <c r="I59">
        <f>H59/$I$6</f>
        <v>7.166943795594207</v>
      </c>
      <c r="J59">
        <f>'Req. Diario'!H58</f>
        <v>3.9886909000000004</v>
      </c>
      <c r="K59">
        <f>J59/$K$6</f>
        <v>14.772929259259259</v>
      </c>
      <c r="L59">
        <f>'Req. Diario'!I58</f>
        <v>23.426</v>
      </c>
      <c r="M59">
        <f>L59/$M$6</f>
        <v>114.27317073170731</v>
      </c>
    </row>
    <row r="60">
      <c r="B60">
        <f>'Req. Diario'!D59</f>
        <v>5.3</v>
      </c>
      <c r="C60" t="e">
        <f>(B60-((E60*(Main!$E$31/100))+(G60*(Main!$E$36/100))+(I60*(Main!$E$46/100))+(K60*(Main!$E$51/100))))/$C$6</f>
        <v>#DIV/0!</v>
      </c>
      <c r="D60">
        <f>'Req. Diario'!E59</f>
        <v>0.35</v>
      </c>
      <c r="E60" t="e">
        <f>(D60-((C60*(Main!$F$41/100))+(G60*(Main!$F$36/100))+(I60*(Main!$F$46/100))+(K60*(Main!$F$51/100))))/$E$6</f>
        <v>#DIV/0!</v>
      </c>
      <c r="F60">
        <f>'Req. Diario'!F59</f>
        <v>6.7</v>
      </c>
      <c r="G60" t="e">
        <f>(F60-((C60*(Main!$G$41/100))+(E60*(Main!$G$31/100))+(I60*(Main!$G$46/100))+(K60*(Main!$G$51/100))))/$G$6</f>
        <v>#DIV/0!</v>
      </c>
      <c r="H60">
        <f>'Req. Diario'!G59</f>
        <v>1.1467110072950732</v>
      </c>
      <c r="I60">
        <f>H60/$I$6</f>
        <v>7.166943795594207</v>
      </c>
      <c r="J60">
        <f>'Req. Diario'!H59</f>
        <v>3.9886909000000004</v>
      </c>
      <c r="K60">
        <f>J60/$K$6</f>
        <v>14.772929259259259</v>
      </c>
      <c r="L60">
        <f>'Req. Diario'!I59</f>
        <v>23.426</v>
      </c>
      <c r="M60">
        <f>L60/$M$6</f>
        <v>114.27317073170731</v>
      </c>
    </row>
    <row r="61">
      <c r="B61">
        <f>'Req. Diario'!D60</f>
        <v>5.3</v>
      </c>
      <c r="C61" t="e">
        <f>(B61-((E61*(Main!$E$31/100))+(G61*(Main!$E$36/100))+(I61*(Main!$E$46/100))+(K61*(Main!$E$51/100))))/$C$6</f>
        <v>#DIV/0!</v>
      </c>
      <c r="D61">
        <f>'Req. Diario'!E60</f>
        <v>0.35</v>
      </c>
      <c r="E61" t="e">
        <f>(D61-((C61*(Main!$F$41/100))+(G61*(Main!$F$36/100))+(I61*(Main!$F$46/100))+(K61*(Main!$F$51/100))))/$E$6</f>
        <v>#DIV/0!</v>
      </c>
      <c r="F61">
        <f>'Req. Diario'!F60</f>
        <v>6.7</v>
      </c>
      <c r="G61" t="e">
        <f>(F61-((C61*(Main!$G$41/100))+(E61*(Main!$G$31/100))+(I61*(Main!$G$46/100))+(K61*(Main!$G$51/100))))/$G$6</f>
        <v>#DIV/0!</v>
      </c>
      <c r="H61">
        <f>'Req. Diario'!G60</f>
        <v>1.1467110072950732</v>
      </c>
      <c r="I61">
        <f>H61/$I$6</f>
        <v>7.166943795594207</v>
      </c>
      <c r="J61">
        <f>'Req. Diario'!H60</f>
        <v>3.9886909000000004</v>
      </c>
      <c r="K61">
        <f>J61/$K$6</f>
        <v>14.772929259259259</v>
      </c>
      <c r="L61">
        <f>'Req. Diario'!I60</f>
        <v>23.426</v>
      </c>
      <c r="M61">
        <f>L61/$M$6</f>
        <v>114.27317073170731</v>
      </c>
    </row>
    <row r="62">
      <c r="B62">
        <f>'Req. Diario'!D61</f>
        <v>5.3</v>
      </c>
      <c r="C62" t="e">
        <f>(B62-((E62*(Main!$E$31/100))+(G62*(Main!$E$36/100))+(I62*(Main!$E$46/100))+(K62*(Main!$E$51/100))))/$C$6</f>
        <v>#DIV/0!</v>
      </c>
      <c r="D62">
        <f>'Req. Diario'!E61</f>
        <v>0.35</v>
      </c>
      <c r="E62" t="e">
        <f>(D62-((C62*(Main!$F$41/100))+(G62*(Main!$F$36/100))+(I62*(Main!$F$46/100))+(K62*(Main!$F$51/100))))/$E$6</f>
        <v>#DIV/0!</v>
      </c>
      <c r="F62">
        <f>'Req. Diario'!F61</f>
        <v>6.7</v>
      </c>
      <c r="G62" t="e">
        <f>(F62-((C62*(Main!$G$41/100))+(E62*(Main!$G$31/100))+(I62*(Main!$G$46/100))+(K62*(Main!$G$51/100))))/$G$6</f>
        <v>#DIV/0!</v>
      </c>
      <c r="H62">
        <f>'Req. Diario'!G61</f>
        <v>1.1467110072950732</v>
      </c>
      <c r="I62">
        <f>H62/$I$6</f>
        <v>7.166943795594207</v>
      </c>
      <c r="J62">
        <f>'Req. Diario'!H61</f>
        <v>3.9886909000000004</v>
      </c>
      <c r="K62">
        <f>J62/$K$6</f>
        <v>14.772929259259259</v>
      </c>
      <c r="L62">
        <f>'Req. Diario'!I61</f>
        <v>23.426</v>
      </c>
      <c r="M62">
        <f>L62/$M$6</f>
        <v>114.27317073170731</v>
      </c>
    </row>
    <row r="63">
      <c r="A63">
        <v>9</v>
      </c>
      <c r="B63">
        <f>'Req. Diario'!D62</f>
        <v>5.3</v>
      </c>
      <c r="C63" t="e">
        <f>(B63-((E63*(Main!$E$31/100))+(G63*(Main!$E$36/100))+(I63*(Main!$E$46/100))+(K63*(Main!$E$51/100))))/$C$6</f>
        <v>#DIV/0!</v>
      </c>
      <c r="D63">
        <f>'Req. Diario'!E62</f>
        <v>0.35</v>
      </c>
      <c r="E63" t="e">
        <f>(D63-((C63*(Main!$F$41/100))+(G63*(Main!$F$36/100))+(I63*(Main!$F$46/100))+(K63*(Main!$F$51/100))))/$E$6</f>
        <v>#DIV/0!</v>
      </c>
      <c r="F63">
        <f>'Req. Diario'!F62</f>
        <v>6.7</v>
      </c>
      <c r="G63" t="e">
        <f>(F63-((C63*(Main!$G$41/100))+(E63*(Main!$G$31/100))+(I63*(Main!$G$46/100))+(K63*(Main!$G$51/100))))/$G$6</f>
        <v>#DIV/0!</v>
      </c>
      <c r="H63">
        <f>'Req. Diario'!G62</f>
        <v>1.1467110072950732</v>
      </c>
      <c r="I63">
        <f>H63/$I$6</f>
        <v>7.166943795594207</v>
      </c>
      <c r="J63">
        <f>'Req. Diario'!H62</f>
        <v>3.9886909000000004</v>
      </c>
      <c r="K63">
        <f>J63/$K$6</f>
        <v>14.772929259259259</v>
      </c>
      <c r="L63">
        <f>'Req. Diario'!I62</f>
        <v>23.426</v>
      </c>
      <c r="M63">
        <f>L63/$M$6</f>
        <v>114.27317073170731</v>
      </c>
    </row>
    <row r="64">
      <c r="B64">
        <f>'Req. Diario'!D63</f>
        <v>5.3</v>
      </c>
      <c r="C64" t="e">
        <f>(B64-((E64*(Main!$E$31/100))+(G64*(Main!$E$36/100))+(I64*(Main!$E$46/100))+(K64*(Main!$E$51/100))))/$C$6</f>
        <v>#DIV/0!</v>
      </c>
      <c r="D64">
        <f>'Req. Diario'!E63</f>
        <v>0.35</v>
      </c>
      <c r="E64" t="e">
        <f>(D64-((C64*(Main!$F$41/100))+(G64*(Main!$F$36/100))+(I64*(Main!$F$46/100))+(K64*(Main!$F$51/100))))/$E$6</f>
        <v>#DIV/0!</v>
      </c>
      <c r="F64">
        <f>'Req. Diario'!F63</f>
        <v>6.7</v>
      </c>
      <c r="G64" t="e">
        <f>(F64-((C64*(Main!$G$41/100))+(E64*(Main!$G$31/100))+(I64*(Main!$G$46/100))+(K64*(Main!$G$51/100))))/$G$6</f>
        <v>#DIV/0!</v>
      </c>
      <c r="H64">
        <f>'Req. Diario'!G63</f>
        <v>1.1467110072950732</v>
      </c>
      <c r="I64">
        <f>H64/$I$6</f>
        <v>7.166943795594207</v>
      </c>
      <c r="J64">
        <f>'Req. Diario'!H63</f>
        <v>3.9886909000000004</v>
      </c>
      <c r="K64">
        <f>J64/$K$6</f>
        <v>14.772929259259259</v>
      </c>
      <c r="L64">
        <f>'Req. Diario'!I63</f>
        <v>23.426</v>
      </c>
      <c r="M64">
        <f>L64/$M$6</f>
        <v>114.27317073170731</v>
      </c>
    </row>
    <row r="65">
      <c r="B65">
        <f>'Req. Diario'!D64</f>
        <v>5.3</v>
      </c>
      <c r="C65" t="e">
        <f>(B65-((E65*(Main!$E$31/100))+(G65*(Main!$E$36/100))+(I65*(Main!$E$46/100))+(K65*(Main!$E$51/100))))/$C$6</f>
        <v>#DIV/0!</v>
      </c>
      <c r="D65">
        <f>'Req. Diario'!E64</f>
        <v>0.35</v>
      </c>
      <c r="E65" t="e">
        <f>(D65-((C65*(Main!$F$41/100))+(G65*(Main!$F$36/100))+(I65*(Main!$F$46/100))+(K65*(Main!$F$51/100))))/$E$6</f>
        <v>#DIV/0!</v>
      </c>
      <c r="F65">
        <f>'Req. Diario'!F64</f>
        <v>6.7</v>
      </c>
      <c r="G65" t="e">
        <f>(F65-((C65*(Main!$G$41/100))+(E65*(Main!$G$31/100))+(I65*(Main!$G$46/100))+(K65*(Main!$G$51/100))))/$G$6</f>
        <v>#DIV/0!</v>
      </c>
      <c r="H65">
        <f>'Req. Diario'!G64</f>
        <v>1.1467110072950732</v>
      </c>
      <c r="I65">
        <f>H65/$I$6</f>
        <v>7.166943795594207</v>
      </c>
      <c r="J65">
        <f>'Req. Diario'!H64</f>
        <v>3.9886909000000004</v>
      </c>
      <c r="K65">
        <f>J65/$K$6</f>
        <v>14.772929259259259</v>
      </c>
      <c r="L65">
        <f>'Req. Diario'!I64</f>
        <v>23.426</v>
      </c>
      <c r="M65">
        <f>L65/$M$6</f>
        <v>114.27317073170731</v>
      </c>
    </row>
    <row r="66">
      <c r="B66">
        <f>'Req. Diario'!D65</f>
        <v>5.3</v>
      </c>
      <c r="C66" t="e">
        <f>(B66-((E66*(Main!$E$31/100))+(G66*(Main!$E$36/100))+(I66*(Main!$E$46/100))+(K66*(Main!$E$51/100))))/$C$6</f>
        <v>#DIV/0!</v>
      </c>
      <c r="D66">
        <f>'Req. Diario'!E65</f>
        <v>0.35</v>
      </c>
      <c r="E66" t="e">
        <f>(D66-((C66*(Main!$F$41/100))+(G66*(Main!$F$36/100))+(I66*(Main!$F$46/100))+(K66*(Main!$F$51/100))))/$E$6</f>
        <v>#DIV/0!</v>
      </c>
      <c r="F66">
        <f>'Req. Diario'!F65</f>
        <v>6.7</v>
      </c>
      <c r="G66" t="e">
        <f>(F66-((C66*(Main!$G$41/100))+(E66*(Main!$G$31/100))+(I66*(Main!$G$46/100))+(K66*(Main!$G$51/100))))/$G$6</f>
        <v>#DIV/0!</v>
      </c>
      <c r="H66">
        <f>'Req. Diario'!G65</f>
        <v>1.1467110072950732</v>
      </c>
      <c r="I66">
        <f>H66/$I$6</f>
        <v>7.166943795594207</v>
      </c>
      <c r="J66">
        <f>'Req. Diario'!H65</f>
        <v>3.9886909000000004</v>
      </c>
      <c r="K66">
        <f>J66/$K$6</f>
        <v>14.772929259259259</v>
      </c>
      <c r="L66">
        <f>'Req. Diario'!I65</f>
        <v>23.426</v>
      </c>
      <c r="M66">
        <f>L66/$M$6</f>
        <v>114.27317073170731</v>
      </c>
    </row>
    <row r="67">
      <c r="B67">
        <f>'Req. Diario'!D66</f>
        <v>9.153846153846153</v>
      </c>
      <c r="C67" t="e">
        <f>(B67-((E67*(Main!$E$31/100))+(G67*(Main!$E$36/100))+(I67*(Main!$E$46/100))+(K67*(Main!$E$51/100))))/$C$6</f>
        <v>#DIV/0!</v>
      </c>
      <c r="D67">
        <f>'Req. Diario'!E66</f>
        <v>0.5384615384615384</v>
      </c>
      <c r="E67" t="e">
        <f>(D67-((C67*(Main!$F$41/100))+(G67*(Main!$F$36/100))+(I67*(Main!$F$46/100))+(K67*(Main!$F$51/100))))/$E$6</f>
        <v>#DIV/0!</v>
      </c>
      <c r="F67">
        <f>'Req. Diario'!F66</f>
        <v>9.615384615384615</v>
      </c>
      <c r="G67" t="e">
        <f>(F67-((C67*(Main!$G$41/100))+(E67*(Main!$G$31/100))+(I67*(Main!$G$46/100))+(K67*(Main!$G$51/100))))/$G$6</f>
        <v>#DIV/0!</v>
      </c>
      <c r="H67">
        <f>'Req. Diario'!G66</f>
        <v>1.645681698184663</v>
      </c>
      <c r="I67">
        <f>H67/$I$6</f>
        <v>10.285510613654143</v>
      </c>
      <c r="J67">
        <f>'Req. Diario'!H66</f>
        <v>5.724298076923077</v>
      </c>
      <c r="K67">
        <f>J67/$K$6</f>
        <v>21.201103988603986</v>
      </c>
      <c r="L67">
        <f>'Req. Diario'!I66</f>
        <v>23.426</v>
      </c>
      <c r="M67">
        <f>L67/$M$6</f>
        <v>114.27317073170731</v>
      </c>
    </row>
    <row r="68">
      <c r="B68">
        <f>'Req. Diario'!D67</f>
        <v>9.153846153846153</v>
      </c>
      <c r="C68" t="e">
        <f>(B68-((E68*(Main!$E$31/100))+(G68*(Main!$E$36/100))+(I68*(Main!$E$46/100))+(K68*(Main!$E$51/100))))/$C$6</f>
        <v>#DIV/0!</v>
      </c>
      <c r="D68">
        <f>'Req. Diario'!E67</f>
        <v>0.5384615384615384</v>
      </c>
      <c r="E68" t="e">
        <f>(D68-((C68*(Main!$F$41/100))+(G68*(Main!$F$36/100))+(I68*(Main!$F$46/100))+(K68*(Main!$F$51/100))))/$E$6</f>
        <v>#DIV/0!</v>
      </c>
      <c r="F68">
        <f>'Req. Diario'!F67</f>
        <v>9.615384615384615</v>
      </c>
      <c r="G68" t="e">
        <f>(F68-((C68*(Main!$G$41/100))+(E68*(Main!$G$31/100))+(I68*(Main!$G$46/100))+(K68*(Main!$G$51/100))))/$G$6</f>
        <v>#DIV/0!</v>
      </c>
      <c r="H68">
        <f>'Req. Diario'!G67</f>
        <v>1.645681698184663</v>
      </c>
      <c r="I68">
        <f>H68/$I$6</f>
        <v>10.285510613654143</v>
      </c>
      <c r="J68">
        <f>'Req. Diario'!H67</f>
        <v>5.724298076923077</v>
      </c>
      <c r="K68">
        <f>J68/$K$6</f>
        <v>21.201103988603986</v>
      </c>
      <c r="L68">
        <f>'Req. Diario'!I67</f>
        <v>23.426</v>
      </c>
      <c r="M68">
        <f>L68/$M$6</f>
        <v>114.27317073170731</v>
      </c>
    </row>
    <row r="69">
      <c r="B69">
        <f>'Req. Diario'!D68</f>
        <v>9.153846153846153</v>
      </c>
      <c r="C69" t="e">
        <f>(B69-((E69*(Main!$E$31/100))+(G69*(Main!$E$36/100))+(I69*(Main!$E$46/100))+(K69*(Main!$E$51/100))))/$C$6</f>
        <v>#DIV/0!</v>
      </c>
      <c r="D69">
        <f>'Req. Diario'!E68</f>
        <v>0.5384615384615384</v>
      </c>
      <c r="E69" t="e">
        <f>(D69-((C69*(Main!$F$41/100))+(G69*(Main!$F$36/100))+(I69*(Main!$F$46/100))+(K69*(Main!$F$51/100))))/$E$6</f>
        <v>#DIV/0!</v>
      </c>
      <c r="F69">
        <f>'Req. Diario'!F68</f>
        <v>9.615384615384615</v>
      </c>
      <c r="G69" t="e">
        <f>(F69-((C69*(Main!$G$41/100))+(E69*(Main!$G$31/100))+(I69*(Main!$G$46/100))+(K69*(Main!$G$51/100))))/$G$6</f>
        <v>#DIV/0!</v>
      </c>
      <c r="H69">
        <f>'Req. Diario'!G68</f>
        <v>1.645681698184663</v>
      </c>
      <c r="I69">
        <f>H69/$I$6</f>
        <v>10.285510613654143</v>
      </c>
      <c r="J69">
        <f>'Req. Diario'!H68</f>
        <v>5.724298076923077</v>
      </c>
      <c r="K69">
        <f>J69/$K$6</f>
        <v>21.201103988603986</v>
      </c>
      <c r="L69">
        <f>'Req. Diario'!I68</f>
        <v>29.5372</v>
      </c>
      <c r="M69">
        <f>L69/$M$6</f>
        <v>144.0839024390244</v>
      </c>
    </row>
    <row r="70">
      <c r="A70">
        <v>10</v>
      </c>
      <c r="B70">
        <f>'Req. Diario'!D69</f>
        <v>9.153846153846153</v>
      </c>
      <c r="C70" t="e">
        <f>(B70-((E70*(Main!$E$31/100))+(G70*(Main!$E$36/100))+(I70*(Main!$E$46/100))+(K70*(Main!$E$51/100))))/$C$6</f>
        <v>#DIV/0!</v>
      </c>
      <c r="D70">
        <f>'Req. Diario'!E69</f>
        <v>0.5384615384615384</v>
      </c>
      <c r="E70" t="e">
        <f>(D70-((C70*(Main!$F$41/100))+(G70*(Main!$F$36/100))+(I70*(Main!$F$46/100))+(K70*(Main!$F$51/100))))/$E$6</f>
        <v>#DIV/0!</v>
      </c>
      <c r="F70">
        <f>'Req. Diario'!F69</f>
        <v>9.615384615384615</v>
      </c>
      <c r="G70" t="e">
        <f>(F70-((C70*(Main!$G$41/100))+(E70*(Main!$G$31/100))+(I70*(Main!$G$46/100))+(K70*(Main!$G$51/100))))/$G$6</f>
        <v>#DIV/0!</v>
      </c>
      <c r="H70">
        <f>'Req. Diario'!G69</f>
        <v>1.645681698184663</v>
      </c>
      <c r="I70">
        <f>H70/$I$6</f>
        <v>10.285510613654143</v>
      </c>
      <c r="J70">
        <f>'Req. Diario'!H69</f>
        <v>5.724298076923077</v>
      </c>
      <c r="K70">
        <f>J70/$K$6</f>
        <v>21.201103988603986</v>
      </c>
      <c r="L70">
        <f>'Req. Diario'!I69</f>
        <v>29.5372</v>
      </c>
      <c r="M70">
        <f>L70/$M$6</f>
        <v>144.0839024390244</v>
      </c>
    </row>
    <row r="71">
      <c r="B71">
        <f>'Req. Diario'!D70</f>
        <v>9.153846153846153</v>
      </c>
      <c r="C71" t="e">
        <f>(B71-((E71*(Main!$E$31/100))+(G71*(Main!$E$36/100))+(I71*(Main!$E$46/100))+(K71*(Main!$E$51/100))))/$C$6</f>
        <v>#DIV/0!</v>
      </c>
      <c r="D71">
        <f>'Req. Diario'!E70</f>
        <v>0.5384615384615384</v>
      </c>
      <c r="E71" t="e">
        <f>(D71-((C71*(Main!$F$41/100))+(G71*(Main!$F$36/100))+(I71*(Main!$F$46/100))+(K71*(Main!$F$51/100))))/$E$6</f>
        <v>#DIV/0!</v>
      </c>
      <c r="F71">
        <f>'Req. Diario'!F70</f>
        <v>9.615384615384615</v>
      </c>
      <c r="G71" t="e">
        <f>(F71-((C71*(Main!$G$41/100))+(E71*(Main!$G$31/100))+(I71*(Main!$G$46/100))+(K71*(Main!$G$51/100))))/$G$6</f>
        <v>#DIV/0!</v>
      </c>
      <c r="H71">
        <f>'Req. Diario'!G70</f>
        <v>1.645681698184663</v>
      </c>
      <c r="I71">
        <f>H71/$I$6</f>
        <v>10.285510613654143</v>
      </c>
      <c r="J71">
        <f>'Req. Diario'!H70</f>
        <v>5.724298076923077</v>
      </c>
      <c r="K71">
        <f>J71/$K$6</f>
        <v>21.201103988603986</v>
      </c>
      <c r="L71">
        <f>'Req. Diario'!I70</f>
        <v>29.5372</v>
      </c>
      <c r="M71">
        <f>L71/$M$6</f>
        <v>144.0839024390244</v>
      </c>
    </row>
    <row r="72">
      <c r="B72">
        <f>'Req. Diario'!D71</f>
        <v>9.153846153846153</v>
      </c>
      <c r="C72" t="e">
        <f>(B72-((E72*(Main!$E$31/100))+(G72*(Main!$E$36/100))+(I72*(Main!$E$46/100))+(K72*(Main!$E$51/100))))/$C$6</f>
        <v>#DIV/0!</v>
      </c>
      <c r="D72">
        <f>'Req. Diario'!E71</f>
        <v>0.5384615384615384</v>
      </c>
      <c r="E72" t="e">
        <f>(D72-((C72*(Main!$F$41/100))+(G72*(Main!$F$36/100))+(I72*(Main!$F$46/100))+(K72*(Main!$F$51/100))))/$E$6</f>
        <v>#DIV/0!</v>
      </c>
      <c r="F72">
        <f>'Req. Diario'!F71</f>
        <v>9.615384615384615</v>
      </c>
      <c r="G72" t="e">
        <f>(F72-((C72*(Main!$G$41/100))+(E72*(Main!$G$31/100))+(I72*(Main!$G$46/100))+(K72*(Main!$G$51/100))))/$G$6</f>
        <v>#DIV/0!</v>
      </c>
      <c r="H72">
        <f>'Req. Diario'!G71</f>
        <v>1.645681698184663</v>
      </c>
      <c r="I72">
        <f>H72/$I$6</f>
        <v>10.285510613654143</v>
      </c>
      <c r="J72">
        <f>'Req. Diario'!H71</f>
        <v>5.724298076923077</v>
      </c>
      <c r="K72">
        <f>J72/$K$6</f>
        <v>21.201103988603986</v>
      </c>
      <c r="L72">
        <f>'Req. Diario'!I71</f>
        <v>29.5372</v>
      </c>
      <c r="M72">
        <f>L72/$M$6</f>
        <v>144.0839024390244</v>
      </c>
    </row>
    <row r="73">
      <c r="B73">
        <f>'Req. Diario'!D72</f>
        <v>9.153846153846153</v>
      </c>
      <c r="C73" t="e">
        <f>(B73-((E73*(Main!$E$31/100))+(G73*(Main!$E$36/100))+(I73*(Main!$E$46/100))+(K73*(Main!$E$51/100))))/$C$6</f>
        <v>#DIV/0!</v>
      </c>
      <c r="D73">
        <f>'Req. Diario'!E72</f>
        <v>0.5384615384615384</v>
      </c>
      <c r="E73" t="e">
        <f>(D73-((C73*(Main!$F$41/100))+(G73*(Main!$F$36/100))+(I73*(Main!$F$46/100))+(K73*(Main!$F$51/100))))/$E$6</f>
        <v>#DIV/0!</v>
      </c>
      <c r="F73">
        <f>'Req. Diario'!F72</f>
        <v>9.615384615384615</v>
      </c>
      <c r="G73" t="e">
        <f>(F73-((C73*(Main!$G$41/100))+(E73*(Main!$G$31/100))+(I73*(Main!$G$46/100))+(K73*(Main!$G$51/100))))/$G$6</f>
        <v>#DIV/0!</v>
      </c>
      <c r="H73">
        <f>'Req. Diario'!G72</f>
        <v>1.645681698184663</v>
      </c>
      <c r="I73">
        <f>H73/$I$6</f>
        <v>10.285510613654143</v>
      </c>
      <c r="J73">
        <f>'Req. Diario'!H72</f>
        <v>5.724298076923077</v>
      </c>
      <c r="K73">
        <f>J73/$K$6</f>
        <v>21.201103988603986</v>
      </c>
      <c r="L73">
        <f>'Req. Diario'!I72</f>
        <v>29.5372</v>
      </c>
      <c r="M73">
        <f>L73/$M$6</f>
        <v>144.0839024390244</v>
      </c>
    </row>
    <row r="74">
      <c r="B74">
        <f>'Req. Diario'!D73</f>
        <v>9.153846153846153</v>
      </c>
      <c r="C74" t="e">
        <f>(B74-((E74*(Main!$E$31/100))+(G74*(Main!$E$36/100))+(I74*(Main!$E$46/100))+(K74*(Main!$E$51/100))))/$C$6</f>
        <v>#DIV/0!</v>
      </c>
      <c r="D74">
        <f>'Req. Diario'!E73</f>
        <v>0.5384615384615384</v>
      </c>
      <c r="E74" t="e">
        <f>(D74-((C74*(Main!$F$41/100))+(G74*(Main!$F$36/100))+(I74*(Main!$F$46/100))+(K74*(Main!$F$51/100))))/$E$6</f>
        <v>#DIV/0!</v>
      </c>
      <c r="F74">
        <f>'Req. Diario'!F73</f>
        <v>9.615384615384615</v>
      </c>
      <c r="G74" t="e">
        <f>(F74-((C74*(Main!$G$41/100))+(E74*(Main!$G$31/100))+(I74*(Main!$G$46/100))+(K74*(Main!$G$51/100))))/$G$6</f>
        <v>#DIV/0!</v>
      </c>
      <c r="H74">
        <f>'Req. Diario'!G73</f>
        <v>1.645681698184663</v>
      </c>
      <c r="I74">
        <f>H74/$I$6</f>
        <v>10.285510613654143</v>
      </c>
      <c r="J74">
        <f>'Req. Diario'!H73</f>
        <v>5.724298076923077</v>
      </c>
      <c r="K74">
        <f>J74/$K$6</f>
        <v>21.201103988603986</v>
      </c>
      <c r="L74">
        <f>'Req. Diario'!I73</f>
        <v>29.5372</v>
      </c>
      <c r="M74">
        <f>L74/$M$6</f>
        <v>144.0839024390244</v>
      </c>
    </row>
    <row r="75">
      <c r="B75">
        <f>'Req. Diario'!D74</f>
        <v>9.153846153846153</v>
      </c>
      <c r="C75" t="e">
        <f>(B75-((E75*(Main!$E$31/100))+(G75*(Main!$E$36/100))+(I75*(Main!$E$46/100))+(K75*(Main!$E$51/100))))/$C$6</f>
        <v>#DIV/0!</v>
      </c>
      <c r="D75">
        <f>'Req. Diario'!E74</f>
        <v>0.5384615384615384</v>
      </c>
      <c r="E75" t="e">
        <f>(D75-((C75*(Main!$F$41/100))+(G75*(Main!$F$36/100))+(I75*(Main!$F$46/100))+(K75*(Main!$F$51/100))))/$E$6</f>
        <v>#DIV/0!</v>
      </c>
      <c r="F75">
        <f>'Req. Diario'!F74</f>
        <v>9.615384615384615</v>
      </c>
      <c r="G75" t="e">
        <f>(F75-((C75*(Main!$G$41/100))+(E75*(Main!$G$31/100))+(I75*(Main!$G$46/100))+(K75*(Main!$G$51/100))))/$G$6</f>
        <v>#DIV/0!</v>
      </c>
      <c r="H75">
        <f>'Req. Diario'!G74</f>
        <v>1.645681698184663</v>
      </c>
      <c r="I75">
        <f>H75/$I$6</f>
        <v>10.285510613654143</v>
      </c>
      <c r="J75">
        <f>'Req. Diario'!H74</f>
        <v>5.724298076923077</v>
      </c>
      <c r="K75">
        <f>J75/$K$6</f>
        <v>21.201103988603986</v>
      </c>
      <c r="L75">
        <f>'Req. Diario'!I74</f>
        <v>29.5372</v>
      </c>
      <c r="M75">
        <f>L75/$M$6</f>
        <v>144.0839024390244</v>
      </c>
    </row>
    <row r="76">
      <c r="B76">
        <f>'Req. Diario'!D75</f>
        <v>9.153846153846153</v>
      </c>
      <c r="C76" t="e">
        <f>(B76-((E76*(Main!$E$31/100))+(G76*(Main!$E$36/100))+(I76*(Main!$E$46/100))+(K76*(Main!$E$51/100))))/$C$6</f>
        <v>#DIV/0!</v>
      </c>
      <c r="D76">
        <f>'Req. Diario'!E75</f>
        <v>0.5384615384615384</v>
      </c>
      <c r="E76" t="e">
        <f>(D76-((C76*(Main!$F$41/100))+(G76*(Main!$F$36/100))+(I76*(Main!$F$46/100))+(K76*(Main!$F$51/100))))/$E$6</f>
        <v>#DIV/0!</v>
      </c>
      <c r="F76">
        <f>'Req. Diario'!F75</f>
        <v>9.615384615384615</v>
      </c>
      <c r="G76" t="e">
        <f>(F76-((C76*(Main!$G$41/100))+(E76*(Main!$G$31/100))+(I76*(Main!$G$46/100))+(K76*(Main!$G$51/100))))/$G$6</f>
        <v>#DIV/0!</v>
      </c>
      <c r="H76">
        <f>'Req. Diario'!G75</f>
        <v>1.645681698184663</v>
      </c>
      <c r="I76">
        <f>H76/$I$6</f>
        <v>10.285510613654143</v>
      </c>
      <c r="J76">
        <f>'Req. Diario'!H75</f>
        <v>5.724298076923077</v>
      </c>
      <c r="K76">
        <f>J76/$K$6</f>
        <v>21.201103988603986</v>
      </c>
      <c r="L76">
        <f>'Req. Diario'!I75</f>
        <v>29.5372</v>
      </c>
      <c r="M76">
        <f>L76/$M$6</f>
        <v>144.0839024390244</v>
      </c>
    </row>
    <row r="77">
      <c r="A77">
        <v>11</v>
      </c>
      <c r="B77">
        <f>'Req. Diario'!D76</f>
        <v>9.153846153846153</v>
      </c>
      <c r="C77" t="e">
        <f>(B77-((E77*(Main!$E$31/100))+(G77*(Main!$E$36/100))+(I77*(Main!$E$46/100))+(K77*(Main!$E$51/100))))/$C$6</f>
        <v>#DIV/0!</v>
      </c>
      <c r="D77">
        <f>'Req. Diario'!E76</f>
        <v>0.5384615384615384</v>
      </c>
      <c r="E77" t="e">
        <f>(D77-((C77*(Main!$F$41/100))+(G77*(Main!$F$36/100))+(I77*(Main!$F$46/100))+(K77*(Main!$F$51/100))))/$E$6</f>
        <v>#DIV/0!</v>
      </c>
      <c r="F77">
        <f>'Req. Diario'!F76</f>
        <v>9.615384615384615</v>
      </c>
      <c r="G77" t="e">
        <f>(F77-((C77*(Main!$G$41/100))+(E77*(Main!$G$31/100))+(I77*(Main!$G$46/100))+(K77*(Main!$G$51/100))))/$G$6</f>
        <v>#DIV/0!</v>
      </c>
      <c r="H77">
        <f>'Req. Diario'!G76</f>
        <v>1.645681698184663</v>
      </c>
      <c r="I77">
        <f>H77/$I$6</f>
        <v>10.285510613654143</v>
      </c>
      <c r="J77">
        <f>'Req. Diario'!H76</f>
        <v>5.724298076923077</v>
      </c>
      <c r="K77">
        <f>J77/$K$6</f>
        <v>21.201103988603986</v>
      </c>
      <c r="L77">
        <f>'Req. Diario'!I76</f>
        <v>29.5372</v>
      </c>
      <c r="M77">
        <f>L77/$M$6</f>
        <v>144.0839024390244</v>
      </c>
    </row>
    <row r="78">
      <c r="B78">
        <f>'Req. Diario'!D77</f>
        <v>9.153846153846153</v>
      </c>
      <c r="C78" t="e">
        <f>(B78-((E78*(Main!$E$31/100))+(G78*(Main!$E$36/100))+(I78*(Main!$E$46/100))+(K78*(Main!$E$51/100))))/$C$6</f>
        <v>#DIV/0!</v>
      </c>
      <c r="D78">
        <f>'Req. Diario'!E77</f>
        <v>0.5384615384615384</v>
      </c>
      <c r="E78" t="e">
        <f>(D78-((C78*(Main!$F$41/100))+(G78*(Main!$F$36/100))+(I78*(Main!$F$46/100))+(K78*(Main!$F$51/100))))/$E$6</f>
        <v>#DIV/0!</v>
      </c>
      <c r="F78">
        <f>'Req. Diario'!F77</f>
        <v>9.615384615384615</v>
      </c>
      <c r="G78" t="e">
        <f>(F78-((C78*(Main!$G$41/100))+(E78*(Main!$G$31/100))+(I78*(Main!$G$46/100))+(K78*(Main!$G$51/100))))/$G$6</f>
        <v>#DIV/0!</v>
      </c>
      <c r="H78">
        <f>'Req. Diario'!G77</f>
        <v>1.645681698184663</v>
      </c>
      <c r="I78">
        <f>H78/$I$6</f>
        <v>10.285510613654143</v>
      </c>
      <c r="J78">
        <f>'Req. Diario'!H77</f>
        <v>5.724298076923077</v>
      </c>
      <c r="K78">
        <f>J78/$K$6</f>
        <v>21.201103988603986</v>
      </c>
      <c r="L78">
        <f>'Req. Diario'!I77</f>
        <v>29.5372</v>
      </c>
      <c r="M78">
        <f>L78/$M$6</f>
        <v>144.0839024390244</v>
      </c>
    </row>
    <row r="79">
      <c r="B79">
        <f>'Req. Diario'!D78</f>
        <v>9.153846153846153</v>
      </c>
      <c r="C79" t="e">
        <f>(B79-((E79*(Main!$E$31/100))+(G79*(Main!$E$36/100))+(I79*(Main!$E$46/100))+(K79*(Main!$E$51/100))))/$C$6</f>
        <v>#DIV/0!</v>
      </c>
      <c r="D79">
        <f>'Req. Diario'!E78</f>
        <v>0.5384615384615384</v>
      </c>
      <c r="E79" t="e">
        <f>(D79-((C79*(Main!$F$41/100))+(G79*(Main!$F$36/100))+(I79*(Main!$F$46/100))+(K79*(Main!$F$51/100))))/$E$6</f>
        <v>#DIV/0!</v>
      </c>
      <c r="F79">
        <f>'Req. Diario'!F78</f>
        <v>9.615384615384615</v>
      </c>
      <c r="G79" t="e">
        <f>(F79-((C79*(Main!$G$41/100))+(E79*(Main!$G$31/100))+(I79*(Main!$G$46/100))+(K79*(Main!$G$51/100))))/$G$6</f>
        <v>#DIV/0!</v>
      </c>
      <c r="H79">
        <f>'Req. Diario'!G78</f>
        <v>1.645681698184663</v>
      </c>
      <c r="I79">
        <f>H79/$I$6</f>
        <v>10.285510613654143</v>
      </c>
      <c r="J79">
        <f>'Req. Diario'!H78</f>
        <v>5.724298076923077</v>
      </c>
      <c r="K79">
        <f>J79/$K$6</f>
        <v>21.201103988603986</v>
      </c>
      <c r="L79">
        <f>'Req. Diario'!I78</f>
        <v>29.5372</v>
      </c>
      <c r="M79">
        <f>L79/$M$6</f>
        <v>144.0839024390244</v>
      </c>
    </row>
    <row r="80">
      <c r="B80">
        <f>'Req. Diario'!D79</f>
        <v>2.0714285714285716</v>
      </c>
      <c r="C80" t="e">
        <f>(B80-((E80*(Main!$E$31/100))+(G80*(Main!$E$36/100))+(I80*(Main!$E$46/100))+(K80*(Main!$E$51/100))))/$C$6</f>
        <v>#DIV/0!</v>
      </c>
      <c r="D80">
        <f>'Req. Diario'!E79</f>
        <v>0.21428571428571427</v>
      </c>
      <c r="E80" t="e">
        <f>(D80-((C80*(Main!$F$41/100))+(G80*(Main!$F$36/100))+(I80*(Main!$F$46/100))+(K80*(Main!$F$51/100))))/$E$6</f>
        <v>#DIV/0!</v>
      </c>
      <c r="F80">
        <f>'Req. Diario'!F79</f>
        <v>2.5714285714285716</v>
      </c>
      <c r="G80" t="e">
        <f>(F80-((C80*(Main!$G$41/100))+(E80*(Main!$G$31/100))+(I80*(Main!$G$46/100))+(K80*(Main!$G$51/100))))/$G$6</f>
        <v>#DIV/0!</v>
      </c>
      <c r="H80">
        <f>'Req. Diario'!G79</f>
        <v>0.44010230557166996</v>
      </c>
      <c r="I80">
        <f>H80/$I$6</f>
        <v>2.750639409822937</v>
      </c>
      <c r="J80">
        <f>'Req. Diario'!H79</f>
        <v>1.5308408571428573</v>
      </c>
      <c r="K80">
        <f>J80/$K$6</f>
        <v>5.669780952380953</v>
      </c>
      <c r="L80">
        <f>'Req. Diario'!I79</f>
        <v>29.5372</v>
      </c>
      <c r="M80">
        <f>L80/$M$6</f>
        <v>144.0839024390244</v>
      </c>
    </row>
    <row r="81">
      <c r="B81">
        <f>'Req. Diario'!D80</f>
        <v>2.0714285714285716</v>
      </c>
      <c r="C81" t="e">
        <f>(B81-((E81*(Main!$E$31/100))+(G81*(Main!$E$36/100))+(I81*(Main!$E$46/100))+(K81*(Main!$E$51/100))))/$C$6</f>
        <v>#DIV/0!</v>
      </c>
      <c r="D81">
        <f>'Req. Diario'!E80</f>
        <v>0.21428571428571427</v>
      </c>
      <c r="E81" t="e">
        <f>(D81-((C81*(Main!$F$41/100))+(G81*(Main!$F$36/100))+(I81*(Main!$F$46/100))+(K81*(Main!$F$51/100))))/$E$6</f>
        <v>#DIV/0!</v>
      </c>
      <c r="F81">
        <f>'Req. Diario'!F80</f>
        <v>2.5714285714285716</v>
      </c>
      <c r="G81" t="e">
        <f>(F81-((C81*(Main!$G$41/100))+(E81*(Main!$G$31/100))+(I81*(Main!$G$46/100))+(K81*(Main!$G$51/100))))/$G$6</f>
        <v>#DIV/0!</v>
      </c>
      <c r="H81">
        <f>'Req. Diario'!G80</f>
        <v>0.44010230557166996</v>
      </c>
      <c r="I81">
        <f>H81/$I$6</f>
        <v>2.750639409822937</v>
      </c>
      <c r="J81">
        <f>'Req. Diario'!H80</f>
        <v>1.5308408571428573</v>
      </c>
      <c r="K81">
        <f>J81/$K$6</f>
        <v>5.669780952380953</v>
      </c>
      <c r="L81">
        <f>'Req. Diario'!I80</f>
        <v>29.5372</v>
      </c>
      <c r="M81">
        <f>L81/$M$6</f>
        <v>144.0839024390244</v>
      </c>
    </row>
    <row r="82">
      <c r="B82">
        <f>'Req. Diario'!D81</f>
        <v>2.0714285714285716</v>
      </c>
      <c r="C82" t="e">
        <f>(B82-((E82*(Main!$E$31/100))+(G82*(Main!$E$36/100))+(I82*(Main!$E$46/100))+(K82*(Main!$E$51/100))))/$C$6</f>
        <v>#DIV/0!</v>
      </c>
      <c r="D82">
        <f>'Req. Diario'!E81</f>
        <v>0.21428571428571427</v>
      </c>
      <c r="E82" t="e">
        <f>(D82-((C82*(Main!$F$41/100))+(G82*(Main!$F$36/100))+(I82*(Main!$F$46/100))+(K82*(Main!$F$51/100))))/$E$6</f>
        <v>#DIV/0!</v>
      </c>
      <c r="F82">
        <f>'Req. Diario'!F81</f>
        <v>2.5714285714285716</v>
      </c>
      <c r="G82" t="e">
        <f>(F82-((C82*(Main!$G$41/100))+(E82*(Main!$G$31/100))+(I82*(Main!$G$46/100))+(K82*(Main!$G$51/100))))/$G$6</f>
        <v>#DIV/0!</v>
      </c>
      <c r="H82">
        <f>'Req. Diario'!G81</f>
        <v>0.44010230557166996</v>
      </c>
      <c r="I82">
        <f>H82/$I$6</f>
        <v>2.750639409822937</v>
      </c>
      <c r="J82">
        <f>'Req. Diario'!H81</f>
        <v>1.5308408571428573</v>
      </c>
      <c r="K82">
        <f>J82/$K$6</f>
        <v>5.669780952380953</v>
      </c>
      <c r="L82">
        <f>'Req. Diario'!I81</f>
        <v>29.5372</v>
      </c>
      <c r="M82">
        <f>L82/$M$6</f>
        <v>144.0839024390244</v>
      </c>
    </row>
    <row r="83">
      <c r="B83">
        <f>'Req. Diario'!D82</f>
        <v>2.0714285714285716</v>
      </c>
      <c r="C83" t="e">
        <f>(B83-((E83*(Main!$E$31/100))+(G83*(Main!$E$36/100))+(I83*(Main!$E$46/100))+(K83*(Main!$E$51/100))))/$C$6</f>
        <v>#DIV/0!</v>
      </c>
      <c r="D83">
        <f>'Req. Diario'!E82</f>
        <v>0.21428571428571427</v>
      </c>
      <c r="E83" t="e">
        <f>(D83-((C83*(Main!$F$41/100))+(G83*(Main!$F$36/100))+(I83*(Main!$F$46/100))+(K83*(Main!$F$51/100))))/$E$6</f>
        <v>#DIV/0!</v>
      </c>
      <c r="F83">
        <f>'Req. Diario'!F82</f>
        <v>2.5714285714285716</v>
      </c>
      <c r="G83" t="e">
        <f>(F83-((C83*(Main!$G$41/100))+(E83*(Main!$G$31/100))+(I83*(Main!$G$46/100))+(K83*(Main!$G$51/100))))/$G$6</f>
        <v>#DIV/0!</v>
      </c>
      <c r="H83">
        <f>'Req. Diario'!G82</f>
        <v>0.44010230557166996</v>
      </c>
      <c r="I83">
        <f>H83/$I$6</f>
        <v>2.750639409822937</v>
      </c>
      <c r="J83">
        <f>'Req. Diario'!H82</f>
        <v>1.5308408571428573</v>
      </c>
      <c r="K83">
        <f>J83/$K$6</f>
        <v>5.669780952380953</v>
      </c>
      <c r="L83">
        <f>'Req. Diario'!I82</f>
        <v>29.5372</v>
      </c>
      <c r="M83">
        <f>L83/$M$6</f>
        <v>144.0839024390244</v>
      </c>
    </row>
    <row r="84">
      <c r="A84">
        <v>12</v>
      </c>
      <c r="B84">
        <f>'Req. Diario'!D83</f>
        <v>2.0714285714285716</v>
      </c>
      <c r="C84" t="e">
        <f>(B84-((E84*(Main!$E$31/100))+(G84*(Main!$E$36/100))+(I84*(Main!$E$46/100))+(K84*(Main!$E$51/100))))/$C$6</f>
        <v>#DIV/0!</v>
      </c>
      <c r="D84">
        <f>'Req. Diario'!E83</f>
        <v>0.21428571428571427</v>
      </c>
      <c r="E84" t="e">
        <f>(D84-((C84*(Main!$F$41/100))+(G84*(Main!$F$36/100))+(I84*(Main!$F$46/100))+(K84*(Main!$F$51/100))))/$E$6</f>
        <v>#DIV/0!</v>
      </c>
      <c r="F84">
        <f>'Req. Diario'!F83</f>
        <v>2.5714285714285716</v>
      </c>
      <c r="G84" t="e">
        <f>(F84-((C84*(Main!$G$41/100))+(E84*(Main!$G$31/100))+(I84*(Main!$G$46/100))+(K84*(Main!$G$51/100))))/$G$6</f>
        <v>#DIV/0!</v>
      </c>
      <c r="H84">
        <f>'Req. Diario'!G83</f>
        <v>0.44010230557166996</v>
      </c>
      <c r="I84">
        <f>H84/$I$6</f>
        <v>2.750639409822937</v>
      </c>
      <c r="J84">
        <f>'Req. Diario'!H83</f>
        <v>1.5308408571428573</v>
      </c>
      <c r="K84">
        <f>J84/$K$6</f>
        <v>5.669780952380953</v>
      </c>
      <c r="L84">
        <f>'Req. Diario'!I83</f>
        <v>29.5372</v>
      </c>
      <c r="M84">
        <f>L84/$M$6</f>
        <v>144.0839024390244</v>
      </c>
    </row>
    <row r="85">
      <c r="B85">
        <f>'Req. Diario'!D84</f>
        <v>2.0714285714285716</v>
      </c>
      <c r="C85" t="e">
        <f>(B85-((E85*(Main!$E$31/100))+(G85*(Main!$E$36/100))+(I85*(Main!$E$46/100))+(K85*(Main!$E$51/100))))/$C$6</f>
        <v>#DIV/0!</v>
      </c>
      <c r="D85">
        <f>'Req. Diario'!E84</f>
        <v>0.21428571428571427</v>
      </c>
      <c r="E85" t="e">
        <f>(D85-((C85*(Main!$F$41/100))+(G85*(Main!$F$36/100))+(I85*(Main!$F$46/100))+(K85*(Main!$F$51/100))))/$E$6</f>
        <v>#DIV/0!</v>
      </c>
      <c r="F85">
        <f>'Req. Diario'!F84</f>
        <v>2.5714285714285716</v>
      </c>
      <c r="G85" t="e">
        <f>(F85-((C85*(Main!$G$41/100))+(E85*(Main!$G$31/100))+(I85*(Main!$G$46/100))+(K85*(Main!$G$51/100))))/$G$6</f>
        <v>#DIV/0!</v>
      </c>
      <c r="H85">
        <f>'Req. Diario'!G84</f>
        <v>0.44010230557166996</v>
      </c>
      <c r="I85">
        <f>H85/$I$6</f>
        <v>2.750639409822937</v>
      </c>
      <c r="J85">
        <f>'Req. Diario'!H84</f>
        <v>1.5308408571428573</v>
      </c>
      <c r="K85">
        <f>J85/$K$6</f>
        <v>5.669780952380953</v>
      </c>
      <c r="L85">
        <f>'Req. Diario'!I84</f>
        <v>29.5372</v>
      </c>
      <c r="M85">
        <f>L85/$M$6</f>
        <v>144.0839024390244</v>
      </c>
    </row>
    <row r="86">
      <c r="B86">
        <f>'Req. Diario'!D85</f>
        <v>2.0714285714285716</v>
      </c>
      <c r="C86" t="e">
        <f>(B86-((E86*(Main!$E$31/100))+(G86*(Main!$E$36/100))+(I86*(Main!$E$46/100))+(K86*(Main!$E$51/100))))/$C$6</f>
        <v>#DIV/0!</v>
      </c>
      <c r="D86">
        <f>'Req. Diario'!E85</f>
        <v>0.21428571428571427</v>
      </c>
      <c r="E86" t="e">
        <f>(D86-((C86*(Main!$F$41/100))+(G86*(Main!$F$36/100))+(I86*(Main!$F$46/100))+(K86*(Main!$F$51/100))))/$E$6</f>
        <v>#DIV/0!</v>
      </c>
      <c r="F86">
        <f>'Req. Diario'!F85</f>
        <v>2.5714285714285716</v>
      </c>
      <c r="G86" t="e">
        <f>(F86-((C86*(Main!$G$41/100))+(E86*(Main!$G$31/100))+(I86*(Main!$G$46/100))+(K86*(Main!$G$51/100))))/$G$6</f>
        <v>#DIV/0!</v>
      </c>
      <c r="H86">
        <f>'Req. Diario'!G85</f>
        <v>0.44010230557166996</v>
      </c>
      <c r="I86">
        <f>H86/$I$6</f>
        <v>2.750639409822937</v>
      </c>
      <c r="J86">
        <f>'Req. Diario'!H85</f>
        <v>1.5308408571428573</v>
      </c>
      <c r="K86">
        <f>J86/$K$6</f>
        <v>5.669780952380953</v>
      </c>
      <c r="L86">
        <f>'Req. Diario'!I85</f>
        <v>29.5372</v>
      </c>
      <c r="M86">
        <f>L86/$M$6</f>
        <v>144.0839024390244</v>
      </c>
    </row>
    <row r="87">
      <c r="B87">
        <f>'Req. Diario'!D86</f>
        <v>2.0714285714285716</v>
      </c>
      <c r="C87" t="e">
        <f>(B87-((E87*(Main!$E$31/100))+(G87*(Main!$E$36/100))+(I87*(Main!$E$46/100))+(K87*(Main!$E$51/100))))/$C$6</f>
        <v>#DIV/0!</v>
      </c>
      <c r="D87">
        <f>'Req. Diario'!E86</f>
        <v>0.21428571428571427</v>
      </c>
      <c r="E87" t="e">
        <f>(D87-((C87*(Main!$F$41/100))+(G87*(Main!$F$36/100))+(I87*(Main!$F$46/100))+(K87*(Main!$F$51/100))))/$E$6</f>
        <v>#DIV/0!</v>
      </c>
      <c r="F87">
        <f>'Req. Diario'!F86</f>
        <v>2.5714285714285716</v>
      </c>
      <c r="G87" t="e">
        <f>(F87-((C87*(Main!$G$41/100))+(E87*(Main!$G$31/100))+(I87*(Main!$G$46/100))+(K87*(Main!$G$51/100))))/$G$6</f>
        <v>#DIV/0!</v>
      </c>
      <c r="H87">
        <f>'Req. Diario'!G86</f>
        <v>0.44010230557166996</v>
      </c>
      <c r="I87">
        <f>H87/$I$6</f>
        <v>2.750639409822937</v>
      </c>
      <c r="J87">
        <f>'Req. Diario'!H86</f>
        <v>1.5308408571428573</v>
      </c>
      <c r="K87">
        <f>J87/$K$6</f>
        <v>5.669780952380953</v>
      </c>
      <c r="L87">
        <f>'Req. Diario'!I86</f>
        <v>35.6483</v>
      </c>
      <c r="M87">
        <f>L87/$M$6</f>
        <v>173.89414634146343</v>
      </c>
    </row>
    <row r="88">
      <c r="B88">
        <f>'Req. Diario'!D87</f>
        <v>2.0714285714285716</v>
      </c>
      <c r="C88" t="e">
        <f>(B88-((E88*(Main!$E$31/100))+(G88*(Main!$E$36/100))+(I88*(Main!$E$46/100))+(K88*(Main!$E$51/100))))/$C$6</f>
        <v>#DIV/0!</v>
      </c>
      <c r="D88">
        <f>'Req. Diario'!E87</f>
        <v>0.21428571428571427</v>
      </c>
      <c r="E88" t="e">
        <f>(D88-((C88*(Main!$F$41/100))+(G88*(Main!$F$36/100))+(I88*(Main!$F$46/100))+(K88*(Main!$F$51/100))))/$E$6</f>
        <v>#DIV/0!</v>
      </c>
      <c r="F88">
        <f>'Req. Diario'!F87</f>
        <v>2.5714285714285716</v>
      </c>
      <c r="G88" t="e">
        <f>(F88-((C88*(Main!$G$41/100))+(E88*(Main!$G$31/100))+(I88*(Main!$G$46/100))+(K88*(Main!$G$51/100))))/$G$6</f>
        <v>#DIV/0!</v>
      </c>
      <c r="H88">
        <f>'Req. Diario'!G87</f>
        <v>0.44010230557166996</v>
      </c>
      <c r="I88">
        <f>H88/$I$6</f>
        <v>2.750639409822937</v>
      </c>
      <c r="J88">
        <f>'Req. Diario'!H87</f>
        <v>1.5308408571428573</v>
      </c>
      <c r="K88">
        <f>J88/$K$6</f>
        <v>5.669780952380953</v>
      </c>
      <c r="L88">
        <f>'Req. Diario'!I87</f>
        <v>35.6483</v>
      </c>
      <c r="M88">
        <f>L88/$M$6</f>
        <v>173.89414634146343</v>
      </c>
    </row>
    <row r="89">
      <c r="B89">
        <f>'Req. Diario'!D88</f>
        <v>2.0714285714285716</v>
      </c>
      <c r="C89" t="e">
        <f>(B89-((E89*(Main!$E$31/100))+(G89*(Main!$E$36/100))+(I89*(Main!$E$46/100))+(K89*(Main!$E$51/100))))/$C$6</f>
        <v>#DIV/0!</v>
      </c>
      <c r="D89">
        <f>'Req. Diario'!E88</f>
        <v>0.21428571428571427</v>
      </c>
      <c r="E89" t="e">
        <f>(D89-((C89*(Main!$F$41/100))+(G89*(Main!$F$36/100))+(I89*(Main!$F$46/100))+(K89*(Main!$F$51/100))))/$E$6</f>
        <v>#DIV/0!</v>
      </c>
      <c r="F89">
        <f>'Req. Diario'!F88</f>
        <v>2.5714285714285716</v>
      </c>
      <c r="G89" t="e">
        <f>(F89-((C89*(Main!$G$41/100))+(E89*(Main!$G$31/100))+(I89*(Main!$G$46/100))+(K89*(Main!$G$51/100))))/$G$6</f>
        <v>#DIV/0!</v>
      </c>
      <c r="H89">
        <f>'Req. Diario'!G88</f>
        <v>0.44010230557166996</v>
      </c>
      <c r="I89">
        <f>H89/$I$6</f>
        <v>2.750639409822937</v>
      </c>
      <c r="J89">
        <f>'Req. Diario'!H88</f>
        <v>1.5308408571428573</v>
      </c>
      <c r="K89">
        <f>J89/$K$6</f>
        <v>5.669780952380953</v>
      </c>
      <c r="L89">
        <f>'Req. Diario'!I88</f>
        <v>35.6483</v>
      </c>
      <c r="M89">
        <f>L89/$M$6</f>
        <v>173.89414634146343</v>
      </c>
    </row>
    <row r="90">
      <c r="B90">
        <f>'Req. Diario'!D89</f>
        <v>2.0714285714285716</v>
      </c>
      <c r="C90" t="e">
        <f>(B90-((E90*(Main!$E$31/100))+(G90*(Main!$E$36/100))+(I90*(Main!$E$46/100))+(K90*(Main!$E$51/100))))/$C$6</f>
        <v>#DIV/0!</v>
      </c>
      <c r="D90">
        <f>'Req. Diario'!E89</f>
        <v>0.21428571428571427</v>
      </c>
      <c r="E90" t="e">
        <f>(D90-((C90*(Main!$F$41/100))+(G90*(Main!$F$36/100))+(I90*(Main!$F$46/100))+(K90*(Main!$F$51/100))))/$E$6</f>
        <v>#DIV/0!</v>
      </c>
      <c r="F90">
        <f>'Req. Diario'!F89</f>
        <v>2.5714285714285716</v>
      </c>
      <c r="G90" t="e">
        <f>(F90-((C90*(Main!$G$41/100))+(E90*(Main!$G$31/100))+(I90*(Main!$G$46/100))+(K90*(Main!$G$51/100))))/$G$6</f>
        <v>#DIV/0!</v>
      </c>
      <c r="H90">
        <f>'Req. Diario'!G89</f>
        <v>0.44010230557166996</v>
      </c>
      <c r="I90">
        <f>H90/$I$6</f>
        <v>2.750639409822937</v>
      </c>
      <c r="J90">
        <f>'Req. Diario'!H89</f>
        <v>1.5308408571428573</v>
      </c>
      <c r="K90">
        <f>J90/$K$6</f>
        <v>5.669780952380953</v>
      </c>
      <c r="L90">
        <f>'Req. Diario'!I89</f>
        <v>35.6483</v>
      </c>
      <c r="M90">
        <f>L90/$M$6</f>
        <v>173.89414634146343</v>
      </c>
    </row>
    <row r="91">
      <c r="A91">
        <v>13</v>
      </c>
      <c r="B91">
        <f>'Req. Diario'!D90</f>
        <v>2.0714285714285716</v>
      </c>
      <c r="C91" t="e">
        <f>(B91-((E91*(Main!$E$31/100))+(G91*(Main!$E$36/100))+(I91*(Main!$E$46/100))+(K91*(Main!$E$51/100))))/$C$6</f>
        <v>#DIV/0!</v>
      </c>
      <c r="D91">
        <f>'Req. Diario'!E90</f>
        <v>0.21428571428571427</v>
      </c>
      <c r="E91" t="e">
        <f>(D91-((C91*(Main!$F$41/100))+(G91*(Main!$F$36/100))+(I91*(Main!$F$46/100))+(K91*(Main!$F$51/100))))/$E$6</f>
        <v>#DIV/0!</v>
      </c>
      <c r="F91">
        <f>'Req. Diario'!F90</f>
        <v>2.5714285714285716</v>
      </c>
      <c r="G91" t="e">
        <f>(F91-((C91*(Main!$G$41/100))+(E91*(Main!$G$31/100))+(I91*(Main!$G$46/100))+(K91*(Main!$G$51/100))))/$G$6</f>
        <v>#DIV/0!</v>
      </c>
      <c r="H91">
        <f>'Req. Diario'!G90</f>
        <v>0.44010230557166996</v>
      </c>
      <c r="I91">
        <f>H91/$I$6</f>
        <v>2.750639409822937</v>
      </c>
      <c r="J91">
        <f>'Req. Diario'!H90</f>
        <v>1.5308408571428573</v>
      </c>
      <c r="K91">
        <f>J91/$K$6</f>
        <v>5.669780952380953</v>
      </c>
      <c r="L91">
        <f>'Req. Diario'!I90</f>
        <v>35.6483</v>
      </c>
      <c r="M91">
        <f>L91/$M$6</f>
        <v>173.89414634146343</v>
      </c>
    </row>
    <row r="92">
      <c r="B92">
        <f>'Req. Diario'!D91</f>
        <v>2.0714285714285716</v>
      </c>
      <c r="C92" t="e">
        <f>(B92-((E92*(Main!$E$31/100))+(G92*(Main!$E$36/100))+(I92*(Main!$E$46/100))+(K92*(Main!$E$51/100))))/$C$6</f>
        <v>#DIV/0!</v>
      </c>
      <c r="D92">
        <f>'Req. Diario'!E91</f>
        <v>0.21428571428571427</v>
      </c>
      <c r="E92" t="e">
        <f>(D92-((C92*(Main!$F$41/100))+(G92*(Main!$F$36/100))+(I92*(Main!$F$46/100))+(K92*(Main!$F$51/100))))/$E$6</f>
        <v>#DIV/0!</v>
      </c>
      <c r="F92">
        <f>'Req. Diario'!F91</f>
        <v>2.5714285714285716</v>
      </c>
      <c r="G92" t="e">
        <f>(F92-((C92*(Main!$G$41/100))+(E92*(Main!$G$31/100))+(I92*(Main!$G$46/100))+(K92*(Main!$G$51/100))))/$G$6</f>
        <v>#DIV/0!</v>
      </c>
      <c r="H92">
        <f>'Req. Diario'!G91</f>
        <v>0.44010230557166996</v>
      </c>
      <c r="I92">
        <f>H92/$I$6</f>
        <v>2.750639409822937</v>
      </c>
      <c r="J92">
        <f>'Req. Diario'!H91</f>
        <v>1.5308408571428573</v>
      </c>
      <c r="K92">
        <f>J92/$K$6</f>
        <v>5.669780952380953</v>
      </c>
      <c r="L92">
        <f>'Req. Diario'!I91</f>
        <v>35.6483</v>
      </c>
      <c r="M92">
        <f>L92/$M$6</f>
        <v>173.89414634146343</v>
      </c>
    </row>
    <row r="93">
      <c r="B93">
        <f>'Req. Diario'!D92</f>
        <v>2.0714285714285716</v>
      </c>
      <c r="C93" t="e">
        <f>(B93-((E93*(Main!$E$31/100))+(G93*(Main!$E$36/100))+(I93*(Main!$E$46/100))+(K93*(Main!$E$51/100))))/$C$6</f>
        <v>#DIV/0!</v>
      </c>
      <c r="D93">
        <f>'Req. Diario'!E92</f>
        <v>0.21428571428571427</v>
      </c>
      <c r="E93" t="e">
        <f>(D93-((C93*(Main!$F$41/100))+(G93*(Main!$F$36/100))+(I93*(Main!$F$46/100))+(K93*(Main!$F$51/100))))/$E$6</f>
        <v>#DIV/0!</v>
      </c>
      <c r="F93">
        <f>'Req. Diario'!F92</f>
        <v>2.5714285714285716</v>
      </c>
      <c r="G93" t="e">
        <f>(F93-((C93*(Main!$G$41/100))+(E93*(Main!$G$31/100))+(I93*(Main!$G$46/100))+(K93*(Main!$G$51/100))))/$G$6</f>
        <v>#DIV/0!</v>
      </c>
      <c r="H93">
        <f>'Req. Diario'!G92</f>
        <v>0.44010230557166996</v>
      </c>
      <c r="I93">
        <f>H93/$I$6</f>
        <v>2.750639409822937</v>
      </c>
      <c r="J93">
        <f>'Req. Diario'!H92</f>
        <v>1.5308408571428573</v>
      </c>
      <c r="K93">
        <f>J93/$K$6</f>
        <v>5.669780952380953</v>
      </c>
      <c r="L93">
        <f>'Req. Diario'!I92</f>
        <v>35.6483</v>
      </c>
      <c r="M93">
        <f>L93/$M$6</f>
        <v>173.89414634146343</v>
      </c>
    </row>
    <row r="94">
      <c r="B94">
        <f>'Req. Diario'!D93</f>
        <v>5.722222222222222</v>
      </c>
      <c r="C94" t="e">
        <f>(B94-((E94*(Main!$E$31/100))+(G94*(Main!$E$36/100))+(I94*(Main!$E$46/100))+(K94*(Main!$E$51/100))))/$C$6</f>
        <v>#DIV/0!</v>
      </c>
      <c r="D94">
        <f>'Req. Diario'!E93</f>
        <v>0.5555555555555556</v>
      </c>
      <c r="E94" t="e">
        <f>(D94-((C94*(Main!$F$41/100))+(G94*(Main!$F$36/100))+(I94*(Main!$F$46/100))+(K94*(Main!$F$51/100))))/$E$6</f>
        <v>#DIV/0!</v>
      </c>
      <c r="F94">
        <f>'Req. Diario'!F93</f>
        <v>11</v>
      </c>
      <c r="G94" t="e">
        <f>(F94-((C94*(Main!$G$41/100))+(E94*(Main!$G$31/100))+(I94*(Main!$G$46/100))+(K94*(Main!$G$51/100))))/$G$6</f>
        <v>#DIV/0!</v>
      </c>
      <c r="H94">
        <f>'Req. Diario'!G93</f>
        <v>1.8826598627232547</v>
      </c>
      <c r="I94">
        <f>H94/$I$6</f>
        <v>11.766624142020342</v>
      </c>
      <c r="J94">
        <f>'Req. Diario'!H93</f>
        <v>6.548597000000001</v>
      </c>
      <c r="K94">
        <f>J94/$K$6</f>
        <v>24.254062962962966</v>
      </c>
      <c r="L94">
        <f>'Req. Diario'!I93</f>
        <v>35.6483</v>
      </c>
      <c r="M94">
        <f>L94/$M$6</f>
        <v>173.89414634146343</v>
      </c>
    </row>
    <row r="95">
      <c r="B95">
        <f>'Req. Diario'!D94</f>
        <v>5.722222222222222</v>
      </c>
      <c r="C95" t="e">
        <f>(B95-((E95*(Main!$E$31/100))+(G95*(Main!$E$36/100))+(I95*(Main!$E$46/100))+(K95*(Main!$E$51/100))))/$C$6</f>
        <v>#DIV/0!</v>
      </c>
      <c r="D95">
        <f>'Req. Diario'!E94</f>
        <v>0.5555555555555556</v>
      </c>
      <c r="E95" t="e">
        <f>(D95-((C95*(Main!$F$41/100))+(G95*(Main!$F$36/100))+(I95*(Main!$F$46/100))+(K95*(Main!$F$51/100))))/$E$6</f>
        <v>#DIV/0!</v>
      </c>
      <c r="F95">
        <f>'Req. Diario'!F94</f>
        <v>11</v>
      </c>
      <c r="G95" t="e">
        <f>(F95-((C95*(Main!$G$41/100))+(E95*(Main!$G$31/100))+(I95*(Main!$G$46/100))+(K95*(Main!$G$51/100))))/$G$6</f>
        <v>#DIV/0!</v>
      </c>
      <c r="H95">
        <f>'Req. Diario'!G94</f>
        <v>1.8826598627232547</v>
      </c>
      <c r="I95">
        <f>H95/$I$6</f>
        <v>11.766624142020342</v>
      </c>
      <c r="J95">
        <f>'Req. Diario'!H94</f>
        <v>6.548597000000001</v>
      </c>
      <c r="K95">
        <f>J95/$K$6</f>
        <v>24.254062962962966</v>
      </c>
      <c r="L95">
        <f>'Req. Diario'!I94</f>
        <v>35.6483</v>
      </c>
      <c r="M95">
        <f>L95/$M$6</f>
        <v>173.89414634146343</v>
      </c>
    </row>
    <row r="96">
      <c r="B96">
        <f>'Req. Diario'!D95</f>
        <v>5.722222222222222</v>
      </c>
      <c r="C96" t="e">
        <f>(B96-((E96*(Main!$E$31/100))+(G96*(Main!$E$36/100))+(I96*(Main!$E$46/100))+(K96*(Main!$E$51/100))))/$C$6</f>
        <v>#DIV/0!</v>
      </c>
      <c r="D96">
        <f>'Req. Diario'!E95</f>
        <v>0.5555555555555556</v>
      </c>
      <c r="E96" t="e">
        <f>(D96-((C96*(Main!$F$41/100))+(G96*(Main!$F$36/100))+(I96*(Main!$F$46/100))+(K96*(Main!$F$51/100))))/$E$6</f>
        <v>#DIV/0!</v>
      </c>
      <c r="F96">
        <f>'Req. Diario'!F95</f>
        <v>11</v>
      </c>
      <c r="G96" t="e">
        <f>(F96-((C96*(Main!$G$41/100))+(E96*(Main!$G$31/100))+(I96*(Main!$G$46/100))+(K96*(Main!$G$51/100))))/$G$6</f>
        <v>#DIV/0!</v>
      </c>
      <c r="H96">
        <f>'Req. Diario'!G95</f>
        <v>1.8826598627232547</v>
      </c>
      <c r="I96">
        <f>H96/$I$6</f>
        <v>11.766624142020342</v>
      </c>
      <c r="J96">
        <f>'Req. Diario'!H95</f>
        <v>6.548597000000001</v>
      </c>
      <c r="K96">
        <f>J96/$K$6</f>
        <v>24.254062962962966</v>
      </c>
      <c r="L96">
        <f>'Req. Diario'!I95</f>
        <v>35.6483</v>
      </c>
      <c r="M96">
        <f>L96/$M$6</f>
        <v>173.89414634146343</v>
      </c>
    </row>
    <row r="97">
      <c r="B97">
        <f>'Req. Diario'!D96</f>
        <v>5.722222222222222</v>
      </c>
      <c r="C97" t="e">
        <f>(B97-((E97*(Main!$E$31/100))+(G97*(Main!$E$36/100))+(I97*(Main!$E$46/100))+(K97*(Main!$E$51/100))))/$C$6</f>
        <v>#DIV/0!</v>
      </c>
      <c r="D97">
        <f>'Req. Diario'!E96</f>
        <v>0.5555555555555556</v>
      </c>
      <c r="E97" t="e">
        <f>(D97-((C97*(Main!$F$41/100))+(G97*(Main!$F$36/100))+(I97*(Main!$F$46/100))+(K97*(Main!$F$51/100))))/$E$6</f>
        <v>#DIV/0!</v>
      </c>
      <c r="F97">
        <f>'Req. Diario'!F96</f>
        <v>11</v>
      </c>
      <c r="G97" t="e">
        <f>(F97-((C97*(Main!$G$41/100))+(E97*(Main!$G$31/100))+(I97*(Main!$G$46/100))+(K97*(Main!$G$51/100))))/$G$6</f>
        <v>#DIV/0!</v>
      </c>
      <c r="H97">
        <f>'Req. Diario'!G96</f>
        <v>1.8826598627232547</v>
      </c>
      <c r="I97">
        <f>H97/$I$6</f>
        <v>11.766624142020342</v>
      </c>
      <c r="J97">
        <f>'Req. Diario'!H96</f>
        <v>6.548597000000001</v>
      </c>
      <c r="K97">
        <f>J97/$K$6</f>
        <v>24.254062962962966</v>
      </c>
      <c r="L97">
        <f>'Req. Diario'!I96</f>
        <v>35.6483</v>
      </c>
      <c r="M97">
        <f>L97/$M$6</f>
        <v>173.89414634146343</v>
      </c>
    </row>
    <row r="98">
      <c r="A98">
        <v>14</v>
      </c>
      <c r="B98">
        <f>'Req. Diario'!D97</f>
        <v>5.722222222222222</v>
      </c>
      <c r="C98" t="e">
        <f>(B98-((E98*(Main!$E$31/100))+(G98*(Main!$E$36/100))+(I98*(Main!$E$46/100))+(K98*(Main!$E$51/100))))/$C$6</f>
        <v>#DIV/0!</v>
      </c>
      <c r="D98">
        <f>'Req. Diario'!E97</f>
        <v>0.5555555555555556</v>
      </c>
      <c r="E98" t="e">
        <f>(D98-((C98*(Main!$F$41/100))+(G98*(Main!$F$36/100))+(I98*(Main!$F$46/100))+(K98*(Main!$F$51/100))))/$E$6</f>
        <v>#DIV/0!</v>
      </c>
      <c r="F98">
        <f>'Req. Diario'!F97</f>
        <v>11</v>
      </c>
      <c r="G98" t="e">
        <f>(F98-((C98*(Main!$G$41/100))+(E98*(Main!$G$31/100))+(I98*(Main!$G$46/100))+(K98*(Main!$G$51/100))))/$G$6</f>
        <v>#DIV/0!</v>
      </c>
      <c r="H98">
        <f>'Req. Diario'!G97</f>
        <v>1.8826598627232547</v>
      </c>
      <c r="I98">
        <f>H98/$I$6</f>
        <v>11.766624142020342</v>
      </c>
      <c r="J98">
        <f>'Req. Diario'!H97</f>
        <v>6.548597000000001</v>
      </c>
      <c r="K98">
        <f>J98/$K$6</f>
        <v>24.254062962962966</v>
      </c>
      <c r="L98">
        <f>'Req. Diario'!I97</f>
        <v>35.6483</v>
      </c>
      <c r="M98">
        <f>L98/$M$6</f>
        <v>173.89414634146343</v>
      </c>
    </row>
    <row r="99">
      <c r="B99">
        <f>'Req. Diario'!D98</f>
        <v>5.722222222222222</v>
      </c>
      <c r="C99" t="e">
        <f>(B99-((E99*(Main!$E$31/100))+(G99*(Main!$E$36/100))+(I99*(Main!$E$46/100))+(K99*(Main!$E$51/100))))/$C$6</f>
        <v>#DIV/0!</v>
      </c>
      <c r="D99">
        <f>'Req. Diario'!E98</f>
        <v>0.5555555555555556</v>
      </c>
      <c r="E99" t="e">
        <f>(D99-((C99*(Main!$F$41/100))+(G99*(Main!$F$36/100))+(I99*(Main!$F$46/100))+(K99*(Main!$F$51/100))))/$E$6</f>
        <v>#DIV/0!</v>
      </c>
      <c r="F99">
        <f>'Req. Diario'!F98</f>
        <v>11</v>
      </c>
      <c r="G99" t="e">
        <f>(F99-((C99*(Main!$G$41/100))+(E99*(Main!$G$31/100))+(I99*(Main!$G$46/100))+(K99*(Main!$G$51/100))))/$G$6</f>
        <v>#DIV/0!</v>
      </c>
      <c r="H99">
        <f>'Req. Diario'!G98</f>
        <v>1.8826598627232547</v>
      </c>
      <c r="I99">
        <f>H99/$I$6</f>
        <v>11.766624142020342</v>
      </c>
      <c r="J99">
        <f>'Req. Diario'!H98</f>
        <v>6.548597000000001</v>
      </c>
      <c r="K99">
        <f>J99/$K$6</f>
        <v>24.254062962962966</v>
      </c>
      <c r="L99">
        <f>'Req. Diario'!I98</f>
        <v>35.6483</v>
      </c>
      <c r="M99">
        <f>L99/$M$6</f>
        <v>173.89414634146343</v>
      </c>
    </row>
    <row r="100">
      <c r="B100">
        <f>'Req. Diario'!D99</f>
        <v>5.722222222222222</v>
      </c>
      <c r="C100" t="e">
        <f>(B100-((E100*(Main!$E$31/100))+(G100*(Main!$E$36/100))+(I100*(Main!$E$46/100))+(K100*(Main!$E$51/100))))/$C$6</f>
        <v>#DIV/0!</v>
      </c>
      <c r="D100">
        <f>'Req. Diario'!E99</f>
        <v>0.5555555555555556</v>
      </c>
      <c r="E100" t="e">
        <f>(D100-((C100*(Main!$F$41/100))+(G100*(Main!$F$36/100))+(I100*(Main!$F$46/100))+(K100*(Main!$F$51/100))))/$E$6</f>
        <v>#DIV/0!</v>
      </c>
      <c r="F100">
        <f>'Req. Diario'!F99</f>
        <v>11</v>
      </c>
      <c r="G100" t="e">
        <f>(F100-((C100*(Main!$G$41/100))+(E100*(Main!$G$31/100))+(I100*(Main!$G$46/100))+(K100*(Main!$G$51/100))))/$G$6</f>
        <v>#DIV/0!</v>
      </c>
      <c r="H100">
        <f>'Req. Diario'!G99</f>
        <v>1.8826598627232547</v>
      </c>
      <c r="I100">
        <f>H100/$I$6</f>
        <v>11.766624142020342</v>
      </c>
      <c r="J100">
        <f>'Req. Diario'!H99</f>
        <v>6.548597000000001</v>
      </c>
      <c r="K100">
        <f>J100/$K$6</f>
        <v>24.254062962962966</v>
      </c>
      <c r="L100">
        <f>'Req. Diario'!I99</f>
        <v>35.6483</v>
      </c>
      <c r="M100">
        <f>L100/$M$6</f>
        <v>173.89414634146343</v>
      </c>
    </row>
    <row r="101">
      <c r="B101">
        <f>'Req. Diario'!D100</f>
        <v>5.722222222222222</v>
      </c>
      <c r="C101" t="e">
        <f>(B101-((E101*(Main!$E$31/100))+(G101*(Main!$E$36/100))+(I101*(Main!$E$46/100))+(K101*(Main!$E$51/100))))/$C$6</f>
        <v>#DIV/0!</v>
      </c>
      <c r="D101">
        <f>'Req. Diario'!E100</f>
        <v>0.5555555555555556</v>
      </c>
      <c r="E101" t="e">
        <f>(D101-((C101*(Main!$F$41/100))+(G101*(Main!$F$36/100))+(I101*(Main!$F$46/100))+(K101*(Main!$F$51/100))))/$E$6</f>
        <v>#DIV/0!</v>
      </c>
      <c r="F101">
        <f>'Req. Diario'!F100</f>
        <v>11</v>
      </c>
      <c r="G101" t="e">
        <f>(F101-((C101*(Main!$G$41/100))+(E101*(Main!$G$31/100))+(I101*(Main!$G$46/100))+(K101*(Main!$G$51/100))))/$G$6</f>
        <v>#DIV/0!</v>
      </c>
      <c r="H101">
        <f>'Req. Diario'!G100</f>
        <v>1.8826598627232547</v>
      </c>
      <c r="I101">
        <f>H101/$I$6</f>
        <v>11.766624142020342</v>
      </c>
      <c r="J101">
        <f>'Req. Diario'!H100</f>
        <v>6.548597000000001</v>
      </c>
      <c r="K101">
        <f>J101/$K$6</f>
        <v>24.254062962962966</v>
      </c>
      <c r="L101">
        <f>'Req. Diario'!I100</f>
        <v>35.6483</v>
      </c>
      <c r="M101">
        <f>L101/$M$6</f>
        <v>173.89414634146343</v>
      </c>
    </row>
    <row r="102">
      <c r="B102">
        <f>'Req. Diario'!D101</f>
        <v>5.722222222222222</v>
      </c>
      <c r="C102" t="e">
        <f>(B102-((E102*(Main!$E$31/100))+(G102*(Main!$E$36/100))+(I102*(Main!$E$46/100))+(K102*(Main!$E$51/100))))/$C$6</f>
        <v>#DIV/0!</v>
      </c>
      <c r="D102">
        <f>'Req. Diario'!E101</f>
        <v>0.5555555555555556</v>
      </c>
      <c r="E102" t="e">
        <f>(D102-((C102*(Main!$F$41/100))+(G102*(Main!$F$36/100))+(I102*(Main!$F$46/100))+(K102*(Main!$F$51/100))))/$E$6</f>
        <v>#DIV/0!</v>
      </c>
      <c r="F102">
        <f>'Req. Diario'!F101</f>
        <v>11</v>
      </c>
      <c r="G102" t="e">
        <f>(F102-((C102*(Main!$G$41/100))+(E102*(Main!$G$31/100))+(I102*(Main!$G$46/100))+(K102*(Main!$G$51/100))))/$G$6</f>
        <v>#DIV/0!</v>
      </c>
      <c r="H102">
        <f>'Req. Diario'!G101</f>
        <v>1.8826598627232547</v>
      </c>
      <c r="I102">
        <f>H102/$I$6</f>
        <v>11.766624142020342</v>
      </c>
      <c r="J102">
        <f>'Req. Diario'!H101</f>
        <v>6.548597000000001</v>
      </c>
      <c r="K102">
        <f>J102/$K$6</f>
        <v>24.254062962962966</v>
      </c>
      <c r="L102">
        <f>'Req. Diario'!I101</f>
        <v>35.6483</v>
      </c>
      <c r="M102">
        <f>L102/$M$6</f>
        <v>173.89414634146343</v>
      </c>
    </row>
    <row r="103">
      <c r="B103">
        <f>'Req. Diario'!D102</f>
        <v>5.722222222222222</v>
      </c>
      <c r="C103" t="e">
        <f>(B103-((E103*(Main!$E$31/100))+(G103*(Main!$E$36/100))+(I103*(Main!$E$46/100))+(K103*(Main!$E$51/100))))/$C$6</f>
        <v>#DIV/0!</v>
      </c>
      <c r="D103">
        <f>'Req. Diario'!E102</f>
        <v>0.5555555555555556</v>
      </c>
      <c r="E103" t="e">
        <f>(D103-((C103*(Main!$F$41/100))+(G103*(Main!$F$36/100))+(I103*(Main!$F$46/100))+(K103*(Main!$F$51/100))))/$E$6</f>
        <v>#DIV/0!</v>
      </c>
      <c r="F103">
        <f>'Req. Diario'!F102</f>
        <v>11</v>
      </c>
      <c r="G103" t="e">
        <f>(F103-((C103*(Main!$G$41/100))+(E103*(Main!$G$31/100))+(I103*(Main!$G$46/100))+(K103*(Main!$G$51/100))))/$G$6</f>
        <v>#DIV/0!</v>
      </c>
      <c r="H103">
        <f>'Req. Diario'!G102</f>
        <v>1.8826598627232547</v>
      </c>
      <c r="I103">
        <f>H103/$I$6</f>
        <v>11.766624142020342</v>
      </c>
      <c r="J103">
        <f>'Req. Diario'!H102</f>
        <v>6.548597000000001</v>
      </c>
      <c r="K103">
        <f>J103/$K$6</f>
        <v>24.254062962962966</v>
      </c>
      <c r="L103">
        <f>'Req. Diario'!I102</f>
        <v>35.6483</v>
      </c>
      <c r="M103">
        <f>L103/$M$6</f>
        <v>173.89414634146343</v>
      </c>
    </row>
    <row r="104">
      <c r="B104">
        <f>'Req. Diario'!D103</f>
        <v>5.722222222222222</v>
      </c>
      <c r="C104" t="e">
        <f>(B104-((E104*(Main!$E$31/100))+(G104*(Main!$E$36/100))+(I104*(Main!$E$46/100))+(K104*(Main!$E$51/100))))/$C$6</f>
        <v>#DIV/0!</v>
      </c>
      <c r="D104">
        <f>'Req. Diario'!E103</f>
        <v>0.5555555555555556</v>
      </c>
      <c r="E104" t="e">
        <f>(D104-((C104*(Main!$F$41/100))+(G104*(Main!$F$36/100))+(I104*(Main!$F$46/100))+(K104*(Main!$F$51/100))))/$E$6</f>
        <v>#DIV/0!</v>
      </c>
      <c r="F104">
        <f>'Req. Diario'!F103</f>
        <v>11</v>
      </c>
      <c r="G104" t="e">
        <f>(F104-((C104*(Main!$G$41/100))+(E104*(Main!$G$31/100))+(I104*(Main!$G$46/100))+(K104*(Main!$G$51/100))))/$G$6</f>
        <v>#DIV/0!</v>
      </c>
      <c r="H104">
        <f>'Req. Diario'!G103</f>
        <v>1.8826598627232547</v>
      </c>
      <c r="I104">
        <f>H104/$I$6</f>
        <v>11.766624142020342</v>
      </c>
      <c r="J104">
        <f>'Req. Diario'!H103</f>
        <v>6.548597000000001</v>
      </c>
      <c r="K104">
        <f>J104/$K$6</f>
        <v>24.254062962962966</v>
      </c>
      <c r="L104">
        <f>'Req. Diario'!I103</f>
        <v>35.6483</v>
      </c>
      <c r="M104">
        <f>L104/$M$6</f>
        <v>173.89414634146343</v>
      </c>
    </row>
    <row r="105">
      <c r="A105">
        <v>15</v>
      </c>
      <c r="B105">
        <f>'Req. Diario'!D104</f>
        <v>5.722222222222222</v>
      </c>
      <c r="C105" t="e">
        <f>(B105-((E105*(Main!$E$31/100))+(G105*(Main!$E$36/100))+(I105*(Main!$E$46/100))+(K105*(Main!$E$51/100))))/$C$6</f>
        <v>#DIV/0!</v>
      </c>
      <c r="D105">
        <f>'Req. Diario'!E104</f>
        <v>0.5555555555555556</v>
      </c>
      <c r="E105" t="e">
        <f>(D105-((C105*(Main!$F$41/100))+(G105*(Main!$F$36/100))+(I105*(Main!$F$46/100))+(K105*(Main!$F$51/100))))/$E$6</f>
        <v>#DIV/0!</v>
      </c>
      <c r="F105">
        <f>'Req. Diario'!F104</f>
        <v>11</v>
      </c>
      <c r="G105" t="e">
        <f>(F105-((C105*(Main!$G$41/100))+(E105*(Main!$G$31/100))+(I105*(Main!$G$46/100))+(K105*(Main!$G$51/100))))/$G$6</f>
        <v>#DIV/0!</v>
      </c>
      <c r="H105">
        <f>'Req. Diario'!G104</f>
        <v>1.8826598627232547</v>
      </c>
      <c r="I105">
        <f>H105/$I$6</f>
        <v>11.766624142020342</v>
      </c>
      <c r="J105">
        <f>'Req. Diario'!H104</f>
        <v>6.548597000000001</v>
      </c>
      <c r="K105">
        <f>J105/$K$6</f>
        <v>24.254062962962966</v>
      </c>
      <c r="L105">
        <f>'Req. Diario'!I104</f>
        <v>35.6483</v>
      </c>
      <c r="M105">
        <f>L105/$M$6</f>
        <v>173.89414634146343</v>
      </c>
    </row>
    <row r="106">
      <c r="B106">
        <f>'Req. Diario'!D105</f>
        <v>5.722222222222222</v>
      </c>
      <c r="C106" t="e">
        <f>(B106-((E106*(Main!$E$31/100))+(G106*(Main!$E$36/100))+(I106*(Main!$E$46/100))+(K106*(Main!$E$51/100))))/$C$6</f>
        <v>#DIV/0!</v>
      </c>
      <c r="D106">
        <f>'Req. Diario'!E105</f>
        <v>0.5555555555555556</v>
      </c>
      <c r="E106" t="e">
        <f>(D106-((C106*(Main!$F$41/100))+(G106*(Main!$F$36/100))+(I106*(Main!$F$46/100))+(K106*(Main!$F$51/100))))/$E$6</f>
        <v>#DIV/0!</v>
      </c>
      <c r="F106">
        <f>'Req. Diario'!F105</f>
        <v>11</v>
      </c>
      <c r="G106" t="e">
        <f>(F106-((C106*(Main!$G$41/100))+(E106*(Main!$G$31/100))+(I106*(Main!$G$46/100))+(K106*(Main!$G$51/100))))/$G$6</f>
        <v>#DIV/0!</v>
      </c>
      <c r="H106">
        <f>'Req. Diario'!G105</f>
        <v>1.8826598627232547</v>
      </c>
      <c r="I106">
        <f>H106/$I$6</f>
        <v>11.766624142020342</v>
      </c>
      <c r="J106">
        <f>'Req. Diario'!H105</f>
        <v>6.548597000000001</v>
      </c>
      <c r="K106">
        <f>J106/$K$6</f>
        <v>24.254062962962966</v>
      </c>
      <c r="L106">
        <f>'Req. Diario'!I105</f>
        <v>35.6483</v>
      </c>
      <c r="M106">
        <f>L106/$M$6</f>
        <v>173.89414634146343</v>
      </c>
    </row>
    <row r="107">
      <c r="B107">
        <f>'Req. Diario'!D106</f>
        <v>5.722222222222222</v>
      </c>
      <c r="C107" t="e">
        <f>(B107-((E107*(Main!$E$31/100))+(G107*(Main!$E$36/100))+(I107*(Main!$E$46/100))+(K107*(Main!$E$51/100))))/$C$6</f>
        <v>#DIV/0!</v>
      </c>
      <c r="D107">
        <f>'Req. Diario'!E106</f>
        <v>0.5555555555555556</v>
      </c>
      <c r="E107" t="e">
        <f>(D107-((C107*(Main!$F$41/100))+(G107*(Main!$F$36/100))+(I107*(Main!$F$46/100))+(K107*(Main!$F$51/100))))/$E$6</f>
        <v>#DIV/0!</v>
      </c>
      <c r="F107">
        <f>'Req. Diario'!F106</f>
        <v>11</v>
      </c>
      <c r="G107" t="e">
        <f>(F107-((C107*(Main!$G$41/100))+(E107*(Main!$G$31/100))+(I107*(Main!$G$46/100))+(K107*(Main!$G$51/100))))/$G$6</f>
        <v>#DIV/0!</v>
      </c>
      <c r="H107">
        <f>'Req. Diario'!G106</f>
        <v>1.8826598627232547</v>
      </c>
      <c r="I107">
        <f>H107/$I$6</f>
        <v>11.766624142020342</v>
      </c>
      <c r="J107">
        <f>'Req. Diario'!H106</f>
        <v>6.548597000000001</v>
      </c>
      <c r="K107">
        <f>J107/$K$6</f>
        <v>24.254062962962966</v>
      </c>
      <c r="L107">
        <f>'Req. Diario'!I106</f>
        <v>35.6483</v>
      </c>
      <c r="M107">
        <f>L107/$M$6</f>
        <v>173.89414634146343</v>
      </c>
    </row>
    <row r="108">
      <c r="B108">
        <f>'Req. Diario'!D107</f>
        <v>5.722222222222222</v>
      </c>
      <c r="C108" t="e">
        <f>(B108-((E108*(Main!$E$31/100))+(G108*(Main!$E$36/100))+(I108*(Main!$E$46/100))+(K108*(Main!$E$51/100))))/$C$6</f>
        <v>#DIV/0!</v>
      </c>
      <c r="D108">
        <f>'Req. Diario'!E107</f>
        <v>0.5555555555555556</v>
      </c>
      <c r="E108" t="e">
        <f>(D108-((C108*(Main!$F$41/100))+(G108*(Main!$F$36/100))+(I108*(Main!$F$46/100))+(K108*(Main!$F$51/100))))/$E$6</f>
        <v>#DIV/0!</v>
      </c>
      <c r="F108">
        <f>'Req. Diario'!F107</f>
        <v>11</v>
      </c>
      <c r="G108" t="e">
        <f>(F108-((C108*(Main!$G$41/100))+(E108*(Main!$G$31/100))+(I108*(Main!$G$46/100))+(K108*(Main!$G$51/100))))/$G$6</f>
        <v>#DIV/0!</v>
      </c>
      <c r="H108">
        <f>'Req. Diario'!G107</f>
        <v>1.8826598627232547</v>
      </c>
      <c r="I108">
        <f>H108/$I$6</f>
        <v>11.766624142020342</v>
      </c>
      <c r="J108">
        <f>'Req. Diario'!H107</f>
        <v>6.548597000000001</v>
      </c>
      <c r="K108">
        <f>J108/$K$6</f>
        <v>24.254062962962966</v>
      </c>
      <c r="L108">
        <f>'Req. Diario'!I107</f>
        <v>35.6483</v>
      </c>
      <c r="M108">
        <f>L108/$M$6</f>
        <v>173.89414634146343</v>
      </c>
    </row>
    <row r="109">
      <c r="B109">
        <f>'Req. Diario'!D108</f>
        <v>5.722222222222222</v>
      </c>
      <c r="C109" t="e">
        <f>(B109-((E109*(Main!$E$31/100))+(G109*(Main!$E$36/100))+(I109*(Main!$E$46/100))+(K109*(Main!$E$51/100))))/$C$6</f>
        <v>#DIV/0!</v>
      </c>
      <c r="D109">
        <f>'Req. Diario'!E108</f>
        <v>0.5555555555555556</v>
      </c>
      <c r="E109" t="e">
        <f>(D109-((C109*(Main!$F$41/100))+(G109*(Main!$F$36/100))+(I109*(Main!$F$46/100))+(K109*(Main!$F$51/100))))/$E$6</f>
        <v>#DIV/0!</v>
      </c>
      <c r="F109">
        <f>'Req. Diario'!F108</f>
        <v>11</v>
      </c>
      <c r="G109" t="e">
        <f>(F109-((C109*(Main!$G$41/100))+(E109*(Main!$G$31/100))+(I109*(Main!$G$46/100))+(K109*(Main!$G$51/100))))/$G$6</f>
        <v>#DIV/0!</v>
      </c>
      <c r="H109">
        <f>'Req. Diario'!G108</f>
        <v>1.8826598627232547</v>
      </c>
      <c r="I109">
        <f>H109/$I$6</f>
        <v>11.766624142020342</v>
      </c>
      <c r="J109">
        <f>'Req. Diario'!H108</f>
        <v>6.548597000000001</v>
      </c>
      <c r="K109">
        <f>J109/$K$6</f>
        <v>24.254062962962966</v>
      </c>
      <c r="L109">
        <f>'Req. Diario'!I108</f>
        <v>35.6483</v>
      </c>
      <c r="M109">
        <f>L109/$M$6</f>
        <v>173.89414634146343</v>
      </c>
    </row>
    <row r="110">
      <c r="B110">
        <f>'Req. Diario'!D109</f>
        <v>5.722222222222222</v>
      </c>
      <c r="C110" t="e">
        <f>(B110-((E110*(Main!$E$31/100))+(G110*(Main!$E$36/100))+(I110*(Main!$E$46/100))+(K110*(Main!$E$51/100))))/$C$6</f>
        <v>#DIV/0!</v>
      </c>
      <c r="D110">
        <f>'Req. Diario'!E109</f>
        <v>0.5555555555555556</v>
      </c>
      <c r="E110" t="e">
        <f>(D110-((C110*(Main!$F$41/100))+(G110*(Main!$F$36/100))+(I110*(Main!$F$46/100))+(K110*(Main!$F$51/100))))/$E$6</f>
        <v>#DIV/0!</v>
      </c>
      <c r="F110">
        <f>'Req. Diario'!F109</f>
        <v>11</v>
      </c>
      <c r="G110" t="e">
        <f>(F110-((C110*(Main!$G$41/100))+(E110*(Main!$G$31/100))+(I110*(Main!$G$46/100))+(K110*(Main!$G$51/100))))/$G$6</f>
        <v>#DIV/0!</v>
      </c>
      <c r="H110">
        <f>'Req. Diario'!G109</f>
        <v>1.8826598627232547</v>
      </c>
      <c r="I110">
        <f>H110/$I$6</f>
        <v>11.766624142020342</v>
      </c>
      <c r="J110">
        <f>'Req. Diario'!H109</f>
        <v>6.548597000000001</v>
      </c>
      <c r="K110">
        <f>J110/$K$6</f>
        <v>24.254062962962966</v>
      </c>
      <c r="L110">
        <f>'Req. Diario'!I109</f>
        <v>35.6483</v>
      </c>
      <c r="M110">
        <f>L110/$M$6</f>
        <v>173.89414634146343</v>
      </c>
    </row>
    <row r="111">
      <c r="B111">
        <f>'Req. Diario'!D110</f>
        <v>5.722222222222222</v>
      </c>
      <c r="C111" t="e">
        <f>(B111-((E111*(Main!$E$31/100))+(G111*(Main!$E$36/100))+(I111*(Main!$E$46/100))+(K111*(Main!$E$51/100))))/$C$6</f>
        <v>#DIV/0!</v>
      </c>
      <c r="D111">
        <f>'Req. Diario'!E110</f>
        <v>0.5555555555555556</v>
      </c>
      <c r="E111" t="e">
        <f>(D111-((C111*(Main!$F$41/100))+(G111*(Main!$F$36/100))+(I111*(Main!$F$46/100))+(K111*(Main!$F$51/100))))/$E$6</f>
        <v>#DIV/0!</v>
      </c>
      <c r="F111">
        <f>'Req. Diario'!F110</f>
        <v>11</v>
      </c>
      <c r="G111" t="e">
        <f>(F111-((C111*(Main!$G$41/100))+(E111*(Main!$G$31/100))+(I111*(Main!$G$46/100))+(K111*(Main!$G$51/100))))/$G$6</f>
        <v>#DIV/0!</v>
      </c>
      <c r="H111">
        <f>'Req. Diario'!G110</f>
        <v>1.8826598627232547</v>
      </c>
      <c r="I111">
        <f>H111/$I$6</f>
        <v>11.766624142020342</v>
      </c>
      <c r="J111">
        <f>'Req. Diario'!H110</f>
        <v>6.548597000000001</v>
      </c>
      <c r="K111">
        <f>J111/$K$6</f>
        <v>24.254062962962966</v>
      </c>
      <c r="L111">
        <f>'Req. Diario'!I110</f>
        <v>35.6483</v>
      </c>
      <c r="M111">
        <f>L111/$M$6</f>
        <v>173.89414634146343</v>
      </c>
    </row>
    <row r="112">
      <c r="A112">
        <v>16</v>
      </c>
      <c r="B112">
        <f>'Req. Diario'!D111</f>
        <v>0</v>
      </c>
      <c r="C112" t="e">
        <f>(B112-((E112*(Main!$E$31/100))+(G112*(Main!$E$36/100))+(I112*(Main!$E$46/100))+(K112*(Main!$E$51/100))))/$C$6</f>
        <v>#DIV/0!</v>
      </c>
      <c r="D112">
        <f>'Req. Diario'!E111</f>
        <v>0</v>
      </c>
      <c r="E112" t="e">
        <f>(D112-((C112*(Main!$F$41/100))+(G112*(Main!$F$36/100))+(I112*(Main!$F$46/100))+(K112*(Main!$F$51/100))))/$E$6</f>
        <v>#DIV/0!</v>
      </c>
      <c r="F112">
        <f>'Req. Diario'!F111</f>
        <v>0</v>
      </c>
      <c r="G112" t="e">
        <f>(F112-((C112*(Main!$G$41/100))+(E112*(Main!$G$31/100))+(I112*(Main!$G$46/100))+(K112*(Main!$G$51/100))))/$G$6</f>
        <v>#DIV/0!</v>
      </c>
      <c r="H112">
        <f>'Req. Diario'!G111</f>
        <v>0</v>
      </c>
      <c r="I112">
        <f>H112/$I$6</f>
        <v>0</v>
      </c>
      <c r="J112">
        <f>'Req. Diario'!H111</f>
        <v>0</v>
      </c>
      <c r="K112">
        <f>J112/$K$6</f>
        <v>0</v>
      </c>
      <c r="L112">
        <f>'Req. Diario'!I111</f>
        <v>35.6483</v>
      </c>
      <c r="M112">
        <f>L112/$M$6</f>
        <v>173.89414634146343</v>
      </c>
    </row>
    <row r="113">
      <c r="B113">
        <f>'Req. Diario'!D112</f>
        <v>0</v>
      </c>
      <c r="C113" t="e">
        <f>(B113-((E113*(Main!$E$31/100))+(G113*(Main!$E$36/100))+(I113*(Main!$E$46/100))+(K113*(Main!$E$51/100))))/$C$6</f>
        <v>#DIV/0!</v>
      </c>
      <c r="D113">
        <f>'Req. Diario'!E112</f>
        <v>0</v>
      </c>
      <c r="E113" t="e">
        <f>(D113-((C113*(Main!$F$41/100))+(G113*(Main!$F$36/100))+(I113*(Main!$F$46/100))+(K113*(Main!$F$51/100))))/$E$6</f>
        <v>#DIV/0!</v>
      </c>
      <c r="F113">
        <f>'Req. Diario'!F112</f>
        <v>0</v>
      </c>
      <c r="G113" t="e">
        <f>(F113-((C113*(Main!$G$41/100))+(E113*(Main!$G$31/100))+(I113*(Main!$G$46/100))+(K113*(Main!$G$51/100))))/$G$6</f>
        <v>#DIV/0!</v>
      </c>
      <c r="H113">
        <f>'Req. Diario'!G112</f>
        <v>0</v>
      </c>
      <c r="I113">
        <f>H113/$I$6</f>
        <v>0</v>
      </c>
      <c r="J113">
        <f>'Req. Diario'!H112</f>
        <v>0</v>
      </c>
      <c r="K113">
        <f>J113/$K$6</f>
        <v>0</v>
      </c>
      <c r="L113">
        <f>'Req. Diario'!I112</f>
        <v>35.6483</v>
      </c>
      <c r="M113">
        <f>L113/$M$6</f>
        <v>173.89414634146343</v>
      </c>
    </row>
    <row r="114">
      <c r="B114">
        <f>'Req. Diario'!D113</f>
        <v>0</v>
      </c>
      <c r="C114" t="e">
        <f>(B114-((E114*(Main!$E$31/100))+(G114*(Main!$E$36/100))+(I114*(Main!$E$46/100))+(K114*(Main!$E$51/100))))/$C$6</f>
        <v>#DIV/0!</v>
      </c>
      <c r="D114">
        <f>'Req. Diario'!E113</f>
        <v>0</v>
      </c>
      <c r="E114" t="e">
        <f>(D114-((C114*(Main!$F$41/100))+(G114*(Main!$F$36/100))+(I114*(Main!$F$46/100))+(K114*(Main!$F$51/100))))/$E$6</f>
        <v>#DIV/0!</v>
      </c>
      <c r="F114">
        <f>'Req. Diario'!F113</f>
        <v>0</v>
      </c>
      <c r="G114" t="e">
        <f>(F114-((C114*(Main!$G$41/100))+(E114*(Main!$G$31/100))+(I114*(Main!$G$46/100))+(K114*(Main!$G$51/100))))/$G$6</f>
        <v>#DIV/0!</v>
      </c>
      <c r="H114">
        <f>'Req. Diario'!G113</f>
        <v>0</v>
      </c>
      <c r="I114">
        <f>H114/$I$6</f>
        <v>0</v>
      </c>
      <c r="J114">
        <f>'Req. Diario'!H113</f>
        <v>0</v>
      </c>
      <c r="K114">
        <f>J114/$K$6</f>
        <v>0</v>
      </c>
      <c r="L114">
        <f>'Req. Diario'!I113</f>
        <v>35.6483</v>
      </c>
      <c r="M114">
        <f>L114/$M$6</f>
        <v>173.89414634146343</v>
      </c>
    </row>
    <row r="115">
      <c r="B115">
        <f>'Req. Diario'!D114</f>
        <v>0</v>
      </c>
      <c r="C115" t="e">
        <f>(B115-((E115*(Main!$E$31/100))+(G115*(Main!$E$36/100))+(I115*(Main!$E$46/100))+(K115*(Main!$E$51/100))))/$C$6</f>
        <v>#DIV/0!</v>
      </c>
      <c r="D115">
        <f>'Req. Diario'!E114</f>
        <v>0</v>
      </c>
      <c r="E115" t="e">
        <f>(D115-((C115*(Main!$F$41/100))+(G115*(Main!$F$36/100))+(I115*(Main!$F$46/100))+(K115*(Main!$F$51/100))))/$E$6</f>
        <v>#DIV/0!</v>
      </c>
      <c r="F115">
        <f>'Req. Diario'!F114</f>
        <v>0</v>
      </c>
      <c r="G115" t="e">
        <f>(F115-((C115*(Main!$G$41/100))+(E115*(Main!$G$31/100))+(I115*(Main!$G$46/100))+(K115*(Main!$G$51/100))))/$G$6</f>
        <v>#DIV/0!</v>
      </c>
      <c r="H115">
        <f>'Req. Diario'!G114</f>
        <v>0</v>
      </c>
      <c r="I115">
        <f>H115/$I$6</f>
        <v>0</v>
      </c>
      <c r="J115">
        <f>'Req. Diario'!H114</f>
        <v>0</v>
      </c>
      <c r="K115">
        <f>J115/$K$6</f>
        <v>0</v>
      </c>
      <c r="L115">
        <f>'Req. Diario'!I114</f>
        <v>35.6483</v>
      </c>
      <c r="M115">
        <f>L115/$M$6</f>
        <v>173.89414634146343</v>
      </c>
    </row>
    <row r="116">
      <c r="B116">
        <f>'Req. Diario'!D115</f>
        <v>0</v>
      </c>
      <c r="C116" t="e">
        <f>(B116-((E116*(Main!$E$31/100))+(G116*(Main!$E$36/100))+(I116*(Main!$E$46/100))+(K116*(Main!$E$51/100))))/$C$6</f>
        <v>#DIV/0!</v>
      </c>
      <c r="D116">
        <f>'Req. Diario'!E115</f>
        <v>0</v>
      </c>
      <c r="E116" t="e">
        <f>(D116-((C116*(Main!$F$41/100))+(G116*(Main!$F$36/100))+(I116*(Main!$F$46/100))+(K116*(Main!$F$51/100))))/$E$6</f>
        <v>#DIV/0!</v>
      </c>
      <c r="F116">
        <f>'Req. Diario'!F115</f>
        <v>0</v>
      </c>
      <c r="G116" t="e">
        <f>(F116-((C116*(Main!$G$41/100))+(E116*(Main!$G$31/100))+(I116*(Main!$G$46/100))+(K116*(Main!$G$51/100))))/$G$6</f>
        <v>#DIV/0!</v>
      </c>
      <c r="H116">
        <f>'Req. Diario'!G115</f>
        <v>0</v>
      </c>
      <c r="I116">
        <f>H116/$I$6</f>
        <v>0</v>
      </c>
      <c r="J116">
        <f>'Req. Diario'!H115</f>
        <v>0</v>
      </c>
      <c r="K116">
        <f>J116/$K$6</f>
        <v>0</v>
      </c>
      <c r="L116">
        <f>'Req. Diario'!I115</f>
        <v>35.6483</v>
      </c>
      <c r="M116">
        <f>L116/$M$6</f>
        <v>173.89414634146343</v>
      </c>
    </row>
    <row r="117">
      <c r="B117">
        <f>'Req. Diario'!D116</f>
        <v>0</v>
      </c>
      <c r="C117" t="e">
        <f>(B117-((E117*(Main!$E$31/100))+(G117*(Main!$E$36/100))+(I117*(Main!$E$46/100))+(K117*(Main!$E$51/100))))/$C$6</f>
        <v>#DIV/0!</v>
      </c>
      <c r="D117">
        <f>'Req. Diario'!E116</f>
        <v>0</v>
      </c>
      <c r="E117" t="e">
        <f>(D117-((C117*(Main!$F$41/100))+(G117*(Main!$F$36/100))+(I117*(Main!$F$46/100))+(K117*(Main!$F$51/100))))/$E$6</f>
        <v>#DIV/0!</v>
      </c>
      <c r="F117">
        <f>'Req. Diario'!F116</f>
        <v>0</v>
      </c>
      <c r="G117" t="e">
        <f>(F117-((C117*(Main!$G$41/100))+(E117*(Main!$G$31/100))+(I117*(Main!$G$46/100))+(K117*(Main!$G$51/100))))/$G$6</f>
        <v>#DIV/0!</v>
      </c>
      <c r="H117">
        <f>'Req. Diario'!G116</f>
        <v>0</v>
      </c>
      <c r="I117">
        <f>H117/$I$6</f>
        <v>0</v>
      </c>
      <c r="J117">
        <f>'Req. Diario'!H116</f>
        <v>0</v>
      </c>
      <c r="K117">
        <f>J117/$K$6</f>
        <v>0</v>
      </c>
      <c r="L117">
        <f>'Req. Diario'!I116</f>
        <v>35.6483</v>
      </c>
      <c r="M117">
        <f>L117/$M$6</f>
        <v>173.89414634146343</v>
      </c>
    </row>
    <row r="118">
      <c r="B118">
        <f>'Req. Diario'!D117</f>
        <v>0</v>
      </c>
      <c r="C118" t="e">
        <f>(B118-((E118*(Main!$E$31/100))+(G118*(Main!$E$36/100))+(I118*(Main!$E$46/100))+(K118*(Main!$E$51/100))))/$C$6</f>
        <v>#DIV/0!</v>
      </c>
      <c r="D118">
        <f>'Req. Diario'!E117</f>
        <v>0</v>
      </c>
      <c r="E118" t="e">
        <f>(D118-((C118*(Main!$F$41/100))+(G118*(Main!$F$36/100))+(I118*(Main!$F$46/100))+(K118*(Main!$F$51/100))))/$E$6</f>
        <v>#DIV/0!</v>
      </c>
      <c r="F118">
        <f>'Req. Diario'!F117</f>
        <v>0</v>
      </c>
      <c r="G118" t="e">
        <f>(F118-((C118*(Main!$G$41/100))+(E118*(Main!$G$31/100))+(I118*(Main!$G$46/100))+(K118*(Main!$G$51/100))))/$G$6</f>
        <v>#DIV/0!</v>
      </c>
      <c r="H118">
        <f>'Req. Diario'!G117</f>
        <v>0</v>
      </c>
      <c r="I118">
        <f>H118/$I$6</f>
        <v>0</v>
      </c>
      <c r="J118">
        <f>'Req. Diario'!H117</f>
        <v>0</v>
      </c>
      <c r="K118">
        <f>J118/$K$6</f>
        <v>0</v>
      </c>
      <c r="L118">
        <f>'Req. Diario'!I117</f>
        <v>35.6483</v>
      </c>
      <c r="M118">
        <f>L118/$M$6</f>
        <v>173.89414634146343</v>
      </c>
    </row>
    <row r="120">
      <c r="B120">
        <f>SUM(B6:B118)</f>
        <v>383</v>
      </c>
      <c r="C120" t="e">
        <f>SUM(C6:C118)</f>
        <v>#DIV/0!</v>
      </c>
      <c r="D120">
        <f>SUM(D6:D118)</f>
        <v>29.000000000000036</v>
      </c>
      <c r="E120" t="e">
        <f>SUM(E6:E118)</f>
        <v>#DIV/0!</v>
      </c>
      <c r="F120">
        <f>SUM(F6:F118)</f>
        <v>522.9999999999998</v>
      </c>
      <c r="G120" t="e">
        <f>SUM(G6:G118)</f>
        <v>#DIV/0!</v>
      </c>
      <c r="H120">
        <f>SUM(H6:H118)</f>
        <v>89.51191892766022</v>
      </c>
      <c r="I120">
        <f>SUM(I6:I118)</f>
        <v>559.6094932978764</v>
      </c>
      <c r="J120">
        <f>SUM(J6:J118)</f>
        <v>311.3560209999998</v>
      </c>
      <c r="K120">
        <f>SUM(K6:K118)</f>
        <v>1153.4404481481486</v>
      </c>
      <c r="L120">
        <f>SUM(L6:L118)</f>
        <v>2581.954599999999</v>
      </c>
      <c r="M120">
        <f>SUM(M6:M118)</f>
        <v>12595.105487804867</v>
      </c>
    </row>
  </sheetData>
  <mergeCells count="1">
    <mergeCell ref="E1:J1"/>
  </mergeCells>
  <pageMargins left="0.42" right="0.75" top="0.44" bottom="0.39" header="0.25" footer="0.25"/>
  <ignoredErrors>
    <ignoredError numberStoredAsText="1" sqref="A1:Q120"/>
  </ignoredErrors>
</worksheet>
</file>

<file path=xl/worksheets/sheet10.xml><?xml version="1.0" encoding="utf-8"?>
<worksheet xmlns="http://schemas.openxmlformats.org/spreadsheetml/2006/main" xmlns:r="http://schemas.openxmlformats.org/officeDocument/2006/relationships">
  <dimension ref="A1:Z118"/>
  <sheetViews>
    <sheetView workbookViewId="0" rightToLeft="0"/>
  </sheetViews>
  <sheetData>
    <row r="1">
      <c r="A1" t="str">
        <v>Requerimientos Diarios para:</v>
      </c>
      <c r="H1" t="str">
        <f>Main!E21</f>
        <v>Papa</v>
      </c>
    </row>
    <row r="2">
      <c r="A2" t="str">
        <v>Esta tabla es de libras por hectárea por Día</v>
      </c>
    </row>
    <row r="3" ht="15.6" customHeight="1">
      <c r="A3" t="str">
        <f>Main!C13</f>
        <v>"Sin Fertilización Base"</v>
      </c>
    </row>
    <row r="4" ht="43.9"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c r="O4" t="str">
        <v>Kilos/Ha</v>
      </c>
    </row>
    <row r="5">
      <c r="A5" t="str">
        <v>Ion que Adsorbe la Planta</v>
      </c>
      <c r="D5" t="str">
        <v>NO3-  NH4+</v>
      </c>
      <c r="E5" t="str">
        <v>H2PO4+ HPO4-2</v>
      </c>
      <c r="F5" t="str">
        <v>K+</v>
      </c>
      <c r="G5" t="str">
        <v>Mg+2</v>
      </c>
      <c r="H5" t="str">
        <v>Ca+2</v>
      </c>
      <c r="I5" t="str">
        <v>H3BO3</v>
      </c>
      <c r="J5" t="str">
        <v>Esta relación depende del cultivo y estado</v>
      </c>
      <c r="K5">
        <v>0.4</v>
      </c>
      <c r="L5">
        <v>0.5</v>
      </c>
      <c r="N5" t="str">
        <v>n</v>
      </c>
      <c r="O5" t="str">
        <v>p</v>
      </c>
      <c r="P5" t="str">
        <v>k</v>
      </c>
      <c r="Q5" t="str">
        <v>ca</v>
      </c>
      <c r="R5" t="str">
        <v>mg</v>
      </c>
      <c r="V5" t="str">
        <v>n</v>
      </c>
      <c r="W5" t="str">
        <v>p</v>
      </c>
      <c r="X5" t="str">
        <v>k</v>
      </c>
      <c r="Y5" t="str">
        <v>ca</v>
      </c>
      <c r="Z5" t="str">
        <v>mg</v>
      </c>
    </row>
    <row r="6">
      <c r="B6">
        <v>1</v>
      </c>
      <c r="C6">
        <v>1</v>
      </c>
      <c r="D6">
        <v>0.65</v>
      </c>
      <c r="E6">
        <v>0.05</v>
      </c>
      <c r="F6">
        <v>0.75</v>
      </c>
      <c r="G6">
        <f>(H6/1.39135)*$K$5</f>
        <v>0.1283631724584037</v>
      </c>
      <c r="H6">
        <f>(F6*1.190654)*$L$5</f>
        <v>0.44649525</v>
      </c>
      <c r="I6">
        <v>5.0926</v>
      </c>
      <c r="J6">
        <f>D6/(F6/3.362524)</f>
        <v>2.9141874666666667</v>
      </c>
      <c r="K6">
        <f>G6/(H6/1.39135)</f>
        <v>0.4</v>
      </c>
      <c r="L6">
        <f>(H6/1.190654)/F6</f>
        <v>0.5</v>
      </c>
      <c r="V6">
        <f>V7</f>
        <v>0.65</v>
      </c>
      <c r="W6">
        <f>W7</f>
        <v>0.05</v>
      </c>
      <c r="X6">
        <f>X7</f>
        <v>0.75</v>
      </c>
      <c r="Y6">
        <f>Y7</f>
        <v>0.1</v>
      </c>
      <c r="Z6">
        <f>Z7</f>
        <v>0.05</v>
      </c>
    </row>
    <row r="7">
      <c r="B7">
        <v>2</v>
      </c>
      <c r="C7">
        <v>1</v>
      </c>
      <c r="D7">
        <v>0.65</v>
      </c>
      <c r="E7">
        <v>0.05</v>
      </c>
      <c r="F7">
        <v>0.75</v>
      </c>
      <c r="G7">
        <f>(H7/1.39135)*$K$5</f>
        <v>0.1283631724584037</v>
      </c>
      <c r="H7">
        <f>(F7*1.190654)*$L$5</f>
        <v>0.44649525</v>
      </c>
      <c r="I7">
        <v>5.0926</v>
      </c>
      <c r="J7">
        <f>D7/(F7/3.362524)</f>
        <v>2.9141874666666667</v>
      </c>
      <c r="K7">
        <f>G7/(H7/1.39135)</f>
        <v>0.4</v>
      </c>
      <c r="L7">
        <f>(H7/1.190654)/F7</f>
        <v>0.5</v>
      </c>
      <c r="V7">
        <f>V8</f>
        <v>0.65</v>
      </c>
      <c r="W7">
        <f>W8</f>
        <v>0.05</v>
      </c>
      <c r="X7">
        <f>X8</f>
        <v>0.75</v>
      </c>
      <c r="Y7">
        <f>Y8</f>
        <v>0.1</v>
      </c>
      <c r="Z7">
        <f>Z8</f>
        <v>0.05</v>
      </c>
    </row>
    <row r="8">
      <c r="B8">
        <v>3</v>
      </c>
      <c r="C8">
        <v>1</v>
      </c>
      <c r="D8">
        <v>0.65</v>
      </c>
      <c r="E8">
        <v>0.05</v>
      </c>
      <c r="F8">
        <v>0.75</v>
      </c>
      <c r="G8">
        <f>(H8/1.39135)*$K$5</f>
        <v>0.1283631724584037</v>
      </c>
      <c r="H8">
        <f>(F8*1.190654)*$L$5</f>
        <v>0.44649525</v>
      </c>
      <c r="I8">
        <v>5.0926</v>
      </c>
      <c r="J8">
        <f>D8/(F8/3.362524)</f>
        <v>2.9141874666666667</v>
      </c>
      <c r="K8">
        <f>G8/(H8/1.39135)</f>
        <v>0.4</v>
      </c>
      <c r="L8">
        <f>(H8/1.190654)/F8</f>
        <v>0.5</v>
      </c>
      <c r="V8">
        <f>V9</f>
        <v>0.65</v>
      </c>
      <c r="W8">
        <f>W9</f>
        <v>0.05</v>
      </c>
      <c r="X8">
        <f>X9</f>
        <v>0.75</v>
      </c>
      <c r="Y8">
        <f>Y9</f>
        <v>0.1</v>
      </c>
      <c r="Z8">
        <f>Z9</f>
        <v>0.05</v>
      </c>
    </row>
    <row r="9">
      <c r="B9">
        <v>4</v>
      </c>
      <c r="C9">
        <v>1</v>
      </c>
      <c r="D9">
        <v>0.65</v>
      </c>
      <c r="E9">
        <v>0.05</v>
      </c>
      <c r="F9">
        <v>0.75</v>
      </c>
      <c r="G9">
        <f>(H9/1.39135)*$K$5</f>
        <v>0.1283631724584037</v>
      </c>
      <c r="H9">
        <f>(F9*1.190654)*$L$5</f>
        <v>0.44649525</v>
      </c>
      <c r="I9">
        <v>5.0926</v>
      </c>
      <c r="J9">
        <f>D9/(F9/3.362524)</f>
        <v>2.9141874666666667</v>
      </c>
      <c r="K9">
        <f>G9/(H9/1.39135)</f>
        <v>0.4</v>
      </c>
      <c r="L9">
        <f>(H9/1.190654)/F9</f>
        <v>0.5</v>
      </c>
      <c r="V9">
        <f>V10</f>
        <v>0.65</v>
      </c>
      <c r="W9">
        <f>W10</f>
        <v>0.05</v>
      </c>
      <c r="X9">
        <f>X10</f>
        <v>0.75</v>
      </c>
      <c r="Y9">
        <f>Y10</f>
        <v>0.1</v>
      </c>
      <c r="Z9">
        <f>Z10</f>
        <v>0.05</v>
      </c>
    </row>
    <row r="10">
      <c r="B10">
        <v>5</v>
      </c>
      <c r="C10">
        <v>1</v>
      </c>
      <c r="D10">
        <v>0.65</v>
      </c>
      <c r="E10">
        <v>0.05</v>
      </c>
      <c r="F10">
        <v>0.75</v>
      </c>
      <c r="G10">
        <f>(H10/1.39135)*$K$5</f>
        <v>0.1283631724584037</v>
      </c>
      <c r="H10">
        <f>(F10*1.190654)*$L$5</f>
        <v>0.44649525</v>
      </c>
      <c r="I10">
        <v>5.0926</v>
      </c>
      <c r="J10">
        <f>D10/(F10/3.362524)</f>
        <v>2.9141874666666667</v>
      </c>
      <c r="K10">
        <f>G10/(H10/1.39135)</f>
        <v>0.4</v>
      </c>
      <c r="L10">
        <f>(H10/1.190654)/F10</f>
        <v>0.5</v>
      </c>
      <c r="V10">
        <f>V11</f>
        <v>0.65</v>
      </c>
      <c r="W10">
        <f>W11</f>
        <v>0.05</v>
      </c>
      <c r="X10">
        <f>X11</f>
        <v>0.75</v>
      </c>
      <c r="Y10">
        <f>Y11</f>
        <v>0.1</v>
      </c>
      <c r="Z10">
        <f>Z11</f>
        <v>0.05</v>
      </c>
    </row>
    <row r="11">
      <c r="B11">
        <v>6</v>
      </c>
      <c r="C11">
        <v>1</v>
      </c>
      <c r="D11">
        <v>0.65</v>
      </c>
      <c r="E11">
        <v>0.05</v>
      </c>
      <c r="F11">
        <v>0.75</v>
      </c>
      <c r="G11">
        <f>(H11/1.39135)*$K$5</f>
        <v>0.1283631724584037</v>
      </c>
      <c r="H11">
        <f>(F11*1.190654)*$L$5</f>
        <v>0.44649525</v>
      </c>
      <c r="I11">
        <v>5.0926</v>
      </c>
      <c r="J11">
        <f>D11/(F11/3.362524)</f>
        <v>2.9141874666666667</v>
      </c>
      <c r="K11">
        <f>G11/(H11/1.39135)</f>
        <v>0.4</v>
      </c>
      <c r="L11">
        <f>(H11/1.190654)/F11</f>
        <v>0.5</v>
      </c>
      <c r="V11">
        <f>V12</f>
        <v>0.65</v>
      </c>
      <c r="W11">
        <f>W12</f>
        <v>0.05</v>
      </c>
      <c r="X11">
        <f>X12</f>
        <v>0.75</v>
      </c>
      <c r="Y11">
        <f>Y12</f>
        <v>0.1</v>
      </c>
      <c r="Z11">
        <f>Z12</f>
        <v>0.05</v>
      </c>
    </row>
    <row r="12">
      <c r="B12">
        <v>7</v>
      </c>
      <c r="C12">
        <v>1</v>
      </c>
      <c r="D12">
        <v>0.65</v>
      </c>
      <c r="E12">
        <v>0.05</v>
      </c>
      <c r="F12">
        <v>0.75</v>
      </c>
      <c r="G12">
        <f>(H12/1.39135)*$K$5</f>
        <v>0.1283631724584037</v>
      </c>
      <c r="H12">
        <f>(F12*1.190654)*$L$5</f>
        <v>0.44649525</v>
      </c>
      <c r="I12">
        <v>5.0926</v>
      </c>
      <c r="J12">
        <f>D12/(F12/3.362524)</f>
        <v>2.9141874666666667</v>
      </c>
      <c r="K12">
        <f>G12/(H12/1.39135)</f>
        <v>0.4</v>
      </c>
      <c r="L12">
        <f>(H12/1.190654)/F12</f>
        <v>0.5</v>
      </c>
      <c r="V12">
        <f>V13</f>
        <v>0.65</v>
      </c>
      <c r="W12">
        <f>W13</f>
        <v>0.05</v>
      </c>
      <c r="X12">
        <f>X13</f>
        <v>0.75</v>
      </c>
      <c r="Y12">
        <f>Y13</f>
        <v>0.1</v>
      </c>
      <c r="Z12">
        <f>Z13</f>
        <v>0.05</v>
      </c>
    </row>
    <row r="13">
      <c r="B13">
        <v>8</v>
      </c>
      <c r="C13">
        <v>2</v>
      </c>
      <c r="D13">
        <v>0.65</v>
      </c>
      <c r="E13">
        <v>0.05</v>
      </c>
      <c r="F13">
        <v>0.75</v>
      </c>
      <c r="G13">
        <f>(H13/1.39135)*$K$5</f>
        <v>0.1283631724584037</v>
      </c>
      <c r="H13">
        <f>(F13*1.190654)*$L$5</f>
        <v>0.44649525</v>
      </c>
      <c r="I13">
        <v>5.0926</v>
      </c>
      <c r="J13">
        <f>D13/(F13/3.362524)</f>
        <v>2.9141874666666667</v>
      </c>
      <c r="K13">
        <f>G13/(H13/1.39135)</f>
        <v>0.4</v>
      </c>
      <c r="L13">
        <f>(H13/1.190654)/F13</f>
        <v>0.5</v>
      </c>
      <c r="V13">
        <f>V14</f>
        <v>0.65</v>
      </c>
      <c r="W13">
        <f>W14</f>
        <v>0.05</v>
      </c>
      <c r="X13">
        <f>X14</f>
        <v>0.75</v>
      </c>
      <c r="Y13">
        <f>Y14</f>
        <v>0.1</v>
      </c>
      <c r="Z13">
        <f>Z14</f>
        <v>0.05</v>
      </c>
    </row>
    <row r="14">
      <c r="B14">
        <v>9</v>
      </c>
      <c r="C14">
        <v>2</v>
      </c>
      <c r="D14">
        <v>0.65</v>
      </c>
      <c r="E14">
        <v>0.05</v>
      </c>
      <c r="F14">
        <v>0.75</v>
      </c>
      <c r="G14">
        <f>(H14/1.39135)*$K$5</f>
        <v>0.1283631724584037</v>
      </c>
      <c r="H14">
        <f>(F14*1.190654)*$L$5</f>
        <v>0.44649525</v>
      </c>
      <c r="I14">
        <v>5.0926</v>
      </c>
      <c r="J14">
        <f>D14/(F14/3.362524)</f>
        <v>2.9141874666666667</v>
      </c>
      <c r="K14">
        <f>G14/(H14/1.39135)</f>
        <v>0.4</v>
      </c>
      <c r="L14">
        <f>(H14/1.190654)/F14</f>
        <v>0.5</v>
      </c>
      <c r="V14">
        <f>V15</f>
        <v>0.65</v>
      </c>
      <c r="W14">
        <f>W15</f>
        <v>0.05</v>
      </c>
      <c r="X14">
        <f>X15</f>
        <v>0.75</v>
      </c>
      <c r="Y14">
        <f>Y15</f>
        <v>0.1</v>
      </c>
      <c r="Z14">
        <f>Z15</f>
        <v>0.05</v>
      </c>
    </row>
    <row r="15">
      <c r="B15">
        <v>10</v>
      </c>
      <c r="C15">
        <v>2</v>
      </c>
      <c r="D15">
        <v>0.65</v>
      </c>
      <c r="E15">
        <v>0.05</v>
      </c>
      <c r="F15">
        <v>0.75</v>
      </c>
      <c r="G15">
        <f>(H15/1.39135)*$K$5</f>
        <v>0.1283631724584037</v>
      </c>
      <c r="H15">
        <f>(F15*1.190654)*$L$5</f>
        <v>0.44649525</v>
      </c>
      <c r="I15">
        <v>5.0926</v>
      </c>
      <c r="J15">
        <f>D15/(F15/3.362524)</f>
        <v>2.9141874666666667</v>
      </c>
      <c r="K15">
        <f>G15/(H15/1.39135)</f>
        <v>0.4</v>
      </c>
      <c r="L15">
        <f>(H15/1.190654)/F15</f>
        <v>0.5</v>
      </c>
      <c r="V15">
        <f>V16</f>
        <v>0.65</v>
      </c>
      <c r="W15">
        <f>W16</f>
        <v>0.05</v>
      </c>
      <c r="X15">
        <f>X16</f>
        <v>0.75</v>
      </c>
      <c r="Y15">
        <f>Y16</f>
        <v>0.1</v>
      </c>
      <c r="Z15">
        <f>Z16</f>
        <v>0.05</v>
      </c>
    </row>
    <row r="16">
      <c r="B16">
        <v>11</v>
      </c>
      <c r="C16">
        <v>2</v>
      </c>
      <c r="D16">
        <v>0.65</v>
      </c>
      <c r="E16">
        <v>0.05</v>
      </c>
      <c r="F16">
        <v>0.75</v>
      </c>
      <c r="G16">
        <f>(H16/1.39135)*$K$5</f>
        <v>0.1283631724584037</v>
      </c>
      <c r="H16">
        <f>(F16*1.190654)*$L$5</f>
        <v>0.44649525</v>
      </c>
      <c r="I16">
        <v>9.1667</v>
      </c>
      <c r="J16">
        <f>D16/(F16/3.362524)</f>
        <v>2.9141874666666667</v>
      </c>
      <c r="K16">
        <f>G16/(H16/1.39135)</f>
        <v>0.4</v>
      </c>
      <c r="L16">
        <f>(H16/1.190654)/F16</f>
        <v>0.5</v>
      </c>
      <c r="V16">
        <f>V17</f>
        <v>0.65</v>
      </c>
      <c r="W16">
        <f>W17</f>
        <v>0.05</v>
      </c>
      <c r="X16">
        <f>X17</f>
        <v>0.75</v>
      </c>
      <c r="Y16">
        <f>Y17</f>
        <v>0.1</v>
      </c>
      <c r="Z16">
        <f>Z17</f>
        <v>0.05</v>
      </c>
    </row>
    <row r="17">
      <c r="B17">
        <v>12</v>
      </c>
      <c r="C17">
        <v>2</v>
      </c>
      <c r="D17">
        <v>0.65</v>
      </c>
      <c r="E17">
        <v>0.05</v>
      </c>
      <c r="F17">
        <v>0.75</v>
      </c>
      <c r="G17">
        <f>(H17/1.39135)*$K$5</f>
        <v>0.1283631724584037</v>
      </c>
      <c r="H17">
        <f>(F17*1.190654)*$L$5</f>
        <v>0.44649525</v>
      </c>
      <c r="I17">
        <v>9.1667</v>
      </c>
      <c r="J17">
        <f>D17/(F17/3.362524)</f>
        <v>2.9141874666666667</v>
      </c>
      <c r="K17">
        <f>G17/(H17/1.39135)</f>
        <v>0.4</v>
      </c>
      <c r="L17">
        <f>(H17/1.190654)/F17</f>
        <v>0.5</v>
      </c>
      <c r="V17">
        <f>V18</f>
        <v>0.65</v>
      </c>
      <c r="W17">
        <f>W18</f>
        <v>0.05</v>
      </c>
      <c r="X17">
        <f>X18</f>
        <v>0.75</v>
      </c>
      <c r="Y17">
        <f>Y18</f>
        <v>0.1</v>
      </c>
      <c r="Z17">
        <f>Z18</f>
        <v>0.05</v>
      </c>
    </row>
    <row r="18">
      <c r="B18">
        <v>13</v>
      </c>
      <c r="C18">
        <v>2</v>
      </c>
      <c r="D18">
        <v>0.65</v>
      </c>
      <c r="E18">
        <v>0.05</v>
      </c>
      <c r="F18">
        <v>0.75</v>
      </c>
      <c r="G18">
        <f>(H18/1.39135)*$K$5</f>
        <v>0.1283631724584037</v>
      </c>
      <c r="H18">
        <f>(F18*1.190654)*$L$5</f>
        <v>0.44649525</v>
      </c>
      <c r="I18">
        <v>9.1667</v>
      </c>
      <c r="J18">
        <f>D18/(F18/3.362524)</f>
        <v>2.9141874666666667</v>
      </c>
      <c r="K18">
        <f>G18/(H18/1.39135)</f>
        <v>0.4</v>
      </c>
      <c r="L18">
        <f>(H18/1.190654)/F18</f>
        <v>0.5</v>
      </c>
      <c r="V18">
        <f>V19</f>
        <v>0.65</v>
      </c>
      <c r="W18">
        <f>W19</f>
        <v>0.05</v>
      </c>
      <c r="X18">
        <f>X19</f>
        <v>0.75</v>
      </c>
      <c r="Y18">
        <f>Y19</f>
        <v>0.1</v>
      </c>
      <c r="Z18">
        <f>Z19</f>
        <v>0.05</v>
      </c>
    </row>
    <row r="19">
      <c r="B19">
        <v>14</v>
      </c>
      <c r="C19">
        <v>2</v>
      </c>
      <c r="D19">
        <v>0.65</v>
      </c>
      <c r="E19">
        <v>0.05</v>
      </c>
      <c r="F19">
        <v>0.75</v>
      </c>
      <c r="G19">
        <f>(H19/1.39135)*$K$5</f>
        <v>0.1283631724584037</v>
      </c>
      <c r="H19">
        <f>(F19*1.190654)*$L$5</f>
        <v>0.44649525</v>
      </c>
      <c r="I19">
        <v>9.1667</v>
      </c>
      <c r="J19">
        <f>D19/(F19/3.362524)</f>
        <v>2.9141874666666667</v>
      </c>
      <c r="K19">
        <f>G19/(H19/1.39135)</f>
        <v>0.4</v>
      </c>
      <c r="L19">
        <f>(H19/1.190654)/F19</f>
        <v>0.5</v>
      </c>
      <c r="V19">
        <f>V20</f>
        <v>0.65</v>
      </c>
      <c r="W19">
        <f>W20</f>
        <v>0.05</v>
      </c>
      <c r="X19">
        <f>X20</f>
        <v>0.75</v>
      </c>
      <c r="Y19">
        <f>Y20</f>
        <v>0.1</v>
      </c>
      <c r="Z19">
        <f>Z20</f>
        <v>0.05</v>
      </c>
    </row>
    <row r="20">
      <c r="B20">
        <v>15</v>
      </c>
      <c r="C20">
        <v>3</v>
      </c>
      <c r="D20">
        <v>0.65</v>
      </c>
      <c r="E20">
        <v>0.05</v>
      </c>
      <c r="F20">
        <v>0.75</v>
      </c>
      <c r="G20">
        <f>(H20/1.39135)*$K$5</f>
        <v>0.1283631724584037</v>
      </c>
      <c r="H20">
        <f>(F20*1.190654)*$L$5</f>
        <v>0.44649525</v>
      </c>
      <c r="I20">
        <v>9.1667</v>
      </c>
      <c r="J20">
        <f>D20/(F20/3.362524)</f>
        <v>2.9141874666666667</v>
      </c>
      <c r="K20">
        <f>G20/(H20/1.39135)</f>
        <v>0.4</v>
      </c>
      <c r="L20">
        <f>(H20/1.190654)/F20</f>
        <v>0.5</v>
      </c>
      <c r="V20">
        <f>V21</f>
        <v>0.65</v>
      </c>
      <c r="W20">
        <f>W21</f>
        <v>0.05</v>
      </c>
      <c r="X20">
        <f>X21</f>
        <v>0.75</v>
      </c>
      <c r="Y20">
        <f>Y21</f>
        <v>0.1</v>
      </c>
      <c r="Z20">
        <f>Z21</f>
        <v>0.05</v>
      </c>
    </row>
    <row r="21">
      <c r="B21">
        <v>16</v>
      </c>
      <c r="C21">
        <v>3</v>
      </c>
      <c r="D21">
        <v>0.65</v>
      </c>
      <c r="E21">
        <v>0.05</v>
      </c>
      <c r="F21">
        <v>0.75</v>
      </c>
      <c r="G21">
        <f>(H21/1.39135)*$K$5</f>
        <v>0.1283631724584037</v>
      </c>
      <c r="H21">
        <f>(F21*1.190654)*$L$5</f>
        <v>0.44649525</v>
      </c>
      <c r="I21">
        <v>9.1667</v>
      </c>
      <c r="J21">
        <f>D21/(F21/3.362524)</f>
        <v>2.9141874666666667</v>
      </c>
      <c r="K21">
        <f>G21/(H21/1.39135)</f>
        <v>0.4</v>
      </c>
      <c r="L21">
        <f>(H21/1.190654)/F21</f>
        <v>0.5</v>
      </c>
      <c r="V21">
        <f>V22</f>
        <v>0.65</v>
      </c>
      <c r="W21">
        <f>W22</f>
        <v>0.05</v>
      </c>
      <c r="X21">
        <f>X22</f>
        <v>0.75</v>
      </c>
      <c r="Y21">
        <f>Y22</f>
        <v>0.1</v>
      </c>
      <c r="Z21">
        <f>Z22</f>
        <v>0.05</v>
      </c>
    </row>
    <row r="22">
      <c r="B22">
        <v>17</v>
      </c>
      <c r="C22">
        <v>3</v>
      </c>
      <c r="D22">
        <v>0.65</v>
      </c>
      <c r="E22">
        <v>0.05</v>
      </c>
      <c r="F22">
        <v>0.75</v>
      </c>
      <c r="G22">
        <f>(H22/1.39135)*$K$5</f>
        <v>0.1283631724584037</v>
      </c>
      <c r="H22">
        <f>(F22*1.190654)*$L$5</f>
        <v>0.44649525</v>
      </c>
      <c r="I22">
        <v>9.1667</v>
      </c>
      <c r="J22">
        <f>D22/(F22/3.362524)</f>
        <v>2.9141874666666667</v>
      </c>
      <c r="K22">
        <f>G22/(H22/1.39135)</f>
        <v>0.4</v>
      </c>
      <c r="L22">
        <f>(H22/1.190654)/F22</f>
        <v>0.5</v>
      </c>
      <c r="V22">
        <f>V23</f>
        <v>0.65</v>
      </c>
      <c r="W22">
        <f>W23</f>
        <v>0.05</v>
      </c>
      <c r="X22">
        <f>X23</f>
        <v>0.75</v>
      </c>
      <c r="Y22">
        <f>Y23</f>
        <v>0.1</v>
      </c>
      <c r="Z22">
        <f>Z23</f>
        <v>0.05</v>
      </c>
    </row>
    <row r="23">
      <c r="B23">
        <v>18</v>
      </c>
      <c r="C23">
        <v>3</v>
      </c>
      <c r="D23">
        <v>0.65</v>
      </c>
      <c r="E23">
        <v>0.05</v>
      </c>
      <c r="F23">
        <v>0.75</v>
      </c>
      <c r="G23">
        <f>(H23/1.39135)*$K$5</f>
        <v>0.1283631724584037</v>
      </c>
      <c r="H23">
        <f>(F23*1.190654)*$L$5</f>
        <v>0.44649525</v>
      </c>
      <c r="I23">
        <v>12.2222</v>
      </c>
      <c r="J23">
        <f>D23/(F23/3.362524)</f>
        <v>2.9141874666666667</v>
      </c>
      <c r="K23">
        <f>G23/(H23/1.39135)</f>
        <v>0.4</v>
      </c>
      <c r="L23">
        <f>(H23/1.190654)/F23</f>
        <v>0.5</v>
      </c>
      <c r="V23">
        <f>V24</f>
        <v>0.65</v>
      </c>
      <c r="W23">
        <f>W24</f>
        <v>0.05</v>
      </c>
      <c r="X23">
        <f>X24</f>
        <v>0.75</v>
      </c>
      <c r="Y23">
        <f>Y24</f>
        <v>0.1</v>
      </c>
      <c r="Z23">
        <f>Z24</f>
        <v>0.05</v>
      </c>
    </row>
    <row r="24">
      <c r="B24">
        <v>19</v>
      </c>
      <c r="C24">
        <v>3</v>
      </c>
      <c r="D24">
        <v>0.65</v>
      </c>
      <c r="E24">
        <v>0.05</v>
      </c>
      <c r="F24">
        <v>0.75</v>
      </c>
      <c r="G24">
        <f>(H24/1.39135)*$K$5</f>
        <v>0.1283631724584037</v>
      </c>
      <c r="H24">
        <f>(F24*1.190654)*$L$5</f>
        <v>0.44649525</v>
      </c>
      <c r="I24">
        <v>12.2222</v>
      </c>
      <c r="J24">
        <f>D24/(F24/3.362524)</f>
        <v>2.9141874666666667</v>
      </c>
      <c r="K24">
        <f>G24/(H24/1.39135)</f>
        <v>0.4</v>
      </c>
      <c r="L24">
        <f>(H24/1.190654)/F24</f>
        <v>0.5</v>
      </c>
      <c r="V24">
        <f>V25</f>
        <v>0.65</v>
      </c>
      <c r="W24">
        <f>W25</f>
        <v>0.05</v>
      </c>
      <c r="X24">
        <f>X25</f>
        <v>0.75</v>
      </c>
      <c r="Y24">
        <f>Y25</f>
        <v>0.1</v>
      </c>
      <c r="Z24">
        <f>Z25</f>
        <v>0.05</v>
      </c>
    </row>
    <row r="25">
      <c r="B25">
        <v>20</v>
      </c>
      <c r="C25">
        <v>3</v>
      </c>
      <c r="D25">
        <v>0.65</v>
      </c>
      <c r="E25">
        <v>0.05</v>
      </c>
      <c r="F25">
        <v>0.75</v>
      </c>
      <c r="G25">
        <f>(H25/1.39135)*$K$5</f>
        <v>0.1283631724584037</v>
      </c>
      <c r="H25">
        <f>(F25*1.190654)*$L$5</f>
        <v>0.44649525</v>
      </c>
      <c r="I25">
        <v>12.2222</v>
      </c>
      <c r="J25">
        <f>D25/(F25/3.362524)</f>
        <v>2.9141874666666667</v>
      </c>
      <c r="K25">
        <f>G25/(H25/1.39135)</f>
        <v>0.4</v>
      </c>
      <c r="L25">
        <f>(H25/1.190654)/F25</f>
        <v>0.5</v>
      </c>
      <c r="V25">
        <f>V26</f>
        <v>0.65</v>
      </c>
      <c r="W25">
        <f>W26</f>
        <v>0.05</v>
      </c>
      <c r="X25">
        <f>X26</f>
        <v>0.75</v>
      </c>
      <c r="Y25">
        <f>Y26</f>
        <v>0.1</v>
      </c>
      <c r="Z25">
        <f>Z26</f>
        <v>0.05</v>
      </c>
    </row>
    <row r="26">
      <c r="B26">
        <v>21</v>
      </c>
      <c r="C26">
        <v>3</v>
      </c>
      <c r="D26">
        <v>0.65</v>
      </c>
      <c r="E26">
        <v>0.05</v>
      </c>
      <c r="F26">
        <v>0.75</v>
      </c>
      <c r="G26">
        <f>(H26/1.39135)*$K$5</f>
        <v>0.1283631724584037</v>
      </c>
      <c r="H26">
        <f>(F26*1.190654)*$L$5</f>
        <v>0.44649525</v>
      </c>
      <c r="I26">
        <v>12.2222</v>
      </c>
      <c r="J26">
        <f>D26/(F26/3.362524)</f>
        <v>2.9141874666666667</v>
      </c>
      <c r="K26">
        <f>G26/(H26/1.39135)</f>
        <v>0.4</v>
      </c>
      <c r="L26">
        <f>(H26/1.190654)/F26</f>
        <v>0.5</v>
      </c>
      <c r="V26">
        <f>V27</f>
        <v>0.65</v>
      </c>
      <c r="W26">
        <f>W27</f>
        <v>0.05</v>
      </c>
      <c r="X26">
        <f>X27</f>
        <v>0.75</v>
      </c>
      <c r="Y26">
        <f>Y27</f>
        <v>0.1</v>
      </c>
      <c r="Z26">
        <f>Z27</f>
        <v>0.05</v>
      </c>
    </row>
    <row r="27">
      <c r="B27">
        <v>22</v>
      </c>
      <c r="C27">
        <v>4</v>
      </c>
      <c r="D27">
        <v>0.65</v>
      </c>
      <c r="E27">
        <v>0.05</v>
      </c>
      <c r="F27">
        <v>0.75</v>
      </c>
      <c r="G27">
        <f>(H27/1.39135)*$K$5</f>
        <v>0.1283631724584037</v>
      </c>
      <c r="H27">
        <f>(F27*1.190654)*$L$5</f>
        <v>0.44649525</v>
      </c>
      <c r="I27">
        <v>12.2222</v>
      </c>
      <c r="J27">
        <f>D27/(F27/3.362524)</f>
        <v>2.9141874666666667</v>
      </c>
      <c r="K27">
        <f>G27/(H27/1.39135)</f>
        <v>0.4</v>
      </c>
      <c r="L27">
        <f>(H27/1.190654)/F27</f>
        <v>0.5</v>
      </c>
      <c r="V27">
        <f>V28</f>
        <v>0.65</v>
      </c>
      <c r="W27">
        <f>W28</f>
        <v>0.05</v>
      </c>
      <c r="X27">
        <f>X28</f>
        <v>0.75</v>
      </c>
      <c r="Y27">
        <f>Y28</f>
        <v>0.1</v>
      </c>
      <c r="Z27">
        <f>Z28</f>
        <v>0.05</v>
      </c>
    </row>
    <row r="28">
      <c r="B28">
        <v>23</v>
      </c>
      <c r="C28">
        <v>4</v>
      </c>
      <c r="D28">
        <v>0.65</v>
      </c>
      <c r="E28">
        <v>0.05</v>
      </c>
      <c r="F28">
        <v>0.75</v>
      </c>
      <c r="G28">
        <f>(H28/1.39135)*$K$5</f>
        <v>0.1283631724584037</v>
      </c>
      <c r="H28">
        <f>(F28*1.190654)*$L$5</f>
        <v>0.44649525</v>
      </c>
      <c r="I28">
        <v>12.2222</v>
      </c>
      <c r="J28">
        <f>D28/(F28/3.362524)</f>
        <v>2.9141874666666667</v>
      </c>
      <c r="K28">
        <f>G28/(H28/1.39135)</f>
        <v>0.4</v>
      </c>
      <c r="L28">
        <f>(H28/1.190654)/F28</f>
        <v>0.5</v>
      </c>
      <c r="V28">
        <f>V29</f>
        <v>0.65</v>
      </c>
      <c r="W28">
        <f>W29</f>
        <v>0.05</v>
      </c>
      <c r="X28">
        <f>X29</f>
        <v>0.75</v>
      </c>
      <c r="Y28">
        <f>Y29</f>
        <v>0.1</v>
      </c>
      <c r="Z28">
        <f>Z29</f>
        <v>0.05</v>
      </c>
    </row>
    <row r="29">
      <c r="B29">
        <v>24</v>
      </c>
      <c r="C29">
        <v>4</v>
      </c>
      <c r="D29">
        <v>0.65</v>
      </c>
      <c r="E29">
        <v>0.05</v>
      </c>
      <c r="F29">
        <v>0.75</v>
      </c>
      <c r="G29">
        <f>(H29/1.39135)*$K$5</f>
        <v>0.1283631724584037</v>
      </c>
      <c r="H29">
        <f>(F29*1.190654)*$L$5</f>
        <v>0.44649525</v>
      </c>
      <c r="I29">
        <v>12.2222</v>
      </c>
      <c r="J29">
        <f>D29/(F29/3.362524)</f>
        <v>2.9141874666666667</v>
      </c>
      <c r="K29">
        <f>G29/(H29/1.39135)</f>
        <v>0.4</v>
      </c>
      <c r="L29">
        <f>(H29/1.190654)/F29</f>
        <v>0.5</v>
      </c>
      <c r="V29">
        <f>V30</f>
        <v>0.65</v>
      </c>
      <c r="W29">
        <f>W30</f>
        <v>0.05</v>
      </c>
      <c r="X29">
        <f>X30</f>
        <v>0.75</v>
      </c>
      <c r="Y29">
        <f>Y30</f>
        <v>0.1</v>
      </c>
      <c r="Z29">
        <f>Z30</f>
        <v>0.05</v>
      </c>
    </row>
    <row r="30">
      <c r="B30">
        <v>25</v>
      </c>
      <c r="C30">
        <v>4</v>
      </c>
      <c r="D30">
        <v>0.65</v>
      </c>
      <c r="E30">
        <v>0.05</v>
      </c>
      <c r="F30">
        <v>0.75</v>
      </c>
      <c r="G30">
        <f>(H30/1.39135)*$K$5</f>
        <v>0.1283631724584037</v>
      </c>
      <c r="H30">
        <f>(F30*1.190654)*$L$5</f>
        <v>0.44649525</v>
      </c>
      <c r="I30">
        <v>12.2222</v>
      </c>
      <c r="J30">
        <f>D30/(F30/3.362524)</f>
        <v>2.9141874666666667</v>
      </c>
      <c r="K30">
        <f>G30/(H30/1.39135)</f>
        <v>0.4</v>
      </c>
      <c r="L30">
        <f>(H30/1.190654)/F30</f>
        <v>0.5</v>
      </c>
      <c r="V30">
        <f>V31</f>
        <v>0.65</v>
      </c>
      <c r="W30">
        <f>W31</f>
        <v>0.05</v>
      </c>
      <c r="X30">
        <f>X31</f>
        <v>0.75</v>
      </c>
      <c r="Y30">
        <f>Y31</f>
        <v>0.1</v>
      </c>
      <c r="Z30">
        <f>Z31</f>
        <v>0.05</v>
      </c>
    </row>
    <row r="31">
      <c r="B31">
        <v>26</v>
      </c>
      <c r="C31">
        <v>4</v>
      </c>
      <c r="D31">
        <v>0.65</v>
      </c>
      <c r="E31">
        <v>0.05</v>
      </c>
      <c r="F31">
        <v>0.75</v>
      </c>
      <c r="G31">
        <f>(H31/1.39135)*$K$5</f>
        <v>0.1283631724584037</v>
      </c>
      <c r="H31">
        <f>(F31*1.190654)*$L$5</f>
        <v>0.44649525</v>
      </c>
      <c r="I31">
        <v>12.2222</v>
      </c>
      <c r="J31">
        <f>D31/(F31/3.362524)</f>
        <v>2.9141874666666667</v>
      </c>
      <c r="K31">
        <f>G31/(H31/1.39135)</f>
        <v>0.4</v>
      </c>
      <c r="L31">
        <f>(H31/1.190654)/F31</f>
        <v>0.5</v>
      </c>
      <c r="V31">
        <f>V32</f>
        <v>0.65</v>
      </c>
      <c r="W31">
        <f>W32</f>
        <v>0.05</v>
      </c>
      <c r="X31">
        <f>X32</f>
        <v>0.75</v>
      </c>
      <c r="Y31">
        <f>Y32</f>
        <v>0.1</v>
      </c>
      <c r="Z31">
        <f>Z32</f>
        <v>0.05</v>
      </c>
    </row>
    <row r="32">
      <c r="B32">
        <v>27</v>
      </c>
      <c r="C32">
        <v>4</v>
      </c>
      <c r="D32">
        <v>0.65</v>
      </c>
      <c r="E32">
        <v>0.05</v>
      </c>
      <c r="F32">
        <v>0.75</v>
      </c>
      <c r="G32">
        <f>(H32/1.39135)*$K$5</f>
        <v>0.1283631724584037</v>
      </c>
      <c r="H32">
        <f>(F32*1.190654)*$L$5</f>
        <v>0.44649525</v>
      </c>
      <c r="I32">
        <v>12.2222</v>
      </c>
      <c r="J32">
        <f>D32/(F32/3.362524)</f>
        <v>2.9141874666666667</v>
      </c>
      <c r="K32">
        <f>G32/(H32/1.39135)</f>
        <v>0.4</v>
      </c>
      <c r="L32">
        <f>(H32/1.190654)/F32</f>
        <v>0.5</v>
      </c>
      <c r="V32">
        <f>V33</f>
        <v>0.65</v>
      </c>
      <c r="W32">
        <f>W33</f>
        <v>0.05</v>
      </c>
      <c r="X32">
        <f>X33</f>
        <v>0.75</v>
      </c>
      <c r="Y32">
        <f>Y33</f>
        <v>0.1</v>
      </c>
      <c r="Z32">
        <f>Z33</f>
        <v>0.05</v>
      </c>
    </row>
    <row r="33">
      <c r="B33">
        <v>28</v>
      </c>
      <c r="C33">
        <v>4</v>
      </c>
      <c r="D33">
        <v>0.65</v>
      </c>
      <c r="E33">
        <v>0.05</v>
      </c>
      <c r="F33">
        <v>0.75</v>
      </c>
      <c r="G33">
        <f>(H33/1.39135)*$K$5</f>
        <v>0.1283631724584037</v>
      </c>
      <c r="H33">
        <f>(F33*1.190654)*$L$5</f>
        <v>0.44649525</v>
      </c>
      <c r="I33">
        <v>12.2222</v>
      </c>
      <c r="J33">
        <f>D33/(F33/3.362524)</f>
        <v>2.9141874666666667</v>
      </c>
      <c r="K33">
        <f>G33/(H33/1.39135)</f>
        <v>0.4</v>
      </c>
      <c r="L33">
        <f>(H33/1.190654)/F33</f>
        <v>0.5</v>
      </c>
      <c r="V33">
        <f>V34</f>
        <v>0.65</v>
      </c>
      <c r="W33">
        <f>W34</f>
        <v>0.05</v>
      </c>
      <c r="X33">
        <f>X34</f>
        <v>0.75</v>
      </c>
      <c r="Y33">
        <f>Y34</f>
        <v>0.1</v>
      </c>
      <c r="Z33">
        <f>Z34</f>
        <v>0.05</v>
      </c>
    </row>
    <row r="34">
      <c r="B34">
        <v>29</v>
      </c>
      <c r="C34">
        <v>5</v>
      </c>
      <c r="D34">
        <v>0.65</v>
      </c>
      <c r="E34">
        <v>0.05</v>
      </c>
      <c r="F34">
        <v>0.75</v>
      </c>
      <c r="G34">
        <f>(H34/1.39135)*$K$5</f>
        <v>0.1283631724584037</v>
      </c>
      <c r="H34">
        <f>(F34*1.190654)*$L$5</f>
        <v>0.44649525</v>
      </c>
      <c r="I34">
        <v>12.2222</v>
      </c>
      <c r="J34">
        <f>D34/(F34/3.362524)</f>
        <v>2.9141874666666667</v>
      </c>
      <c r="K34">
        <f>G34/(H34/1.39135)</f>
        <v>0.4</v>
      </c>
      <c r="L34">
        <f>(H34/1.190654)/F34</f>
        <v>0.5</v>
      </c>
      <c r="V34">
        <f>V35</f>
        <v>0.65</v>
      </c>
      <c r="W34">
        <f>W35</f>
        <v>0.05</v>
      </c>
      <c r="X34">
        <f>X35</f>
        <v>0.75</v>
      </c>
      <c r="Y34">
        <f>Y35</f>
        <v>0.1</v>
      </c>
      <c r="Z34">
        <f>Z35</f>
        <v>0.05</v>
      </c>
    </row>
    <row r="35">
      <c r="B35">
        <v>30</v>
      </c>
      <c r="C35">
        <v>5</v>
      </c>
      <c r="D35">
        <v>0.65</v>
      </c>
      <c r="E35">
        <v>0.05</v>
      </c>
      <c r="F35">
        <v>0.75</v>
      </c>
      <c r="G35">
        <f>(H35/1.39135)*$K$5</f>
        <v>0.1283631724584037</v>
      </c>
      <c r="H35">
        <f>(F35*1.190654)*$L$5</f>
        <v>0.44649525</v>
      </c>
      <c r="I35">
        <v>12.2222</v>
      </c>
      <c r="J35">
        <f>D35/(F35/3.362524)</f>
        <v>2.9141874666666667</v>
      </c>
      <c r="K35">
        <f>G35/(H35/1.39135)</f>
        <v>0.4</v>
      </c>
      <c r="L35">
        <f>(H35/1.190654)/F35</f>
        <v>0.5</v>
      </c>
      <c r="V35">
        <f>V36</f>
        <v>0.65</v>
      </c>
      <c r="W35">
        <f>W36</f>
        <v>0.05</v>
      </c>
      <c r="X35">
        <f>X36</f>
        <v>0.75</v>
      </c>
      <c r="Y35">
        <f>Y36</f>
        <v>0.1</v>
      </c>
      <c r="Z35">
        <f>Z36</f>
        <v>0.05</v>
      </c>
    </row>
    <row r="36">
      <c r="B36">
        <v>31</v>
      </c>
      <c r="C36">
        <v>5</v>
      </c>
      <c r="D36">
        <v>0.65</v>
      </c>
      <c r="E36">
        <v>0.05</v>
      </c>
      <c r="F36">
        <v>0.75</v>
      </c>
      <c r="G36">
        <f>(H36/1.39135)*$K$5</f>
        <v>0.1283631724584037</v>
      </c>
      <c r="H36">
        <f>(F36*1.190654)*$L$5</f>
        <v>0.44649525</v>
      </c>
      <c r="I36">
        <v>12.2222</v>
      </c>
      <c r="J36">
        <f>D36/(F36/3.362524)</f>
        <v>2.9141874666666667</v>
      </c>
      <c r="K36">
        <f>G36/(H36/1.39135)</f>
        <v>0.4</v>
      </c>
      <c r="L36">
        <f>(H36/1.190654)/F36</f>
        <v>0.5</v>
      </c>
      <c r="V36">
        <f>V37</f>
        <v>0.65</v>
      </c>
      <c r="W36">
        <f>W37</f>
        <v>0.05</v>
      </c>
      <c r="X36">
        <f>X37</f>
        <v>0.75</v>
      </c>
      <c r="Y36">
        <f>Y37</f>
        <v>0.1</v>
      </c>
      <c r="Z36">
        <f>Z37</f>
        <v>0.05</v>
      </c>
    </row>
    <row r="37">
      <c r="B37">
        <v>32</v>
      </c>
      <c r="C37">
        <v>5</v>
      </c>
      <c r="D37">
        <v>0.65</v>
      </c>
      <c r="E37">
        <v>0.05</v>
      </c>
      <c r="F37">
        <v>0.75</v>
      </c>
      <c r="G37">
        <f>(H37/1.39135)*$K$5</f>
        <v>0.1283631724584037</v>
      </c>
      <c r="H37">
        <f>(F37*1.190654)*$L$5</f>
        <v>0.44649525</v>
      </c>
      <c r="I37">
        <v>12.2222</v>
      </c>
      <c r="J37">
        <f>D37/(F37/3.362524)</f>
        <v>2.9141874666666667</v>
      </c>
      <c r="K37">
        <f>G37/(H37/1.39135)</f>
        <v>0.4</v>
      </c>
      <c r="L37">
        <f>(H37/1.190654)/F37</f>
        <v>0.5</v>
      </c>
      <c r="V37">
        <f>V38</f>
        <v>0.65</v>
      </c>
      <c r="W37">
        <f>W38</f>
        <v>0.05</v>
      </c>
      <c r="X37">
        <f>X38</f>
        <v>0.75</v>
      </c>
      <c r="Y37">
        <f>Y38</f>
        <v>0.1</v>
      </c>
      <c r="Z37">
        <f>Z38</f>
        <v>0.05</v>
      </c>
    </row>
    <row r="38">
      <c r="B38">
        <v>33</v>
      </c>
      <c r="C38">
        <v>5</v>
      </c>
      <c r="D38">
        <v>0.65</v>
      </c>
      <c r="E38">
        <v>0.05</v>
      </c>
      <c r="F38">
        <v>0.75</v>
      </c>
      <c r="G38">
        <f>(H38/1.39135)*$K$5</f>
        <v>0.1283631724584037</v>
      </c>
      <c r="H38">
        <f>(F38*1.190654)*$L$5</f>
        <v>0.44649525</v>
      </c>
      <c r="I38">
        <v>17.3149</v>
      </c>
      <c r="J38">
        <f>D38/(F38/3.362524)</f>
        <v>2.9141874666666667</v>
      </c>
      <c r="K38">
        <f>G38/(H38/1.39135)</f>
        <v>0.4</v>
      </c>
      <c r="L38">
        <f>(H38/1.190654)/F38</f>
        <v>0.5</v>
      </c>
      <c r="V38">
        <f>V39</f>
        <v>0.65</v>
      </c>
      <c r="W38">
        <f>W39</f>
        <v>0.05</v>
      </c>
      <c r="X38">
        <f>X39</f>
        <v>0.75</v>
      </c>
      <c r="Y38">
        <f>Y39</f>
        <v>0.1</v>
      </c>
      <c r="Z38">
        <f>Z39</f>
        <v>0.05</v>
      </c>
    </row>
    <row r="39">
      <c r="B39">
        <v>34</v>
      </c>
      <c r="C39">
        <v>5</v>
      </c>
      <c r="D39">
        <v>0.65</v>
      </c>
      <c r="E39">
        <v>0.05</v>
      </c>
      <c r="F39">
        <v>0.75</v>
      </c>
      <c r="G39">
        <f>(H39/1.39135)*$K$5</f>
        <v>0.1283631724584037</v>
      </c>
      <c r="H39">
        <f>(F39*1.190654)*$L$5</f>
        <v>0.44649525</v>
      </c>
      <c r="I39">
        <v>17.3149</v>
      </c>
      <c r="J39">
        <f>D39/(F39/3.362524)</f>
        <v>2.9141874666666667</v>
      </c>
      <c r="K39">
        <f>G39/(H39/1.39135)</f>
        <v>0.4</v>
      </c>
      <c r="L39">
        <f>(H39/1.190654)/F39</f>
        <v>0.5</v>
      </c>
      <c r="V39">
        <f>V40</f>
        <v>0.65</v>
      </c>
      <c r="W39">
        <f>W40</f>
        <v>0.05</v>
      </c>
      <c r="X39">
        <f>X40</f>
        <v>0.75</v>
      </c>
      <c r="Y39">
        <f>Y40</f>
        <v>0.1</v>
      </c>
      <c r="Z39">
        <f>Z40</f>
        <v>0.05</v>
      </c>
    </row>
    <row r="40">
      <c r="B40">
        <v>35</v>
      </c>
      <c r="C40">
        <v>5</v>
      </c>
      <c r="D40">
        <v>0.65</v>
      </c>
      <c r="E40">
        <v>0.05</v>
      </c>
      <c r="F40">
        <v>0.75</v>
      </c>
      <c r="G40">
        <f>(H40/1.39135)*$K$5</f>
        <v>0.1283631724584037</v>
      </c>
      <c r="H40">
        <f>(F40*1.190654)*$L$5</f>
        <v>0.44649525</v>
      </c>
      <c r="I40">
        <v>17.3149</v>
      </c>
      <c r="J40">
        <f>D40/(F40/3.362524)</f>
        <v>2.9141874666666667</v>
      </c>
      <c r="K40">
        <f>G40/(H40/1.39135)</f>
        <v>0.4</v>
      </c>
      <c r="L40">
        <f>(H40/1.190654)/F40</f>
        <v>0.5</v>
      </c>
      <c r="V40">
        <f>V41</f>
        <v>0.65</v>
      </c>
      <c r="W40">
        <f>W41</f>
        <v>0.05</v>
      </c>
      <c r="X40">
        <f>X41</f>
        <v>0.75</v>
      </c>
      <c r="Y40">
        <f>Y41</f>
        <v>0.1</v>
      </c>
      <c r="Z40">
        <f>Z41</f>
        <v>0.05</v>
      </c>
    </row>
    <row r="41">
      <c r="B41">
        <v>36</v>
      </c>
      <c r="C41">
        <v>6</v>
      </c>
      <c r="D41">
        <v>0.65</v>
      </c>
      <c r="E41">
        <v>0.05</v>
      </c>
      <c r="F41">
        <v>0.75</v>
      </c>
      <c r="G41">
        <f>(H41/1.39135)*$K$5</f>
        <v>0.1283631724584037</v>
      </c>
      <c r="H41">
        <f>(F41*1.190654)*$L$5</f>
        <v>0.44649525</v>
      </c>
      <c r="I41">
        <v>17.3149</v>
      </c>
      <c r="J41">
        <f>D41/(F41/3.362524)</f>
        <v>2.9141874666666667</v>
      </c>
      <c r="K41">
        <f>G41/(H41/1.39135)</f>
        <v>0.4</v>
      </c>
      <c r="L41">
        <f>(H41/1.190654)/F41</f>
        <v>0.5</v>
      </c>
      <c r="V41">
        <f>V42</f>
        <v>0.65</v>
      </c>
      <c r="W41">
        <f>W42</f>
        <v>0.05</v>
      </c>
      <c r="X41">
        <f>X42</f>
        <v>0.75</v>
      </c>
      <c r="Y41">
        <f>Y42</f>
        <v>0.1</v>
      </c>
      <c r="Z41">
        <f>Z42</f>
        <v>0.05</v>
      </c>
    </row>
    <row r="42">
      <c r="B42">
        <v>37</v>
      </c>
      <c r="C42">
        <v>6</v>
      </c>
      <c r="D42">
        <v>0.65</v>
      </c>
      <c r="E42">
        <v>0.05</v>
      </c>
      <c r="F42">
        <v>0.75</v>
      </c>
      <c r="G42">
        <f>(H42/1.39135)*$K$5</f>
        <v>0.1283631724584037</v>
      </c>
      <c r="H42">
        <f>(F42*1.190654)*$L$5</f>
        <v>0.44649525</v>
      </c>
      <c r="I42">
        <v>17.3149</v>
      </c>
      <c r="J42">
        <f>D42/(F42/3.362524)</f>
        <v>2.9141874666666667</v>
      </c>
      <c r="K42">
        <f>G42/(H42/1.39135)</f>
        <v>0.4</v>
      </c>
      <c r="L42">
        <f>(H42/1.190654)/F42</f>
        <v>0.5</v>
      </c>
      <c r="V42">
        <f>V43</f>
        <v>0.65</v>
      </c>
      <c r="W42">
        <f>W43</f>
        <v>0.05</v>
      </c>
      <c r="X42">
        <f>X43</f>
        <v>0.75</v>
      </c>
      <c r="Y42">
        <f>Y43</f>
        <v>0.1</v>
      </c>
      <c r="Z42">
        <f>Z43</f>
        <v>0.05</v>
      </c>
    </row>
    <row r="43">
      <c r="B43">
        <v>38</v>
      </c>
      <c r="C43">
        <v>6</v>
      </c>
      <c r="D43">
        <v>0.65</v>
      </c>
      <c r="E43">
        <v>0.05</v>
      </c>
      <c r="F43">
        <v>0.75</v>
      </c>
      <c r="G43">
        <f>(H43/1.39135)*$K$5</f>
        <v>0.1283631724584037</v>
      </c>
      <c r="H43">
        <f>(F43*1.190654)*$L$5</f>
        <v>0.44649525</v>
      </c>
      <c r="I43">
        <v>17.3149</v>
      </c>
      <c r="J43">
        <f>D43/(F43/3.362524)</f>
        <v>2.9141874666666667</v>
      </c>
      <c r="K43">
        <f>G43/(H43/1.39135)</f>
        <v>0.4</v>
      </c>
      <c r="L43">
        <f>(H43/1.190654)/F43</f>
        <v>0.5</v>
      </c>
      <c r="V43">
        <f>V44</f>
        <v>0.65</v>
      </c>
      <c r="W43">
        <f>W44</f>
        <v>0.05</v>
      </c>
      <c r="X43">
        <f>X44</f>
        <v>0.75</v>
      </c>
      <c r="Y43">
        <f>Y44</f>
        <v>0.1</v>
      </c>
      <c r="Z43">
        <f>Z44</f>
        <v>0.05</v>
      </c>
    </row>
    <row r="44">
      <c r="B44">
        <v>39</v>
      </c>
      <c r="C44">
        <v>6</v>
      </c>
      <c r="D44">
        <v>0.65</v>
      </c>
      <c r="E44">
        <v>0.05</v>
      </c>
      <c r="F44">
        <v>0.75</v>
      </c>
      <c r="G44">
        <f>(H44/1.39135)*$K$5</f>
        <v>0.1283631724584037</v>
      </c>
      <c r="H44">
        <f>(F44*1.190654)*$L$5</f>
        <v>0.44649525</v>
      </c>
      <c r="I44">
        <v>17.3149</v>
      </c>
      <c r="J44">
        <f>D44/(F44/3.362524)</f>
        <v>2.9141874666666667</v>
      </c>
      <c r="K44">
        <f>G44/(H44/1.39135)</f>
        <v>0.4</v>
      </c>
      <c r="L44">
        <f>(H44/1.190654)/F44</f>
        <v>0.5</v>
      </c>
      <c r="V44">
        <f>V45</f>
        <v>0.65</v>
      </c>
      <c r="W44">
        <f>W45</f>
        <v>0.05</v>
      </c>
      <c r="X44">
        <f>X45</f>
        <v>0.75</v>
      </c>
      <c r="Y44">
        <f>Y45</f>
        <v>0.1</v>
      </c>
      <c r="Z44">
        <f>Z45</f>
        <v>0.05</v>
      </c>
    </row>
    <row r="45">
      <c r="B45">
        <v>40</v>
      </c>
      <c r="C45">
        <v>6</v>
      </c>
      <c r="D45">
        <v>0.65</v>
      </c>
      <c r="E45">
        <v>0.05</v>
      </c>
      <c r="F45">
        <v>0.75</v>
      </c>
      <c r="G45">
        <f>(H45/1.39135)*$K$5</f>
        <v>0.1283631724584037</v>
      </c>
      <c r="H45">
        <f>(F45*1.190654)*$L$5</f>
        <v>0.44649525</v>
      </c>
      <c r="I45">
        <v>17.3149</v>
      </c>
      <c r="J45">
        <f>D45/(F45/3.362524)</f>
        <v>2.9141874666666667</v>
      </c>
      <c r="K45">
        <f>G45/(H45/1.39135)</f>
        <v>0.4</v>
      </c>
      <c r="L45">
        <f>(H45/1.190654)/F45</f>
        <v>0.5</v>
      </c>
      <c r="N45">
        <v>40</v>
      </c>
      <c r="O45">
        <v>1</v>
      </c>
      <c r="P45">
        <v>14</v>
      </c>
      <c r="Q45">
        <v>2</v>
      </c>
      <c r="R45">
        <v>1</v>
      </c>
      <c r="S45" t="str">
        <v>Atzimba 576 qq/ha</v>
      </c>
      <c r="V45">
        <f>N47/40</f>
        <v>0.65</v>
      </c>
      <c r="W45">
        <f>O47/40</f>
        <v>0.05</v>
      </c>
      <c r="X45">
        <f>P47/40</f>
        <v>0.75</v>
      </c>
      <c r="Y45">
        <f>Q47/40</f>
        <v>0.1</v>
      </c>
      <c r="Z45">
        <f>R47/40</f>
        <v>0.05</v>
      </c>
    </row>
    <row r="46">
      <c r="B46">
        <v>41</v>
      </c>
      <c r="C46">
        <v>6</v>
      </c>
      <c r="D46">
        <v>5.3</v>
      </c>
      <c r="E46">
        <v>0.35</v>
      </c>
      <c r="F46">
        <v>6.7</v>
      </c>
      <c r="G46">
        <f>(H46/1.39135)*$K$5</f>
        <v>1.1467110072950732</v>
      </c>
      <c r="H46">
        <f>(F46*1.190654)*$L$5</f>
        <v>3.9886909000000004</v>
      </c>
      <c r="I46">
        <v>17.3149</v>
      </c>
      <c r="J46">
        <f>D46/(F46/3.362524)</f>
        <v>2.6599070447761193</v>
      </c>
      <c r="K46">
        <f>G46/(H46/1.39135)</f>
        <v>0.4</v>
      </c>
      <c r="L46">
        <f>(H46/1.190654)/F46</f>
        <v>0.5</v>
      </c>
      <c r="N46">
        <v>22</v>
      </c>
      <c r="O46">
        <v>2</v>
      </c>
      <c r="P46">
        <v>23</v>
      </c>
      <c r="Q46">
        <v>3</v>
      </c>
      <c r="R46">
        <v>2</v>
      </c>
      <c r="S46" t="str">
        <v>Floresta 878 qq/ha</v>
      </c>
      <c r="V46">
        <f>V47</f>
        <v>5.3</v>
      </c>
      <c r="W46">
        <f>W47</f>
        <v>0.35</v>
      </c>
      <c r="X46">
        <f>X47</f>
        <v>6.7</v>
      </c>
      <c r="Y46">
        <f>Y47</f>
        <v>1.1</v>
      </c>
      <c r="Z46">
        <f>Z47</f>
        <v>0.7</v>
      </c>
    </row>
    <row r="47">
      <c r="B47">
        <v>42</v>
      </c>
      <c r="C47">
        <v>6</v>
      </c>
      <c r="D47">
        <v>5.3</v>
      </c>
      <c r="E47">
        <v>0.35</v>
      </c>
      <c r="F47">
        <v>6.7</v>
      </c>
      <c r="G47">
        <f>(H47/1.39135)*$K$5</f>
        <v>1.1467110072950732</v>
      </c>
      <c r="H47">
        <f>(F47*1.190654)*$L$5</f>
        <v>3.9886909000000004</v>
      </c>
      <c r="I47">
        <v>17.3149</v>
      </c>
      <c r="J47">
        <f>D47/(F47/3.362524)</f>
        <v>2.6599070447761193</v>
      </c>
      <c r="K47">
        <f>G47/(H47/1.39135)</f>
        <v>0.4</v>
      </c>
      <c r="L47">
        <f>(H47/1.190654)/F47</f>
        <v>0.5</v>
      </c>
      <c r="N47">
        <v>26</v>
      </c>
      <c r="O47">
        <v>2</v>
      </c>
      <c r="P47">
        <v>30</v>
      </c>
      <c r="Q47">
        <v>4</v>
      </c>
      <c r="R47">
        <v>2</v>
      </c>
      <c r="S47" t="str">
        <v>Tollocan 1,052 qq/ha</v>
      </c>
      <c r="V47">
        <f>V48</f>
        <v>5.3</v>
      </c>
      <c r="W47">
        <f>W48</f>
        <v>0.35</v>
      </c>
      <c r="X47">
        <f>X48</f>
        <v>6.7</v>
      </c>
      <c r="Y47">
        <f>Y48</f>
        <v>1.1</v>
      </c>
      <c r="Z47">
        <f>Z48</f>
        <v>0.7</v>
      </c>
    </row>
    <row r="48">
      <c r="B48">
        <v>43</v>
      </c>
      <c r="C48">
        <v>7</v>
      </c>
      <c r="D48">
        <v>5.3</v>
      </c>
      <c r="E48">
        <v>0.35</v>
      </c>
      <c r="F48">
        <v>6.7</v>
      </c>
      <c r="G48">
        <f>(H48/1.39135)*$K$5</f>
        <v>1.1467110072950732</v>
      </c>
      <c r="H48">
        <f>(F48*1.190654)*$L$5</f>
        <v>3.9886909000000004</v>
      </c>
      <c r="I48">
        <v>17.3149</v>
      </c>
      <c r="J48">
        <f>D48/(F48/3.362524)</f>
        <v>2.6599070447761193</v>
      </c>
      <c r="K48">
        <f>G48/(H48/1.39135)</f>
        <v>0.4</v>
      </c>
      <c r="L48">
        <f>(H48/1.190654)/F48</f>
        <v>0.5</v>
      </c>
      <c r="V48">
        <f>V49</f>
        <v>5.3</v>
      </c>
      <c r="W48">
        <f>W49</f>
        <v>0.35</v>
      </c>
      <c r="X48">
        <f>X49</f>
        <v>6.7</v>
      </c>
      <c r="Y48">
        <f>Y49</f>
        <v>1.1</v>
      </c>
      <c r="Z48">
        <f>Z49</f>
        <v>0.7</v>
      </c>
    </row>
    <row r="49">
      <c r="B49">
        <v>44</v>
      </c>
      <c r="C49">
        <v>7</v>
      </c>
      <c r="D49">
        <v>5.3</v>
      </c>
      <c r="E49">
        <v>0.35</v>
      </c>
      <c r="F49">
        <v>6.7</v>
      </c>
      <c r="G49">
        <f>(H49/1.39135)*$K$5</f>
        <v>1.1467110072950732</v>
      </c>
      <c r="H49">
        <f>(F49*1.190654)*$L$5</f>
        <v>3.9886909000000004</v>
      </c>
      <c r="I49">
        <v>17.3149</v>
      </c>
      <c r="J49">
        <f>D49/(F49/3.362524)</f>
        <v>2.6599070447761193</v>
      </c>
      <c r="K49">
        <f>G49/(H49/1.39135)</f>
        <v>0.4</v>
      </c>
      <c r="L49">
        <f>(H49/1.190654)/F49</f>
        <v>0.5</v>
      </c>
      <c r="V49">
        <f>V50</f>
        <v>5.3</v>
      </c>
      <c r="W49">
        <f>W50</f>
        <v>0.35</v>
      </c>
      <c r="X49">
        <f>X50</f>
        <v>6.7</v>
      </c>
      <c r="Y49">
        <f>Y50</f>
        <v>1.1</v>
      </c>
      <c r="Z49">
        <f>Z50</f>
        <v>0.7</v>
      </c>
    </row>
    <row r="50">
      <c r="B50">
        <v>45</v>
      </c>
      <c r="C50">
        <v>7</v>
      </c>
      <c r="D50">
        <v>5.3</v>
      </c>
      <c r="E50">
        <v>0.35</v>
      </c>
      <c r="F50">
        <v>6.7</v>
      </c>
      <c r="G50">
        <f>(H50/1.39135)*$K$5</f>
        <v>1.1467110072950732</v>
      </c>
      <c r="H50">
        <f>(F50*1.190654)*$L$5</f>
        <v>3.9886909000000004</v>
      </c>
      <c r="I50">
        <v>17.3149</v>
      </c>
      <c r="J50">
        <f>D50/(F50/3.362524)</f>
        <v>2.6599070447761193</v>
      </c>
      <c r="K50">
        <f>G50/(H50/1.39135)</f>
        <v>0.4</v>
      </c>
      <c r="L50">
        <f>(H50/1.190654)/F50</f>
        <v>0.5</v>
      </c>
      <c r="V50">
        <f>V51</f>
        <v>5.3</v>
      </c>
      <c r="W50">
        <f>W51</f>
        <v>0.35</v>
      </c>
      <c r="X50">
        <f>X51</f>
        <v>6.7</v>
      </c>
      <c r="Y50">
        <f>Y51</f>
        <v>1.1</v>
      </c>
      <c r="Z50">
        <f>Z51</f>
        <v>0.7</v>
      </c>
    </row>
    <row r="51">
      <c r="B51">
        <v>46</v>
      </c>
      <c r="C51">
        <v>7</v>
      </c>
      <c r="D51">
        <v>5.3</v>
      </c>
      <c r="E51">
        <v>0.35</v>
      </c>
      <c r="F51">
        <v>6.7</v>
      </c>
      <c r="G51">
        <f>(H51/1.39135)*$K$5</f>
        <v>1.1467110072950732</v>
      </c>
      <c r="H51">
        <f>(F51*1.190654)*$L$5</f>
        <v>3.9886909000000004</v>
      </c>
      <c r="I51">
        <v>17.3149</v>
      </c>
      <c r="J51">
        <f>D51/(F51/3.362524)</f>
        <v>2.6599070447761193</v>
      </c>
      <c r="K51">
        <f>G51/(H51/1.39135)</f>
        <v>0.4</v>
      </c>
      <c r="L51">
        <f>(H51/1.190654)/F51</f>
        <v>0.5</v>
      </c>
      <c r="V51">
        <f>V52</f>
        <v>5.3</v>
      </c>
      <c r="W51">
        <f>W52</f>
        <v>0.35</v>
      </c>
      <c r="X51">
        <f>X52</f>
        <v>6.7</v>
      </c>
      <c r="Y51">
        <f>Y52</f>
        <v>1.1</v>
      </c>
      <c r="Z51">
        <f>Z52</f>
        <v>0.7</v>
      </c>
    </row>
    <row r="52">
      <c r="B52">
        <v>47</v>
      </c>
      <c r="C52">
        <v>7</v>
      </c>
      <c r="D52">
        <v>5.3</v>
      </c>
      <c r="E52">
        <v>0.35</v>
      </c>
      <c r="F52">
        <v>6.7</v>
      </c>
      <c r="G52">
        <f>(H52/1.39135)*$K$5</f>
        <v>1.1467110072950732</v>
      </c>
      <c r="H52">
        <f>(F52*1.190654)*$L$5</f>
        <v>3.9886909000000004</v>
      </c>
      <c r="I52">
        <v>17.3149</v>
      </c>
      <c r="J52">
        <f>D52/(F52/3.362524)</f>
        <v>2.6599070447761193</v>
      </c>
      <c r="K52">
        <f>G52/(H52/1.39135)</f>
        <v>0.4</v>
      </c>
      <c r="L52">
        <f>(H52/1.190654)/F52</f>
        <v>0.5</v>
      </c>
      <c r="V52">
        <f>V53</f>
        <v>5.3</v>
      </c>
      <c r="W52">
        <f>W53</f>
        <v>0.35</v>
      </c>
      <c r="X52">
        <f>X53</f>
        <v>6.7</v>
      </c>
      <c r="Y52">
        <f>Y53</f>
        <v>1.1</v>
      </c>
      <c r="Z52">
        <f>Z53</f>
        <v>0.7</v>
      </c>
    </row>
    <row r="53">
      <c r="B53">
        <v>48</v>
      </c>
      <c r="C53">
        <v>7</v>
      </c>
      <c r="D53">
        <v>5.3</v>
      </c>
      <c r="E53">
        <v>0.35</v>
      </c>
      <c r="F53">
        <v>6.7</v>
      </c>
      <c r="G53">
        <f>(H53/1.39135)*$K$5</f>
        <v>1.1467110072950732</v>
      </c>
      <c r="H53">
        <f>(F53*1.190654)*$L$5</f>
        <v>3.9886909000000004</v>
      </c>
      <c r="I53">
        <v>23.426</v>
      </c>
      <c r="J53">
        <f>D53/(F53/3.362524)</f>
        <v>2.6599070447761193</v>
      </c>
      <c r="K53">
        <f>G53/(H53/1.39135)</f>
        <v>0.4</v>
      </c>
      <c r="L53">
        <f>(H53/1.190654)/F53</f>
        <v>0.5</v>
      </c>
      <c r="V53">
        <f>V54</f>
        <v>5.3</v>
      </c>
      <c r="W53">
        <f>W54</f>
        <v>0.35</v>
      </c>
      <c r="X53">
        <f>X54</f>
        <v>6.7</v>
      </c>
      <c r="Y53">
        <f>Y54</f>
        <v>1.1</v>
      </c>
      <c r="Z53">
        <f>Z54</f>
        <v>0.7</v>
      </c>
    </row>
    <row r="54">
      <c r="B54">
        <v>49</v>
      </c>
      <c r="C54">
        <v>7</v>
      </c>
      <c r="D54">
        <v>5.3</v>
      </c>
      <c r="E54">
        <v>0.35</v>
      </c>
      <c r="F54">
        <v>6.7</v>
      </c>
      <c r="G54">
        <f>(H54/1.39135)*$K$5</f>
        <v>1.1467110072950732</v>
      </c>
      <c r="H54">
        <f>(F54*1.190654)*$L$5</f>
        <v>3.9886909000000004</v>
      </c>
      <c r="I54">
        <v>23.426</v>
      </c>
      <c r="J54">
        <f>D54/(F54/3.362524)</f>
        <v>2.6599070447761193</v>
      </c>
      <c r="K54">
        <f>G54/(H54/1.39135)</f>
        <v>0.4</v>
      </c>
      <c r="L54">
        <f>(H54/1.190654)/F54</f>
        <v>0.5</v>
      </c>
      <c r="V54">
        <f>V55</f>
        <v>5.3</v>
      </c>
      <c r="W54">
        <f>W55</f>
        <v>0.35</v>
      </c>
      <c r="X54">
        <f>X55</f>
        <v>6.7</v>
      </c>
      <c r="Y54">
        <f>Y55</f>
        <v>1.1</v>
      </c>
      <c r="Z54">
        <f>Z55</f>
        <v>0.7</v>
      </c>
    </row>
    <row r="55">
      <c r="B55">
        <v>50</v>
      </c>
      <c r="C55">
        <v>8</v>
      </c>
      <c r="D55">
        <v>5.3</v>
      </c>
      <c r="E55">
        <v>0.35</v>
      </c>
      <c r="F55">
        <v>6.7</v>
      </c>
      <c r="G55">
        <f>(H55/1.39135)*$K$5</f>
        <v>1.1467110072950732</v>
      </c>
      <c r="H55">
        <f>(F55*1.190654)*$L$5</f>
        <v>3.9886909000000004</v>
      </c>
      <c r="I55">
        <v>23.426</v>
      </c>
      <c r="J55">
        <f>D55/(F55/3.362524)</f>
        <v>2.6599070447761193</v>
      </c>
      <c r="K55">
        <f>G55/(H55/1.39135)</f>
        <v>0.4</v>
      </c>
      <c r="L55">
        <f>(H55/1.190654)/F55</f>
        <v>0.5</v>
      </c>
      <c r="V55">
        <f>V56</f>
        <v>5.3</v>
      </c>
      <c r="W55">
        <f>W56</f>
        <v>0.35</v>
      </c>
      <c r="X55">
        <f>X56</f>
        <v>6.7</v>
      </c>
      <c r="Y55">
        <f>Y56</f>
        <v>1.1</v>
      </c>
      <c r="Z55">
        <f>Z56</f>
        <v>0.7</v>
      </c>
    </row>
    <row r="56">
      <c r="B56">
        <v>51</v>
      </c>
      <c r="C56">
        <v>8</v>
      </c>
      <c r="D56">
        <v>5.3</v>
      </c>
      <c r="E56">
        <v>0.35</v>
      </c>
      <c r="F56">
        <v>6.7</v>
      </c>
      <c r="G56">
        <f>(H56/1.39135)*$K$5</f>
        <v>1.1467110072950732</v>
      </c>
      <c r="H56">
        <f>(F56*1.190654)*$L$5</f>
        <v>3.9886909000000004</v>
      </c>
      <c r="I56">
        <v>23.426</v>
      </c>
      <c r="J56">
        <f>D56/(F56/3.362524)</f>
        <v>2.6599070447761193</v>
      </c>
      <c r="K56">
        <f>G56/(H56/1.39135)</f>
        <v>0.4</v>
      </c>
      <c r="L56">
        <f>(H56/1.190654)/F56</f>
        <v>0.5</v>
      </c>
      <c r="V56">
        <f>V57</f>
        <v>5.3</v>
      </c>
      <c r="W56">
        <f>W57</f>
        <v>0.35</v>
      </c>
      <c r="X56">
        <f>X57</f>
        <v>6.7</v>
      </c>
      <c r="Y56">
        <f>Y57</f>
        <v>1.1</v>
      </c>
      <c r="Z56">
        <f>Z57</f>
        <v>0.7</v>
      </c>
    </row>
    <row r="57">
      <c r="B57">
        <v>52</v>
      </c>
      <c r="C57">
        <v>8</v>
      </c>
      <c r="D57">
        <v>5.3</v>
      </c>
      <c r="E57">
        <v>0.35</v>
      </c>
      <c r="F57">
        <v>6.7</v>
      </c>
      <c r="G57">
        <f>(H57/1.39135)*$K$5</f>
        <v>1.1467110072950732</v>
      </c>
      <c r="H57">
        <f>(F57*1.190654)*$L$5</f>
        <v>3.9886909000000004</v>
      </c>
      <c r="I57">
        <v>23.426</v>
      </c>
      <c r="J57">
        <f>D57/(F57/3.362524)</f>
        <v>2.6599070447761193</v>
      </c>
      <c r="K57">
        <f>G57/(H57/1.39135)</f>
        <v>0.4</v>
      </c>
      <c r="L57">
        <f>(H57/1.190654)/F57</f>
        <v>0.5</v>
      </c>
      <c r="V57">
        <f>V58</f>
        <v>5.3</v>
      </c>
      <c r="W57">
        <f>W58</f>
        <v>0.35</v>
      </c>
      <c r="X57">
        <f>X58</f>
        <v>6.7</v>
      </c>
      <c r="Y57">
        <f>Y58</f>
        <v>1.1</v>
      </c>
      <c r="Z57">
        <f>Z58</f>
        <v>0.7</v>
      </c>
    </row>
    <row r="58">
      <c r="B58">
        <v>53</v>
      </c>
      <c r="C58">
        <v>8</v>
      </c>
      <c r="D58">
        <v>5.3</v>
      </c>
      <c r="E58">
        <v>0.35</v>
      </c>
      <c r="F58">
        <v>6.7</v>
      </c>
      <c r="G58">
        <f>(H58/1.39135)*$K$5</f>
        <v>1.1467110072950732</v>
      </c>
      <c r="H58">
        <f>(F58*1.190654)*$L$5</f>
        <v>3.9886909000000004</v>
      </c>
      <c r="I58">
        <v>23.426</v>
      </c>
      <c r="J58">
        <f>D58/(F58/3.362524)</f>
        <v>2.6599070447761193</v>
      </c>
      <c r="K58">
        <f>G58/(H58/1.39135)</f>
        <v>0.4</v>
      </c>
      <c r="L58">
        <f>(H58/1.190654)/F58</f>
        <v>0.5</v>
      </c>
      <c r="V58">
        <f>V59</f>
        <v>5.3</v>
      </c>
      <c r="W58">
        <f>W59</f>
        <v>0.35</v>
      </c>
      <c r="X58">
        <f>X59</f>
        <v>6.7</v>
      </c>
      <c r="Y58">
        <f>Y59</f>
        <v>1.1</v>
      </c>
      <c r="Z58">
        <f>Z59</f>
        <v>0.7</v>
      </c>
    </row>
    <row r="59">
      <c r="B59">
        <v>54</v>
      </c>
      <c r="C59">
        <v>8</v>
      </c>
      <c r="D59">
        <v>5.3</v>
      </c>
      <c r="E59">
        <v>0.35</v>
      </c>
      <c r="F59">
        <v>6.7</v>
      </c>
      <c r="G59">
        <f>(H59/1.39135)*$K$5</f>
        <v>1.1467110072950732</v>
      </c>
      <c r="H59">
        <f>(F59*1.190654)*$L$5</f>
        <v>3.9886909000000004</v>
      </c>
      <c r="I59">
        <v>23.426</v>
      </c>
      <c r="J59">
        <f>D59/(F59/3.362524)</f>
        <v>2.6599070447761193</v>
      </c>
      <c r="K59">
        <f>G59/(H59/1.39135)</f>
        <v>0.4</v>
      </c>
      <c r="L59">
        <f>(H59/1.190654)/F59</f>
        <v>0.5</v>
      </c>
      <c r="V59">
        <f>V60</f>
        <v>5.3</v>
      </c>
      <c r="W59">
        <f>W60</f>
        <v>0.35</v>
      </c>
      <c r="X59">
        <f>X60</f>
        <v>6.7</v>
      </c>
      <c r="Y59">
        <f>Y60</f>
        <v>1.1</v>
      </c>
      <c r="Z59">
        <f>Z60</f>
        <v>0.7</v>
      </c>
    </row>
    <row r="60">
      <c r="B60">
        <v>55</v>
      </c>
      <c r="C60">
        <v>8</v>
      </c>
      <c r="D60">
        <v>5.3</v>
      </c>
      <c r="E60">
        <v>0.35</v>
      </c>
      <c r="F60">
        <v>6.7</v>
      </c>
      <c r="G60">
        <f>(H60/1.39135)*$K$5</f>
        <v>1.1467110072950732</v>
      </c>
      <c r="H60">
        <f>(F60*1.190654)*$L$5</f>
        <v>3.9886909000000004</v>
      </c>
      <c r="I60">
        <v>23.426</v>
      </c>
      <c r="J60">
        <f>D60/(F60/3.362524)</f>
        <v>2.6599070447761193</v>
      </c>
      <c r="K60">
        <f>G60/(H60/1.39135)</f>
        <v>0.4</v>
      </c>
      <c r="L60">
        <f>(H60/1.190654)/F60</f>
        <v>0.5</v>
      </c>
      <c r="V60">
        <f>V61</f>
        <v>5.3</v>
      </c>
      <c r="W60">
        <f>W61</f>
        <v>0.35</v>
      </c>
      <c r="X60">
        <f>X61</f>
        <v>6.7</v>
      </c>
      <c r="Y60">
        <f>Y61</f>
        <v>1.1</v>
      </c>
      <c r="Z60">
        <f>Z61</f>
        <v>0.7</v>
      </c>
    </row>
    <row r="61">
      <c r="B61">
        <v>56</v>
      </c>
      <c r="C61">
        <v>8</v>
      </c>
      <c r="D61">
        <v>5.3</v>
      </c>
      <c r="E61">
        <v>0.35</v>
      </c>
      <c r="F61">
        <v>6.7</v>
      </c>
      <c r="G61">
        <f>(H61/1.39135)*$K$5</f>
        <v>1.1467110072950732</v>
      </c>
      <c r="H61">
        <f>(F61*1.190654)*$L$5</f>
        <v>3.9886909000000004</v>
      </c>
      <c r="I61">
        <v>23.426</v>
      </c>
      <c r="J61">
        <f>D61/(F61/3.362524)</f>
        <v>2.6599070447761193</v>
      </c>
      <c r="K61">
        <f>G61/(H61/1.39135)</f>
        <v>0.4</v>
      </c>
      <c r="L61">
        <f>(H61/1.190654)/F61</f>
        <v>0.5</v>
      </c>
      <c r="V61">
        <f>V62</f>
        <v>5.3</v>
      </c>
      <c r="W61">
        <f>W62</f>
        <v>0.35</v>
      </c>
      <c r="X61">
        <f>X62</f>
        <v>6.7</v>
      </c>
      <c r="Y61">
        <f>Y62</f>
        <v>1.1</v>
      </c>
      <c r="Z61">
        <f>Z62</f>
        <v>0.7</v>
      </c>
    </row>
    <row r="62">
      <c r="B62">
        <v>57</v>
      </c>
      <c r="C62">
        <v>9</v>
      </c>
      <c r="D62">
        <v>5.3</v>
      </c>
      <c r="E62">
        <v>0.35</v>
      </c>
      <c r="F62">
        <v>6.7</v>
      </c>
      <c r="G62">
        <f>(H62/1.39135)*$K$5</f>
        <v>1.1467110072950732</v>
      </c>
      <c r="H62">
        <f>(F62*1.190654)*$L$5</f>
        <v>3.9886909000000004</v>
      </c>
      <c r="I62">
        <v>23.426</v>
      </c>
      <c r="J62">
        <f>D62/(F62/3.362524)</f>
        <v>2.6599070447761193</v>
      </c>
      <c r="K62">
        <f>G62/(H62/1.39135)</f>
        <v>0.4</v>
      </c>
      <c r="L62">
        <f>(H62/1.190654)/F62</f>
        <v>0.5</v>
      </c>
      <c r="V62">
        <f>V63</f>
        <v>5.3</v>
      </c>
      <c r="W62">
        <f>W63</f>
        <v>0.35</v>
      </c>
      <c r="X62">
        <f>X63</f>
        <v>6.7</v>
      </c>
      <c r="Y62">
        <f>Y63</f>
        <v>1.1</v>
      </c>
      <c r="Z62">
        <f>Z63</f>
        <v>0.7</v>
      </c>
    </row>
    <row r="63">
      <c r="B63">
        <v>58</v>
      </c>
      <c r="C63">
        <v>9</v>
      </c>
      <c r="D63">
        <v>5.3</v>
      </c>
      <c r="E63">
        <v>0.35</v>
      </c>
      <c r="F63">
        <v>6.7</v>
      </c>
      <c r="G63">
        <f>(H63/1.39135)*$K$5</f>
        <v>1.1467110072950732</v>
      </c>
      <c r="H63">
        <f>(F63*1.190654)*$L$5</f>
        <v>3.9886909000000004</v>
      </c>
      <c r="I63">
        <v>23.426</v>
      </c>
      <c r="J63">
        <f>D63/(F63/3.362524)</f>
        <v>2.6599070447761193</v>
      </c>
      <c r="K63">
        <f>G63/(H63/1.39135)</f>
        <v>0.4</v>
      </c>
      <c r="L63">
        <f>(H63/1.190654)/F63</f>
        <v>0.5</v>
      </c>
      <c r="V63">
        <f>V64</f>
        <v>5.3</v>
      </c>
      <c r="W63">
        <f>W64</f>
        <v>0.35</v>
      </c>
      <c r="X63">
        <f>X64</f>
        <v>6.7</v>
      </c>
      <c r="Y63">
        <f>Y64</f>
        <v>1.1</v>
      </c>
      <c r="Z63">
        <f>Z64</f>
        <v>0.7</v>
      </c>
    </row>
    <row r="64">
      <c r="B64">
        <v>59</v>
      </c>
      <c r="C64">
        <v>9</v>
      </c>
      <c r="D64">
        <v>5.3</v>
      </c>
      <c r="E64">
        <v>0.35</v>
      </c>
      <c r="F64">
        <v>6.7</v>
      </c>
      <c r="G64">
        <f>(H64/1.39135)*$K$5</f>
        <v>1.1467110072950732</v>
      </c>
      <c r="H64">
        <f>(F64*1.190654)*$L$5</f>
        <v>3.9886909000000004</v>
      </c>
      <c r="I64">
        <v>23.426</v>
      </c>
      <c r="J64">
        <f>D64/(F64/3.362524)</f>
        <v>2.6599070447761193</v>
      </c>
      <c r="K64">
        <f>G64/(H64/1.39135)</f>
        <v>0.4</v>
      </c>
      <c r="L64">
        <f>(H64/1.190654)/F64</f>
        <v>0.5</v>
      </c>
      <c r="V64">
        <f>V65</f>
        <v>5.3</v>
      </c>
      <c r="W64">
        <f>W65</f>
        <v>0.35</v>
      </c>
      <c r="X64">
        <f>X65</f>
        <v>6.7</v>
      </c>
      <c r="Y64">
        <f>Y65</f>
        <v>1.1</v>
      </c>
      <c r="Z64">
        <f>Z65</f>
        <v>0.7</v>
      </c>
    </row>
    <row r="65">
      <c r="B65">
        <v>60</v>
      </c>
      <c r="C65">
        <v>9</v>
      </c>
      <c r="D65">
        <v>5.3</v>
      </c>
      <c r="E65">
        <v>0.35</v>
      </c>
      <c r="F65">
        <v>6.7</v>
      </c>
      <c r="G65">
        <f>(H65/1.39135)*$K$5</f>
        <v>1.1467110072950732</v>
      </c>
      <c r="H65">
        <f>(F65*1.190654)*$L$5</f>
        <v>3.9886909000000004</v>
      </c>
      <c r="I65">
        <v>23.426</v>
      </c>
      <c r="J65">
        <f>D65/(F65/3.362524)</f>
        <v>2.6599070447761193</v>
      </c>
      <c r="K65">
        <f>G65/(H65/1.39135)</f>
        <v>0.4</v>
      </c>
      <c r="L65">
        <f>(H65/1.190654)/F65</f>
        <v>0.5</v>
      </c>
      <c r="N65">
        <v>134</v>
      </c>
      <c r="O65">
        <v>11</v>
      </c>
      <c r="P65">
        <v>174</v>
      </c>
      <c r="Q65">
        <v>17</v>
      </c>
      <c r="R65">
        <v>17</v>
      </c>
      <c r="V65">
        <f>(N67-N47)/20</f>
        <v>5.3</v>
      </c>
      <c r="W65">
        <f>(O67-O47)/20</f>
        <v>0.35</v>
      </c>
      <c r="X65">
        <f>(P67-P47)/20</f>
        <v>6.7</v>
      </c>
      <c r="Y65">
        <f>(Q67-Q47)/20</f>
        <v>1.1</v>
      </c>
      <c r="Z65">
        <f>(R67-R47)/20</f>
        <v>0.7</v>
      </c>
    </row>
    <row r="66">
      <c r="B66">
        <v>61</v>
      </c>
      <c r="C66">
        <v>9</v>
      </c>
      <c r="D66">
        <v>9.153846153846153</v>
      </c>
      <c r="E66">
        <v>0.5384615384615384</v>
      </c>
      <c r="F66">
        <v>9.615384615384615</v>
      </c>
      <c r="G66">
        <f>(H66/1.39135)*$K$5</f>
        <v>1.645681698184663</v>
      </c>
      <c r="H66">
        <f>(F66*1.190654)*$L$5</f>
        <v>5.724298076923077</v>
      </c>
      <c r="I66">
        <v>23.426</v>
      </c>
      <c r="J66">
        <f>D66/(F66/3.362524)</f>
        <v>3.201122848</v>
      </c>
      <c r="K66">
        <f>G66/(H66/1.39135)</f>
        <v>0.4</v>
      </c>
      <c r="L66">
        <f>(H66/1.190654)/F66</f>
        <v>0.5</v>
      </c>
      <c r="N66">
        <v>111</v>
      </c>
      <c r="O66">
        <v>7</v>
      </c>
      <c r="P66">
        <v>127</v>
      </c>
      <c r="Q66">
        <v>9</v>
      </c>
      <c r="R66">
        <v>12</v>
      </c>
      <c r="V66">
        <f>V67</f>
        <v>9.153846153846153</v>
      </c>
      <c r="W66">
        <f>W67</f>
        <v>0.5384615384615384</v>
      </c>
      <c r="X66">
        <f>X67</f>
        <v>9.615384615384615</v>
      </c>
      <c r="Y66">
        <f>Y67</f>
        <v>0</v>
      </c>
      <c r="Z66">
        <f>Z67</f>
        <v>1</v>
      </c>
    </row>
    <row r="67">
      <c r="B67">
        <v>62</v>
      </c>
      <c r="C67">
        <v>9</v>
      </c>
      <c r="D67">
        <v>9.153846153846153</v>
      </c>
      <c r="E67">
        <v>0.5384615384615384</v>
      </c>
      <c r="F67">
        <v>9.615384615384615</v>
      </c>
      <c r="G67">
        <f>(H67/1.39135)*$K$5</f>
        <v>1.645681698184663</v>
      </c>
      <c r="H67">
        <f>(F67*1.190654)*$L$5</f>
        <v>5.724298076923077</v>
      </c>
      <c r="I67">
        <v>23.426</v>
      </c>
      <c r="J67">
        <f>D67/(F67/3.362524)</f>
        <v>3.201122848</v>
      </c>
      <c r="K67">
        <f>G67/(H67/1.39135)</f>
        <v>0.4</v>
      </c>
      <c r="L67">
        <f>(H67/1.190654)/F67</f>
        <v>0.5</v>
      </c>
      <c r="N67">
        <v>132</v>
      </c>
      <c r="O67">
        <v>9</v>
      </c>
      <c r="P67">
        <v>164</v>
      </c>
      <c r="Q67">
        <v>26</v>
      </c>
      <c r="R67">
        <v>16</v>
      </c>
      <c r="V67">
        <f>V68</f>
        <v>9.153846153846153</v>
      </c>
      <c r="W67">
        <f>W68</f>
        <v>0.5384615384615384</v>
      </c>
      <c r="X67">
        <f>X68</f>
        <v>9.615384615384615</v>
      </c>
      <c r="Y67">
        <f>Y68</f>
        <v>0</v>
      </c>
      <c r="Z67">
        <f>Z68</f>
        <v>1</v>
      </c>
    </row>
    <row r="68">
      <c r="B68">
        <v>63</v>
      </c>
      <c r="C68">
        <v>9</v>
      </c>
      <c r="D68">
        <v>9.153846153846153</v>
      </c>
      <c r="E68">
        <v>0.5384615384615384</v>
      </c>
      <c r="F68">
        <v>9.615384615384615</v>
      </c>
      <c r="G68">
        <f>(H68/1.39135)*$K$5</f>
        <v>1.645681698184663</v>
      </c>
      <c r="H68">
        <f>(F68*1.190654)*$L$5</f>
        <v>5.724298076923077</v>
      </c>
      <c r="I68">
        <v>29.5372</v>
      </c>
      <c r="J68">
        <f>D68/(F68/3.362524)</f>
        <v>3.201122848</v>
      </c>
      <c r="K68">
        <f>G68/(H68/1.39135)</f>
        <v>0.4</v>
      </c>
      <c r="L68">
        <f>(H68/1.190654)/F68</f>
        <v>0.5</v>
      </c>
      <c r="V68">
        <f>V69</f>
        <v>9.153846153846153</v>
      </c>
      <c r="W68">
        <f>W69</f>
        <v>0.5384615384615384</v>
      </c>
      <c r="X68">
        <f>X69</f>
        <v>9.615384615384615</v>
      </c>
      <c r="Y68">
        <f>Y69</f>
        <v>0</v>
      </c>
      <c r="Z68">
        <f>Z69</f>
        <v>1</v>
      </c>
    </row>
    <row r="69">
      <c r="B69">
        <v>64</v>
      </c>
      <c r="C69">
        <v>10</v>
      </c>
      <c r="D69">
        <v>9.153846153846153</v>
      </c>
      <c r="E69">
        <v>0.5384615384615384</v>
      </c>
      <c r="F69">
        <v>9.615384615384615</v>
      </c>
      <c r="G69">
        <f>(H69/1.39135)*$K$5</f>
        <v>1.645681698184663</v>
      </c>
      <c r="H69">
        <f>(F69*1.190654)*$L$5</f>
        <v>5.724298076923077</v>
      </c>
      <c r="I69">
        <v>29.5372</v>
      </c>
      <c r="J69">
        <f>D69/(F69/3.362524)</f>
        <v>3.201122848</v>
      </c>
      <c r="K69">
        <f>G69/(H69/1.39135)</f>
        <v>0.4</v>
      </c>
      <c r="L69">
        <f>(H69/1.190654)/F69</f>
        <v>0.5</v>
      </c>
      <c r="V69">
        <f>V70</f>
        <v>9.153846153846153</v>
      </c>
      <c r="W69">
        <f>W70</f>
        <v>0.5384615384615384</v>
      </c>
      <c r="X69">
        <f>X70</f>
        <v>9.615384615384615</v>
      </c>
      <c r="Y69">
        <f>Y70</f>
        <v>0</v>
      </c>
      <c r="Z69">
        <f>Z70</f>
        <v>1</v>
      </c>
    </row>
    <row r="70">
      <c r="B70">
        <v>65</v>
      </c>
      <c r="C70">
        <v>10</v>
      </c>
      <c r="D70">
        <v>9.153846153846153</v>
      </c>
      <c r="E70">
        <v>0.5384615384615384</v>
      </c>
      <c r="F70">
        <v>9.615384615384615</v>
      </c>
      <c r="G70">
        <f>(H70/1.39135)*$K$5</f>
        <v>1.645681698184663</v>
      </c>
      <c r="H70">
        <f>(F70*1.190654)*$L$5</f>
        <v>5.724298076923077</v>
      </c>
      <c r="I70">
        <v>29.5372</v>
      </c>
      <c r="J70">
        <f>D70/(F70/3.362524)</f>
        <v>3.201122848</v>
      </c>
      <c r="K70">
        <f>G70/(H70/1.39135)</f>
        <v>0.4</v>
      </c>
      <c r="L70">
        <f>(H70/1.190654)/F70</f>
        <v>0.5</v>
      </c>
      <c r="V70">
        <f>V71</f>
        <v>9.153846153846153</v>
      </c>
      <c r="W70">
        <f>W71</f>
        <v>0.5384615384615384</v>
      </c>
      <c r="X70">
        <f>X71</f>
        <v>9.615384615384615</v>
      </c>
      <c r="Y70">
        <f>Y71</f>
        <v>0</v>
      </c>
      <c r="Z70">
        <f>Z71</f>
        <v>1</v>
      </c>
    </row>
    <row r="71">
      <c r="B71">
        <v>66</v>
      </c>
      <c r="C71">
        <v>10</v>
      </c>
      <c r="D71">
        <v>9.153846153846153</v>
      </c>
      <c r="E71">
        <v>0.5384615384615384</v>
      </c>
      <c r="F71">
        <v>9.615384615384615</v>
      </c>
      <c r="G71">
        <f>(H71/1.39135)*$K$5</f>
        <v>1.645681698184663</v>
      </c>
      <c r="H71">
        <f>(F71*1.190654)*$L$5</f>
        <v>5.724298076923077</v>
      </c>
      <c r="I71">
        <v>29.5372</v>
      </c>
      <c r="J71">
        <f>D71/(F71/3.362524)</f>
        <v>3.201122848</v>
      </c>
      <c r="K71">
        <f>G71/(H71/1.39135)</f>
        <v>0.4</v>
      </c>
      <c r="L71">
        <f>(H71/1.190654)/F71</f>
        <v>0.5</v>
      </c>
      <c r="V71">
        <f>V72</f>
        <v>9.153846153846153</v>
      </c>
      <c r="W71">
        <f>W72</f>
        <v>0.5384615384615384</v>
      </c>
      <c r="X71">
        <f>X72</f>
        <v>9.615384615384615</v>
      </c>
      <c r="Y71">
        <f>Y72</f>
        <v>0</v>
      </c>
      <c r="Z71">
        <f>Z72</f>
        <v>1</v>
      </c>
    </row>
    <row r="72">
      <c r="B72">
        <v>67</v>
      </c>
      <c r="C72">
        <v>10</v>
      </c>
      <c r="D72">
        <v>9.153846153846153</v>
      </c>
      <c r="E72">
        <v>0.5384615384615384</v>
      </c>
      <c r="F72">
        <v>9.615384615384615</v>
      </c>
      <c r="G72">
        <f>(H72/1.39135)*$K$5</f>
        <v>1.645681698184663</v>
      </c>
      <c r="H72">
        <f>(F72*1.190654)*$L$5</f>
        <v>5.724298076923077</v>
      </c>
      <c r="I72">
        <v>29.5372</v>
      </c>
      <c r="J72">
        <f>D72/(F72/3.362524)</f>
        <v>3.201122848</v>
      </c>
      <c r="K72">
        <f>G72/(H72/1.39135)</f>
        <v>0.4</v>
      </c>
      <c r="L72">
        <f>(H72/1.190654)/F72</f>
        <v>0.5</v>
      </c>
      <c r="V72">
        <f>V73</f>
        <v>9.153846153846153</v>
      </c>
      <c r="W72">
        <f>W73</f>
        <v>0.5384615384615384</v>
      </c>
      <c r="X72">
        <f>X73</f>
        <v>9.615384615384615</v>
      </c>
      <c r="Y72">
        <f>Y73</f>
        <v>0</v>
      </c>
      <c r="Z72">
        <f>Z73</f>
        <v>1</v>
      </c>
    </row>
    <row r="73">
      <c r="B73">
        <v>68</v>
      </c>
      <c r="C73">
        <v>10</v>
      </c>
      <c r="D73">
        <v>9.153846153846153</v>
      </c>
      <c r="E73">
        <v>0.5384615384615384</v>
      </c>
      <c r="F73">
        <v>9.615384615384615</v>
      </c>
      <c r="G73">
        <f>(H73/1.39135)*$K$5</f>
        <v>1.645681698184663</v>
      </c>
      <c r="H73">
        <f>(F73*1.190654)*$L$5</f>
        <v>5.724298076923077</v>
      </c>
      <c r="I73">
        <v>29.5372</v>
      </c>
      <c r="J73">
        <f>D73/(F73/3.362524)</f>
        <v>3.201122848</v>
      </c>
      <c r="K73">
        <f>G73/(H73/1.39135)</f>
        <v>0.4</v>
      </c>
      <c r="L73">
        <f>(H73/1.190654)/F73</f>
        <v>0.5</v>
      </c>
      <c r="V73">
        <f>V74</f>
        <v>9.153846153846153</v>
      </c>
      <c r="W73">
        <f>W74</f>
        <v>0.5384615384615384</v>
      </c>
      <c r="X73">
        <f>X74</f>
        <v>9.615384615384615</v>
      </c>
      <c r="Y73">
        <f>Y74</f>
        <v>0</v>
      </c>
      <c r="Z73">
        <f>Z74</f>
        <v>1</v>
      </c>
    </row>
    <row r="74">
      <c r="B74">
        <v>69</v>
      </c>
      <c r="C74">
        <v>10</v>
      </c>
      <c r="D74">
        <v>9.153846153846153</v>
      </c>
      <c r="E74">
        <v>0.5384615384615384</v>
      </c>
      <c r="F74">
        <v>9.615384615384615</v>
      </c>
      <c r="G74">
        <f>(H74/1.39135)*$K$5</f>
        <v>1.645681698184663</v>
      </c>
      <c r="H74">
        <f>(F74*1.190654)*$L$5</f>
        <v>5.724298076923077</v>
      </c>
      <c r="I74">
        <v>29.5372</v>
      </c>
      <c r="J74">
        <f>D74/(F74/3.362524)</f>
        <v>3.201122848</v>
      </c>
      <c r="K74">
        <f>G74/(H74/1.39135)</f>
        <v>0.4</v>
      </c>
      <c r="L74">
        <f>(H74/1.190654)/F74</f>
        <v>0.5</v>
      </c>
      <c r="V74">
        <f>V75</f>
        <v>9.153846153846153</v>
      </c>
      <c r="W74">
        <f>W75</f>
        <v>0.5384615384615384</v>
      </c>
      <c r="X74">
        <f>X75</f>
        <v>9.615384615384615</v>
      </c>
      <c r="Y74">
        <f>Y75</f>
        <v>0</v>
      </c>
      <c r="Z74">
        <f>Z75</f>
        <v>1</v>
      </c>
    </row>
    <row r="75">
      <c r="B75">
        <v>70</v>
      </c>
      <c r="C75">
        <v>10</v>
      </c>
      <c r="D75">
        <v>9.153846153846153</v>
      </c>
      <c r="E75">
        <v>0.5384615384615384</v>
      </c>
      <c r="F75">
        <v>9.615384615384615</v>
      </c>
      <c r="G75">
        <f>(H75/1.39135)*$K$5</f>
        <v>1.645681698184663</v>
      </c>
      <c r="H75">
        <f>(F75*1.190654)*$L$5</f>
        <v>5.724298076923077</v>
      </c>
      <c r="I75">
        <v>29.5372</v>
      </c>
      <c r="J75">
        <f>D75/(F75/3.362524)</f>
        <v>3.201122848</v>
      </c>
      <c r="K75">
        <f>G75/(H75/1.39135)</f>
        <v>0.4</v>
      </c>
      <c r="L75">
        <f>(H75/1.190654)/F75</f>
        <v>0.5</v>
      </c>
      <c r="V75">
        <f>V76</f>
        <v>9.153846153846153</v>
      </c>
      <c r="W75">
        <f>W76</f>
        <v>0.5384615384615384</v>
      </c>
      <c r="X75">
        <f>X76</f>
        <v>9.615384615384615</v>
      </c>
      <c r="Y75">
        <f>Y76</f>
        <v>0</v>
      </c>
      <c r="Z75">
        <f>Z76</f>
        <v>1</v>
      </c>
    </row>
    <row r="76">
      <c r="B76">
        <v>71</v>
      </c>
      <c r="C76">
        <v>11</v>
      </c>
      <c r="D76">
        <v>9.153846153846153</v>
      </c>
      <c r="E76">
        <v>0.5384615384615384</v>
      </c>
      <c r="F76">
        <v>9.615384615384615</v>
      </c>
      <c r="G76">
        <f>(H76/1.39135)*$K$5</f>
        <v>1.645681698184663</v>
      </c>
      <c r="H76">
        <f>(F76*1.190654)*$L$5</f>
        <v>5.724298076923077</v>
      </c>
      <c r="I76">
        <v>29.5372</v>
      </c>
      <c r="J76">
        <f>D76/(F76/3.362524)</f>
        <v>3.201122848</v>
      </c>
      <c r="K76">
        <f>G76/(H76/1.39135)</f>
        <v>0.4</v>
      </c>
      <c r="L76">
        <f>(H76/1.190654)/F76</f>
        <v>0.5</v>
      </c>
      <c r="V76">
        <f>V77</f>
        <v>9.153846153846153</v>
      </c>
      <c r="W76">
        <f>W77</f>
        <v>0.5384615384615384</v>
      </c>
      <c r="X76">
        <f>X77</f>
        <v>9.615384615384615</v>
      </c>
      <c r="Y76">
        <f>Y77</f>
        <v>0</v>
      </c>
      <c r="Z76">
        <f>Z77</f>
        <v>1</v>
      </c>
    </row>
    <row r="77">
      <c r="B77">
        <v>72</v>
      </c>
      <c r="C77">
        <v>11</v>
      </c>
      <c r="D77">
        <v>9.153846153846153</v>
      </c>
      <c r="E77">
        <v>0.5384615384615384</v>
      </c>
      <c r="F77">
        <v>9.615384615384615</v>
      </c>
      <c r="G77">
        <f>(H77/1.39135)*$K$5</f>
        <v>1.645681698184663</v>
      </c>
      <c r="H77">
        <f>(F77*1.190654)*$L$5</f>
        <v>5.724298076923077</v>
      </c>
      <c r="I77">
        <v>29.5372</v>
      </c>
      <c r="J77">
        <f>D77/(F77/3.362524)</f>
        <v>3.201122848</v>
      </c>
      <c r="K77">
        <f>G77/(H77/1.39135)</f>
        <v>0.4</v>
      </c>
      <c r="L77">
        <f>(H77/1.190654)/F77</f>
        <v>0.5</v>
      </c>
      <c r="V77">
        <f>V78</f>
        <v>9.153846153846153</v>
      </c>
      <c r="W77">
        <f>W78</f>
        <v>0.5384615384615384</v>
      </c>
      <c r="X77">
        <f>X78</f>
        <v>9.615384615384615</v>
      </c>
      <c r="Y77">
        <f>Y78</f>
        <v>0</v>
      </c>
      <c r="Z77">
        <f>Z78</f>
        <v>1</v>
      </c>
    </row>
    <row r="78">
      <c r="B78">
        <v>73</v>
      </c>
      <c r="C78">
        <v>11</v>
      </c>
      <c r="D78">
        <v>9.153846153846153</v>
      </c>
      <c r="E78">
        <v>0.5384615384615384</v>
      </c>
      <c r="F78">
        <v>9.615384615384615</v>
      </c>
      <c r="G78">
        <f>(H78/1.39135)*$K$5</f>
        <v>1.645681698184663</v>
      </c>
      <c r="H78">
        <f>(F78*1.190654)*$L$5</f>
        <v>5.724298076923077</v>
      </c>
      <c r="I78">
        <v>29.5372</v>
      </c>
      <c r="J78">
        <f>D78/(F78/3.362524)</f>
        <v>3.201122848</v>
      </c>
      <c r="K78">
        <f>G78/(H78/1.39135)</f>
        <v>0.4</v>
      </c>
      <c r="L78">
        <f>(H78/1.190654)/F78</f>
        <v>0.5</v>
      </c>
      <c r="N78">
        <v>149</v>
      </c>
      <c r="O78">
        <v>10</v>
      </c>
      <c r="P78">
        <v>159</v>
      </c>
      <c r="Q78">
        <v>24</v>
      </c>
      <c r="R78">
        <v>18</v>
      </c>
      <c r="V78">
        <f>(N80-N67)/13</f>
        <v>9.153846153846153</v>
      </c>
      <c r="W78">
        <f>(O80-O67)/13</f>
        <v>0.5384615384615384</v>
      </c>
      <c r="X78">
        <f>(P80-P67)/13</f>
        <v>9.615384615384615</v>
      </c>
      <c r="Y78">
        <f>(Q80-Q67)/13</f>
        <v>0</v>
      </c>
      <c r="Z78">
        <f>(R80-R67)/13</f>
        <v>1</v>
      </c>
    </row>
    <row r="79">
      <c r="B79">
        <v>74</v>
      </c>
      <c r="C79">
        <v>11</v>
      </c>
      <c r="D79">
        <v>2.0714285714285716</v>
      </c>
      <c r="E79">
        <v>0.21428571428571427</v>
      </c>
      <c r="F79">
        <v>2.5714285714285716</v>
      </c>
      <c r="G79">
        <f>(H79/1.39135)*$K$5</f>
        <v>0.44010230557166996</v>
      </c>
      <c r="H79">
        <f>(F79*1.190654)*$L$5</f>
        <v>1.5308408571428573</v>
      </c>
      <c r="I79">
        <v>29.5372</v>
      </c>
      <c r="J79">
        <f>D79/(F79/3.362524)</f>
        <v>2.7086998888888894</v>
      </c>
      <c r="K79">
        <f>G79/(H79/1.39135)</f>
        <v>0.4</v>
      </c>
      <c r="L79">
        <f>(H79/1.190654)/F79</f>
        <v>0.5</v>
      </c>
      <c r="N79">
        <v>217</v>
      </c>
      <c r="O79">
        <v>14</v>
      </c>
      <c r="P79">
        <v>237</v>
      </c>
      <c r="Q79">
        <v>41</v>
      </c>
      <c r="R79">
        <v>23</v>
      </c>
      <c r="V79">
        <f>V80</f>
        <v>2.0714285714285716</v>
      </c>
      <c r="W79">
        <f>W80</f>
        <v>0.21428571428571427</v>
      </c>
      <c r="X79">
        <f>X80</f>
        <v>2.5714285714285716</v>
      </c>
      <c r="Y79">
        <f>Y80</f>
        <v>-0.2857142857142857</v>
      </c>
      <c r="Z79">
        <f>Z80</f>
        <v>-0.6428571428571429</v>
      </c>
    </row>
    <row r="80">
      <c r="B80">
        <v>75</v>
      </c>
      <c r="C80">
        <v>11</v>
      </c>
      <c r="D80">
        <v>2.0714285714285716</v>
      </c>
      <c r="E80">
        <v>0.21428571428571427</v>
      </c>
      <c r="F80">
        <v>2.5714285714285716</v>
      </c>
      <c r="G80">
        <f>(H80/1.39135)*$K$5</f>
        <v>0.44010230557166996</v>
      </c>
      <c r="H80">
        <f>(F80*1.190654)*$L$5</f>
        <v>1.5308408571428573</v>
      </c>
      <c r="I80">
        <v>29.5372</v>
      </c>
      <c r="J80">
        <f>D80/(F80/3.362524)</f>
        <v>2.7086998888888894</v>
      </c>
      <c r="K80">
        <f>G80/(H80/1.39135)</f>
        <v>0.4</v>
      </c>
      <c r="L80">
        <f>(H80/1.190654)/F80</f>
        <v>0.5</v>
      </c>
      <c r="N80">
        <v>251</v>
      </c>
      <c r="O80">
        <v>16</v>
      </c>
      <c r="P80">
        <v>289</v>
      </c>
      <c r="Q80">
        <v>26</v>
      </c>
      <c r="R80">
        <v>29</v>
      </c>
      <c r="V80">
        <f>V81</f>
        <v>2.0714285714285716</v>
      </c>
      <c r="W80">
        <f>W81</f>
        <v>0.21428571428571427</v>
      </c>
      <c r="X80">
        <f>X81</f>
        <v>2.5714285714285716</v>
      </c>
      <c r="Y80">
        <f>Y81</f>
        <v>-0.2857142857142857</v>
      </c>
      <c r="Z80">
        <f>Z81</f>
        <v>-0.6428571428571429</v>
      </c>
    </row>
    <row r="81">
      <c r="B81">
        <v>76</v>
      </c>
      <c r="C81">
        <v>11</v>
      </c>
      <c r="D81">
        <v>2.0714285714285716</v>
      </c>
      <c r="E81">
        <v>0.21428571428571427</v>
      </c>
      <c r="F81">
        <v>2.5714285714285716</v>
      </c>
      <c r="G81">
        <f>(H81/1.39135)*$K$5</f>
        <v>0.44010230557166996</v>
      </c>
      <c r="H81">
        <f>(F81*1.190654)*$L$5</f>
        <v>1.5308408571428573</v>
      </c>
      <c r="I81">
        <v>29.5372</v>
      </c>
      <c r="J81">
        <f>D81/(F81/3.362524)</f>
        <v>2.7086998888888894</v>
      </c>
      <c r="K81">
        <f>G81/(H81/1.39135)</f>
        <v>0.4</v>
      </c>
      <c r="L81">
        <f>(H81/1.190654)/F81</f>
        <v>0.5</v>
      </c>
      <c r="V81">
        <f>V82</f>
        <v>2.0714285714285716</v>
      </c>
      <c r="W81">
        <f>W82</f>
        <v>0.21428571428571427</v>
      </c>
      <c r="X81">
        <f>X82</f>
        <v>2.5714285714285716</v>
      </c>
      <c r="Y81">
        <f>Y82</f>
        <v>-0.2857142857142857</v>
      </c>
      <c r="Z81">
        <f>Z82</f>
        <v>-0.6428571428571429</v>
      </c>
    </row>
    <row r="82">
      <c r="B82">
        <v>77</v>
      </c>
      <c r="C82">
        <v>11</v>
      </c>
      <c r="D82">
        <v>2.0714285714285716</v>
      </c>
      <c r="E82">
        <v>0.21428571428571427</v>
      </c>
      <c r="F82">
        <v>2.5714285714285716</v>
      </c>
      <c r="G82">
        <f>(H82/1.39135)*$K$5</f>
        <v>0.44010230557166996</v>
      </c>
      <c r="H82">
        <f>(F82*1.190654)*$L$5</f>
        <v>1.5308408571428573</v>
      </c>
      <c r="I82">
        <v>29.5372</v>
      </c>
      <c r="J82">
        <f>D82/(F82/3.362524)</f>
        <v>2.7086998888888894</v>
      </c>
      <c r="K82">
        <f>G82/(H82/1.39135)</f>
        <v>0.4</v>
      </c>
      <c r="L82">
        <f>(H82/1.190654)/F82</f>
        <v>0.5</v>
      </c>
      <c r="V82">
        <f>V83</f>
        <v>2.0714285714285716</v>
      </c>
      <c r="W82">
        <f>W83</f>
        <v>0.21428571428571427</v>
      </c>
      <c r="X82">
        <f>X83</f>
        <v>2.5714285714285716</v>
      </c>
      <c r="Y82">
        <f>Y83</f>
        <v>-0.2857142857142857</v>
      </c>
      <c r="Z82">
        <f>Z83</f>
        <v>-0.6428571428571429</v>
      </c>
    </row>
    <row r="83">
      <c r="B83">
        <v>78</v>
      </c>
      <c r="C83">
        <v>12</v>
      </c>
      <c r="D83">
        <v>2.0714285714285716</v>
      </c>
      <c r="E83">
        <v>0.21428571428571427</v>
      </c>
      <c r="F83">
        <v>2.5714285714285716</v>
      </c>
      <c r="G83">
        <f>(H83/1.39135)*$K$5</f>
        <v>0.44010230557166996</v>
      </c>
      <c r="H83">
        <f>(F83*1.190654)*$L$5</f>
        <v>1.5308408571428573</v>
      </c>
      <c r="I83">
        <v>29.5372</v>
      </c>
      <c r="J83">
        <f>D83/(F83/3.362524)</f>
        <v>2.7086998888888894</v>
      </c>
      <c r="K83">
        <f>G83/(H83/1.39135)</f>
        <v>0.4</v>
      </c>
      <c r="L83">
        <f>(H83/1.190654)/F83</f>
        <v>0.5</v>
      </c>
      <c r="V83">
        <f>V84</f>
        <v>2.0714285714285716</v>
      </c>
      <c r="W83">
        <f>W84</f>
        <v>0.21428571428571427</v>
      </c>
      <c r="X83">
        <f>X84</f>
        <v>2.5714285714285716</v>
      </c>
      <c r="Y83">
        <f>Y84</f>
        <v>-0.2857142857142857</v>
      </c>
      <c r="Z83">
        <f>Z84</f>
        <v>-0.6428571428571429</v>
      </c>
    </row>
    <row r="84">
      <c r="B84">
        <v>79</v>
      </c>
      <c r="C84">
        <v>12</v>
      </c>
      <c r="D84">
        <v>2.0714285714285716</v>
      </c>
      <c r="E84">
        <v>0.21428571428571427</v>
      </c>
      <c r="F84">
        <v>2.5714285714285716</v>
      </c>
      <c r="G84">
        <f>(H84/1.39135)*$K$5</f>
        <v>0.44010230557166996</v>
      </c>
      <c r="H84">
        <f>(F84*1.190654)*$L$5</f>
        <v>1.5308408571428573</v>
      </c>
      <c r="I84">
        <v>29.5372</v>
      </c>
      <c r="J84">
        <f>D84/(F84/3.362524)</f>
        <v>2.7086998888888894</v>
      </c>
      <c r="K84">
        <f>G84/(H84/1.39135)</f>
        <v>0.4</v>
      </c>
      <c r="L84">
        <f>(H84/1.190654)/F84</f>
        <v>0.5</v>
      </c>
      <c r="V84">
        <f>V85</f>
        <v>2.0714285714285716</v>
      </c>
      <c r="W84">
        <f>W85</f>
        <v>0.21428571428571427</v>
      </c>
      <c r="X84">
        <f>X85</f>
        <v>2.5714285714285716</v>
      </c>
      <c r="Y84">
        <f>Y85</f>
        <v>-0.2857142857142857</v>
      </c>
      <c r="Z84">
        <f>Z85</f>
        <v>-0.6428571428571429</v>
      </c>
    </row>
    <row r="85">
      <c r="B85">
        <v>80</v>
      </c>
      <c r="C85">
        <v>12</v>
      </c>
      <c r="D85">
        <v>2.0714285714285716</v>
      </c>
      <c r="E85">
        <v>0.21428571428571427</v>
      </c>
      <c r="F85">
        <v>2.5714285714285716</v>
      </c>
      <c r="G85">
        <f>(H85/1.39135)*$K$5</f>
        <v>0.44010230557166996</v>
      </c>
      <c r="H85">
        <f>(F85*1.190654)*$L$5</f>
        <v>1.5308408571428573</v>
      </c>
      <c r="I85">
        <v>29.5372</v>
      </c>
      <c r="J85">
        <f>D85/(F85/3.362524)</f>
        <v>2.7086998888888894</v>
      </c>
      <c r="K85">
        <f>G85/(H85/1.39135)</f>
        <v>0.4</v>
      </c>
      <c r="L85">
        <f>(H85/1.190654)/F85</f>
        <v>0.5</v>
      </c>
      <c r="V85">
        <f>V86</f>
        <v>2.0714285714285716</v>
      </c>
      <c r="W85">
        <f>W86</f>
        <v>0.21428571428571427</v>
      </c>
      <c r="X85">
        <f>X86</f>
        <v>2.5714285714285716</v>
      </c>
      <c r="Y85">
        <f>Y86</f>
        <v>-0.2857142857142857</v>
      </c>
      <c r="Z85">
        <f>Z86</f>
        <v>-0.6428571428571429</v>
      </c>
    </row>
    <row r="86">
      <c r="B86">
        <v>81</v>
      </c>
      <c r="C86">
        <v>12</v>
      </c>
      <c r="D86">
        <v>2.0714285714285716</v>
      </c>
      <c r="E86">
        <v>0.21428571428571427</v>
      </c>
      <c r="F86">
        <v>2.5714285714285716</v>
      </c>
      <c r="G86">
        <f>(H86/1.39135)*$K$5</f>
        <v>0.44010230557166996</v>
      </c>
      <c r="H86">
        <f>(F86*1.190654)*$L$5</f>
        <v>1.5308408571428573</v>
      </c>
      <c r="I86">
        <v>35.6483</v>
      </c>
      <c r="J86">
        <f>D86/(F86/3.362524)</f>
        <v>2.7086998888888894</v>
      </c>
      <c r="K86">
        <f>G86/(H86/1.39135)</f>
        <v>0.4</v>
      </c>
      <c r="L86">
        <f>(H86/1.190654)/F86</f>
        <v>0.5</v>
      </c>
      <c r="V86">
        <f>V87</f>
        <v>2.0714285714285716</v>
      </c>
      <c r="W86">
        <f>W87</f>
        <v>0.21428571428571427</v>
      </c>
      <c r="X86">
        <f>X87</f>
        <v>2.5714285714285716</v>
      </c>
      <c r="Y86">
        <f>Y87</f>
        <v>-0.2857142857142857</v>
      </c>
      <c r="Z86">
        <f>Z87</f>
        <v>-0.6428571428571429</v>
      </c>
    </row>
    <row r="87">
      <c r="B87">
        <v>82</v>
      </c>
      <c r="C87">
        <v>12</v>
      </c>
      <c r="D87">
        <v>2.0714285714285716</v>
      </c>
      <c r="E87">
        <v>0.21428571428571427</v>
      </c>
      <c r="F87">
        <v>2.5714285714285716</v>
      </c>
      <c r="G87">
        <f>(H87/1.39135)*$K$5</f>
        <v>0.44010230557166996</v>
      </c>
      <c r="H87">
        <f>(F87*1.190654)*$L$5</f>
        <v>1.5308408571428573</v>
      </c>
      <c r="I87">
        <v>35.6483</v>
      </c>
      <c r="J87">
        <f>D87/(F87/3.362524)</f>
        <v>2.7086998888888894</v>
      </c>
      <c r="K87">
        <f>G87/(H87/1.39135)</f>
        <v>0.4</v>
      </c>
      <c r="L87">
        <f>(H87/1.190654)/F87</f>
        <v>0.5</v>
      </c>
      <c r="V87">
        <f>V88</f>
        <v>2.0714285714285716</v>
      </c>
      <c r="W87">
        <f>W88</f>
        <v>0.21428571428571427</v>
      </c>
      <c r="X87">
        <f>X88</f>
        <v>2.5714285714285716</v>
      </c>
      <c r="Y87">
        <f>Y88</f>
        <v>-0.2857142857142857</v>
      </c>
      <c r="Z87">
        <f>Z88</f>
        <v>-0.6428571428571429</v>
      </c>
    </row>
    <row r="88">
      <c r="B88">
        <v>83</v>
      </c>
      <c r="C88">
        <v>12</v>
      </c>
      <c r="D88">
        <v>2.0714285714285716</v>
      </c>
      <c r="E88">
        <v>0.21428571428571427</v>
      </c>
      <c r="F88">
        <v>2.5714285714285716</v>
      </c>
      <c r="G88">
        <f>(H88/1.39135)*$K$5</f>
        <v>0.44010230557166996</v>
      </c>
      <c r="H88">
        <f>(F88*1.190654)*$L$5</f>
        <v>1.5308408571428573</v>
      </c>
      <c r="I88">
        <v>35.6483</v>
      </c>
      <c r="J88">
        <f>D88/(F88/3.362524)</f>
        <v>2.7086998888888894</v>
      </c>
      <c r="K88">
        <f>G88/(H88/1.39135)</f>
        <v>0.4</v>
      </c>
      <c r="L88">
        <f>(H88/1.190654)/F88</f>
        <v>0.5</v>
      </c>
      <c r="V88">
        <f>V89</f>
        <v>2.0714285714285716</v>
      </c>
      <c r="W88">
        <f>W89</f>
        <v>0.21428571428571427</v>
      </c>
      <c r="X88">
        <f>X89</f>
        <v>2.5714285714285716</v>
      </c>
      <c r="Y88">
        <f>Y89</f>
        <v>-0.2857142857142857</v>
      </c>
      <c r="Z88">
        <f>Z89</f>
        <v>-0.6428571428571429</v>
      </c>
    </row>
    <row r="89">
      <c r="B89">
        <v>84</v>
      </c>
      <c r="C89">
        <v>12</v>
      </c>
      <c r="D89">
        <v>2.0714285714285716</v>
      </c>
      <c r="E89">
        <v>0.21428571428571427</v>
      </c>
      <c r="F89">
        <v>2.5714285714285716</v>
      </c>
      <c r="G89">
        <f>(H89/1.39135)*$K$5</f>
        <v>0.44010230557166996</v>
      </c>
      <c r="H89">
        <f>(F89*1.190654)*$L$5</f>
        <v>1.5308408571428573</v>
      </c>
      <c r="I89">
        <v>35.6483</v>
      </c>
      <c r="J89">
        <f>D89/(F89/3.362524)</f>
        <v>2.7086998888888894</v>
      </c>
      <c r="K89">
        <f>G89/(H89/1.39135)</f>
        <v>0.4</v>
      </c>
      <c r="L89">
        <f>(H89/1.190654)/F89</f>
        <v>0.5</v>
      </c>
      <c r="V89">
        <f>V90</f>
        <v>2.0714285714285716</v>
      </c>
      <c r="W89">
        <f>W90</f>
        <v>0.21428571428571427</v>
      </c>
      <c r="X89">
        <f>X90</f>
        <v>2.5714285714285716</v>
      </c>
      <c r="Y89">
        <f>Y90</f>
        <v>-0.2857142857142857</v>
      </c>
      <c r="Z89">
        <f>Z90</f>
        <v>-0.6428571428571429</v>
      </c>
    </row>
    <row r="90">
      <c r="B90">
        <v>85</v>
      </c>
      <c r="C90">
        <v>13</v>
      </c>
      <c r="D90">
        <v>2.0714285714285716</v>
      </c>
      <c r="E90">
        <v>0.21428571428571427</v>
      </c>
      <c r="F90">
        <v>2.5714285714285716</v>
      </c>
      <c r="G90">
        <f>(H90/1.39135)*$K$5</f>
        <v>0.44010230557166996</v>
      </c>
      <c r="H90">
        <f>(F90*1.190654)*$L$5</f>
        <v>1.5308408571428573</v>
      </c>
      <c r="I90">
        <v>35.6483</v>
      </c>
      <c r="J90">
        <f>D90/(F90/3.362524)</f>
        <v>2.7086998888888894</v>
      </c>
      <c r="K90">
        <f>G90/(H90/1.39135)</f>
        <v>0.4</v>
      </c>
      <c r="L90">
        <f>(H90/1.190654)/F90</f>
        <v>0.5</v>
      </c>
      <c r="V90">
        <f>V91</f>
        <v>2.0714285714285716</v>
      </c>
      <c r="W90">
        <f>W91</f>
        <v>0.21428571428571427</v>
      </c>
      <c r="X90">
        <f>X91</f>
        <v>2.5714285714285716</v>
      </c>
      <c r="Y90">
        <f>Y91</f>
        <v>-0.2857142857142857</v>
      </c>
      <c r="Z90">
        <f>Z91</f>
        <v>-0.6428571428571429</v>
      </c>
    </row>
    <row r="91">
      <c r="B91">
        <v>86</v>
      </c>
      <c r="C91">
        <v>13</v>
      </c>
      <c r="D91">
        <v>2.0714285714285716</v>
      </c>
      <c r="E91">
        <v>0.21428571428571427</v>
      </c>
      <c r="F91">
        <v>2.5714285714285716</v>
      </c>
      <c r="G91">
        <f>(H91/1.39135)*$K$5</f>
        <v>0.44010230557166996</v>
      </c>
      <c r="H91">
        <f>(F91*1.190654)*$L$5</f>
        <v>1.5308408571428573</v>
      </c>
      <c r="I91">
        <v>35.6483</v>
      </c>
      <c r="J91">
        <f>D91/(F91/3.362524)</f>
        <v>2.7086998888888894</v>
      </c>
      <c r="K91">
        <f>G91/(H91/1.39135)</f>
        <v>0.4</v>
      </c>
      <c r="L91">
        <f>(H91/1.190654)/F91</f>
        <v>0.5</v>
      </c>
      <c r="V91">
        <f>V92</f>
        <v>2.0714285714285716</v>
      </c>
      <c r="W91">
        <f>W92</f>
        <v>0.21428571428571427</v>
      </c>
      <c r="X91">
        <f>X92</f>
        <v>2.5714285714285716</v>
      </c>
      <c r="Y91">
        <f>Y92</f>
        <v>-0.2857142857142857</v>
      </c>
      <c r="Z91">
        <f>Z92</f>
        <v>-0.6428571428571429</v>
      </c>
    </row>
    <row r="92">
      <c r="B92">
        <v>87</v>
      </c>
      <c r="C92">
        <v>13</v>
      </c>
      <c r="D92">
        <v>2.0714285714285716</v>
      </c>
      <c r="E92">
        <v>0.21428571428571427</v>
      </c>
      <c r="F92">
        <v>2.5714285714285716</v>
      </c>
      <c r="G92">
        <f>(H92/1.39135)*$K$5</f>
        <v>0.44010230557166996</v>
      </c>
      <c r="H92">
        <f>(F92*1.190654)*$L$5</f>
        <v>1.5308408571428573</v>
      </c>
      <c r="I92">
        <v>35.6483</v>
      </c>
      <c r="J92">
        <f>D92/(F92/3.362524)</f>
        <v>2.7086998888888894</v>
      </c>
      <c r="K92">
        <f>G92/(H92/1.39135)</f>
        <v>0.4</v>
      </c>
      <c r="L92">
        <f>(H92/1.190654)/F92</f>
        <v>0.5</v>
      </c>
      <c r="N92">
        <v>235</v>
      </c>
      <c r="O92">
        <v>15</v>
      </c>
      <c r="P92">
        <v>242</v>
      </c>
      <c r="Q92">
        <v>20</v>
      </c>
      <c r="R92">
        <v>18</v>
      </c>
      <c r="V92">
        <f>(N94-N80)/14</f>
        <v>2.0714285714285716</v>
      </c>
      <c r="W92">
        <f>(O94-O80)/14</f>
        <v>0.21428571428571427</v>
      </c>
      <c r="X92">
        <f>(P94-P80)/14</f>
        <v>2.5714285714285716</v>
      </c>
      <c r="Y92">
        <f>(Q94-Q80)/14</f>
        <v>-0.2857142857142857</v>
      </c>
      <c r="Z92">
        <f>(R94-R80)/14</f>
        <v>-0.6428571428571429</v>
      </c>
    </row>
    <row r="93">
      <c r="B93">
        <v>88</v>
      </c>
      <c r="C93">
        <v>13</v>
      </c>
      <c r="D93">
        <v>5.722222222222222</v>
      </c>
      <c r="E93">
        <v>0.5555555555555556</v>
      </c>
      <c r="F93">
        <v>11</v>
      </c>
      <c r="G93">
        <f>(H93/1.39135)*$K$5</f>
        <v>1.8826598627232547</v>
      </c>
      <c r="H93">
        <f>(F93*1.190654)*$L$5</f>
        <v>6.548597000000001</v>
      </c>
      <c r="I93">
        <v>35.6483</v>
      </c>
      <c r="J93">
        <f>D93/(F93/3.362524)</f>
        <v>1.749191777777778</v>
      </c>
      <c r="K93">
        <f>G93/(H93/1.39135)</f>
        <v>0.4</v>
      </c>
      <c r="L93">
        <f>(H93/1.190654)/F93</f>
        <v>0.5</v>
      </c>
      <c r="N93">
        <v>180</v>
      </c>
      <c r="O93">
        <v>13</v>
      </c>
      <c r="P93">
        <v>240</v>
      </c>
      <c r="Q93">
        <v>20</v>
      </c>
      <c r="R93">
        <v>17</v>
      </c>
      <c r="V93">
        <f>V94</f>
        <v>5.722222222222222</v>
      </c>
      <c r="W93">
        <f>W94</f>
        <v>0.5555555555555556</v>
      </c>
      <c r="X93">
        <f>X94</f>
        <v>11</v>
      </c>
      <c r="Y93">
        <f>Y94</f>
        <v>0.8888888888888888</v>
      </c>
      <c r="Z93">
        <f>Z94</f>
        <v>0.9444444444444444</v>
      </c>
    </row>
    <row r="94">
      <c r="B94">
        <v>89</v>
      </c>
      <c r="C94">
        <v>13</v>
      </c>
      <c r="D94">
        <v>5.722222222222222</v>
      </c>
      <c r="E94">
        <v>0.5555555555555556</v>
      </c>
      <c r="F94">
        <v>11</v>
      </c>
      <c r="G94">
        <f>(H94/1.39135)*$K$5</f>
        <v>1.8826598627232547</v>
      </c>
      <c r="H94">
        <f>(F94*1.190654)*$L$5</f>
        <v>6.548597000000001</v>
      </c>
      <c r="I94">
        <v>35.6483</v>
      </c>
      <c r="J94">
        <f>D94/(F94/3.362524)</f>
        <v>1.749191777777778</v>
      </c>
      <c r="K94">
        <f>G94/(H94/1.39135)</f>
        <v>0.4</v>
      </c>
      <c r="L94">
        <f>(H94/1.190654)/F94</f>
        <v>0.5</v>
      </c>
      <c r="N94">
        <v>280</v>
      </c>
      <c r="O94">
        <v>19</v>
      </c>
      <c r="P94">
        <v>325</v>
      </c>
      <c r="Q94">
        <v>22</v>
      </c>
      <c r="R94">
        <v>20</v>
      </c>
      <c r="V94">
        <f>V95</f>
        <v>5.722222222222222</v>
      </c>
      <c r="W94">
        <f>W95</f>
        <v>0.5555555555555556</v>
      </c>
      <c r="X94">
        <f>X95</f>
        <v>11</v>
      </c>
      <c r="Y94">
        <f>Y95</f>
        <v>0.8888888888888888</v>
      </c>
      <c r="Z94">
        <f>Z95</f>
        <v>0.9444444444444444</v>
      </c>
    </row>
    <row r="95">
      <c r="B95">
        <v>90</v>
      </c>
      <c r="C95">
        <v>13</v>
      </c>
      <c r="D95">
        <v>5.722222222222222</v>
      </c>
      <c r="E95">
        <v>0.5555555555555556</v>
      </c>
      <c r="F95">
        <v>11</v>
      </c>
      <c r="G95">
        <f>(H95/1.39135)*$K$5</f>
        <v>1.8826598627232547</v>
      </c>
      <c r="H95">
        <f>(F95*1.190654)*$L$5</f>
        <v>6.548597000000001</v>
      </c>
      <c r="I95">
        <v>35.6483</v>
      </c>
      <c r="J95">
        <f>D95/(F95/3.362524)</f>
        <v>1.749191777777778</v>
      </c>
      <c r="K95">
        <f>G95/(H95/1.39135)</f>
        <v>0.4</v>
      </c>
      <c r="L95">
        <f>(H95/1.190654)/F95</f>
        <v>0.5</v>
      </c>
      <c r="V95">
        <f>V96</f>
        <v>5.722222222222222</v>
      </c>
      <c r="W95">
        <f>W96</f>
        <v>0.5555555555555556</v>
      </c>
      <c r="X95">
        <f>X96</f>
        <v>11</v>
      </c>
      <c r="Y95">
        <f>Y96</f>
        <v>0.8888888888888888</v>
      </c>
      <c r="Z95">
        <f>Z96</f>
        <v>0.9444444444444444</v>
      </c>
    </row>
    <row r="96">
      <c r="B96">
        <v>91</v>
      </c>
      <c r="C96">
        <v>13</v>
      </c>
      <c r="D96">
        <v>5.722222222222222</v>
      </c>
      <c r="E96">
        <v>0.5555555555555556</v>
      </c>
      <c r="F96">
        <v>11</v>
      </c>
      <c r="G96">
        <f>(H96/1.39135)*$K$5</f>
        <v>1.8826598627232547</v>
      </c>
      <c r="H96">
        <f>(F96*1.190654)*$L$5</f>
        <v>6.548597000000001</v>
      </c>
      <c r="I96">
        <v>35.6483</v>
      </c>
      <c r="J96">
        <f>D96/(F96/3.362524)</f>
        <v>1.749191777777778</v>
      </c>
      <c r="K96">
        <f>G96/(H96/1.39135)</f>
        <v>0.4</v>
      </c>
      <c r="L96">
        <f>(H96/1.190654)/F96</f>
        <v>0.5</v>
      </c>
      <c r="V96">
        <f>V97</f>
        <v>5.722222222222222</v>
      </c>
      <c r="W96">
        <f>W97</f>
        <v>0.5555555555555556</v>
      </c>
      <c r="X96">
        <f>X97</f>
        <v>11</v>
      </c>
      <c r="Y96">
        <f>Y97</f>
        <v>0.8888888888888888</v>
      </c>
      <c r="Z96">
        <f>Z97</f>
        <v>0.9444444444444444</v>
      </c>
    </row>
    <row r="97">
      <c r="B97">
        <v>92</v>
      </c>
      <c r="C97">
        <v>14</v>
      </c>
      <c r="D97">
        <v>5.722222222222222</v>
      </c>
      <c r="E97">
        <v>0.5555555555555556</v>
      </c>
      <c r="F97">
        <v>11</v>
      </c>
      <c r="G97">
        <f>(H97/1.39135)*$K$5</f>
        <v>1.8826598627232547</v>
      </c>
      <c r="H97">
        <f>(F97*1.190654)*$L$5</f>
        <v>6.548597000000001</v>
      </c>
      <c r="I97">
        <v>35.6483</v>
      </c>
      <c r="J97">
        <f>D97/(F97/3.362524)</f>
        <v>1.749191777777778</v>
      </c>
      <c r="K97">
        <f>G97/(H97/1.39135)</f>
        <v>0.4</v>
      </c>
      <c r="L97">
        <f>(H97/1.190654)/F97</f>
        <v>0.5</v>
      </c>
      <c r="V97">
        <f>V98</f>
        <v>5.722222222222222</v>
      </c>
      <c r="W97">
        <f>W98</f>
        <v>0.5555555555555556</v>
      </c>
      <c r="X97">
        <f>X98</f>
        <v>11</v>
      </c>
      <c r="Y97">
        <f>Y98</f>
        <v>0.8888888888888888</v>
      </c>
      <c r="Z97">
        <f>Z98</f>
        <v>0.9444444444444444</v>
      </c>
    </row>
    <row r="98">
      <c r="B98">
        <v>93</v>
      </c>
      <c r="C98">
        <v>14</v>
      </c>
      <c r="D98">
        <v>5.722222222222222</v>
      </c>
      <c r="E98">
        <v>0.5555555555555556</v>
      </c>
      <c r="F98">
        <v>11</v>
      </c>
      <c r="G98">
        <f>(H98/1.39135)*$K$5</f>
        <v>1.8826598627232547</v>
      </c>
      <c r="H98">
        <f>(F98*1.190654)*$L$5</f>
        <v>6.548597000000001</v>
      </c>
      <c r="I98">
        <v>35.6483</v>
      </c>
      <c r="J98">
        <f>D98/(F98/3.362524)</f>
        <v>1.749191777777778</v>
      </c>
      <c r="K98">
        <f>G98/(H98/1.39135)</f>
        <v>0.4</v>
      </c>
      <c r="L98">
        <f>(H98/1.190654)/F98</f>
        <v>0.5</v>
      </c>
      <c r="V98">
        <f>V99</f>
        <v>5.722222222222222</v>
      </c>
      <c r="W98">
        <f>W99</f>
        <v>0.5555555555555556</v>
      </c>
      <c r="X98">
        <f>X99</f>
        <v>11</v>
      </c>
      <c r="Y98">
        <f>Y99</f>
        <v>0.8888888888888888</v>
      </c>
      <c r="Z98">
        <f>Z99</f>
        <v>0.9444444444444444</v>
      </c>
    </row>
    <row r="99">
      <c r="B99">
        <v>94</v>
      </c>
      <c r="C99">
        <v>14</v>
      </c>
      <c r="D99">
        <v>5.722222222222222</v>
      </c>
      <c r="E99">
        <v>0.5555555555555556</v>
      </c>
      <c r="F99">
        <v>11</v>
      </c>
      <c r="G99">
        <f>(H99/1.39135)*$K$5</f>
        <v>1.8826598627232547</v>
      </c>
      <c r="H99">
        <f>(F99*1.190654)*$L$5</f>
        <v>6.548597000000001</v>
      </c>
      <c r="I99">
        <v>35.6483</v>
      </c>
      <c r="J99">
        <f>D99/(F99/3.362524)</f>
        <v>1.749191777777778</v>
      </c>
      <c r="K99">
        <f>G99/(H99/1.39135)</f>
        <v>0.4</v>
      </c>
      <c r="L99">
        <f>(H99/1.190654)/F99</f>
        <v>0.5</v>
      </c>
      <c r="V99">
        <f>V100</f>
        <v>5.722222222222222</v>
      </c>
      <c r="W99">
        <f>W100</f>
        <v>0.5555555555555556</v>
      </c>
      <c r="X99">
        <f>X100</f>
        <v>11</v>
      </c>
      <c r="Y99">
        <f>Y100</f>
        <v>0.8888888888888888</v>
      </c>
      <c r="Z99">
        <f>Z100</f>
        <v>0.9444444444444444</v>
      </c>
    </row>
    <row r="100">
      <c r="B100">
        <v>95</v>
      </c>
      <c r="C100">
        <v>14</v>
      </c>
      <c r="D100">
        <v>5.722222222222222</v>
      </c>
      <c r="E100">
        <v>0.5555555555555556</v>
      </c>
      <c r="F100">
        <v>11</v>
      </c>
      <c r="G100">
        <f>(H100/1.39135)*$K$5</f>
        <v>1.8826598627232547</v>
      </c>
      <c r="H100">
        <f>(F100*1.190654)*$L$5</f>
        <v>6.548597000000001</v>
      </c>
      <c r="I100">
        <v>35.6483</v>
      </c>
      <c r="J100">
        <f>D100/(F100/3.362524)</f>
        <v>1.749191777777778</v>
      </c>
      <c r="K100">
        <f>G100/(H100/1.39135)</f>
        <v>0.4</v>
      </c>
      <c r="L100">
        <f>(H100/1.190654)/F100</f>
        <v>0.5</v>
      </c>
      <c r="V100">
        <f>V101</f>
        <v>5.722222222222222</v>
      </c>
      <c r="W100">
        <f>W101</f>
        <v>0.5555555555555556</v>
      </c>
      <c r="X100">
        <f>X101</f>
        <v>11</v>
      </c>
      <c r="Y100">
        <f>Y101</f>
        <v>0.8888888888888888</v>
      </c>
      <c r="Z100">
        <f>Z101</f>
        <v>0.9444444444444444</v>
      </c>
    </row>
    <row r="101">
      <c r="B101">
        <v>96</v>
      </c>
      <c r="C101">
        <v>14</v>
      </c>
      <c r="D101">
        <v>5.722222222222222</v>
      </c>
      <c r="E101">
        <v>0.5555555555555556</v>
      </c>
      <c r="F101">
        <v>11</v>
      </c>
      <c r="G101">
        <f>(H101/1.39135)*$K$5</f>
        <v>1.8826598627232547</v>
      </c>
      <c r="H101">
        <f>(F101*1.190654)*$L$5</f>
        <v>6.548597000000001</v>
      </c>
      <c r="I101">
        <v>35.6483</v>
      </c>
      <c r="J101">
        <f>D101/(F101/3.362524)</f>
        <v>1.749191777777778</v>
      </c>
      <c r="K101">
        <f>G101/(H101/1.39135)</f>
        <v>0.4</v>
      </c>
      <c r="L101">
        <f>(H101/1.190654)/F101</f>
        <v>0.5</v>
      </c>
      <c r="V101">
        <f>V102</f>
        <v>5.722222222222222</v>
      </c>
      <c r="W101">
        <f>W102</f>
        <v>0.5555555555555556</v>
      </c>
      <c r="X101">
        <f>X102</f>
        <v>11</v>
      </c>
      <c r="Y101">
        <f>Y102</f>
        <v>0.8888888888888888</v>
      </c>
      <c r="Z101">
        <f>Z102</f>
        <v>0.9444444444444444</v>
      </c>
    </row>
    <row r="102">
      <c r="B102">
        <v>97</v>
      </c>
      <c r="C102">
        <v>14</v>
      </c>
      <c r="D102">
        <v>5.722222222222222</v>
      </c>
      <c r="E102">
        <v>0.5555555555555556</v>
      </c>
      <c r="F102">
        <v>11</v>
      </c>
      <c r="G102">
        <f>(H102/1.39135)*$K$5</f>
        <v>1.8826598627232547</v>
      </c>
      <c r="H102">
        <f>(F102*1.190654)*$L$5</f>
        <v>6.548597000000001</v>
      </c>
      <c r="I102">
        <v>35.6483</v>
      </c>
      <c r="J102">
        <f>D102/(F102/3.362524)</f>
        <v>1.749191777777778</v>
      </c>
      <c r="K102">
        <f>G102/(H102/1.39135)</f>
        <v>0.4</v>
      </c>
      <c r="L102">
        <f>(H102/1.190654)/F102</f>
        <v>0.5</v>
      </c>
      <c r="V102">
        <f>V103</f>
        <v>5.722222222222222</v>
      </c>
      <c r="W102">
        <f>W103</f>
        <v>0.5555555555555556</v>
      </c>
      <c r="X102">
        <f>X103</f>
        <v>11</v>
      </c>
      <c r="Y102">
        <f>Y103</f>
        <v>0.8888888888888888</v>
      </c>
      <c r="Z102">
        <f>Z103</f>
        <v>0.9444444444444444</v>
      </c>
    </row>
    <row r="103">
      <c r="B103">
        <v>98</v>
      </c>
      <c r="C103">
        <v>14</v>
      </c>
      <c r="D103">
        <v>5.722222222222222</v>
      </c>
      <c r="E103">
        <v>0.5555555555555556</v>
      </c>
      <c r="F103">
        <v>11</v>
      </c>
      <c r="G103">
        <f>(H103/1.39135)*$K$5</f>
        <v>1.8826598627232547</v>
      </c>
      <c r="H103">
        <f>(F103*1.190654)*$L$5</f>
        <v>6.548597000000001</v>
      </c>
      <c r="I103">
        <v>35.6483</v>
      </c>
      <c r="J103">
        <f>D103/(F103/3.362524)</f>
        <v>1.749191777777778</v>
      </c>
      <c r="K103">
        <f>G103/(H103/1.39135)</f>
        <v>0.4</v>
      </c>
      <c r="L103">
        <f>(H103/1.190654)/F103</f>
        <v>0.5</v>
      </c>
      <c r="V103">
        <f>V104</f>
        <v>5.722222222222222</v>
      </c>
      <c r="W103">
        <f>W104</f>
        <v>0.5555555555555556</v>
      </c>
      <c r="X103">
        <f>X104</f>
        <v>11</v>
      </c>
      <c r="Y103">
        <f>Y104</f>
        <v>0.8888888888888888</v>
      </c>
      <c r="Z103">
        <f>Z104</f>
        <v>0.9444444444444444</v>
      </c>
    </row>
    <row r="104">
      <c r="B104">
        <v>99</v>
      </c>
      <c r="C104">
        <v>15</v>
      </c>
      <c r="D104">
        <v>5.722222222222222</v>
      </c>
      <c r="E104">
        <v>0.5555555555555556</v>
      </c>
      <c r="F104">
        <v>11</v>
      </c>
      <c r="G104">
        <f>(H104/1.39135)*$K$5</f>
        <v>1.8826598627232547</v>
      </c>
      <c r="H104">
        <f>(F104*1.190654)*$L$5</f>
        <v>6.548597000000001</v>
      </c>
      <c r="I104">
        <v>35.6483</v>
      </c>
      <c r="J104">
        <f>D104/(F104/3.362524)</f>
        <v>1.749191777777778</v>
      </c>
      <c r="K104">
        <f>G104/(H104/1.39135)</f>
        <v>0.4</v>
      </c>
      <c r="L104">
        <f>(H104/1.190654)/F104</f>
        <v>0.5</v>
      </c>
      <c r="V104">
        <f>V105</f>
        <v>5.722222222222222</v>
      </c>
      <c r="W104">
        <f>W105</f>
        <v>0.5555555555555556</v>
      </c>
      <c r="X104">
        <f>X105</f>
        <v>11</v>
      </c>
      <c r="Y104">
        <f>Y105</f>
        <v>0.8888888888888888</v>
      </c>
      <c r="Z104">
        <f>Z105</f>
        <v>0.9444444444444444</v>
      </c>
    </row>
    <row r="105">
      <c r="B105">
        <v>100</v>
      </c>
      <c r="C105">
        <v>15</v>
      </c>
      <c r="D105">
        <v>5.722222222222222</v>
      </c>
      <c r="E105">
        <v>0.5555555555555556</v>
      </c>
      <c r="F105">
        <v>11</v>
      </c>
      <c r="G105">
        <f>(H105/1.39135)*$K$5</f>
        <v>1.8826598627232547</v>
      </c>
      <c r="H105">
        <f>(F105*1.190654)*$L$5</f>
        <v>6.548597000000001</v>
      </c>
      <c r="I105">
        <v>35.6483</v>
      </c>
      <c r="J105">
        <f>D105/(F105/3.362524)</f>
        <v>1.749191777777778</v>
      </c>
      <c r="K105">
        <f>G105/(H105/1.39135)</f>
        <v>0.4</v>
      </c>
      <c r="L105">
        <f>(H105/1.190654)/F105</f>
        <v>0.5</v>
      </c>
      <c r="V105">
        <f>V106</f>
        <v>5.722222222222222</v>
      </c>
      <c r="W105">
        <f>W106</f>
        <v>0.5555555555555556</v>
      </c>
      <c r="X105">
        <f>X106</f>
        <v>11</v>
      </c>
      <c r="Y105">
        <f>Y106</f>
        <v>0.8888888888888888</v>
      </c>
      <c r="Z105">
        <f>Z106</f>
        <v>0.9444444444444444</v>
      </c>
    </row>
    <row r="106">
      <c r="B106">
        <v>101</v>
      </c>
      <c r="C106">
        <v>15</v>
      </c>
      <c r="D106">
        <v>5.722222222222222</v>
      </c>
      <c r="E106">
        <v>0.5555555555555556</v>
      </c>
      <c r="F106">
        <v>11</v>
      </c>
      <c r="G106">
        <f>(H106/1.39135)*$K$5</f>
        <v>1.8826598627232547</v>
      </c>
      <c r="H106">
        <f>(F106*1.190654)*$L$5</f>
        <v>6.548597000000001</v>
      </c>
      <c r="I106">
        <v>35.6483</v>
      </c>
      <c r="J106">
        <f>D106/(F106/3.362524)</f>
        <v>1.749191777777778</v>
      </c>
      <c r="K106">
        <f>G106/(H106/1.39135)</f>
        <v>0.4</v>
      </c>
      <c r="L106">
        <f>(H106/1.190654)/F106</f>
        <v>0.5</v>
      </c>
      <c r="V106">
        <f>V107</f>
        <v>5.722222222222222</v>
      </c>
      <c r="W106">
        <f>W107</f>
        <v>0.5555555555555556</v>
      </c>
      <c r="X106">
        <f>X107</f>
        <v>11</v>
      </c>
      <c r="Y106">
        <f>Y107</f>
        <v>0.8888888888888888</v>
      </c>
      <c r="Z106">
        <f>Z107</f>
        <v>0.9444444444444444</v>
      </c>
    </row>
    <row r="107">
      <c r="B107">
        <v>102</v>
      </c>
      <c r="C107">
        <v>15</v>
      </c>
      <c r="D107">
        <v>5.722222222222222</v>
      </c>
      <c r="E107">
        <v>0.5555555555555556</v>
      </c>
      <c r="F107">
        <v>11</v>
      </c>
      <c r="G107">
        <f>(H107/1.39135)*$K$5</f>
        <v>1.8826598627232547</v>
      </c>
      <c r="H107">
        <f>(F107*1.190654)*$L$5</f>
        <v>6.548597000000001</v>
      </c>
      <c r="I107">
        <v>35.6483</v>
      </c>
      <c r="J107">
        <f>D107/(F107/3.362524)</f>
        <v>1.749191777777778</v>
      </c>
      <c r="K107">
        <f>G107/(H107/1.39135)</f>
        <v>0.4</v>
      </c>
      <c r="L107">
        <f>(H107/1.190654)/F107</f>
        <v>0.5</v>
      </c>
      <c r="V107">
        <f>V108</f>
        <v>5.722222222222222</v>
      </c>
      <c r="W107">
        <f>W108</f>
        <v>0.5555555555555556</v>
      </c>
      <c r="X107">
        <f>X108</f>
        <v>11</v>
      </c>
      <c r="Y107">
        <f>Y108</f>
        <v>0.8888888888888888</v>
      </c>
      <c r="Z107">
        <f>Z108</f>
        <v>0.9444444444444444</v>
      </c>
    </row>
    <row r="108">
      <c r="B108">
        <v>103</v>
      </c>
      <c r="C108">
        <v>15</v>
      </c>
      <c r="D108">
        <v>5.722222222222222</v>
      </c>
      <c r="E108">
        <v>0.5555555555555556</v>
      </c>
      <c r="F108">
        <v>11</v>
      </c>
      <c r="G108">
        <f>(H108/1.39135)*$K$5</f>
        <v>1.8826598627232547</v>
      </c>
      <c r="H108">
        <f>(F108*1.190654)*$L$5</f>
        <v>6.548597000000001</v>
      </c>
      <c r="I108">
        <v>35.6483</v>
      </c>
      <c r="J108">
        <f>D108/(F108/3.362524)</f>
        <v>1.749191777777778</v>
      </c>
      <c r="K108">
        <f>G108/(H108/1.39135)</f>
        <v>0.4</v>
      </c>
      <c r="L108">
        <f>(H108/1.190654)/F108</f>
        <v>0.5</v>
      </c>
      <c r="V108">
        <f>V109</f>
        <v>5.722222222222222</v>
      </c>
      <c r="W108">
        <f>W109</f>
        <v>0.5555555555555556</v>
      </c>
      <c r="X108">
        <f>X109</f>
        <v>11</v>
      </c>
      <c r="Y108">
        <f>Y109</f>
        <v>0.8888888888888888</v>
      </c>
      <c r="Z108">
        <f>Z109</f>
        <v>0.9444444444444444</v>
      </c>
    </row>
    <row r="109">
      <c r="B109">
        <v>104</v>
      </c>
      <c r="C109">
        <v>15</v>
      </c>
      <c r="D109">
        <v>5.722222222222222</v>
      </c>
      <c r="E109">
        <v>0.5555555555555556</v>
      </c>
      <c r="F109">
        <v>11</v>
      </c>
      <c r="G109">
        <f>(H109/1.39135)*$K$5</f>
        <v>1.8826598627232547</v>
      </c>
      <c r="H109">
        <f>(F109*1.190654)*$L$5</f>
        <v>6.548597000000001</v>
      </c>
      <c r="I109">
        <v>35.6483</v>
      </c>
      <c r="J109">
        <f>D109/(F109/3.362524)</f>
        <v>1.749191777777778</v>
      </c>
      <c r="K109">
        <f>G109/(H109/1.39135)</f>
        <v>0.4</v>
      </c>
      <c r="L109">
        <f>(H109/1.190654)/F109</f>
        <v>0.5</v>
      </c>
      <c r="V109">
        <f>V110</f>
        <v>5.722222222222222</v>
      </c>
      <c r="W109">
        <f>W110</f>
        <v>0.5555555555555556</v>
      </c>
      <c r="X109">
        <f>X110</f>
        <v>11</v>
      </c>
      <c r="Y109">
        <f>Y110</f>
        <v>0.8888888888888888</v>
      </c>
      <c r="Z109">
        <f>Z110</f>
        <v>0.9444444444444444</v>
      </c>
    </row>
    <row r="110">
      <c r="B110">
        <v>105</v>
      </c>
      <c r="C110">
        <v>15</v>
      </c>
      <c r="D110">
        <v>5.722222222222222</v>
      </c>
      <c r="E110">
        <v>0.5555555555555556</v>
      </c>
      <c r="F110">
        <v>11</v>
      </c>
      <c r="G110">
        <f>(H110/1.39135)*$K$5</f>
        <v>1.8826598627232547</v>
      </c>
      <c r="H110">
        <f>(F110*1.190654)*$L$5</f>
        <v>6.548597000000001</v>
      </c>
      <c r="I110">
        <v>35.6483</v>
      </c>
      <c r="J110">
        <f>D110/(F110/3.362524)</f>
        <v>1.749191777777778</v>
      </c>
      <c r="K110">
        <f>G110/(H110/1.39135)</f>
        <v>0.4</v>
      </c>
      <c r="L110">
        <f>(H110/1.190654)/F110</f>
        <v>0.5</v>
      </c>
      <c r="N110">
        <v>193</v>
      </c>
      <c r="O110">
        <v>15</v>
      </c>
      <c r="P110">
        <v>177</v>
      </c>
      <c r="Q110">
        <v>15</v>
      </c>
      <c r="R110">
        <v>14</v>
      </c>
      <c r="V110">
        <f>(N112-N94)/18</f>
        <v>5.722222222222222</v>
      </c>
      <c r="W110">
        <f>(O112-O94)/18</f>
        <v>0.5555555555555556</v>
      </c>
      <c r="X110">
        <f>(P112-P94)/18</f>
        <v>11</v>
      </c>
      <c r="Y110">
        <f>(Q112-Q94)/18</f>
        <v>0.8888888888888888</v>
      </c>
      <c r="Z110">
        <f>(R112-R94)/18</f>
        <v>0.9444444444444444</v>
      </c>
    </row>
    <row r="111">
      <c r="B111">
        <v>106</v>
      </c>
      <c r="C111">
        <v>16</v>
      </c>
      <c r="D111">
        <v>0</v>
      </c>
      <c r="E111">
        <v>0</v>
      </c>
      <c r="F111">
        <v>0</v>
      </c>
      <c r="G111">
        <f>(H111/1.39135)*$K$5</f>
        <v>0</v>
      </c>
      <c r="H111">
        <f>(F111*1.190654)*$L$5</f>
        <v>0</v>
      </c>
      <c r="I111">
        <v>35.6483</v>
      </c>
      <c r="J111" t="e">
        <f>D111/(F111/3.362524)</f>
        <v>#DIV/0!</v>
      </c>
      <c r="K111" t="e">
        <f>G111/(H111/1.39135)</f>
        <v>#DIV/0!</v>
      </c>
      <c r="L111" t="e">
        <f>(H111/1.190654)/F111</f>
        <v>#DIV/0!</v>
      </c>
      <c r="N111">
        <v>381</v>
      </c>
      <c r="O111">
        <v>23</v>
      </c>
      <c r="P111">
        <v>316</v>
      </c>
      <c r="Q111">
        <v>39</v>
      </c>
      <c r="R111">
        <v>35</v>
      </c>
    </row>
    <row r="112">
      <c r="B112">
        <v>107</v>
      </c>
      <c r="C112">
        <v>16</v>
      </c>
      <c r="D112">
        <v>0</v>
      </c>
      <c r="E112">
        <v>0</v>
      </c>
      <c r="F112">
        <v>0</v>
      </c>
      <c r="G112">
        <f>(H112/1.39135)*$K$5</f>
        <v>0</v>
      </c>
      <c r="H112">
        <f>(F112*1.190654)*$L$5</f>
        <v>0</v>
      </c>
      <c r="I112">
        <v>35.6483</v>
      </c>
      <c r="J112" t="e">
        <f>D112/(F112/3.362524)</f>
        <v>#DIV/0!</v>
      </c>
      <c r="K112" t="e">
        <f>G112/(H112/1.39135)</f>
        <v>#DIV/0!</v>
      </c>
      <c r="L112" t="e">
        <f>(H112/1.190654)/F112</f>
        <v>#DIV/0!</v>
      </c>
      <c r="N112">
        <v>383</v>
      </c>
      <c r="O112">
        <v>29</v>
      </c>
      <c r="P112">
        <v>523</v>
      </c>
      <c r="Q112">
        <v>38</v>
      </c>
      <c r="R112">
        <v>37</v>
      </c>
    </row>
    <row r="113">
      <c r="B113">
        <v>108</v>
      </c>
      <c r="C113">
        <v>16</v>
      </c>
      <c r="D113">
        <v>0</v>
      </c>
      <c r="E113">
        <v>0</v>
      </c>
      <c r="F113">
        <v>0</v>
      </c>
      <c r="G113">
        <f>(H113/1.39135)*$K$5</f>
        <v>0</v>
      </c>
      <c r="H113">
        <f>(F113*1.190654)*$L$5</f>
        <v>0</v>
      </c>
      <c r="I113">
        <v>35.6483</v>
      </c>
      <c r="J113" t="e">
        <f>D113/(F113/3.362524)</f>
        <v>#DIV/0!</v>
      </c>
      <c r="K113" t="e">
        <f>G113/(H113/1.39135)</f>
        <v>#DIV/0!</v>
      </c>
      <c r="L113" t="e">
        <f>(H113/1.190654)/F113</f>
        <v>#DIV/0!</v>
      </c>
    </row>
    <row r="114">
      <c r="B114">
        <v>109</v>
      </c>
      <c r="C114">
        <v>16</v>
      </c>
      <c r="D114">
        <v>0</v>
      </c>
      <c r="E114">
        <v>0</v>
      </c>
      <c r="F114">
        <v>0</v>
      </c>
      <c r="G114">
        <f>(H114/1.39135)*$K$5</f>
        <v>0</v>
      </c>
      <c r="H114">
        <f>(F114*1.190654)*$L$5</f>
        <v>0</v>
      </c>
      <c r="I114">
        <v>35.6483</v>
      </c>
      <c r="J114" t="e">
        <f>D114/(F114/3.362524)</f>
        <v>#DIV/0!</v>
      </c>
      <c r="K114" t="e">
        <f>G114/(H114/1.39135)</f>
        <v>#DIV/0!</v>
      </c>
      <c r="L114" t="e">
        <f>(H114/1.190654)/F114</f>
        <v>#DIV/0!</v>
      </c>
    </row>
    <row r="115">
      <c r="B115">
        <v>110</v>
      </c>
      <c r="C115">
        <v>16</v>
      </c>
      <c r="D115">
        <v>0</v>
      </c>
      <c r="E115">
        <v>0</v>
      </c>
      <c r="F115">
        <v>0</v>
      </c>
      <c r="G115">
        <f>(H115/1.39135)*$K$5</f>
        <v>0</v>
      </c>
      <c r="H115">
        <f>(F115*1.190654)*$L$5</f>
        <v>0</v>
      </c>
      <c r="I115">
        <v>35.6483</v>
      </c>
      <c r="J115" t="e">
        <f>D115/(F115/3.362524)</f>
        <v>#DIV/0!</v>
      </c>
      <c r="K115" t="e">
        <f>G115/(H115/1.39135)</f>
        <v>#DIV/0!</v>
      </c>
      <c r="L115" t="e">
        <f>(H115/1.190654)/F115</f>
        <v>#DIV/0!</v>
      </c>
    </row>
    <row r="116">
      <c r="B116">
        <v>111</v>
      </c>
      <c r="C116">
        <v>16</v>
      </c>
      <c r="D116">
        <v>0</v>
      </c>
      <c r="E116">
        <v>0</v>
      </c>
      <c r="F116">
        <v>0</v>
      </c>
      <c r="G116">
        <f>(H116/1.39135)*$K$5</f>
        <v>0</v>
      </c>
      <c r="H116">
        <f>(F116*1.190654)*$L$5</f>
        <v>0</v>
      </c>
      <c r="I116">
        <v>35.6483</v>
      </c>
      <c r="J116" t="e">
        <f>D116/(F116/3.362524)</f>
        <v>#DIV/0!</v>
      </c>
      <c r="K116" t="e">
        <f>G116/(H116/1.39135)</f>
        <v>#DIV/0!</v>
      </c>
      <c r="L116" t="e">
        <f>(H116/1.190654)/F116</f>
        <v>#DIV/0!</v>
      </c>
    </row>
    <row r="117">
      <c r="B117">
        <v>112</v>
      </c>
      <c r="C117">
        <v>16</v>
      </c>
      <c r="D117">
        <v>0</v>
      </c>
      <c r="E117">
        <v>0</v>
      </c>
      <c r="F117">
        <v>0</v>
      </c>
      <c r="G117">
        <f>(H117/1.39135)*$K$5</f>
        <v>0</v>
      </c>
      <c r="H117">
        <f>(F117*1.190654)*$L$5</f>
        <v>0</v>
      </c>
      <c r="I117">
        <v>35.6483</v>
      </c>
      <c r="J117" t="e">
        <f>D117/(F117/3.362524)</f>
        <v>#DIV/0!</v>
      </c>
      <c r="K117" t="e">
        <f>G117/(H117/1.39135)</f>
        <v>#DIV/0!</v>
      </c>
      <c r="L117" t="e">
        <f>(H117/1.190654)/F117</f>
        <v>#DIV/0!</v>
      </c>
    </row>
    <row r="118">
      <c r="D118">
        <f>SUM(D6:D117)</f>
        <v>383</v>
      </c>
      <c r="E118">
        <f>SUM(E6:E117)</f>
        <v>29.000000000000036</v>
      </c>
      <c r="F118">
        <f>SUM(F6:F117)</f>
        <v>522.9999999999998</v>
      </c>
      <c r="G118">
        <f>SUM(G6:G117)</f>
        <v>89.51191892766022</v>
      </c>
      <c r="H118">
        <f>SUM(H6:H117)</f>
        <v>311.3560209999998</v>
      </c>
      <c r="I118">
        <f>SUM(I6:I117)</f>
        <v>2581.954599999999</v>
      </c>
    </row>
  </sheetData>
  <mergeCells count="4">
    <mergeCell ref="A2:M2"/>
    <mergeCell ref="A3:M3"/>
    <mergeCell ref="H1:M1"/>
    <mergeCell ref="A5:C5"/>
  </mergeCells>
  <pageMargins left="0.75" right="0.75" top="1" bottom="1" header="0.5" footer="0.5"/>
  <ignoredErrors>
    <ignoredError numberStoredAsText="1" sqref="A1:Z118"/>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1</v>
      </c>
      <c r="C111">
        <v>380</v>
      </c>
      <c r="D111" t="str">
        <v>Dosis</v>
      </c>
    </row>
    <row r="116">
      <c r="A116" t="str">
        <v>PROTECTANTE INSECTOS SUELO</v>
      </c>
      <c r="B116" t="str">
        <v>Dosis por Hectárea</v>
      </c>
      <c r="C116" t="str">
        <v>Precio</v>
      </c>
      <c r="D116" t="str">
        <v>Unidades</v>
      </c>
    </row>
    <row r="117">
      <c r="A117" t="str">
        <v>BaZam</v>
      </c>
      <c r="B117">
        <v>1</v>
      </c>
      <c r="C117">
        <v>380</v>
      </c>
      <c r="D117" t="str">
        <v>Dosis</v>
      </c>
    </row>
    <row r="118">
      <c r="A118" t="str">
        <v>MetaZam</v>
      </c>
      <c r="B118">
        <v>1</v>
      </c>
      <c r="C118">
        <v>380</v>
      </c>
      <c r="D118"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2009-08-12T00:02:58Z</dcterms:modified>
  <cp:lastModifiedBy>User</cp:lastModifiedBy>
  <cp:lastPrinted>2009-06-05T04:16:40Z</cp:lastPrinted>
  <dc:creator>Ricardo Lardizabal</dc:creator>
  <dc:subject>Chile Jalapeno</dc:subject>
  <dc:title>Fertilization Programs</dc:title>
</cp:coreProperties>
</file>